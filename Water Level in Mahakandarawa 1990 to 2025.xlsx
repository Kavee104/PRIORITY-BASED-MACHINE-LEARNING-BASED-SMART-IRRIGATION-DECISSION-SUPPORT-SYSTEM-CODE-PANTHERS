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05" yWindow="-105" windowWidth="23250" windowHeight="12450" firstSheet="23" activeTab="24"/>
  </bookViews>
  <sheets>
    <sheet name="1990" sheetId="1" r:id="rId1"/>
    <sheet name="1991" sheetId="2" r:id="rId2"/>
    <sheet name="1992" sheetId="3" r:id="rId3"/>
    <sheet name="1993" sheetId="4" r:id="rId4"/>
    <sheet name="1994" sheetId="5" r:id="rId5"/>
    <sheet name="1995" sheetId="6" r:id="rId6"/>
    <sheet name="1996" sheetId="7" r:id="rId7"/>
    <sheet name="1997" sheetId="8" r:id="rId8"/>
    <sheet name="1998" sheetId="9" r:id="rId9"/>
    <sheet name="1999" sheetId="10" r:id="rId10"/>
    <sheet name="2000" sheetId="11" r:id="rId11"/>
    <sheet name="2001" sheetId="12" r:id="rId12"/>
    <sheet name="2002" sheetId="13" r:id="rId13"/>
    <sheet name="2003" sheetId="14" r:id="rId14"/>
    <sheet name="2004" sheetId="15" r:id="rId15"/>
    <sheet name="2005" sheetId="16" r:id="rId16"/>
    <sheet name="2006" sheetId="17" r:id="rId17"/>
    <sheet name="2007" sheetId="18" r:id="rId18"/>
    <sheet name="2008" sheetId="19" r:id="rId19"/>
    <sheet name="2009" sheetId="20" r:id="rId20"/>
    <sheet name="2010" sheetId="21" r:id="rId21"/>
    <sheet name="2011" sheetId="22" r:id="rId22"/>
    <sheet name="2012" sheetId="24" r:id="rId23"/>
    <sheet name="2013" sheetId="23" r:id="rId24"/>
    <sheet name="2014" sheetId="25" r:id="rId25"/>
    <sheet name="2015" sheetId="30" r:id="rId26"/>
    <sheet name="2016" sheetId="28" r:id="rId27"/>
    <sheet name="2017" sheetId="29" r:id="rId28"/>
    <sheet name="2018" sheetId="34" r:id="rId29"/>
    <sheet name="2019 " sheetId="33" r:id="rId30"/>
    <sheet name="2020" sheetId="31" r:id="rId31"/>
    <sheet name="2021" sheetId="32" r:id="rId32"/>
    <sheet name="2022" sheetId="35" r:id="rId33"/>
    <sheet name="2023" sheetId="36" r:id="rId34"/>
    <sheet name="2024" sheetId="37" r:id="rId35"/>
    <sheet name="2025" sheetId="39" r:id="rId36"/>
  </sheets>
  <externalReferences>
    <externalReference r:id="rId37"/>
  </externalReferences>
  <definedNames>
    <definedName name="_xlnm.Print_Titles" localSheetId="0">'1990'!$2:$3</definedName>
    <definedName name="_xlnm.Print_Titles" localSheetId="1">'1991'!$2:$3</definedName>
    <definedName name="_xlnm.Print_Titles" localSheetId="2">'1992'!$2:$3</definedName>
    <definedName name="_xlnm.Print_Titles" localSheetId="3">'1993'!$2:$3</definedName>
    <definedName name="_xlnm.Print_Titles" localSheetId="4">'1994'!$2:$3</definedName>
    <definedName name="_xlnm.Print_Titles" localSheetId="5">'1995'!$2:$3</definedName>
    <definedName name="_xlnm.Print_Titles" localSheetId="6">'1996'!$2:$3</definedName>
    <definedName name="_xlnm.Print_Titles" localSheetId="7">'1997'!$2:$3</definedName>
    <definedName name="_xlnm.Print_Titles" localSheetId="8">'1998'!$2:$3</definedName>
    <definedName name="_xlnm.Print_Titles" localSheetId="10">'2000'!$2:$3</definedName>
    <definedName name="_xlnm.Print_Titles" localSheetId="11">'2001'!$2:$3</definedName>
    <definedName name="_xlnm.Print_Titles" localSheetId="12">'2002'!$2:$3</definedName>
    <definedName name="_xlnm.Print_Titles" localSheetId="13">'2003'!$2:$3</definedName>
    <definedName name="_xlnm.Print_Titles" localSheetId="14">'2004'!$2:$3</definedName>
    <definedName name="_xlnm.Print_Titles" localSheetId="15">'2005'!$2:$3</definedName>
    <definedName name="_xlnm.Print_Titles" localSheetId="16">'2006'!$2:$3</definedName>
    <definedName name="_xlnm.Print_Titles" localSheetId="17">'2007'!$2:$3</definedName>
    <definedName name="_xlnm.Print_Titles" localSheetId="18">'2008'!$2:$3</definedName>
    <definedName name="_xlnm.Print_Titles" localSheetId="19">'2009'!$2:$3</definedName>
    <definedName name="_xlnm.Print_Titles" localSheetId="20">'2010'!$2:$3</definedName>
    <definedName name="_xlnm.Print_Titles" localSheetId="21">'2011'!$2:$3</definedName>
    <definedName name="_xlnm.Print_Titles" localSheetId="22">'2012'!$2:$3</definedName>
    <definedName name="_xlnm.Print_Titles" localSheetId="23">'2013'!$2:$3</definedName>
    <definedName name="_xlnm.Print_Titles" localSheetId="25">'2015'!$3:$4</definedName>
    <definedName name="_xlnm.Print_Titles" localSheetId="26">'2016'!$3:$4</definedName>
    <definedName name="_xlnm.Print_Titles" localSheetId="27">'2017'!$3:$4</definedName>
    <definedName name="_xlnm.Print_Titles" localSheetId="28">'2018'!$2:$3</definedName>
    <definedName name="_xlnm.Print_Titles" localSheetId="29">'2019 '!$2:$3</definedName>
    <definedName name="_xlnm.Print_Titles" localSheetId="30">'2020'!$2:$3</definedName>
    <definedName name="_xlnm.Print_Titles" localSheetId="31">'2021'!$2:$3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3" i="31" l="1"/>
  <c r="H212" i="31"/>
  <c r="F212" i="31"/>
  <c r="H200" i="31"/>
  <c r="H201" i="31"/>
  <c r="H202" i="31"/>
  <c r="H203" i="31"/>
  <c r="H199" i="31"/>
  <c r="F201" i="31"/>
  <c r="F200" i="31"/>
  <c r="F199" i="31"/>
  <c r="H187" i="31"/>
  <c r="H188" i="31"/>
  <c r="H186" i="31"/>
  <c r="F188" i="31"/>
  <c r="F187" i="31"/>
  <c r="N195" i="33" l="1"/>
  <c r="H357" i="24" l="1"/>
  <c r="G357" i="34" l="1"/>
  <c r="G355" i="34"/>
  <c r="G350" i="34"/>
  <c r="G340" i="34"/>
  <c r="G338" i="34"/>
  <c r="E355" i="34"/>
  <c r="E340" i="34"/>
  <c r="E338" i="34"/>
  <c r="G333" i="34"/>
  <c r="G325" i="34"/>
  <c r="G323" i="34"/>
  <c r="G322" i="34"/>
  <c r="E324" i="34"/>
  <c r="E320" i="34"/>
  <c r="G225" i="34"/>
  <c r="G223" i="34"/>
  <c r="E238" i="34"/>
  <c r="E237" i="34"/>
  <c r="E236" i="34"/>
  <c r="E232" i="34"/>
  <c r="E227" i="34"/>
  <c r="G212" i="34"/>
  <c r="G205" i="34"/>
  <c r="G201" i="34"/>
  <c r="G197" i="34"/>
  <c r="G196" i="34"/>
  <c r="G195" i="34"/>
  <c r="G194" i="34"/>
  <c r="G187" i="34"/>
  <c r="G179" i="34"/>
  <c r="G157" i="34"/>
  <c r="G150" i="34"/>
  <c r="G149" i="34"/>
  <c r="G148" i="34"/>
  <c r="G147" i="34"/>
  <c r="G139" i="34"/>
  <c r="G125" i="34"/>
  <c r="G124" i="34"/>
  <c r="G117" i="34"/>
  <c r="G116" i="34"/>
  <c r="G115" i="34"/>
  <c r="G114" i="34"/>
  <c r="G113" i="34"/>
  <c r="G112" i="34"/>
  <c r="G110" i="34"/>
  <c r="E14" i="33"/>
  <c r="G14" i="33"/>
  <c r="E19" i="33"/>
  <c r="G21" i="33"/>
  <c r="E22" i="33"/>
  <c r="E23" i="33"/>
  <c r="E24" i="33"/>
  <c r="G29" i="33"/>
  <c r="G30" i="33"/>
  <c r="E31" i="33"/>
  <c r="G32" i="33"/>
  <c r="E33" i="33"/>
  <c r="E34" i="33"/>
  <c r="G34" i="33"/>
  <c r="F185" i="31" l="1"/>
  <c r="F174" i="31"/>
  <c r="E94" i="31"/>
  <c r="E93" i="31"/>
  <c r="E92" i="31"/>
  <c r="E91" i="31"/>
  <c r="E90" i="31"/>
  <c r="E89" i="31"/>
  <c r="E88" i="31"/>
  <c r="E87" i="31"/>
  <c r="E86" i="31"/>
  <c r="E85" i="31"/>
  <c r="E84" i="31"/>
  <c r="E83" i="31"/>
  <c r="E82" i="31"/>
  <c r="E81" i="31"/>
  <c r="E80" i="31"/>
  <c r="E79" i="31"/>
  <c r="E78" i="31"/>
  <c r="E77" i="31"/>
  <c r="E76" i="31"/>
  <c r="E75" i="31"/>
  <c r="E74" i="31"/>
  <c r="E73" i="31"/>
  <c r="E72" i="31"/>
  <c r="E71" i="31"/>
  <c r="E70" i="31"/>
  <c r="E69" i="31"/>
  <c r="E68" i="31"/>
  <c r="E67" i="31"/>
  <c r="E66" i="31"/>
  <c r="E65" i="31"/>
  <c r="E64" i="31"/>
  <c r="G50" i="31"/>
  <c r="G48" i="31"/>
  <c r="I41" i="31"/>
  <c r="G41" i="31"/>
  <c r="I39" i="31"/>
  <c r="G39" i="31"/>
  <c r="I38" i="31"/>
  <c r="I32" i="31"/>
  <c r="G32" i="31"/>
  <c r="I11" i="31"/>
  <c r="G191" i="25" l="1"/>
  <c r="G179" i="25"/>
  <c r="G173" i="25"/>
  <c r="G172" i="25"/>
  <c r="G170" i="25"/>
  <c r="G157" i="25"/>
  <c r="G156" i="25"/>
  <c r="G155" i="25"/>
  <c r="G154" i="25"/>
  <c r="G153" i="25"/>
  <c r="G152" i="25"/>
  <c r="G148" i="25"/>
  <c r="G137" i="25"/>
  <c r="G135" i="25"/>
  <c r="G115" i="25"/>
  <c r="G114" i="25"/>
  <c r="G113" i="25"/>
  <c r="G110" i="25"/>
  <c r="G98" i="25"/>
  <c r="G97" i="25"/>
  <c r="G95" i="25"/>
  <c r="G93" i="25"/>
  <c r="G92" i="25"/>
  <c r="G93" i="23" l="1"/>
  <c r="E93" i="23"/>
  <c r="G92" i="23"/>
  <c r="E90" i="23"/>
  <c r="G88" i="23"/>
  <c r="E88" i="23"/>
</calcChain>
</file>

<file path=xl/sharedStrings.xml><?xml version="1.0" encoding="utf-8"?>
<sst xmlns="http://schemas.openxmlformats.org/spreadsheetml/2006/main" count="44545" uniqueCount="3113">
  <si>
    <t>Date</t>
  </si>
  <si>
    <t>6-5</t>
  </si>
  <si>
    <t>7700</t>
  </si>
  <si>
    <t>6-6</t>
  </si>
  <si>
    <t>7800</t>
  </si>
  <si>
    <t>7-11</t>
  </si>
  <si>
    <t>9252</t>
  </si>
  <si>
    <t>8-10</t>
  </si>
  <si>
    <t>10600</t>
  </si>
  <si>
    <t>9-5</t>
  </si>
  <si>
    <t>11200</t>
  </si>
  <si>
    <t>9-9</t>
  </si>
  <si>
    <t>11800</t>
  </si>
  <si>
    <t>9-9 1/2</t>
  </si>
  <si>
    <t>1190</t>
  </si>
  <si>
    <t>9-11</t>
  </si>
  <si>
    <t>11949</t>
  </si>
  <si>
    <t>10-0</t>
  </si>
  <si>
    <t>12000</t>
  </si>
  <si>
    <t>11975</t>
  </si>
  <si>
    <t>9-10</t>
  </si>
  <si>
    <t>11926</t>
  </si>
  <si>
    <t>Month</t>
  </si>
  <si>
    <t>January</t>
  </si>
  <si>
    <t>February</t>
  </si>
  <si>
    <t>March</t>
  </si>
  <si>
    <t>April</t>
  </si>
  <si>
    <t>May</t>
  </si>
  <si>
    <t>June</t>
  </si>
  <si>
    <t>July</t>
  </si>
  <si>
    <t>August</t>
  </si>
  <si>
    <t>September</t>
  </si>
  <si>
    <t>November</t>
  </si>
  <si>
    <t>December</t>
  </si>
  <si>
    <t>11853</t>
  </si>
  <si>
    <t>11796</t>
  </si>
  <si>
    <t>9-8</t>
  </si>
  <si>
    <t>11669</t>
  </si>
  <si>
    <t>9-7 1/2</t>
  </si>
  <si>
    <t>11601</t>
  </si>
  <si>
    <t>9-7</t>
  </si>
  <si>
    <t>11447</t>
  </si>
  <si>
    <t>11300</t>
  </si>
  <si>
    <t>11203</t>
  </si>
  <si>
    <t>1203</t>
  </si>
  <si>
    <t>9-4</t>
  </si>
  <si>
    <t>1097</t>
  </si>
  <si>
    <t>9-2 1/2</t>
  </si>
  <si>
    <t>11000</t>
  </si>
  <si>
    <t>9-1</t>
  </si>
  <si>
    <t>10796</t>
  </si>
  <si>
    <t>8-11</t>
  </si>
  <si>
    <t>10650</t>
  </si>
  <si>
    <t>10569</t>
  </si>
  <si>
    <t>8-9 1/2</t>
  </si>
  <si>
    <t>10552</t>
  </si>
  <si>
    <t>8-9</t>
  </si>
  <si>
    <t>10447</t>
  </si>
  <si>
    <t>8-8</t>
  </si>
  <si>
    <t>10300</t>
  </si>
  <si>
    <t>8-7</t>
  </si>
  <si>
    <t>10203</t>
  </si>
  <si>
    <t>8-6</t>
  </si>
  <si>
    <t>10146</t>
  </si>
  <si>
    <t>8-5</t>
  </si>
  <si>
    <t>9951</t>
  </si>
  <si>
    <t>8-4 1/2</t>
  </si>
  <si>
    <t>9878</t>
  </si>
  <si>
    <t>8-4</t>
  </si>
  <si>
    <t>9796</t>
  </si>
  <si>
    <t>8-3</t>
  </si>
  <si>
    <t>9699</t>
  </si>
  <si>
    <t>8-2</t>
  </si>
  <si>
    <t>9601</t>
  </si>
  <si>
    <t>8-1 1/2</t>
  </si>
  <si>
    <t>9479</t>
  </si>
  <si>
    <t>8-1</t>
  </si>
  <si>
    <t>9398</t>
  </si>
  <si>
    <t>7-11 1/2</t>
  </si>
  <si>
    <t>9504</t>
  </si>
  <si>
    <t>8-0</t>
  </si>
  <si>
    <t>9227</t>
  </si>
  <si>
    <t>7-10</t>
  </si>
  <si>
    <t>9203</t>
  </si>
  <si>
    <t>7-7 1/2</t>
  </si>
  <si>
    <t>8853</t>
  </si>
  <si>
    <t>7-6</t>
  </si>
  <si>
    <t>8747</t>
  </si>
  <si>
    <t>7-5</t>
  </si>
  <si>
    <t>8601</t>
  </si>
  <si>
    <t>7-4</t>
  </si>
  <si>
    <t>8504</t>
  </si>
  <si>
    <t>7-3</t>
  </si>
  <si>
    <t>8398</t>
  </si>
  <si>
    <t>7-2</t>
  </si>
  <si>
    <t>8349</t>
  </si>
  <si>
    <t>7-1</t>
  </si>
  <si>
    <t>8252</t>
  </si>
  <si>
    <t>7-0</t>
  </si>
  <si>
    <t>8146</t>
  </si>
  <si>
    <t>6-10</t>
  </si>
  <si>
    <t>8100</t>
  </si>
  <si>
    <t>6-9</t>
  </si>
  <si>
    <t>8000</t>
  </si>
  <si>
    <t>6-7</t>
  </si>
  <si>
    <t>7600</t>
  </si>
  <si>
    <t>6-4</t>
  </si>
  <si>
    <t>7374</t>
  </si>
  <si>
    <t>6-2</t>
  </si>
  <si>
    <t>7200</t>
  </si>
  <si>
    <t>6-3</t>
  </si>
  <si>
    <t>7300</t>
  </si>
  <si>
    <t>6-8</t>
  </si>
  <si>
    <t>7900</t>
  </si>
  <si>
    <t>6-7 1/2</t>
  </si>
  <si>
    <t>7849</t>
  </si>
  <si>
    <t>6-2 1/2</t>
  </si>
  <si>
    <t>7250</t>
  </si>
  <si>
    <t>6-1</t>
  </si>
  <si>
    <t>7100</t>
  </si>
  <si>
    <t>5-11 1/2</t>
  </si>
  <si>
    <t>7000</t>
  </si>
  <si>
    <t>-</t>
  </si>
  <si>
    <t>2-5</t>
  </si>
  <si>
    <t>2-6</t>
  </si>
  <si>
    <t>2-7 1/2</t>
  </si>
  <si>
    <t>2-8</t>
  </si>
  <si>
    <t>2-9</t>
  </si>
  <si>
    <t>2-11</t>
  </si>
  <si>
    <t>2-11 1/4</t>
  </si>
  <si>
    <t>2-11 1/2</t>
  </si>
  <si>
    <t>2-10 3/4</t>
  </si>
  <si>
    <t>2-10</t>
  </si>
  <si>
    <t>3-3</t>
  </si>
  <si>
    <t>4601</t>
  </si>
  <si>
    <t>3-4</t>
  </si>
  <si>
    <t>4650</t>
  </si>
  <si>
    <t>3-6 1/2</t>
  </si>
  <si>
    <t>4796</t>
  </si>
  <si>
    <t>3-7</t>
  </si>
  <si>
    <t>4853</t>
  </si>
  <si>
    <t>3-8</t>
  </si>
  <si>
    <t>4902</t>
  </si>
  <si>
    <t>3-9</t>
  </si>
  <si>
    <t>4951</t>
  </si>
  <si>
    <t>3-10</t>
  </si>
  <si>
    <t>5000</t>
  </si>
  <si>
    <t>3-10 1/2</t>
  </si>
  <si>
    <t>5024</t>
  </si>
  <si>
    <t>4-0</t>
  </si>
  <si>
    <t>5097</t>
  </si>
  <si>
    <t>4-3</t>
  </si>
  <si>
    <t>5252</t>
  </si>
  <si>
    <t>4-4</t>
  </si>
  <si>
    <t>5349</t>
  </si>
  <si>
    <t>4-5 1/2</t>
  </si>
  <si>
    <t>5504</t>
  </si>
  <si>
    <t>4-6</t>
  </si>
  <si>
    <t>5552</t>
  </si>
  <si>
    <t>4-7 1/2</t>
  </si>
  <si>
    <t>5699</t>
  </si>
  <si>
    <t>4-10</t>
  </si>
  <si>
    <t>5796</t>
  </si>
  <si>
    <t>4-11 1/2</t>
  </si>
  <si>
    <t>6000</t>
  </si>
  <si>
    <t>5-1</t>
  </si>
  <si>
    <t>6048</t>
  </si>
  <si>
    <t>5-1 1/2</t>
  </si>
  <si>
    <t>6097</t>
  </si>
  <si>
    <t>5-2</t>
  </si>
  <si>
    <t>6203</t>
  </si>
  <si>
    <t>5-4</t>
  </si>
  <si>
    <t>6300</t>
  </si>
  <si>
    <t>5-4 1/2</t>
  </si>
  <si>
    <t>6349</t>
  </si>
  <si>
    <t>5-5</t>
  </si>
  <si>
    <t>6398</t>
  </si>
  <si>
    <t>5-8</t>
  </si>
  <si>
    <t>5-10 1/2</t>
  </si>
  <si>
    <t>6495</t>
  </si>
  <si>
    <t>6-1/2</t>
  </si>
  <si>
    <t>6796</t>
  </si>
  <si>
    <t>6951</t>
  </si>
  <si>
    <t>6-5 1/2</t>
  </si>
  <si>
    <t>7398</t>
  </si>
  <si>
    <t>7504</t>
  </si>
  <si>
    <t>6-8 1/4</t>
  </si>
  <si>
    <t>7552</t>
  </si>
  <si>
    <t>7601</t>
  </si>
  <si>
    <t>7471</t>
  </si>
  <si>
    <t>7203</t>
  </si>
  <si>
    <t>7097</t>
  </si>
  <si>
    <t>6-0</t>
  </si>
  <si>
    <t>6902</t>
  </si>
  <si>
    <t>5-11</t>
  </si>
  <si>
    <t>6853</t>
  </si>
  <si>
    <t>5-10 1/4</t>
  </si>
  <si>
    <t>6747</t>
  </si>
  <si>
    <t>6699</t>
  </si>
  <si>
    <t>5-9 1/4</t>
  </si>
  <si>
    <t>6650</t>
  </si>
  <si>
    <t>5-9</t>
  </si>
  <si>
    <t>6601</t>
  </si>
  <si>
    <t>5-8 1/4</t>
  </si>
  <si>
    <t>6577</t>
  </si>
  <si>
    <t>6504</t>
  </si>
  <si>
    <t>5-7 1/4</t>
  </si>
  <si>
    <t>6471</t>
  </si>
  <si>
    <t>5-7</t>
  </si>
  <si>
    <t>6447</t>
  </si>
  <si>
    <t>5-6 1/4</t>
  </si>
  <si>
    <t>6422</t>
  </si>
  <si>
    <t>5-6</t>
  </si>
  <si>
    <t>6056</t>
  </si>
  <si>
    <t>5-5 1/4</t>
  </si>
  <si>
    <t>6357</t>
  </si>
  <si>
    <t>6276</t>
  </si>
  <si>
    <t>6252</t>
  </si>
  <si>
    <t>5-5 1/2</t>
  </si>
  <si>
    <t>5-3 1/2</t>
  </si>
  <si>
    <t>6227</t>
  </si>
  <si>
    <t>5-3</t>
  </si>
  <si>
    <t>5-2 1/2</t>
  </si>
  <si>
    <t>6179</t>
  </si>
  <si>
    <t>6155</t>
  </si>
  <si>
    <t>6049</t>
  </si>
  <si>
    <t>5-1/2</t>
  </si>
  <si>
    <t>5-0</t>
  </si>
  <si>
    <t>5951</t>
  </si>
  <si>
    <t>4-11</t>
  </si>
  <si>
    <t>5894</t>
  </si>
  <si>
    <t>4-10 1/2</t>
  </si>
  <si>
    <t>4-9 1/2</t>
  </si>
  <si>
    <t>5886</t>
  </si>
  <si>
    <t>5861</t>
  </si>
  <si>
    <t>5821</t>
  </si>
  <si>
    <t>4-9</t>
  </si>
  <si>
    <t>4-8 1/2</t>
  </si>
  <si>
    <t>5747</t>
  </si>
  <si>
    <t>4-8</t>
  </si>
  <si>
    <t>5722</t>
  </si>
  <si>
    <t>5697</t>
  </si>
  <si>
    <t>4-7</t>
  </si>
  <si>
    <t>5672</t>
  </si>
  <si>
    <t>4-6 1/2</t>
  </si>
  <si>
    <t>5647</t>
  </si>
  <si>
    <t>5622</t>
  </si>
  <si>
    <t>5597</t>
  </si>
  <si>
    <t>4-5</t>
  </si>
  <si>
    <t>5542</t>
  </si>
  <si>
    <t>4-4 1/2</t>
  </si>
  <si>
    <t>5537</t>
  </si>
  <si>
    <t>5512</t>
  </si>
  <si>
    <t>4-3 1/2</t>
  </si>
  <si>
    <t>5487</t>
  </si>
  <si>
    <t>5462</t>
  </si>
  <si>
    <t>4-2 1/2</t>
  </si>
  <si>
    <t>5437</t>
  </si>
  <si>
    <t>4-2</t>
  </si>
  <si>
    <t>5412</t>
  </si>
  <si>
    <t>4-1 1/2</t>
  </si>
  <si>
    <t>5387</t>
  </si>
  <si>
    <t>4-1</t>
  </si>
  <si>
    <t>5362</t>
  </si>
  <si>
    <t>4-1/2</t>
  </si>
  <si>
    <t>5337</t>
  </si>
  <si>
    <t>5312</t>
  </si>
  <si>
    <t>5264</t>
  </si>
  <si>
    <t>5240</t>
  </si>
  <si>
    <t>5214</t>
  </si>
  <si>
    <t>3-9 1/2</t>
  </si>
  <si>
    <t>5189</t>
  </si>
  <si>
    <t>5164</t>
  </si>
  <si>
    <t>3-8 /2</t>
  </si>
  <si>
    <t>5139</t>
  </si>
  <si>
    <t>5114</t>
  </si>
  <si>
    <t>3-7 1/2</t>
  </si>
  <si>
    <t>5089</t>
  </si>
  <si>
    <t>5039</t>
  </si>
  <si>
    <t>3-6</t>
  </si>
  <si>
    <t>5014</t>
  </si>
  <si>
    <t>3-5</t>
  </si>
  <si>
    <t>4964</t>
  </si>
  <si>
    <t>4868</t>
  </si>
  <si>
    <t>3-2</t>
  </si>
  <si>
    <t>4820</t>
  </si>
  <si>
    <t>4699</t>
  </si>
  <si>
    <t>4627</t>
  </si>
  <si>
    <t>4579</t>
  </si>
  <si>
    <t>4531</t>
  </si>
  <si>
    <t>2-7</t>
  </si>
  <si>
    <t>4507</t>
  </si>
  <si>
    <t>4459</t>
  </si>
  <si>
    <t>4411</t>
  </si>
  <si>
    <t>2-4</t>
  </si>
  <si>
    <t>4363</t>
  </si>
  <si>
    <t>2-3</t>
  </si>
  <si>
    <t>4315</t>
  </si>
  <si>
    <t>2-2 1/2</t>
  </si>
  <si>
    <t>4291</t>
  </si>
  <si>
    <t>2-2</t>
  </si>
  <si>
    <t>4267</t>
  </si>
  <si>
    <t>2-1 1/2</t>
  </si>
  <si>
    <t>4228</t>
  </si>
  <si>
    <t>2-1</t>
  </si>
  <si>
    <t>4199</t>
  </si>
  <si>
    <t>4115</t>
  </si>
  <si>
    <t>4175</t>
  </si>
  <si>
    <t>4151</t>
  </si>
  <si>
    <t>1-11 1/2</t>
  </si>
  <si>
    <t>4127</t>
  </si>
  <si>
    <t>1-11</t>
  </si>
  <si>
    <t>4103</t>
  </si>
  <si>
    <t>2-1 /2002</t>
  </si>
  <si>
    <t>2-2000</t>
  </si>
  <si>
    <t>1-10 1/2</t>
  </si>
  <si>
    <t>11-11</t>
  </si>
  <si>
    <t>1-10</t>
  </si>
  <si>
    <t>1-9 1/2</t>
  </si>
  <si>
    <t>1-9</t>
  </si>
  <si>
    <t>1-8 1/2</t>
  </si>
  <si>
    <t>1-8</t>
  </si>
  <si>
    <t>1-7 1/2</t>
  </si>
  <si>
    <t>2-1900</t>
  </si>
  <si>
    <t>6-6 1/2</t>
  </si>
  <si>
    <t>7-7</t>
  </si>
  <si>
    <t>7-9</t>
  </si>
  <si>
    <t>8-11 1/2</t>
  </si>
  <si>
    <t>9-0</t>
  </si>
  <si>
    <t>9-1 1/2</t>
  </si>
  <si>
    <t>9-2000</t>
  </si>
  <si>
    <t>7-2000</t>
  </si>
  <si>
    <t>10-3</t>
  </si>
  <si>
    <t>11-3</t>
  </si>
  <si>
    <t>12-1</t>
  </si>
  <si>
    <t>12-6</t>
  </si>
  <si>
    <t>12-9</t>
  </si>
  <si>
    <t>12-11 1/2</t>
  </si>
  <si>
    <t>13-3</t>
  </si>
  <si>
    <t>13-5</t>
  </si>
  <si>
    <t>13-6</t>
  </si>
  <si>
    <t>13-7</t>
  </si>
  <si>
    <t>13-4</t>
  </si>
  <si>
    <t>14-4</t>
  </si>
  <si>
    <t>15-0</t>
  </si>
  <si>
    <t>15-7</t>
  </si>
  <si>
    <t>9-1/2002</t>
  </si>
  <si>
    <t>15-6 1/2</t>
  </si>
  <si>
    <t>15-5</t>
  </si>
  <si>
    <t>15-4</t>
  </si>
  <si>
    <t>15-3 1/2</t>
  </si>
  <si>
    <t>15-2</t>
  </si>
  <si>
    <t>15-1 1/2</t>
  </si>
  <si>
    <t>15-1</t>
  </si>
  <si>
    <t>14-11 1/2</t>
  </si>
  <si>
    <t>14-10 1/2</t>
  </si>
  <si>
    <t>14-10</t>
  </si>
  <si>
    <t>14-9</t>
  </si>
  <si>
    <t>14-8</t>
  </si>
  <si>
    <t>14-6 1/2</t>
  </si>
  <si>
    <t>14-6</t>
  </si>
  <si>
    <t>14-5</t>
  </si>
  <si>
    <t>14-3 1/2</t>
  </si>
  <si>
    <t>14-3</t>
  </si>
  <si>
    <t>21-0</t>
  </si>
  <si>
    <t>20-11</t>
  </si>
  <si>
    <t>20-10</t>
  </si>
  <si>
    <t>20-9</t>
  </si>
  <si>
    <t>20-8</t>
  </si>
  <si>
    <t>20-7</t>
  </si>
  <si>
    <t>20-6</t>
  </si>
  <si>
    <t>20-5</t>
  </si>
  <si>
    <t>20-4</t>
  </si>
  <si>
    <t>20-3</t>
  </si>
  <si>
    <t>20-2</t>
  </si>
  <si>
    <t>20-1</t>
  </si>
  <si>
    <t>20-0</t>
  </si>
  <si>
    <t>19-11</t>
  </si>
  <si>
    <t>19-9</t>
  </si>
  <si>
    <t>19-8</t>
  </si>
  <si>
    <t>11-8</t>
  </si>
  <si>
    <t>11-6 1/2</t>
  </si>
  <si>
    <t>11-5 1/2</t>
  </si>
  <si>
    <t>11-2 1/2</t>
  </si>
  <si>
    <t>11-1</t>
  </si>
  <si>
    <t>11-0</t>
  </si>
  <si>
    <t>10-10</t>
  </si>
  <si>
    <t>10-8</t>
  </si>
  <si>
    <t>10-6 1/2</t>
  </si>
  <si>
    <t>10-5 1/2</t>
  </si>
  <si>
    <t>10-4</t>
  </si>
  <si>
    <t>10-1</t>
  </si>
  <si>
    <t>9-10 1/2</t>
  </si>
  <si>
    <t>9-5 1/2</t>
  </si>
  <si>
    <t>9-3 1/2</t>
  </si>
  <si>
    <t>9-2</t>
  </si>
  <si>
    <t>8-10 1/2</t>
  </si>
  <si>
    <t>8-7 1/2</t>
  </si>
  <si>
    <t>8-1/2</t>
  </si>
  <si>
    <t>7-5 1/2</t>
  </si>
  <si>
    <t>7-10 1/2</t>
  </si>
  <si>
    <t>8-5 1/2</t>
  </si>
  <si>
    <t>8-3 1/2</t>
  </si>
  <si>
    <t>7-8</t>
  </si>
  <si>
    <t>7-9 1/2</t>
  </si>
  <si>
    <t>7-2 1/2</t>
  </si>
  <si>
    <t>6-11 1/2</t>
  </si>
  <si>
    <t>6-8 1/2</t>
  </si>
  <si>
    <t>6-4 1/2</t>
  </si>
  <si>
    <t>6-3 1/2</t>
  </si>
  <si>
    <t>6-1 1/2</t>
  </si>
  <si>
    <t>5-7 1/2</t>
  </si>
  <si>
    <t>5-6 1/2</t>
  </si>
  <si>
    <t>1-1</t>
  </si>
  <si>
    <t>1-2</t>
  </si>
  <si>
    <t>1-3</t>
  </si>
  <si>
    <t>1-4</t>
  </si>
  <si>
    <t>1-6</t>
  </si>
  <si>
    <t>1-2000</t>
  </si>
  <si>
    <t>4-2000</t>
  </si>
  <si>
    <t>1-1900</t>
  </si>
  <si>
    <t>7-6 1/2</t>
  </si>
  <si>
    <t>5-10</t>
  </si>
  <si>
    <t>3-11</t>
  </si>
  <si>
    <t>3-1</t>
  </si>
  <si>
    <t>3-0</t>
  </si>
  <si>
    <t>1-7</t>
  </si>
  <si>
    <t>1-5</t>
  </si>
  <si>
    <t>0-11</t>
  </si>
  <si>
    <t>0-10</t>
  </si>
  <si>
    <t>0-9</t>
  </si>
  <si>
    <t>0-8</t>
  </si>
  <si>
    <t>0-7</t>
  </si>
  <si>
    <t>10-2</t>
  </si>
  <si>
    <t>10-6</t>
  </si>
  <si>
    <t>12-5</t>
  </si>
  <si>
    <t>14-0</t>
  </si>
  <si>
    <t>15-8</t>
  </si>
  <si>
    <t>16-4</t>
  </si>
  <si>
    <t>16-7</t>
  </si>
  <si>
    <t>16-10</t>
  </si>
  <si>
    <t>17-2</t>
  </si>
  <si>
    <t>17-7</t>
  </si>
  <si>
    <t>19-6</t>
  </si>
  <si>
    <t>19-7</t>
  </si>
  <si>
    <t>19-5</t>
  </si>
  <si>
    <t>19-4</t>
  </si>
  <si>
    <t>19-2 1/2</t>
  </si>
  <si>
    <t>19-10</t>
  </si>
  <si>
    <t>20-10 1/2</t>
  </si>
  <si>
    <t>19-3</t>
  </si>
  <si>
    <t>19-1 1/2</t>
  </si>
  <si>
    <t>19-1</t>
  </si>
  <si>
    <t>19-0</t>
  </si>
  <si>
    <t>18-11</t>
  </si>
  <si>
    <t>18-10</t>
  </si>
  <si>
    <t>18-9</t>
  </si>
  <si>
    <t>18-8</t>
  </si>
  <si>
    <t>18-7</t>
  </si>
  <si>
    <t>19-2</t>
  </si>
  <si>
    <t>18-6</t>
  </si>
  <si>
    <t>18-5</t>
  </si>
  <si>
    <t>18-4</t>
  </si>
  <si>
    <t>18-3</t>
  </si>
  <si>
    <t>18-1</t>
  </si>
  <si>
    <t>18-0</t>
  </si>
  <si>
    <t>17-11</t>
  </si>
  <si>
    <t>17-10</t>
  </si>
  <si>
    <t>17-9</t>
  </si>
  <si>
    <t>17-8</t>
  </si>
  <si>
    <t>17-5</t>
  </si>
  <si>
    <t>17-6</t>
  </si>
  <si>
    <t>17-4</t>
  </si>
  <si>
    <t>17-3</t>
  </si>
  <si>
    <t>17-1</t>
  </si>
  <si>
    <t>17-0</t>
  </si>
  <si>
    <t>16-11</t>
  </si>
  <si>
    <t>16-9</t>
  </si>
  <si>
    <t>16-8</t>
  </si>
  <si>
    <t>16-6 1/2</t>
  </si>
  <si>
    <t>16-5</t>
  </si>
  <si>
    <t>16-1 1/2</t>
  </si>
  <si>
    <t>16-0</t>
  </si>
  <si>
    <t>15-10 1/2</t>
  </si>
  <si>
    <t>15-9</t>
  </si>
  <si>
    <t>15-6</t>
  </si>
  <si>
    <t>15-4 1/2</t>
  </si>
  <si>
    <t>15-3</t>
  </si>
  <si>
    <t>14-11</t>
  </si>
  <si>
    <t>14-8 1/2</t>
  </si>
  <si>
    <t>14-7 1/2</t>
  </si>
  <si>
    <t>14-1</t>
  </si>
  <si>
    <t>13-11</t>
  </si>
  <si>
    <t>13-10</t>
  </si>
  <si>
    <t>13-9</t>
  </si>
  <si>
    <t>13-8</t>
  </si>
  <si>
    <t>13-1/2</t>
  </si>
  <si>
    <t>13-2</t>
  </si>
  <si>
    <t>13-0</t>
  </si>
  <si>
    <t>12-11</t>
  </si>
  <si>
    <t>12-8</t>
  </si>
  <si>
    <t>12-7</t>
  </si>
  <si>
    <t>12-3</t>
  </si>
  <si>
    <t>11-9</t>
  </si>
  <si>
    <t>11-6</t>
  </si>
  <si>
    <t>11-4</t>
  </si>
  <si>
    <t>11-2</t>
  </si>
  <si>
    <t>10-9</t>
  </si>
  <si>
    <t>9-6</t>
  </si>
  <si>
    <t>9-3</t>
  </si>
  <si>
    <t>2-0</t>
  </si>
  <si>
    <t>6-11</t>
  </si>
  <si>
    <t>11-10</t>
  </si>
  <si>
    <t>12-4</t>
  </si>
  <si>
    <t>13-1</t>
  </si>
  <si>
    <t>10-2000</t>
  </si>
  <si>
    <t>12-2000</t>
  </si>
  <si>
    <t>12-10</t>
  </si>
  <si>
    <t>12-2</t>
  </si>
  <si>
    <t>12-0</t>
  </si>
  <si>
    <t>12-1/2</t>
  </si>
  <si>
    <t>12-1/1</t>
  </si>
  <si>
    <t>11-7</t>
  </si>
  <si>
    <t>11-5</t>
  </si>
  <si>
    <t>10-11</t>
  </si>
  <si>
    <t>10-7</t>
  </si>
  <si>
    <t>10-5</t>
  </si>
  <si>
    <t>1-0</t>
  </si>
  <si>
    <t>2-10 1/2</t>
  </si>
  <si>
    <t>2-9 1/2</t>
  </si>
  <si>
    <t>2-4 1/2</t>
  </si>
  <si>
    <t xml:space="preserve"> -</t>
  </si>
  <si>
    <t>Year</t>
  </si>
  <si>
    <t>0-6</t>
  </si>
  <si>
    <t>0-5</t>
  </si>
  <si>
    <t>0-4</t>
  </si>
  <si>
    <t>0-3</t>
  </si>
  <si>
    <t>0-2</t>
  </si>
  <si>
    <t>16-6</t>
  </si>
  <si>
    <t>Spilling</t>
  </si>
  <si>
    <t>16-2</t>
  </si>
  <si>
    <t>15-10</t>
  </si>
  <si>
    <t>14-7</t>
  </si>
  <si>
    <t>6-10 1/2</t>
  </si>
  <si>
    <t>6-9 1/2</t>
  </si>
  <si>
    <t>5-5 3/4</t>
  </si>
  <si>
    <t>5-9 1/2</t>
  </si>
  <si>
    <t>5-8 1/2</t>
  </si>
  <si>
    <t>'7-0</t>
  </si>
  <si>
    <t>7-1/2</t>
  </si>
  <si>
    <t>8-2 1/2</t>
  </si>
  <si>
    <t>14-2</t>
  </si>
  <si>
    <t>5-11.5</t>
  </si>
  <si>
    <t>1-8.5</t>
  </si>
  <si>
    <t>18-2</t>
  </si>
  <si>
    <t>13-4 1/2</t>
  </si>
  <si>
    <t>0-6 1/2</t>
  </si>
  <si>
    <t>123-10</t>
  </si>
  <si>
    <t>NAME OF TANK -                  Mahakanadarawa</t>
  </si>
  <si>
    <t>CAPACITY AT F.S.L  -             36250 Ac.ft.</t>
  </si>
  <si>
    <t>WATER HEAD AT F.S.L -          19' ft.</t>
  </si>
  <si>
    <t>13-81/2</t>
  </si>
  <si>
    <t xml:space="preserve"> 12-11</t>
  </si>
  <si>
    <t xml:space="preserve"> 12-8</t>
  </si>
  <si>
    <t xml:space="preserve"> 12-7</t>
  </si>
  <si>
    <t xml:space="preserve"> 12-6</t>
  </si>
  <si>
    <t xml:space="preserve"> 12-5</t>
  </si>
  <si>
    <t xml:space="preserve"> 12-4</t>
  </si>
  <si>
    <t xml:space="preserve"> 12-3</t>
  </si>
  <si>
    <t xml:space="preserve"> 12-2</t>
  </si>
  <si>
    <t xml:space="preserve"> 12-1</t>
  </si>
  <si>
    <t xml:space="preserve"> 11-11</t>
  </si>
  <si>
    <t xml:space="preserve"> 11-9</t>
  </si>
  <si>
    <t xml:space="preserve"> 11-8</t>
  </si>
  <si>
    <t xml:space="preserve"> 11-7</t>
  </si>
  <si>
    <t xml:space="preserve"> 11-6</t>
  </si>
  <si>
    <t xml:space="preserve"> 11-5</t>
  </si>
  <si>
    <t xml:space="preserve"> 11-4</t>
  </si>
  <si>
    <t xml:space="preserve"> 11-3</t>
  </si>
  <si>
    <t xml:space="preserve"> 11-2</t>
  </si>
  <si>
    <t xml:space="preserve"> 11-0</t>
  </si>
  <si>
    <t xml:space="preserve"> 10-11</t>
  </si>
  <si>
    <t xml:space="preserve"> 10-10</t>
  </si>
  <si>
    <t xml:space="preserve"> 10-9</t>
  </si>
  <si>
    <t xml:space="preserve"> 10-2</t>
  </si>
  <si>
    <t xml:space="preserve"> 10-1</t>
  </si>
  <si>
    <t xml:space="preserve"> 9-11</t>
  </si>
  <si>
    <t xml:space="preserve"> 9-9</t>
  </si>
  <si>
    <t xml:space="preserve"> 9-7</t>
  </si>
  <si>
    <t xml:space="preserve"> 9-6</t>
  </si>
  <si>
    <t xml:space="preserve"> 9-4</t>
  </si>
  <si>
    <t xml:space="preserve"> 9-2</t>
  </si>
  <si>
    <t xml:space="preserve"> 9-0</t>
  </si>
  <si>
    <t xml:space="preserve"> 8-11</t>
  </si>
  <si>
    <t xml:space="preserve"> 8-9</t>
  </si>
  <si>
    <t xml:space="preserve"> 8-7</t>
  </si>
  <si>
    <t xml:space="preserve"> 8-2</t>
  </si>
  <si>
    <t xml:space="preserve"> 8-0</t>
  </si>
  <si>
    <t xml:space="preserve"> 7-8</t>
  </si>
  <si>
    <t xml:space="preserve"> 7-6</t>
  </si>
  <si>
    <t xml:space="preserve"> 7-4</t>
  </si>
  <si>
    <t xml:space="preserve"> 7-2</t>
  </si>
  <si>
    <t xml:space="preserve"> 7-0</t>
  </si>
  <si>
    <t xml:space="preserve"> 6-10</t>
  </si>
  <si>
    <t xml:space="preserve"> 6-7</t>
  </si>
  <si>
    <t xml:space="preserve"> 6-6</t>
  </si>
  <si>
    <t xml:space="preserve"> 6-4</t>
  </si>
  <si>
    <t xml:space="preserve"> 6-1</t>
  </si>
  <si>
    <t xml:space="preserve"> 5-10</t>
  </si>
  <si>
    <t xml:space="preserve"> 5-8</t>
  </si>
  <si>
    <t xml:space="preserve"> 5-6</t>
  </si>
  <si>
    <t xml:space="preserve"> 5-4</t>
  </si>
  <si>
    <t xml:space="preserve"> 5-3</t>
  </si>
  <si>
    <t xml:space="preserve"> 5-2</t>
  </si>
  <si>
    <t xml:space="preserve"> 5-1</t>
  </si>
  <si>
    <t xml:space="preserve"> 4-11</t>
  </si>
  <si>
    <t xml:space="preserve"> 4-9</t>
  </si>
  <si>
    <t xml:space="preserve"> 4-7</t>
  </si>
  <si>
    <t xml:space="preserve"> 4-5</t>
  </si>
  <si>
    <t xml:space="preserve"> 4-4</t>
  </si>
  <si>
    <t xml:space="preserve"> 4-1</t>
  </si>
  <si>
    <t xml:space="preserve"> 4-10 </t>
  </si>
  <si>
    <t xml:space="preserve"> 3-10</t>
  </si>
  <si>
    <t xml:space="preserve"> 2-10</t>
  </si>
  <si>
    <t xml:space="preserve"> 2-5</t>
  </si>
  <si>
    <t xml:space="preserve"> 2-3</t>
  </si>
  <si>
    <t xml:space="preserve"> 2-1</t>
  </si>
  <si>
    <t xml:space="preserve"> 1-11</t>
  </si>
  <si>
    <t xml:space="preserve"> 1-9</t>
  </si>
  <si>
    <t xml:space="preserve"> 1-7</t>
  </si>
  <si>
    <t xml:space="preserve"> 1-6</t>
  </si>
  <si>
    <t xml:space="preserve"> 1-5</t>
  </si>
  <si>
    <t xml:space="preserve"> 1-4</t>
  </si>
  <si>
    <t xml:space="preserve"> 1-3</t>
  </si>
  <si>
    <t xml:space="preserve"> 1-2 </t>
  </si>
  <si>
    <t xml:space="preserve"> 1-2</t>
  </si>
  <si>
    <t xml:space="preserve"> 1-1</t>
  </si>
  <si>
    <t xml:space="preserve"> 1-11 </t>
  </si>
  <si>
    <t xml:space="preserve"> 2-0</t>
  </si>
  <si>
    <t xml:space="preserve"> 2-8</t>
  </si>
  <si>
    <t xml:space="preserve"> 2-9</t>
  </si>
  <si>
    <t xml:space="preserve"> 2-11</t>
  </si>
  <si>
    <t xml:space="preserve"> 3-2</t>
  </si>
  <si>
    <t xml:space="preserve"> 3-3</t>
  </si>
  <si>
    <t xml:space="preserve"> 3-6</t>
  </si>
  <si>
    <t xml:space="preserve"> 3-9</t>
  </si>
  <si>
    <t xml:space="preserve"> 4-0</t>
  </si>
  <si>
    <t xml:space="preserve"> 4-3</t>
  </si>
  <si>
    <t xml:space="preserve"> 4-6</t>
  </si>
  <si>
    <t xml:space="preserve"> 5-11</t>
  </si>
  <si>
    <t xml:space="preserve"> 6-0</t>
  </si>
  <si>
    <t xml:space="preserve"> 6-9</t>
  </si>
  <si>
    <t xml:space="preserve"> 6-11</t>
  </si>
  <si>
    <t xml:space="preserve"> 7-9</t>
  </si>
  <si>
    <t xml:space="preserve"> 7-11</t>
  </si>
  <si>
    <t xml:space="preserve"> 8-1</t>
  </si>
  <si>
    <t xml:space="preserve"> 8-3</t>
  </si>
  <si>
    <t xml:space="preserve"> 8-4</t>
  </si>
  <si>
    <t xml:space="preserve"> 8-5</t>
  </si>
  <si>
    <t xml:space="preserve"> 8-10</t>
  </si>
  <si>
    <t xml:space="preserve"> 9-8</t>
  </si>
  <si>
    <t xml:space="preserve"> 10-0</t>
  </si>
  <si>
    <t xml:space="preserve"> 10-3</t>
  </si>
  <si>
    <t xml:space="preserve"> 9-5</t>
  </si>
  <si>
    <t xml:space="preserve"> 9-3</t>
  </si>
  <si>
    <t xml:space="preserve"> 9-1</t>
  </si>
  <si>
    <t xml:space="preserve"> 8-6</t>
  </si>
  <si>
    <t xml:space="preserve"> 10-4</t>
  </si>
  <si>
    <t xml:space="preserve"> 10-6</t>
  </si>
  <si>
    <t xml:space="preserve"> 11-10</t>
  </si>
  <si>
    <t xml:space="preserve"> 12-0</t>
  </si>
  <si>
    <t xml:space="preserve"> 12-0 </t>
  </si>
  <si>
    <t xml:space="preserve"> 11-1</t>
  </si>
  <si>
    <t xml:space="preserve"> 10-8</t>
  </si>
  <si>
    <t xml:space="preserve"> 9-10</t>
  </si>
  <si>
    <t xml:space="preserve"> 7-7</t>
  </si>
  <si>
    <t xml:space="preserve"> 7-5</t>
  </si>
  <si>
    <t xml:space="preserve"> 7-3</t>
  </si>
  <si>
    <t xml:space="preserve"> 7-1</t>
  </si>
  <si>
    <t xml:space="preserve"> 6-8</t>
  </si>
  <si>
    <t xml:space="preserve"> 6-2</t>
  </si>
  <si>
    <t xml:space="preserve"> 5-7</t>
  </si>
  <si>
    <t xml:space="preserve"> 5-5</t>
  </si>
  <si>
    <t xml:space="preserve"> 5-0</t>
  </si>
  <si>
    <t xml:space="preserve"> 4-10</t>
  </si>
  <si>
    <t xml:space="preserve"> 4-8</t>
  </si>
  <si>
    <t xml:space="preserve"> 3-11</t>
  </si>
  <si>
    <t xml:space="preserve"> 3-8</t>
  </si>
  <si>
    <t xml:space="preserve"> 3-5</t>
  </si>
  <si>
    <t xml:space="preserve"> 3-0</t>
  </si>
  <si>
    <t xml:space="preserve"> 2-6</t>
  </si>
  <si>
    <t xml:space="preserve"> 0-11</t>
  </si>
  <si>
    <t xml:space="preserve"> 1-0</t>
  </si>
  <si>
    <t xml:space="preserve"> 1-8</t>
  </si>
  <si>
    <t xml:space="preserve">  4-4</t>
  </si>
  <si>
    <t xml:space="preserve"> 7-10</t>
  </si>
  <si>
    <t xml:space="preserve"> 12-10</t>
  </si>
  <si>
    <t xml:space="preserve"> 12-9</t>
  </si>
  <si>
    <t xml:space="preserve"> 12-7 </t>
  </si>
  <si>
    <t xml:space="preserve">  12-11</t>
  </si>
  <si>
    <t xml:space="preserve"> 13-0</t>
  </si>
  <si>
    <t xml:space="preserve"> 13-1</t>
  </si>
  <si>
    <t xml:space="preserve"> 13-0 </t>
  </si>
  <si>
    <t xml:space="preserve"> 12-9 </t>
  </si>
  <si>
    <t xml:space="preserve"> 10-7</t>
  </si>
  <si>
    <t xml:space="preserve"> 10-5</t>
  </si>
  <si>
    <t xml:space="preserve"> 8-8</t>
  </si>
  <si>
    <t xml:space="preserve"> 5-9</t>
  </si>
  <si>
    <t xml:space="preserve"> 4-2</t>
  </si>
  <si>
    <t xml:space="preserve"> 9-7 </t>
  </si>
  <si>
    <t xml:space="preserve">  8-9</t>
  </si>
  <si>
    <t xml:space="preserve">  8-7</t>
  </si>
  <si>
    <t xml:space="preserve"> 7-11 </t>
  </si>
  <si>
    <t xml:space="preserve"> 14-7</t>
  </si>
  <si>
    <t xml:space="preserve"> 15-10 </t>
  </si>
  <si>
    <t xml:space="preserve"> 16-6</t>
  </si>
  <si>
    <t xml:space="preserve"> 17-0</t>
  </si>
  <si>
    <t xml:space="preserve"> 17-2</t>
  </si>
  <si>
    <t xml:space="preserve"> 17-3</t>
  </si>
  <si>
    <t xml:space="preserve"> 17-4</t>
  </si>
  <si>
    <t>spilling</t>
  </si>
  <si>
    <t>16-3</t>
  </si>
  <si>
    <t>16-1</t>
  </si>
  <si>
    <t>15-11</t>
  </si>
  <si>
    <t xml:space="preserve"> 8-2 </t>
  </si>
  <si>
    <t xml:space="preserve"> 9-0 </t>
  </si>
  <si>
    <t xml:space="preserve"> 8-4 </t>
  </si>
  <si>
    <t>19-1/2</t>
  </si>
  <si>
    <t>Water Level</t>
  </si>
  <si>
    <t>Capacity</t>
  </si>
  <si>
    <t>Ft.</t>
  </si>
  <si>
    <t>M</t>
  </si>
  <si>
    <t>Ac.ft.</t>
  </si>
  <si>
    <t>MCM</t>
  </si>
  <si>
    <t>Opening(cm)</t>
  </si>
  <si>
    <t>Cusec</t>
  </si>
  <si>
    <t>0</t>
  </si>
  <si>
    <t>0.66</t>
  </si>
  <si>
    <t>0.71</t>
  </si>
  <si>
    <t>0.73</t>
  </si>
  <si>
    <t>0.99</t>
  </si>
  <si>
    <t>1.29</t>
  </si>
  <si>
    <t>1.34</t>
  </si>
  <si>
    <t>1.37</t>
  </si>
  <si>
    <t>1.39</t>
  </si>
  <si>
    <t>1.44</t>
  </si>
  <si>
    <t>1.47</t>
  </si>
  <si>
    <t>1.54</t>
  </si>
  <si>
    <t>1.67</t>
  </si>
  <si>
    <t>1.75</t>
  </si>
  <si>
    <t>1.80</t>
  </si>
  <si>
    <t>1.85</t>
  </si>
  <si>
    <t>1.95</t>
  </si>
  <si>
    <t>2.03</t>
  </si>
  <si>
    <t>2.10</t>
  </si>
  <si>
    <t>2.13</t>
  </si>
  <si>
    <t>2.23</t>
  </si>
  <si>
    <t>13500</t>
  </si>
  <si>
    <t>33900</t>
  </si>
  <si>
    <t>37500</t>
  </si>
  <si>
    <t>38000</t>
  </si>
  <si>
    <t>37900</t>
  </si>
  <si>
    <t>36400</t>
  </si>
  <si>
    <t>37000</t>
  </si>
  <si>
    <t>Opening(cm)(In)</t>
  </si>
  <si>
    <t>1.0</t>
  </si>
  <si>
    <t>0.6</t>
  </si>
  <si>
    <t>1.2</t>
  </si>
  <si>
    <t>1.4</t>
  </si>
  <si>
    <t>35250</t>
  </si>
  <si>
    <t>0.9</t>
  </si>
  <si>
    <t>1.6</t>
  </si>
  <si>
    <t>36300</t>
  </si>
  <si>
    <t>36500</t>
  </si>
  <si>
    <t>35750</t>
  </si>
  <si>
    <t>1.3</t>
  </si>
  <si>
    <t>41.20</t>
  </si>
  <si>
    <t>32600</t>
  </si>
  <si>
    <t>31000</t>
  </si>
  <si>
    <t>30750</t>
  </si>
  <si>
    <t>30500</t>
  </si>
  <si>
    <t>30300</t>
  </si>
  <si>
    <t>30200</t>
  </si>
  <si>
    <t>0.5</t>
  </si>
  <si>
    <t>30000</t>
  </si>
  <si>
    <t>5.20</t>
  </si>
  <si>
    <t>1.60</t>
  </si>
  <si>
    <t>1.40</t>
  </si>
  <si>
    <t>1.70</t>
  </si>
  <si>
    <t>160</t>
  </si>
  <si>
    <t>170</t>
  </si>
  <si>
    <t>180</t>
  </si>
  <si>
    <t>1.9</t>
  </si>
  <si>
    <t>27250</t>
  </si>
  <si>
    <t>32.90</t>
  </si>
  <si>
    <t>26000</t>
  </si>
  <si>
    <t>31.98</t>
  </si>
  <si>
    <t>31.70</t>
  </si>
  <si>
    <t>31.36</t>
  </si>
  <si>
    <t>31.11</t>
  </si>
  <si>
    <t>4.80</t>
  </si>
  <si>
    <t>30.75</t>
  </si>
  <si>
    <t>30.13</t>
  </si>
  <si>
    <t>28.90</t>
  </si>
  <si>
    <t>27.58</t>
  </si>
  <si>
    <t>27.49</t>
  </si>
  <si>
    <t>27.44</t>
  </si>
  <si>
    <t>27.36</t>
  </si>
  <si>
    <t>27.06</t>
  </si>
  <si>
    <t>26.75</t>
  </si>
  <si>
    <t>26.38</t>
  </si>
  <si>
    <t>26.19</t>
  </si>
  <si>
    <t>25.83</t>
  </si>
  <si>
    <t>25.39</t>
  </si>
  <si>
    <t>24.60</t>
  </si>
  <si>
    <t>24.23</t>
  </si>
  <si>
    <t>23.98</t>
  </si>
  <si>
    <t>23.73</t>
  </si>
  <si>
    <t>23.61</t>
  </si>
  <si>
    <t>23.37</t>
  </si>
  <si>
    <t>22.87</t>
  </si>
  <si>
    <t>140</t>
  </si>
  <si>
    <t>22.44</t>
  </si>
  <si>
    <t>4</t>
  </si>
  <si>
    <t>9</t>
  </si>
  <si>
    <t>2.0</t>
  </si>
  <si>
    <t>1.5</t>
  </si>
  <si>
    <t>1.8</t>
  </si>
  <si>
    <t>22.14</t>
  </si>
  <si>
    <t>22.01</t>
  </si>
  <si>
    <t>21.89</t>
  </si>
  <si>
    <t>21.52</t>
  </si>
  <si>
    <t>21.40</t>
  </si>
  <si>
    <t>20.91</t>
  </si>
  <si>
    <t>20.78</t>
  </si>
  <si>
    <t>20.54</t>
  </si>
  <si>
    <t>20.41</t>
  </si>
  <si>
    <t>20.29</t>
  </si>
  <si>
    <t>20.17</t>
  </si>
  <si>
    <t>16200</t>
  </si>
  <si>
    <t>19.92</t>
  </si>
  <si>
    <t>19.37</t>
  </si>
  <si>
    <t>19.06</t>
  </si>
  <si>
    <t>15500</t>
  </si>
  <si>
    <t>18.69</t>
  </si>
  <si>
    <t>18.32</t>
  </si>
  <si>
    <t>14600</t>
  </si>
  <si>
    <t>17.95</t>
  </si>
  <si>
    <t>17.71</t>
  </si>
  <si>
    <t>3.50</t>
  </si>
  <si>
    <t>3.45</t>
  </si>
  <si>
    <t>17.22</t>
  </si>
  <si>
    <t>16.97</t>
  </si>
  <si>
    <t>3.42</t>
  </si>
  <si>
    <t>3.40</t>
  </si>
  <si>
    <t>18.85</t>
  </si>
  <si>
    <t>16.60</t>
  </si>
  <si>
    <t>3.35</t>
  </si>
  <si>
    <t>3.32</t>
  </si>
  <si>
    <t>13250</t>
  </si>
  <si>
    <t>16.29</t>
  </si>
  <si>
    <t>15.99</t>
  </si>
  <si>
    <t>13000</t>
  </si>
  <si>
    <t>3.30</t>
  </si>
  <si>
    <t>3.27</t>
  </si>
  <si>
    <t>15.86</t>
  </si>
  <si>
    <t>15.74</t>
  </si>
  <si>
    <t>3.24</t>
  </si>
  <si>
    <t>130</t>
  </si>
  <si>
    <t>15.37</t>
  </si>
  <si>
    <t>15.12</t>
  </si>
  <si>
    <t>3.14</t>
  </si>
  <si>
    <t>3.09</t>
  </si>
  <si>
    <t>14.76</t>
  </si>
  <si>
    <t>14.26</t>
  </si>
  <si>
    <t>3.04</t>
  </si>
  <si>
    <t>2.99</t>
  </si>
  <si>
    <t>14.22</t>
  </si>
  <si>
    <t>14.77</t>
  </si>
  <si>
    <t>2.94</t>
  </si>
  <si>
    <t>2.91</t>
  </si>
  <si>
    <t>14.65</t>
  </si>
  <si>
    <t>14.28</t>
  </si>
  <si>
    <t>2.89</t>
  </si>
  <si>
    <t>2.86</t>
  </si>
  <si>
    <t>13.16</t>
  </si>
  <si>
    <t>13.03</t>
  </si>
  <si>
    <t>2.84</t>
  </si>
  <si>
    <t>2.81</t>
  </si>
  <si>
    <t>12.91</t>
  </si>
  <si>
    <t>12.66</t>
  </si>
  <si>
    <t>2.76</t>
  </si>
  <si>
    <t>2.71</t>
  </si>
  <si>
    <t>12.42</t>
  </si>
  <si>
    <t>12.17</t>
  </si>
  <si>
    <t>2.66</t>
  </si>
  <si>
    <t>2.59</t>
  </si>
  <si>
    <t>11.80</t>
  </si>
  <si>
    <t>11.43</t>
  </si>
  <si>
    <t>2.51</t>
  </si>
  <si>
    <t>2.43</t>
  </si>
  <si>
    <t>11.07</t>
  </si>
  <si>
    <t>10.82</t>
  </si>
  <si>
    <t>2.38</t>
  </si>
  <si>
    <t>2.36</t>
  </si>
  <si>
    <t>10.70</t>
  </si>
  <si>
    <t>10.45</t>
  </si>
  <si>
    <t>2.31</t>
  </si>
  <si>
    <t>2.28</t>
  </si>
  <si>
    <t>8400</t>
  </si>
  <si>
    <t>10.33</t>
  </si>
  <si>
    <t>10.20</t>
  </si>
  <si>
    <t>2.25</t>
  </si>
  <si>
    <t>10.14</t>
  </si>
  <si>
    <t>9.96</t>
  </si>
  <si>
    <t>2.18</t>
  </si>
  <si>
    <t>9.71</t>
  </si>
  <si>
    <t>9.47</t>
  </si>
  <si>
    <t>2.08</t>
  </si>
  <si>
    <t>2.02</t>
  </si>
  <si>
    <t>9.22</t>
  </si>
  <si>
    <t>8.97</t>
  </si>
  <si>
    <t>1.87</t>
  </si>
  <si>
    <t>8.61</t>
  </si>
  <si>
    <t>1.62</t>
  </si>
  <si>
    <t>100</t>
  </si>
  <si>
    <t>80</t>
  </si>
  <si>
    <t>40</t>
  </si>
  <si>
    <t>0.4</t>
  </si>
  <si>
    <t>8.36</t>
  </si>
  <si>
    <t>7.93</t>
  </si>
  <si>
    <t>7.68</t>
  </si>
  <si>
    <t>7.50</t>
  </si>
  <si>
    <t>1.49</t>
  </si>
  <si>
    <t>7.25</t>
  </si>
  <si>
    <t>7.13</t>
  </si>
  <si>
    <t>6.89</t>
  </si>
  <si>
    <t>6.64</t>
  </si>
  <si>
    <t>6.52</t>
  </si>
  <si>
    <t>6.39</t>
  </si>
  <si>
    <t>1.24</t>
  </si>
  <si>
    <t>1.19</t>
  </si>
  <si>
    <t>6.27</t>
  </si>
  <si>
    <t>6.15</t>
  </si>
  <si>
    <t>1.14</t>
  </si>
  <si>
    <t>1.09</t>
  </si>
  <si>
    <t>5.90</t>
  </si>
  <si>
    <t>5.78</t>
  </si>
  <si>
    <t>4700</t>
  </si>
  <si>
    <t>1.03</t>
  </si>
  <si>
    <t>5.53</t>
  </si>
  <si>
    <t>5.41</t>
  </si>
  <si>
    <t>0.93</t>
  </si>
  <si>
    <t>0.88</t>
  </si>
  <si>
    <t>5.29</t>
  </si>
  <si>
    <t>5.16</t>
  </si>
  <si>
    <t>0.83</t>
  </si>
  <si>
    <t>0.78</t>
  </si>
  <si>
    <t>5.04</t>
  </si>
  <si>
    <t>4.92</t>
  </si>
  <si>
    <t>0.76</t>
  </si>
  <si>
    <t>4.79</t>
  </si>
  <si>
    <t>4.67</t>
  </si>
  <si>
    <t>0.68</t>
  </si>
  <si>
    <t>4.61</t>
  </si>
  <si>
    <t>4.55</t>
  </si>
  <si>
    <t>3700</t>
  </si>
  <si>
    <t>0.65</t>
  </si>
  <si>
    <t>0.63</t>
  </si>
  <si>
    <t>4.49</t>
  </si>
  <si>
    <t>4.43</t>
  </si>
  <si>
    <t>0.60</t>
  </si>
  <si>
    <t>1.43</t>
  </si>
  <si>
    <t>0.58</t>
  </si>
  <si>
    <t>4.36</t>
  </si>
  <si>
    <t>3500</t>
  </si>
  <si>
    <t>4300</t>
  </si>
  <si>
    <t>8250</t>
  </si>
  <si>
    <t>17400</t>
  </si>
  <si>
    <t>17250</t>
  </si>
  <si>
    <t>17700</t>
  </si>
  <si>
    <t>0.10</t>
  </si>
  <si>
    <t>0.12</t>
  </si>
  <si>
    <t>0.15</t>
  </si>
  <si>
    <t>4.01</t>
  </si>
  <si>
    <t>4.06</t>
  </si>
  <si>
    <t>4.08</t>
  </si>
  <si>
    <t>4.11</t>
  </si>
  <si>
    <t>4.19</t>
  </si>
  <si>
    <t>4.24</t>
  </si>
  <si>
    <t>4.26</t>
  </si>
  <si>
    <t>4.21</t>
  </si>
  <si>
    <t>4.46</t>
  </si>
  <si>
    <t>4.14</t>
  </si>
  <si>
    <t>4.04</t>
  </si>
  <si>
    <t>3.98</t>
  </si>
  <si>
    <t>17100</t>
  </si>
  <si>
    <t>3.96</t>
  </si>
  <si>
    <t>3.93</t>
  </si>
  <si>
    <t>3.91</t>
  </si>
  <si>
    <t>3.88</t>
  </si>
  <si>
    <t>3.85</t>
  </si>
  <si>
    <t>3.83</t>
  </si>
  <si>
    <t>3.81</t>
  </si>
  <si>
    <t>3.78</t>
  </si>
  <si>
    <t>15600</t>
  </si>
  <si>
    <t>15400</t>
  </si>
  <si>
    <t>15450</t>
  </si>
  <si>
    <t>1.30</t>
  </si>
  <si>
    <t>1.50</t>
  </si>
  <si>
    <t>150</t>
  </si>
  <si>
    <t>1.7</t>
  </si>
  <si>
    <t>2.4</t>
  </si>
  <si>
    <t>1.00</t>
  </si>
  <si>
    <t>1.20</t>
  </si>
  <si>
    <t>120</t>
  </si>
  <si>
    <t>0.8</t>
  </si>
  <si>
    <t>ft.</t>
  </si>
  <si>
    <t>60</t>
  </si>
  <si>
    <t>0.3</t>
  </si>
  <si>
    <t>2800</t>
  </si>
  <si>
    <t>2700</t>
  </si>
  <si>
    <t>30</t>
  </si>
  <si>
    <t>20</t>
  </si>
  <si>
    <t>2-10.5</t>
  </si>
  <si>
    <t>2-9.5</t>
  </si>
  <si>
    <t>2-4.5</t>
  </si>
  <si>
    <t>3750</t>
  </si>
  <si>
    <t>3450</t>
  </si>
  <si>
    <t>3400</t>
  </si>
  <si>
    <t>3300</t>
  </si>
  <si>
    <t>3250</t>
  </si>
  <si>
    <t>3200</t>
  </si>
  <si>
    <t>3100</t>
  </si>
  <si>
    <t>3000</t>
  </si>
  <si>
    <t>2.61</t>
  </si>
  <si>
    <t>2.56</t>
  </si>
  <si>
    <t>2.54</t>
  </si>
  <si>
    <t>2.48</t>
  </si>
  <si>
    <t>2.44</t>
  </si>
  <si>
    <t>2.41</t>
  </si>
  <si>
    <t>2.33</t>
  </si>
  <si>
    <t>2.30</t>
  </si>
  <si>
    <t>9500</t>
  </si>
  <si>
    <t>2.26</t>
  </si>
  <si>
    <t>2.21</t>
  </si>
  <si>
    <t>2.05</t>
  </si>
  <si>
    <t>2.00</t>
  </si>
  <si>
    <t>1.93</t>
  </si>
  <si>
    <t>1.90</t>
  </si>
  <si>
    <t>1.82</t>
  </si>
  <si>
    <t>1.77</t>
  </si>
  <si>
    <t>1.72</t>
  </si>
  <si>
    <t>1.65</t>
  </si>
  <si>
    <t>1.58</t>
  </si>
  <si>
    <t>1.52</t>
  </si>
  <si>
    <t>8.00</t>
  </si>
  <si>
    <t>7.60</t>
  </si>
  <si>
    <t>7.38</t>
  </si>
  <si>
    <t>7.19</t>
  </si>
  <si>
    <t>10</t>
  </si>
  <si>
    <t>8</t>
  </si>
  <si>
    <t>11</t>
  </si>
  <si>
    <t>6</t>
  </si>
  <si>
    <t>4-3.5</t>
  </si>
  <si>
    <t>5250</t>
  </si>
  <si>
    <t>1.42</t>
  </si>
  <si>
    <t>1.32</t>
  </si>
  <si>
    <t>1.28</t>
  </si>
  <si>
    <t>1.26</t>
  </si>
  <si>
    <t>1.23</t>
  </si>
  <si>
    <t>1.22</t>
  </si>
  <si>
    <t>7.01</t>
  </si>
  <si>
    <t>6.88</t>
  </si>
  <si>
    <t>6.76</t>
  </si>
  <si>
    <t>6.58</t>
  </si>
  <si>
    <t>6.55</t>
  </si>
  <si>
    <t>6.48</t>
  </si>
  <si>
    <t>6.45</t>
  </si>
  <si>
    <t>6.36</t>
  </si>
  <si>
    <t>6.33</t>
  </si>
  <si>
    <t>42-</t>
  </si>
  <si>
    <t>5200</t>
  </si>
  <si>
    <t>5050</t>
  </si>
  <si>
    <t>6.21</t>
  </si>
  <si>
    <t>5.84</t>
  </si>
  <si>
    <t>5.65</t>
  </si>
  <si>
    <t>5.47</t>
  </si>
  <si>
    <t>1.06</t>
  </si>
  <si>
    <t>1.04</t>
  </si>
  <si>
    <t>1.01</t>
  </si>
  <si>
    <t>0.96</t>
  </si>
  <si>
    <t>0.94</t>
  </si>
  <si>
    <t>1.16</t>
  </si>
  <si>
    <t>4100</t>
  </si>
  <si>
    <t>4000</t>
  </si>
  <si>
    <t>0.91</t>
  </si>
  <si>
    <t>0.89</t>
  </si>
  <si>
    <t>0.86</t>
  </si>
  <si>
    <t>0.84</t>
  </si>
  <si>
    <t>0.81</t>
  </si>
  <si>
    <t>5.35</t>
  </si>
  <si>
    <t>5.22</t>
  </si>
  <si>
    <t>5.10</t>
  </si>
  <si>
    <t>.63</t>
  </si>
  <si>
    <t>0.61</t>
  </si>
  <si>
    <t>0.55</t>
  </si>
  <si>
    <t>0.53</t>
  </si>
  <si>
    <t>0.50</t>
  </si>
  <si>
    <t>0.48</t>
  </si>
  <si>
    <t>0.45</t>
  </si>
  <si>
    <t>0.43</t>
  </si>
  <si>
    <t>4.30</t>
  </si>
  <si>
    <t>4.18</t>
  </si>
  <si>
    <t>4.00</t>
  </si>
  <si>
    <t>3600</t>
  </si>
  <si>
    <t>0.20</t>
  </si>
  <si>
    <t>0.17</t>
  </si>
  <si>
    <t>0.30</t>
  </si>
  <si>
    <t>0.40</t>
  </si>
  <si>
    <t>3.07</t>
  </si>
  <si>
    <t>3.01</t>
  </si>
  <si>
    <t>3.99</t>
  </si>
  <si>
    <t>4.05</t>
  </si>
  <si>
    <t>4.42</t>
  </si>
  <si>
    <t>2650</t>
  </si>
  <si>
    <t>2600</t>
  </si>
  <si>
    <t>2550</t>
  </si>
  <si>
    <t>2500</t>
  </si>
  <si>
    <t>0.38</t>
  </si>
  <si>
    <t>0.35</t>
  </si>
  <si>
    <t>0.33</t>
  </si>
  <si>
    <t>0.28</t>
  </si>
  <si>
    <t>0.25</t>
  </si>
  <si>
    <t>0.23</t>
  </si>
  <si>
    <t>3.69</t>
  </si>
  <si>
    <t>3.56</t>
  </si>
  <si>
    <t>3.44</t>
  </si>
  <si>
    <t>3.26</t>
  </si>
  <si>
    <t>3.20</t>
  </si>
  <si>
    <t>3.13</t>
  </si>
  <si>
    <t>3.48</t>
  </si>
  <si>
    <t>3.43</t>
  </si>
  <si>
    <t>3.37</t>
  </si>
  <si>
    <t>3.33</t>
  </si>
  <si>
    <t>3.25</t>
  </si>
  <si>
    <t>3.22</t>
  </si>
  <si>
    <t>3.17</t>
  </si>
  <si>
    <t>20.30</t>
  </si>
  <si>
    <t>18.94</t>
  </si>
  <si>
    <t>18.70</t>
  </si>
  <si>
    <t>18.45</t>
  </si>
  <si>
    <t>18.08</t>
  </si>
  <si>
    <t>17.96</t>
  </si>
  <si>
    <t>17.46</t>
  </si>
  <si>
    <t>16.85</t>
  </si>
  <si>
    <t>16.73</t>
  </si>
  <si>
    <t>16.30</t>
  </si>
  <si>
    <t>15.50</t>
  </si>
  <si>
    <t>15.25</t>
  </si>
  <si>
    <t>3.12</t>
  </si>
  <si>
    <t>3.10</t>
  </si>
  <si>
    <t>3.02</t>
  </si>
  <si>
    <t>3.00</t>
  </si>
  <si>
    <t>2.97</t>
  </si>
  <si>
    <t>3.28</t>
  </si>
  <si>
    <t>3.18</t>
  </si>
  <si>
    <t>3.15</t>
  </si>
  <si>
    <t>2.92</t>
  </si>
  <si>
    <t>2.87</t>
  </si>
  <si>
    <t>15.00</t>
  </si>
  <si>
    <t>14.51</t>
  </si>
  <si>
    <t>14.27</t>
  </si>
  <si>
    <t>14.14</t>
  </si>
  <si>
    <t>14.02</t>
  </si>
  <si>
    <t>13.90</t>
  </si>
  <si>
    <t>15.90</t>
  </si>
  <si>
    <t>15.13</t>
  </si>
  <si>
    <t>13.65</t>
  </si>
  <si>
    <t>13.04</t>
  </si>
  <si>
    <t>14</t>
  </si>
  <si>
    <t>2.74</t>
  </si>
  <si>
    <t>2.70</t>
  </si>
  <si>
    <t>2.64</t>
  </si>
  <si>
    <t>2.46</t>
  </si>
  <si>
    <t>2.15</t>
  </si>
  <si>
    <t>2.12</t>
  </si>
  <si>
    <t>2.11</t>
  </si>
  <si>
    <t>2.07</t>
  </si>
  <si>
    <t>2.04</t>
  </si>
  <si>
    <t>12.90</t>
  </si>
  <si>
    <t>12.67</t>
  </si>
  <si>
    <t>12.54</t>
  </si>
  <si>
    <t>12.30</t>
  </si>
  <si>
    <t>12.05</t>
  </si>
  <si>
    <t>11.93</t>
  </si>
  <si>
    <t>11.70</t>
  </si>
  <si>
    <t>11.44</t>
  </si>
  <si>
    <t>11.20</t>
  </si>
  <si>
    <t>10.94</t>
  </si>
  <si>
    <t>10.58</t>
  </si>
  <si>
    <t>10.10</t>
  </si>
  <si>
    <t>10.00</t>
  </si>
  <si>
    <t>9.84</t>
  </si>
  <si>
    <t>9.65</t>
  </si>
  <si>
    <t>9.60</t>
  </si>
  <si>
    <t>9.53</t>
  </si>
  <si>
    <t>9.41</t>
  </si>
  <si>
    <t>9.35</t>
  </si>
  <si>
    <t>9.30</t>
  </si>
  <si>
    <t>Opening(cm)(in)</t>
  </si>
  <si>
    <t>1.99</t>
  </si>
  <si>
    <t>1.98</t>
  </si>
  <si>
    <t>1.97</t>
  </si>
  <si>
    <t>9.20</t>
  </si>
  <si>
    <t>9.16</t>
  </si>
  <si>
    <t>9.13</t>
  </si>
  <si>
    <t>9.10</t>
  </si>
  <si>
    <t>9.07</t>
  </si>
  <si>
    <t>6-2.5</t>
  </si>
  <si>
    <t>7050</t>
  </si>
  <si>
    <t>14-7.5</t>
  </si>
  <si>
    <t>14-6.5</t>
  </si>
  <si>
    <t>14-5.5</t>
  </si>
  <si>
    <t>14400</t>
  </si>
  <si>
    <t>14900</t>
  </si>
  <si>
    <t>15750</t>
  </si>
  <si>
    <t>16700</t>
  </si>
  <si>
    <t>17000</t>
  </si>
  <si>
    <t>17500</t>
  </si>
  <si>
    <t>17800</t>
  </si>
  <si>
    <t>18600</t>
  </si>
  <si>
    <t>19700</t>
  </si>
  <si>
    <t>20650</t>
  </si>
  <si>
    <t>21200</t>
  </si>
  <si>
    <t>21400</t>
  </si>
  <si>
    <t>21350</t>
  </si>
  <si>
    <t>21300</t>
  </si>
  <si>
    <t>21100</t>
  </si>
  <si>
    <t>21000</t>
  </si>
  <si>
    <t>20825</t>
  </si>
  <si>
    <t>14-1.5</t>
  </si>
  <si>
    <t>20450</t>
  </si>
  <si>
    <t>20000</t>
  </si>
  <si>
    <t>19850</t>
  </si>
  <si>
    <t>19775</t>
  </si>
  <si>
    <t>7.5</t>
  </si>
  <si>
    <t>7</t>
  </si>
  <si>
    <t>15</t>
  </si>
  <si>
    <t>12</t>
  </si>
  <si>
    <t>12-11.5</t>
  </si>
  <si>
    <t>12-10.5</t>
  </si>
  <si>
    <t>12-2.5</t>
  </si>
  <si>
    <t>11-9.5</t>
  </si>
  <si>
    <t>19500</t>
  </si>
  <si>
    <t>19300</t>
  </si>
  <si>
    <t>19200</t>
  </si>
  <si>
    <t>19000</t>
  </si>
  <si>
    <t>18250</t>
  </si>
  <si>
    <t>18000</t>
  </si>
  <si>
    <t>17600</t>
  </si>
  <si>
    <t>16950</t>
  </si>
  <si>
    <t>16850</t>
  </si>
  <si>
    <t>16600</t>
  </si>
  <si>
    <t>16500</t>
  </si>
  <si>
    <t>16400</t>
  </si>
  <si>
    <t>16000</t>
  </si>
  <si>
    <t>15675</t>
  </si>
  <si>
    <t>15200</t>
  </si>
  <si>
    <t>15000</t>
  </si>
  <si>
    <t>14950</t>
  </si>
  <si>
    <t>Opening(cm)(IN)</t>
  </si>
  <si>
    <t>13</t>
  </si>
  <si>
    <t>10-11.5</t>
  </si>
  <si>
    <t>14700</t>
  </si>
  <si>
    <t>13700</t>
  </si>
  <si>
    <t>13375</t>
  </si>
  <si>
    <t>12900</t>
  </si>
  <si>
    <t>12800</t>
  </si>
  <si>
    <t>12600</t>
  </si>
  <si>
    <t>12500</t>
  </si>
  <si>
    <t>12400</t>
  </si>
  <si>
    <t>12300</t>
  </si>
  <si>
    <t>12200</t>
  </si>
  <si>
    <t>11600</t>
  </si>
  <si>
    <t>10800</t>
  </si>
  <si>
    <t>10500</t>
  </si>
  <si>
    <t>10200</t>
  </si>
  <si>
    <t>10700</t>
  </si>
  <si>
    <t>11100</t>
  </si>
  <si>
    <t>8-2.5</t>
  </si>
  <si>
    <t>8-1.5</t>
  </si>
  <si>
    <t>7-11.5</t>
  </si>
  <si>
    <t>7-10.5</t>
  </si>
  <si>
    <t>7-9.5</t>
  </si>
  <si>
    <t>7-8.5</t>
  </si>
  <si>
    <t>10400</t>
  </si>
  <si>
    <t>10100</t>
  </si>
  <si>
    <t>9900</t>
  </si>
  <si>
    <t>9700</t>
  </si>
  <si>
    <t>9400</t>
  </si>
  <si>
    <t>9250</t>
  </si>
  <si>
    <t>9150</t>
  </si>
  <si>
    <t>9000</t>
  </si>
  <si>
    <t>8950</t>
  </si>
  <si>
    <t>8900</t>
  </si>
  <si>
    <t>8850</t>
  </si>
  <si>
    <t>8800</t>
  </si>
  <si>
    <t>8750</t>
  </si>
  <si>
    <t>8700</t>
  </si>
  <si>
    <t>8650</t>
  </si>
  <si>
    <t>8600</t>
  </si>
  <si>
    <t>3</t>
  </si>
  <si>
    <t>21</t>
  </si>
  <si>
    <t>7-6.5</t>
  </si>
  <si>
    <t>7-5.5</t>
  </si>
  <si>
    <t>7-4.5</t>
  </si>
  <si>
    <t>7-3.5</t>
  </si>
  <si>
    <t>7-2.5</t>
  </si>
  <si>
    <t>7-1.5</t>
  </si>
  <si>
    <t>7-0.5</t>
  </si>
  <si>
    <t>6-11.5</t>
  </si>
  <si>
    <t>6-10.5</t>
  </si>
  <si>
    <t>6-9.5</t>
  </si>
  <si>
    <t>6-8.5</t>
  </si>
  <si>
    <t>6-7.5</t>
  </si>
  <si>
    <t>6-6.5</t>
  </si>
  <si>
    <t>6-5.5</t>
  </si>
  <si>
    <t>6-4.5</t>
  </si>
  <si>
    <t>6-3.5</t>
  </si>
  <si>
    <t>8500</t>
  </si>
  <si>
    <t>8450</t>
  </si>
  <si>
    <t>8350</t>
  </si>
  <si>
    <t>8275</t>
  </si>
  <si>
    <t>8225</t>
  </si>
  <si>
    <t>8150</t>
  </si>
  <si>
    <t>8050</t>
  </si>
  <si>
    <t>7950</t>
  </si>
  <si>
    <t>7850</t>
  </si>
  <si>
    <t>7750</t>
  </si>
  <si>
    <t>7650</t>
  </si>
  <si>
    <t>7550</t>
  </si>
  <si>
    <t>7500</t>
  </si>
  <si>
    <t>7475</t>
  </si>
  <si>
    <t>7450</t>
  </si>
  <si>
    <t>7425</t>
  </si>
  <si>
    <t>7400</t>
  </si>
  <si>
    <t>7350</t>
  </si>
  <si>
    <t>7150</t>
  </si>
  <si>
    <t>5-0.5</t>
  </si>
  <si>
    <t>6950</t>
  </si>
  <si>
    <t>6900</t>
  </si>
  <si>
    <t>6800</t>
  </si>
  <si>
    <t>6700</t>
  </si>
  <si>
    <t>6600</t>
  </si>
  <si>
    <t>6500</t>
  </si>
  <si>
    <t>6450</t>
  </si>
  <si>
    <t>6400</t>
  </si>
  <si>
    <t>6250</t>
  </si>
  <si>
    <t>6200</t>
  </si>
  <si>
    <t>6150</t>
  </si>
  <si>
    <t>6100</t>
  </si>
  <si>
    <t>6050</t>
  </si>
  <si>
    <t>5900</t>
  </si>
  <si>
    <t>5850</t>
  </si>
  <si>
    <t>5800</t>
  </si>
  <si>
    <t>5700</t>
  </si>
  <si>
    <t>5600</t>
  </si>
  <si>
    <t>3-6.5</t>
  </si>
  <si>
    <t>5500</t>
  </si>
  <si>
    <t>5400</t>
  </si>
  <si>
    <t>5350</t>
  </si>
  <si>
    <t>5300</t>
  </si>
  <si>
    <t>5100</t>
  </si>
  <si>
    <t>4900</t>
  </si>
  <si>
    <t>4800</t>
  </si>
  <si>
    <t>4775</t>
  </si>
  <si>
    <t>4750</t>
  </si>
  <si>
    <t>4600</t>
  </si>
  <si>
    <t>4500</t>
  </si>
  <si>
    <t>4450</t>
  </si>
  <si>
    <t>4400</t>
  </si>
  <si>
    <t>4250</t>
  </si>
  <si>
    <t>5</t>
  </si>
  <si>
    <t>2-8.5</t>
  </si>
  <si>
    <t>2-7.5</t>
  </si>
  <si>
    <t>4125</t>
  </si>
  <si>
    <t>2100</t>
  </si>
  <si>
    <t>3900</t>
  </si>
  <si>
    <t>3800</t>
  </si>
  <si>
    <t>3650</t>
  </si>
  <si>
    <t>3550</t>
  </si>
  <si>
    <t>5-3.5</t>
  </si>
  <si>
    <t>6225</t>
  </si>
  <si>
    <t>8200</t>
  </si>
  <si>
    <t>9300</t>
  </si>
  <si>
    <t>9600</t>
  </si>
  <si>
    <t>11500</t>
  </si>
  <si>
    <t>10-6.5</t>
  </si>
  <si>
    <t>14-8.5</t>
  </si>
  <si>
    <t>14-2.5</t>
  </si>
  <si>
    <t>12550</t>
  </si>
  <si>
    <t>13600</t>
  </si>
  <si>
    <t>16900</t>
  </si>
  <si>
    <t>21750</t>
  </si>
  <si>
    <t>22000</t>
  </si>
  <si>
    <t>21450</t>
  </si>
  <si>
    <t>21500</t>
  </si>
  <si>
    <t>19600</t>
  </si>
  <si>
    <t>0.2</t>
  </si>
  <si>
    <t>1.1</t>
  </si>
  <si>
    <t>13-4.5</t>
  </si>
  <si>
    <t>22250</t>
  </si>
  <si>
    <t>16800</t>
  </si>
  <si>
    <t>14200</t>
  </si>
  <si>
    <t>13800</t>
  </si>
  <si>
    <t>11400</t>
  </si>
  <si>
    <t>0.7</t>
  </si>
  <si>
    <t>8-8.5</t>
  </si>
  <si>
    <t>8-7.5</t>
  </si>
  <si>
    <t>10000</t>
  </si>
  <si>
    <t>9850</t>
  </si>
  <si>
    <t>9750</t>
  </si>
  <si>
    <t>9200</t>
  </si>
  <si>
    <t>8300</t>
  </si>
  <si>
    <t>5-8.5</t>
  </si>
  <si>
    <t>5-9.5</t>
  </si>
  <si>
    <t>6550</t>
  </si>
  <si>
    <t>14000</t>
  </si>
  <si>
    <t>17</t>
  </si>
  <si>
    <t>9800</t>
  </si>
  <si>
    <t>5-7.5</t>
  </si>
  <si>
    <t>6475</t>
  </si>
  <si>
    <t>9100</t>
  </si>
  <si>
    <t>13-3.5</t>
  </si>
  <si>
    <t>13-5.5</t>
  </si>
  <si>
    <t>13-6.5</t>
  </si>
  <si>
    <t>17550</t>
  </si>
  <si>
    <t>17900</t>
  </si>
  <si>
    <t>18125</t>
  </si>
  <si>
    <t>8-6.5</t>
  </si>
  <si>
    <t>9650</t>
  </si>
  <si>
    <t>1</t>
  </si>
  <si>
    <t>2</t>
  </si>
  <si>
    <t>1-7.5</t>
  </si>
  <si>
    <t>4200</t>
  </si>
  <si>
    <t>18-4.5</t>
  </si>
  <si>
    <t>15-10.5</t>
  </si>
  <si>
    <t>28000</t>
  </si>
  <si>
    <t>28850</t>
  </si>
  <si>
    <t>28750</t>
  </si>
  <si>
    <t>28600</t>
  </si>
  <si>
    <t>28400</t>
  </si>
  <si>
    <t>28200</t>
  </si>
  <si>
    <t>27850</t>
  </si>
  <si>
    <t>27500</t>
  </si>
  <si>
    <t>26750</t>
  </si>
  <si>
    <t>26500</t>
  </si>
  <si>
    <t>25700</t>
  </si>
  <si>
    <t>23750</t>
  </si>
  <si>
    <t>15-1.5</t>
  </si>
  <si>
    <t>14-9.5</t>
  </si>
  <si>
    <t>14-3.5</t>
  </si>
  <si>
    <t>13-9.5</t>
  </si>
  <si>
    <t>13-8.5</t>
  </si>
  <si>
    <t>22708</t>
  </si>
  <si>
    <t>20225</t>
  </si>
  <si>
    <t>19100</t>
  </si>
  <si>
    <t>18900</t>
  </si>
  <si>
    <t>12-6.5</t>
  </si>
  <si>
    <t>12-3.5</t>
  </si>
  <si>
    <t>12-0.5</t>
  </si>
  <si>
    <t>1.10</t>
  </si>
  <si>
    <t>2-1.5</t>
  </si>
  <si>
    <t>3675</t>
  </si>
  <si>
    <t>30.37</t>
  </si>
  <si>
    <t>29.05</t>
  </si>
  <si>
    <t>27.62</t>
  </si>
  <si>
    <t>26.01</t>
  </si>
  <si>
    <t>31.62</t>
  </si>
  <si>
    <t>37.62</t>
  </si>
  <si>
    <t>24.17</t>
  </si>
  <si>
    <t>2900</t>
  </si>
  <si>
    <t>2850</t>
  </si>
  <si>
    <t>1-1.5</t>
  </si>
  <si>
    <t>0-6.5</t>
  </si>
  <si>
    <t>2300</t>
  </si>
  <si>
    <t>2200</t>
  </si>
  <si>
    <t>2150</t>
  </si>
  <si>
    <t>2000</t>
  </si>
  <si>
    <t>0-4.5</t>
  </si>
  <si>
    <t>0-3.5</t>
  </si>
  <si>
    <t>0-1</t>
  </si>
  <si>
    <t>1500</t>
  </si>
  <si>
    <t>1000</t>
  </si>
  <si>
    <t>750</t>
  </si>
  <si>
    <t>500</t>
  </si>
  <si>
    <t>13-2.5</t>
  </si>
  <si>
    <t>52.62</t>
  </si>
  <si>
    <t>52.39</t>
  </si>
  <si>
    <t>51.94</t>
  </si>
  <si>
    <t>51.71</t>
  </si>
  <si>
    <t>62.45</t>
  </si>
  <si>
    <t>61.85</t>
  </si>
  <si>
    <t>61.55</t>
  </si>
  <si>
    <t>51.25</t>
  </si>
  <si>
    <t>63.04</t>
  </si>
  <si>
    <t>49.37</t>
  </si>
  <si>
    <t>37.12</t>
  </si>
  <si>
    <t>60.95</t>
  </si>
  <si>
    <t>48.88</t>
  </si>
  <si>
    <t>60.34</t>
  </si>
  <si>
    <t>17.24</t>
  </si>
  <si>
    <t>62.74</t>
  </si>
  <si>
    <t>62.15</t>
  </si>
  <si>
    <t>61.25</t>
  </si>
  <si>
    <t>60.64</t>
  </si>
  <si>
    <t>67.68</t>
  </si>
  <si>
    <t>66.62</t>
  </si>
  <si>
    <t>34.93</t>
  </si>
  <si>
    <t>21.97</t>
  </si>
  <si>
    <t>13.24</t>
  </si>
  <si>
    <t>22.07</t>
  </si>
  <si>
    <t>39.21</t>
  </si>
  <si>
    <t>56.14</t>
  </si>
  <si>
    <t>60.66</t>
  </si>
  <si>
    <t>60.20</t>
  </si>
  <si>
    <t>59.74</t>
  </si>
  <si>
    <t>45.68</t>
  </si>
  <si>
    <t>47.62</t>
  </si>
  <si>
    <t>45.32</t>
  </si>
  <si>
    <t>45.50</t>
  </si>
  <si>
    <t>49.95</t>
  </si>
  <si>
    <t>53.95</t>
  </si>
  <si>
    <t>53.73</t>
  </si>
  <si>
    <t>53.29</t>
  </si>
  <si>
    <t>52.84</t>
  </si>
  <si>
    <t>31.02</t>
  </si>
  <si>
    <t>30.89</t>
  </si>
  <si>
    <t>30.76</t>
  </si>
  <si>
    <t>30.63</t>
  </si>
  <si>
    <t>30.50</t>
  </si>
  <si>
    <t>30.32</t>
  </si>
  <si>
    <t>30.31</t>
  </si>
  <si>
    <t>42.32</t>
  </si>
  <si>
    <t>42.31</t>
  </si>
  <si>
    <t>40.54</t>
  </si>
  <si>
    <t>9.23</t>
  </si>
  <si>
    <t>5150</t>
  </si>
  <si>
    <t>18</t>
  </si>
  <si>
    <t>35.13</t>
  </si>
  <si>
    <t>34.32</t>
  </si>
  <si>
    <t>33.92</t>
  </si>
  <si>
    <t>33.50</t>
  </si>
  <si>
    <t>33.09</t>
  </si>
  <si>
    <t>36.67</t>
  </si>
  <si>
    <t>35.12</t>
  </si>
  <si>
    <t>34.37</t>
  </si>
  <si>
    <t>32.37</t>
  </si>
  <si>
    <t>31.20</t>
  </si>
  <si>
    <t>30.62</t>
  </si>
  <si>
    <t>28.78</t>
  </si>
  <si>
    <t>26.79</t>
  </si>
  <si>
    <t>21.62</t>
  </si>
  <si>
    <t>20.37</t>
  </si>
  <si>
    <t>34.05</t>
  </si>
  <si>
    <t>39.98</t>
  </si>
  <si>
    <t>38.71</t>
  </si>
  <si>
    <t>38.05</t>
  </si>
  <si>
    <t>26.65</t>
  </si>
  <si>
    <t>25.24</t>
  </si>
  <si>
    <t>23.70</t>
  </si>
  <si>
    <t>22.04</t>
  </si>
  <si>
    <t>37.96</t>
  </si>
  <si>
    <t>38.10</t>
  </si>
  <si>
    <t>23.77</t>
  </si>
  <si>
    <t>23.85</t>
  </si>
  <si>
    <t>44.61</t>
  </si>
  <si>
    <t>44.91</t>
  </si>
  <si>
    <t>45.35</t>
  </si>
  <si>
    <t>36.26</t>
  </si>
  <si>
    <t>36.40</t>
  </si>
  <si>
    <t>22.71</t>
  </si>
  <si>
    <t>22.80</t>
  </si>
  <si>
    <t>42.78</t>
  </si>
  <si>
    <t>43.09</t>
  </si>
  <si>
    <t>43.55</t>
  </si>
  <si>
    <t>43.71</t>
  </si>
  <si>
    <t>49.98</t>
  </si>
  <si>
    <t>49.81</t>
  </si>
  <si>
    <t>49.65</t>
  </si>
  <si>
    <t>49.32</t>
  </si>
  <si>
    <t>49.15</t>
  </si>
  <si>
    <t>48.98</t>
  </si>
  <si>
    <t>48.81</t>
  </si>
  <si>
    <t>48.65</t>
  </si>
  <si>
    <t>47.97</t>
  </si>
  <si>
    <t>47.79</t>
  </si>
  <si>
    <t>47.28</t>
  </si>
  <si>
    <t>47.10</t>
  </si>
  <si>
    <t>46.93</t>
  </si>
  <si>
    <t>46.75</t>
  </si>
  <si>
    <t>46.57</t>
  </si>
  <si>
    <t>46.40</t>
  </si>
  <si>
    <t>50.14</t>
  </si>
  <si>
    <t>49.48</t>
  </si>
  <si>
    <t>48.48</t>
  </si>
  <si>
    <t>48.31</t>
  </si>
  <si>
    <t>52.48</t>
  </si>
  <si>
    <t>52.29</t>
  </si>
  <si>
    <t>51.91</t>
  </si>
  <si>
    <t>51.52</t>
  </si>
  <si>
    <t>51.33</t>
  </si>
  <si>
    <t>64.70</t>
  </si>
  <si>
    <t>64.46</t>
  </si>
  <si>
    <t>4.89</t>
  </si>
  <si>
    <t>4.87</t>
  </si>
  <si>
    <t>4.84</t>
  </si>
  <si>
    <t>4.82</t>
  </si>
  <si>
    <t>4.81</t>
  </si>
  <si>
    <t>4.77</t>
  </si>
  <si>
    <t>55.89</t>
  </si>
  <si>
    <t>55.46</t>
  </si>
  <si>
    <t>68.39</t>
  </si>
  <si>
    <t>67.84</t>
  </si>
  <si>
    <t>67.57</t>
  </si>
  <si>
    <t>66.74</t>
  </si>
  <si>
    <t>67.02</t>
  </si>
  <si>
    <t>65.91</t>
  </si>
  <si>
    <t>65.63</t>
  </si>
  <si>
    <t>63.95</t>
  </si>
  <si>
    <t>63.45</t>
  </si>
  <si>
    <t>63.19</t>
  </si>
  <si>
    <t>62.68</t>
  </si>
  <si>
    <t>65.06</t>
  </si>
  <si>
    <t>64.49</t>
  </si>
  <si>
    <t>64.20</t>
  </si>
  <si>
    <t>63.62</t>
  </si>
  <si>
    <t>6.85</t>
  </si>
  <si>
    <t>40.71</t>
  </si>
  <si>
    <t>40.55</t>
  </si>
  <si>
    <t>40.38</t>
  </si>
  <si>
    <t>40.05</t>
  </si>
  <si>
    <t>39.55</t>
  </si>
  <si>
    <t>39.04</t>
  </si>
  <si>
    <t>17.39</t>
  </si>
  <si>
    <t>37.65</t>
  </si>
  <si>
    <t>37.30</t>
  </si>
  <si>
    <t>36.94</t>
  </si>
  <si>
    <t>38.70</t>
  </si>
  <si>
    <t>38.52</t>
  </si>
  <si>
    <t>38.35</t>
  </si>
  <si>
    <t>38.00</t>
  </si>
  <si>
    <t>37.47</t>
  </si>
  <si>
    <t>16.46</t>
  </si>
  <si>
    <t>40.13</t>
  </si>
  <si>
    <t>39.72</t>
  </si>
  <si>
    <t>39.30</t>
  </si>
  <si>
    <t>29.16</t>
  </si>
  <si>
    <t>36.39</t>
  </si>
  <si>
    <t>36.02</t>
  </si>
  <si>
    <t>35.65</t>
  </si>
  <si>
    <t>46.65</t>
  </si>
  <si>
    <t>38.67</t>
  </si>
  <si>
    <t>38.46</t>
  </si>
  <si>
    <t>34.13</t>
  </si>
  <si>
    <t>33.93</t>
  </si>
  <si>
    <t>3.77</t>
  </si>
  <si>
    <t>32.53</t>
  </si>
  <si>
    <t>32.12</t>
  </si>
  <si>
    <t>45.11</t>
  </si>
  <si>
    <t>44.58</t>
  </si>
  <si>
    <t>44.04</t>
  </si>
  <si>
    <t>43.50</t>
  </si>
  <si>
    <t>36.03</t>
  </si>
  <si>
    <t>35.80</t>
  </si>
  <si>
    <t>41.84</t>
  </si>
  <si>
    <t>53.86</t>
  </si>
  <si>
    <t>21.20</t>
  </si>
  <si>
    <t>17.01</t>
  </si>
  <si>
    <t>50.67</t>
  </si>
  <si>
    <t>49.94</t>
  </si>
  <si>
    <t>26.74</t>
  </si>
  <si>
    <t>26.34</t>
  </si>
  <si>
    <t>39.51</t>
  </si>
  <si>
    <t>38.90</t>
  </si>
  <si>
    <t>38.29</t>
  </si>
  <si>
    <t>37.67</t>
  </si>
  <si>
    <t>37.03</t>
  </si>
  <si>
    <t>44.23</t>
  </si>
  <si>
    <t>40.74</t>
  </si>
  <si>
    <t>39.82</t>
  </si>
  <si>
    <t>38.88</t>
  </si>
  <si>
    <t>43.38</t>
  </si>
  <si>
    <t>35.06</t>
  </si>
  <si>
    <t>34.38</t>
  </si>
  <si>
    <t>33.68</t>
  </si>
  <si>
    <t>42.95</t>
  </si>
  <si>
    <t>42.09</t>
  </si>
  <si>
    <t>41.64</t>
  </si>
  <si>
    <t>40.75</t>
  </si>
  <si>
    <t>36.92</t>
  </si>
  <si>
    <t>35.90</t>
  </si>
  <si>
    <t>37.42</t>
  </si>
  <si>
    <t>36.41</t>
  </si>
  <si>
    <t>34.85</t>
  </si>
  <si>
    <t>30.29</t>
  </si>
  <si>
    <t>37.74</t>
  </si>
  <si>
    <t>37.91</t>
  </si>
  <si>
    <t>37.56</t>
  </si>
  <si>
    <t>41.54</t>
  </si>
  <si>
    <t>41.34</t>
  </si>
  <si>
    <t>20.97</t>
  </si>
  <si>
    <t>20.77</t>
  </si>
  <si>
    <t>40.33</t>
  </si>
  <si>
    <t>39.92</t>
  </si>
  <si>
    <t>39.09</t>
  </si>
  <si>
    <t>38.24</t>
  </si>
  <si>
    <t>37.81</t>
  </si>
  <si>
    <t>37.37</t>
  </si>
  <si>
    <t>19.23</t>
  </si>
  <si>
    <t>19.33</t>
  </si>
  <si>
    <t>19.54</t>
  </si>
  <si>
    <t>35.56</t>
  </si>
  <si>
    <t>35.74</t>
  </si>
  <si>
    <t>46.14</t>
  </si>
  <si>
    <t>45.63</t>
  </si>
  <si>
    <t>44.84</t>
  </si>
  <si>
    <t>44.31</t>
  </si>
  <si>
    <t>43.77</t>
  </si>
  <si>
    <t>43.23</t>
  </si>
  <si>
    <t>42.68</t>
  </si>
  <si>
    <t>42.12</t>
  </si>
  <si>
    <t>41.55</t>
  </si>
  <si>
    <t>40.98</t>
  </si>
  <si>
    <t>37.59</t>
  </si>
  <si>
    <t>37.15</t>
  </si>
  <si>
    <t>36.71</t>
  </si>
  <si>
    <t>36.25</t>
  </si>
  <si>
    <t>35.57</t>
  </si>
  <si>
    <t>34.63</t>
  </si>
  <si>
    <t>41.27</t>
  </si>
  <si>
    <t>40.69</t>
  </si>
  <si>
    <t>40.10</t>
  </si>
  <si>
    <t>55.04</t>
  </si>
  <si>
    <t>53.06</t>
  </si>
  <si>
    <t>Water Issues LB</t>
  </si>
  <si>
    <t>Water Issues RB</t>
  </si>
  <si>
    <t xml:space="preserve">                                                                                                                                                                                                                 </t>
  </si>
  <si>
    <t xml:space="preserve">                                                                                                                                                                                                                                                                                                                                                                                                                                                                                                                                                       </t>
  </si>
  <si>
    <t>October</t>
  </si>
  <si>
    <t xml:space="preserve"> </t>
  </si>
  <si>
    <t xml:space="preserve"> Spilling</t>
  </si>
  <si>
    <t>19. 04</t>
  </si>
  <si>
    <t>Water Level in Mahakadarawa Tank 1990 to 2013</t>
  </si>
  <si>
    <t>ft</t>
  </si>
  <si>
    <t>m</t>
  </si>
  <si>
    <t>Water IssuesLB</t>
  </si>
  <si>
    <t>mcm</t>
  </si>
  <si>
    <t>Data Source :-  Anuradhapura Divisional  Engineer's Office</t>
  </si>
  <si>
    <t>Water Level in Mahakadarawa Tank  2014</t>
  </si>
  <si>
    <t xml:space="preserve">Date </t>
  </si>
  <si>
    <t>8' - 2"</t>
  </si>
  <si>
    <t>8' - 2 1/2"</t>
  </si>
  <si>
    <t>8' - 3"</t>
  </si>
  <si>
    <t>8' - 4"</t>
  </si>
  <si>
    <t>8' - 5"</t>
  </si>
  <si>
    <t>8' - 6"</t>
  </si>
  <si>
    <t>9' - 2"</t>
  </si>
  <si>
    <t>9' - 8"</t>
  </si>
  <si>
    <t>9' - 9"</t>
  </si>
  <si>
    <t>9' - 10"</t>
  </si>
  <si>
    <t>9' - 9 1/2"</t>
  </si>
  <si>
    <t>Water level</t>
  </si>
  <si>
    <t>RB</t>
  </si>
  <si>
    <t>LB</t>
  </si>
  <si>
    <t>Open.</t>
  </si>
  <si>
    <t>Open</t>
  </si>
  <si>
    <t>9' - 7"</t>
  </si>
  <si>
    <t>9' - 6'</t>
  </si>
  <si>
    <t>9' - 5'</t>
  </si>
  <si>
    <t>9' - 4"</t>
  </si>
  <si>
    <t>9' - 3"</t>
  </si>
  <si>
    <t>9' - 1"</t>
  </si>
  <si>
    <t>9' - 0"</t>
  </si>
  <si>
    <t>8' - 11"</t>
  </si>
  <si>
    <t>8' - 10"</t>
  </si>
  <si>
    <t>8' - 9"</t>
  </si>
  <si>
    <t>8' - 8"</t>
  </si>
  <si>
    <t>8' - 7"</t>
  </si>
  <si>
    <t>8' - 3 1/2"</t>
  </si>
  <si>
    <t>8' - 1 1/2"</t>
  </si>
  <si>
    <t>8' - 1"</t>
  </si>
  <si>
    <t>8' - 5 1/2"</t>
  </si>
  <si>
    <t>8' - 4 1/2"</t>
  </si>
  <si>
    <t>9' - 6"</t>
  </si>
  <si>
    <t>9' - 11"</t>
  </si>
  <si>
    <t>10' - 0"</t>
  </si>
  <si>
    <t>10' - 1/2"</t>
  </si>
  <si>
    <t>9' - 5"</t>
  </si>
  <si>
    <t>9' - 3 1/2"</t>
  </si>
  <si>
    <t>9' - 2 1/2"</t>
  </si>
  <si>
    <t>9' - 1 1/2"</t>
  </si>
  <si>
    <t>9' - 1/2"</t>
  </si>
  <si>
    <t>8' - 11 1/2"</t>
  </si>
  <si>
    <t>8' - 10 1/2"</t>
  </si>
  <si>
    <t>8' - 0"</t>
  </si>
  <si>
    <t>7' - 11"</t>
  </si>
  <si>
    <t>7' - 10"</t>
  </si>
  <si>
    <t>7' - 9 1/2"</t>
  </si>
  <si>
    <t>7' - 8"</t>
  </si>
  <si>
    <t>7' - 7"</t>
  </si>
  <si>
    <t>7' - 6"</t>
  </si>
  <si>
    <t>7' - 5"</t>
  </si>
  <si>
    <t>7' - 4 1/2"</t>
  </si>
  <si>
    <t>7' - 3"</t>
  </si>
  <si>
    <t>7' - 2"</t>
  </si>
  <si>
    <t>7' - 1 1/2'</t>
  </si>
  <si>
    <t>7' - 1"</t>
  </si>
  <si>
    <t>7' - 0"</t>
  </si>
  <si>
    <t>6' - 11"</t>
  </si>
  <si>
    <t>6' - 10"</t>
  </si>
  <si>
    <t>6' - 9"</t>
  </si>
  <si>
    <t>6' - 8"</t>
  </si>
  <si>
    <t>6' - 7"</t>
  </si>
  <si>
    <t>6' - 6"</t>
  </si>
  <si>
    <t>6' - 5"</t>
  </si>
  <si>
    <t>6' - 4"</t>
  </si>
  <si>
    <t>6' - 3"</t>
  </si>
  <si>
    <t>6' - 2"</t>
  </si>
  <si>
    <t>6' - 1'</t>
  </si>
  <si>
    <t>6' - 0"</t>
  </si>
  <si>
    <t>5' - 11"</t>
  </si>
  <si>
    <t>5' - 10"</t>
  </si>
  <si>
    <t>5' - 9"</t>
  </si>
  <si>
    <t>10' - 3"</t>
  </si>
  <si>
    <t>10' - 4"</t>
  </si>
  <si>
    <t>10' - 6"</t>
  </si>
  <si>
    <t>10' - 9"</t>
  </si>
  <si>
    <t>10' - 10"</t>
  </si>
  <si>
    <t>10' - 11"</t>
  </si>
  <si>
    <t>11' - 0"</t>
  </si>
  <si>
    <t>11' -6"</t>
  </si>
  <si>
    <t>11' - 7"</t>
  </si>
  <si>
    <t>12' - 2"</t>
  </si>
  <si>
    <t>12' - 9"</t>
  </si>
  <si>
    <t>14' - 5"</t>
  </si>
  <si>
    <t>15' - 6"</t>
  </si>
  <si>
    <t>16' - 5"</t>
  </si>
  <si>
    <t>16' - 10"</t>
  </si>
  <si>
    <t>18' - 0"</t>
  </si>
  <si>
    <t>19' - 0"</t>
  </si>
  <si>
    <t>19' - 4"</t>
  </si>
  <si>
    <t>19' - 2"</t>
  </si>
  <si>
    <t>4" Spill</t>
  </si>
  <si>
    <t>2" Spill</t>
  </si>
  <si>
    <t>18' - 11"</t>
  </si>
  <si>
    <t>18' - 10"</t>
  </si>
  <si>
    <t>18' - 9"</t>
  </si>
  <si>
    <t>18' - 7 1/2"</t>
  </si>
  <si>
    <t>18' - 7"</t>
  </si>
  <si>
    <t>18' - 11'</t>
  </si>
  <si>
    <t>19' - 1"</t>
  </si>
  <si>
    <t>19' - 3 1/2"</t>
  </si>
  <si>
    <t>19' - 6"</t>
  </si>
  <si>
    <t>19' - 5 1/2"</t>
  </si>
  <si>
    <t>19' - 5"</t>
  </si>
  <si>
    <t>20' - 1 1/2"</t>
  </si>
  <si>
    <t>20' - 0"</t>
  </si>
  <si>
    <t>20' - 6"</t>
  </si>
  <si>
    <t>21' - 1"</t>
  </si>
  <si>
    <t>19' - 10"</t>
  </si>
  <si>
    <t>19' - 8"</t>
  </si>
  <si>
    <t>19' - 6 1/2"</t>
  </si>
  <si>
    <t>18' - 9 1/2"</t>
  </si>
  <si>
    <t>19' - 1 1/2"</t>
  </si>
  <si>
    <t>1" Spilling</t>
  </si>
  <si>
    <t>4" Spilling</t>
  </si>
  <si>
    <r>
      <t xml:space="preserve">3 </t>
    </r>
    <r>
      <rPr>
        <vertAlign val="superscript"/>
        <sz val="10"/>
        <rFont val="Arial"/>
        <family val="2"/>
      </rPr>
      <t>1</t>
    </r>
    <r>
      <rPr>
        <sz val="10"/>
        <rFont val="Arial"/>
        <family val="2"/>
      </rPr>
      <t>/</t>
    </r>
    <r>
      <rPr>
        <vertAlign val="subscript"/>
        <sz val="10"/>
        <rFont val="Arial"/>
        <family val="2"/>
      </rPr>
      <t>2</t>
    </r>
    <r>
      <rPr>
        <sz val="10"/>
        <rFont val="Arial"/>
        <family val="2"/>
      </rPr>
      <t>" Spilling</t>
    </r>
  </si>
  <si>
    <t>6" Spilling</t>
  </si>
  <si>
    <r>
      <t xml:space="preserve">5 </t>
    </r>
    <r>
      <rPr>
        <vertAlign val="superscript"/>
        <sz val="10"/>
        <rFont val="Arial"/>
        <family val="2"/>
      </rPr>
      <t>1</t>
    </r>
    <r>
      <rPr>
        <sz val="10"/>
        <rFont val="Arial"/>
        <family val="2"/>
      </rPr>
      <t>/</t>
    </r>
    <r>
      <rPr>
        <vertAlign val="subscript"/>
        <sz val="10"/>
        <rFont val="Arial"/>
        <family val="2"/>
      </rPr>
      <t>2</t>
    </r>
    <r>
      <rPr>
        <sz val="10"/>
        <rFont val="Arial"/>
        <family val="2"/>
      </rPr>
      <t>" Spilling</t>
    </r>
  </si>
  <si>
    <t>2" Spilling</t>
  </si>
  <si>
    <t>5" Spilling</t>
  </si>
  <si>
    <r>
      <t>1'-</t>
    </r>
    <r>
      <rPr>
        <vertAlign val="superscript"/>
        <sz val="10"/>
        <rFont val="Arial"/>
        <family val="2"/>
      </rPr>
      <t>1</t>
    </r>
    <r>
      <rPr>
        <sz val="10"/>
        <rFont val="Arial"/>
        <family val="2"/>
      </rPr>
      <t>/</t>
    </r>
    <r>
      <rPr>
        <vertAlign val="subscript"/>
        <sz val="10"/>
        <rFont val="Arial"/>
        <family val="2"/>
      </rPr>
      <t>2</t>
    </r>
    <r>
      <rPr>
        <sz val="10"/>
        <rFont val="Arial"/>
        <family val="2"/>
      </rPr>
      <t>" Spilling</t>
    </r>
  </si>
  <si>
    <t>1'-6" Spilling</t>
  </si>
  <si>
    <t>1'-6"Spilling</t>
  </si>
  <si>
    <t>2'-1"Spilling</t>
  </si>
  <si>
    <t>1'-0"Spilling</t>
  </si>
  <si>
    <t>0'-6" Spilling</t>
  </si>
  <si>
    <t>0'-10" Spilling</t>
  </si>
  <si>
    <t>0'-8" Spilling</t>
  </si>
  <si>
    <r>
      <t xml:space="preserve">0'-6 </t>
    </r>
    <r>
      <rPr>
        <vertAlign val="superscript"/>
        <sz val="10"/>
        <rFont val="Arial"/>
        <family val="2"/>
      </rPr>
      <t>1</t>
    </r>
    <r>
      <rPr>
        <sz val="10"/>
        <rFont val="Arial"/>
        <family val="2"/>
      </rPr>
      <t>/</t>
    </r>
    <r>
      <rPr>
        <vertAlign val="subscript"/>
        <sz val="10"/>
        <rFont val="Arial"/>
        <family val="2"/>
      </rPr>
      <t>2</t>
    </r>
    <r>
      <rPr>
        <sz val="10"/>
        <rFont val="Arial"/>
        <family val="2"/>
      </rPr>
      <t>" Spilling</t>
    </r>
  </si>
  <si>
    <t>0'- 1 1/2" Spilling</t>
  </si>
  <si>
    <t>Issues</t>
  </si>
  <si>
    <t>17'-10"</t>
  </si>
  <si>
    <t>17'-0"</t>
  </si>
  <si>
    <t>16'-10"</t>
  </si>
  <si>
    <t>16'-9"</t>
  </si>
  <si>
    <t>16'-8"</t>
  </si>
  <si>
    <t>16'-7"</t>
  </si>
  <si>
    <t>16'-6"</t>
  </si>
  <si>
    <t>CAPACTY : 36,250 Ac.Ft          SPILL LEVEL : 19'-0"</t>
  </si>
  <si>
    <t>18'-0"</t>
  </si>
  <si>
    <t>32100</t>
  </si>
  <si>
    <t>17'-5"</t>
  </si>
  <si>
    <t>17'-6"</t>
  </si>
  <si>
    <t>31500</t>
  </si>
  <si>
    <t>17'-11"</t>
  </si>
  <si>
    <t>32000</t>
  </si>
  <si>
    <t>17'-8"</t>
  </si>
  <si>
    <t>17'-4"</t>
  </si>
  <si>
    <t>28800</t>
  </si>
  <si>
    <t>28450</t>
  </si>
  <si>
    <t>28100</t>
  </si>
  <si>
    <t>27000</t>
  </si>
  <si>
    <t>16'-0"</t>
  </si>
  <si>
    <t>25500</t>
  </si>
  <si>
    <t>15'-8"</t>
  </si>
  <si>
    <t>24500</t>
  </si>
  <si>
    <t>14'-5"</t>
  </si>
  <si>
    <t>14'-2"</t>
  </si>
  <si>
    <t>14'-0"</t>
  </si>
  <si>
    <t>13'-10"</t>
  </si>
  <si>
    <t>13'-8"</t>
  </si>
  <si>
    <t>13'-6"</t>
  </si>
  <si>
    <t>12'-11"</t>
  </si>
  <si>
    <t>12'-9"</t>
  </si>
  <si>
    <t>12'-5"</t>
  </si>
  <si>
    <t>12'-7"</t>
  </si>
  <si>
    <t>17'-7.5"</t>
  </si>
  <si>
    <t>17'-1.5"</t>
  </si>
  <si>
    <t>17'-2.5"</t>
  </si>
  <si>
    <t>17'-3"</t>
  </si>
  <si>
    <t>16'-9.5"</t>
  </si>
  <si>
    <t>16'-11.5"</t>
  </si>
  <si>
    <t>16'-3"</t>
  </si>
  <si>
    <t>16'-1.5"</t>
  </si>
  <si>
    <t>16'-4.5"</t>
  </si>
  <si>
    <t>15'-6.5"</t>
  </si>
  <si>
    <t>17'-8.5"</t>
  </si>
  <si>
    <t>30937.5</t>
  </si>
  <si>
    <t>30625.5</t>
  </si>
  <si>
    <t>28675</t>
  </si>
  <si>
    <t>28500</t>
  </si>
  <si>
    <t>16'-5.5"</t>
  </si>
  <si>
    <t>26875</t>
  </si>
  <si>
    <t>26625</t>
  </si>
  <si>
    <t>26600</t>
  </si>
  <si>
    <t>25775</t>
  </si>
  <si>
    <t>25400</t>
  </si>
  <si>
    <t>25100</t>
  </si>
  <si>
    <t>15'-5"</t>
  </si>
  <si>
    <t>22450</t>
  </si>
  <si>
    <t>15'-3.5"</t>
  </si>
  <si>
    <t>22375</t>
  </si>
  <si>
    <t>15'-2"</t>
  </si>
  <si>
    <t>22325</t>
  </si>
  <si>
    <t>15'-0.5"</t>
  </si>
  <si>
    <t>22275</t>
  </si>
  <si>
    <t>14'-11"</t>
  </si>
  <si>
    <t>14'-9.5"</t>
  </si>
  <si>
    <t>21625</t>
  </si>
  <si>
    <t>14'-8"</t>
  </si>
  <si>
    <t>14'-6.5"</t>
  </si>
  <si>
    <t>14'-3.5"</t>
  </si>
  <si>
    <t>14'-2.5"</t>
  </si>
  <si>
    <t>19925</t>
  </si>
  <si>
    <t>4' - 11"</t>
  </si>
  <si>
    <t>4' - 10"</t>
  </si>
  <si>
    <t>4' - 9"</t>
  </si>
  <si>
    <t>4' - 8"</t>
  </si>
  <si>
    <t>5' - 0"</t>
  </si>
  <si>
    <t>5' - 2"</t>
  </si>
  <si>
    <t>5' - 8"</t>
  </si>
  <si>
    <t>6' - 1"</t>
  </si>
  <si>
    <t>6' - 10 2/1"</t>
  </si>
  <si>
    <t>7' - 9"</t>
  </si>
  <si>
    <t>8' - 2 2/1"</t>
  </si>
  <si>
    <t>8' - 21/2"</t>
  </si>
  <si>
    <t>8' - 1/2"</t>
  </si>
  <si>
    <t>7' - 11  1/2"</t>
  </si>
  <si>
    <t>7' - 10 1/2"</t>
  </si>
  <si>
    <t>7' - 10 "</t>
  </si>
  <si>
    <t>7' - 9 1/2 "</t>
  </si>
  <si>
    <t>7' - 8 1/2"</t>
  </si>
  <si>
    <t>7' - 7 1/2"</t>
  </si>
  <si>
    <t>7' - 5 1/2"</t>
  </si>
  <si>
    <t>7' - 6 1/2"</t>
  </si>
  <si>
    <t>7' - 4"</t>
  </si>
  <si>
    <t>7' - 3 1/2"</t>
  </si>
  <si>
    <t>7' - 2 1/2"</t>
  </si>
  <si>
    <t>7' - 1 1/2"</t>
  </si>
  <si>
    <t>7' - 1/2"</t>
  </si>
  <si>
    <t>6' - 11 1/2"</t>
  </si>
  <si>
    <t>6' - 10 1/2"</t>
  </si>
  <si>
    <t>6' - 5 1/2"</t>
  </si>
  <si>
    <t>6'  - 4 1/2"</t>
  </si>
  <si>
    <t>6' - 2 1/2"</t>
  </si>
  <si>
    <t>6' - 1 1/2"</t>
  </si>
  <si>
    <t>6' - 1/2"</t>
  </si>
  <si>
    <t>5' - 10 1/2"</t>
  </si>
  <si>
    <t>5' - 9 1/2"</t>
  </si>
  <si>
    <t>5' - 8 1/2"</t>
  </si>
  <si>
    <t>6' - 4 1/2"</t>
  </si>
  <si>
    <t>6' - 4 "</t>
  </si>
  <si>
    <t>6' - 3 1/2"</t>
  </si>
  <si>
    <t>6' - 9''</t>
  </si>
  <si>
    <t>6' - 10''</t>
  </si>
  <si>
    <t>7' - 5''</t>
  </si>
  <si>
    <t>7' - 9''</t>
  </si>
  <si>
    <t>7' - 10</t>
  </si>
  <si>
    <t>8' - 0''</t>
  </si>
  <si>
    <t>8' - 1''</t>
  </si>
  <si>
    <t>8' - 1/2''</t>
  </si>
  <si>
    <t>8' - 2''</t>
  </si>
  <si>
    <t>8' - 3''</t>
  </si>
  <si>
    <t>8' - 5''</t>
  </si>
  <si>
    <t>8' - 6''</t>
  </si>
  <si>
    <t>9' -9"</t>
  </si>
  <si>
    <t>6'-4"</t>
  </si>
  <si>
    <t>6'-6"</t>
  </si>
  <si>
    <t>6'-5 1/2"</t>
  </si>
  <si>
    <t>6'-7"</t>
  </si>
  <si>
    <t>6'-10"</t>
  </si>
  <si>
    <t>6'-11"</t>
  </si>
  <si>
    <t>6'-10 1/2"</t>
  </si>
  <si>
    <t>14'-1"</t>
  </si>
  <si>
    <t>15875</t>
  </si>
  <si>
    <t>15550</t>
  </si>
  <si>
    <t>13'-11"</t>
  </si>
  <si>
    <t>13'-9"</t>
  </si>
  <si>
    <t>13'-7"</t>
  </si>
  <si>
    <t>13'-5"</t>
  </si>
  <si>
    <t>13'-3"</t>
  </si>
  <si>
    <t>13'-1"</t>
  </si>
  <si>
    <t>12'-3 1/2"</t>
  </si>
  <si>
    <t>12'-2 1/2"</t>
  </si>
  <si>
    <t>12'-1 1/2"</t>
  </si>
  <si>
    <t>12'-0"</t>
  </si>
  <si>
    <t>11'-10"</t>
  </si>
  <si>
    <t>11'-9"</t>
  </si>
  <si>
    <t>8550</t>
  </si>
  <si>
    <t>11'-8"</t>
  </si>
  <si>
    <t>11'-6"</t>
  </si>
  <si>
    <t>11'-3"</t>
  </si>
  <si>
    <t>11'-1"</t>
  </si>
  <si>
    <t>11'-0"</t>
  </si>
  <si>
    <t>10'-9"</t>
  </si>
  <si>
    <t>10'-8"</t>
  </si>
  <si>
    <t>10'-6"</t>
  </si>
  <si>
    <t>10'-3"</t>
  </si>
  <si>
    <t>10'-0"</t>
  </si>
  <si>
    <t>9'-9"</t>
  </si>
  <si>
    <t>9'-6"</t>
  </si>
  <si>
    <t>9'-1"</t>
  </si>
  <si>
    <t>8'-11"</t>
  </si>
  <si>
    <t>8'-3"</t>
  </si>
  <si>
    <t>8'-1"</t>
  </si>
  <si>
    <t>8'-9"</t>
  </si>
  <si>
    <t>8'-7'</t>
  </si>
  <si>
    <t>8'-5'</t>
  </si>
  <si>
    <t>7'-11"</t>
  </si>
  <si>
    <t>7'-10'</t>
  </si>
  <si>
    <t>7'-9'</t>
  </si>
  <si>
    <t>7'-9"</t>
  </si>
  <si>
    <t>7'-2 1/2"</t>
  </si>
  <si>
    <t>7'-6"</t>
  </si>
  <si>
    <t>7'-4 2/1"</t>
  </si>
  <si>
    <t>7'-3"</t>
  </si>
  <si>
    <t>7'-1 1/2"</t>
  </si>
  <si>
    <t>16660</t>
  </si>
  <si>
    <t>7'-0"</t>
  </si>
  <si>
    <t>6'-9"</t>
  </si>
  <si>
    <t>6'-7'</t>
  </si>
  <si>
    <t>6'-5"</t>
  </si>
  <si>
    <t>6'-3"</t>
  </si>
  <si>
    <t>6'-8"</t>
  </si>
  <si>
    <t>6'-2"</t>
  </si>
  <si>
    <t>8'-2"</t>
  </si>
  <si>
    <t>12'-8'</t>
  </si>
  <si>
    <t>12'-2"</t>
  </si>
  <si>
    <t>10'-2"</t>
  </si>
  <si>
    <t>9'-11"</t>
  </si>
  <si>
    <t>9'-8"</t>
  </si>
  <si>
    <t>9'-3"</t>
  </si>
  <si>
    <t>8'-10"</t>
  </si>
  <si>
    <t>8'-8"</t>
  </si>
  <si>
    <t>8'-5"</t>
  </si>
  <si>
    <t>7'-10"</t>
  </si>
  <si>
    <t>7'-7"</t>
  </si>
  <si>
    <t>7'-5"</t>
  </si>
  <si>
    <t>7'-1"</t>
  </si>
  <si>
    <t>6'-0"</t>
  </si>
  <si>
    <t>5'-10"</t>
  </si>
  <si>
    <t>5'-8"</t>
  </si>
  <si>
    <t>5'-6"</t>
  </si>
  <si>
    <t>5'-4"</t>
  </si>
  <si>
    <t>5'-2"</t>
  </si>
  <si>
    <t>4'-11"</t>
  </si>
  <si>
    <t>4'-9"</t>
  </si>
  <si>
    <t>4'-7"</t>
  </si>
  <si>
    <t>4'-5"</t>
  </si>
  <si>
    <t>4'-2"</t>
  </si>
  <si>
    <t>4'-0"</t>
  </si>
  <si>
    <t>3'-10"</t>
  </si>
  <si>
    <t>4150</t>
  </si>
  <si>
    <t>3'-8"</t>
  </si>
  <si>
    <t>3'-6"</t>
  </si>
  <si>
    <t>3'-5"</t>
  </si>
  <si>
    <t>3'-3"</t>
  </si>
  <si>
    <t>3'-1"</t>
  </si>
  <si>
    <t>2'-11"</t>
  </si>
  <si>
    <t>2'-10"</t>
  </si>
  <si>
    <t>2'-8"</t>
  </si>
  <si>
    <t>2'-7"</t>
  </si>
  <si>
    <t>2'-6"</t>
  </si>
  <si>
    <t>2'-5"</t>
  </si>
  <si>
    <t>2'-4"</t>
  </si>
  <si>
    <t>2'-3"</t>
  </si>
  <si>
    <t>2'-2"</t>
  </si>
  <si>
    <t>2'-1"</t>
  </si>
  <si>
    <t>2'-0"</t>
  </si>
  <si>
    <t>1'-11"</t>
  </si>
  <si>
    <t>1'-10"</t>
  </si>
  <si>
    <t>1'-9"</t>
  </si>
  <si>
    <t>1'-8"</t>
  </si>
  <si>
    <t>1'-7"</t>
  </si>
  <si>
    <t>1'-6"</t>
  </si>
  <si>
    <t>1'-5"</t>
  </si>
  <si>
    <t>1'-4"</t>
  </si>
  <si>
    <t>1'-3"</t>
  </si>
  <si>
    <t>1'-2"</t>
  </si>
  <si>
    <t>2475</t>
  </si>
  <si>
    <t>2250</t>
  </si>
  <si>
    <t>2025</t>
  </si>
  <si>
    <t>1'-1"</t>
  </si>
  <si>
    <t>1'-0"</t>
  </si>
  <si>
    <t>0'-11"</t>
  </si>
  <si>
    <t>0'-10"</t>
  </si>
  <si>
    <t>0'-10''</t>
  </si>
  <si>
    <t>0'-9"</t>
  </si>
  <si>
    <t>0'-8"</t>
  </si>
  <si>
    <t>0'-7"</t>
  </si>
  <si>
    <t>0'-6"</t>
  </si>
  <si>
    <t>2'-9"</t>
  </si>
  <si>
    <t>3'-0'</t>
  </si>
  <si>
    <t>3'-2"</t>
  </si>
  <si>
    <t>3'-4"</t>
  </si>
  <si>
    <t>3'-11"</t>
  </si>
  <si>
    <t>4'-4"</t>
  </si>
  <si>
    <t>4'-6"</t>
  </si>
  <si>
    <t>4'-10"</t>
  </si>
  <si>
    <t>6"</t>
  </si>
  <si>
    <t>19'-3"</t>
  </si>
  <si>
    <t>19'-2"</t>
  </si>
  <si>
    <t>18'-11"</t>
  </si>
  <si>
    <t>18'-10"</t>
  </si>
  <si>
    <t>18'-9"</t>
  </si>
  <si>
    <t>18'-3"</t>
  </si>
  <si>
    <t>18'-2"</t>
  </si>
  <si>
    <t>18'-1"</t>
  </si>
  <si>
    <t>1"</t>
  </si>
  <si>
    <t>19'-6"</t>
  </si>
  <si>
    <t>18'-10 1/2"</t>
  </si>
  <si>
    <t>18'-6"</t>
  </si>
  <si>
    <t>18'-4 1/2"</t>
  </si>
  <si>
    <t>17'-7"</t>
  </si>
  <si>
    <t>Spill</t>
  </si>
  <si>
    <t>12'-6"</t>
  </si>
  <si>
    <t>12'-4 1/2"</t>
  </si>
  <si>
    <t>NOT READABLE</t>
  </si>
  <si>
    <t>12'-8"</t>
  </si>
  <si>
    <t>12'-4"</t>
  </si>
  <si>
    <t>36250</t>
  </si>
  <si>
    <t>10"</t>
  </si>
  <si>
    <t>9"</t>
  </si>
  <si>
    <t>13"</t>
  </si>
  <si>
    <t>12"</t>
  </si>
  <si>
    <t>19'-1"</t>
  </si>
  <si>
    <t>14"</t>
  </si>
  <si>
    <t>15"</t>
  </si>
  <si>
    <t>19'-0"</t>
  </si>
  <si>
    <t>36000</t>
  </si>
  <si>
    <t>34750</t>
  </si>
  <si>
    <t>18'-8"</t>
  </si>
  <si>
    <t>34250</t>
  </si>
  <si>
    <t>8"</t>
  </si>
  <si>
    <t>18'-7"</t>
  </si>
  <si>
    <t>10'</t>
  </si>
  <si>
    <t>18'-6 1/2"</t>
  </si>
  <si>
    <t>33850</t>
  </si>
  <si>
    <t>18'-5 1/2"</t>
  </si>
  <si>
    <t>33650</t>
  </si>
  <si>
    <t>18'-4"</t>
  </si>
  <si>
    <t>33000</t>
  </si>
  <si>
    <t>32800</t>
  </si>
  <si>
    <t>14'</t>
  </si>
  <si>
    <t>32400</t>
  </si>
  <si>
    <t>17'-11 1/2"</t>
  </si>
  <si>
    <t>32050</t>
  </si>
  <si>
    <t>17'-10 1/2"</t>
  </si>
  <si>
    <t>31750</t>
  </si>
  <si>
    <t>17'-9'</t>
  </si>
  <si>
    <t>31125</t>
  </si>
  <si>
    <t>17'-7 1/2"</t>
  </si>
  <si>
    <t>30625</t>
  </si>
  <si>
    <t>17'-6 1/2"</t>
  </si>
  <si>
    <t>30400</t>
  </si>
  <si>
    <t>17'-5 1/2"</t>
  </si>
  <si>
    <t>30250</t>
  </si>
  <si>
    <t>17'-9"</t>
  </si>
  <si>
    <t>17'-10''</t>
  </si>
  <si>
    <t>33800</t>
  </si>
  <si>
    <t>19'-2 1/2"</t>
  </si>
  <si>
    <t>19'-0''</t>
  </si>
  <si>
    <t>18'-11 1/2"</t>
  </si>
  <si>
    <t>35500</t>
  </si>
  <si>
    <t>35251</t>
  </si>
  <si>
    <t>36251</t>
  </si>
  <si>
    <t>18'-9 1/2"</t>
  </si>
  <si>
    <t>35000</t>
  </si>
  <si>
    <t>3425</t>
  </si>
  <si>
    <t xml:space="preserve"> 18'-5"</t>
  </si>
  <si>
    <t>33500</t>
  </si>
  <si>
    <t>33250</t>
  </si>
  <si>
    <t>18'-2 1/2"</t>
  </si>
  <si>
    <t>32700</t>
  </si>
  <si>
    <t>18'-1 1/2"</t>
  </si>
  <si>
    <t>32500</t>
  </si>
  <si>
    <t>18'-1/2"</t>
  </si>
  <si>
    <t>32250</t>
  </si>
  <si>
    <t>19'-1/2"</t>
  </si>
  <si>
    <t>18'-10''</t>
  </si>
  <si>
    <t>19'-1 1/2"</t>
  </si>
  <si>
    <t>19'-3 1/2"</t>
  </si>
  <si>
    <t>18'-8 1/2"</t>
  </si>
  <si>
    <t>34500</t>
  </si>
  <si>
    <t>17'-9 1/2"</t>
  </si>
  <si>
    <t>31312.5</t>
  </si>
  <si>
    <t>17'-2 1/2"</t>
  </si>
  <si>
    <t>17'-1"</t>
  </si>
  <si>
    <t>16'-11 1/2"</t>
  </si>
  <si>
    <t>16'-9 1/2"</t>
  </si>
  <si>
    <t>16'-7 1/2"</t>
  </si>
  <si>
    <t>27675</t>
  </si>
  <si>
    <t>16'-4"</t>
  </si>
  <si>
    <t>16'-2"</t>
  </si>
  <si>
    <t>25850</t>
  </si>
  <si>
    <t>15'-10"</t>
  </si>
  <si>
    <t>25200</t>
  </si>
  <si>
    <t>15'-6"</t>
  </si>
  <si>
    <t>23500</t>
  </si>
  <si>
    <t>15'-4"</t>
  </si>
  <si>
    <t>22400</t>
  </si>
  <si>
    <t>15'-3"</t>
  </si>
  <si>
    <t>22350</t>
  </si>
  <si>
    <t>15'-1"</t>
  </si>
  <si>
    <t>22300</t>
  </si>
  <si>
    <t>14'-9"</t>
  </si>
  <si>
    <t>14'-7"</t>
  </si>
  <si>
    <t>14'-3"</t>
  </si>
  <si>
    <t>13'-4"</t>
  </si>
  <si>
    <t>13'-0"</t>
  </si>
  <si>
    <t>12'-11''</t>
  </si>
  <si>
    <t>12'-10"</t>
  </si>
  <si>
    <t>12'-5 1/2"</t>
  </si>
  <si>
    <t>16300</t>
  </si>
  <si>
    <t>16100</t>
  </si>
  <si>
    <t>17'-3.5"</t>
  </si>
  <si>
    <t>17'-11.5"</t>
  </si>
  <si>
    <t>18'-10.5"</t>
  </si>
  <si>
    <t>19'-1.5"</t>
  </si>
  <si>
    <t>17'-4.5"</t>
  </si>
  <si>
    <t>17'-2"</t>
  </si>
  <si>
    <t>17'-.2"</t>
  </si>
  <si>
    <t>16'-7.5"</t>
  </si>
  <si>
    <t>16'-1"</t>
  </si>
  <si>
    <t>15'-11"</t>
  </si>
  <si>
    <t>15'-10.5"</t>
  </si>
  <si>
    <t>15'-9.5"</t>
  </si>
  <si>
    <t>15'-9"</t>
  </si>
  <si>
    <t>13'-2"</t>
  </si>
  <si>
    <t>13'-1'</t>
  </si>
  <si>
    <t>12'-6 1/2'</t>
  </si>
  <si>
    <t>12'-6''</t>
  </si>
  <si>
    <t>16450</t>
  </si>
  <si>
    <t>12'-5 1/2'</t>
  </si>
  <si>
    <t>12'-3"</t>
  </si>
  <si>
    <t>12'-1/2"</t>
  </si>
  <si>
    <t>12'-1"</t>
  </si>
  <si>
    <t>18'-2'</t>
  </si>
  <si>
    <t>17'-4''</t>
  </si>
  <si>
    <t>Water Level ( Ft)</t>
  </si>
  <si>
    <t>Capacity ( Acft)</t>
  </si>
  <si>
    <t>Opening - Mahakanadarawa</t>
  </si>
  <si>
    <t>19' - 9"</t>
  </si>
  <si>
    <t>19' - 7"</t>
  </si>
  <si>
    <t>19' - 3"</t>
  </si>
  <si>
    <t>19' - 1/2"</t>
  </si>
  <si>
    <t>18' - 7 1/2''</t>
  </si>
  <si>
    <t>18' - 6''</t>
  </si>
  <si>
    <t>18' - 5"</t>
  </si>
  <si>
    <t>18' - 5''</t>
  </si>
  <si>
    <t>18' - 4 1/2''</t>
  </si>
  <si>
    <t>18' - 3''</t>
  </si>
  <si>
    <t>18 - 1 1/2''</t>
  </si>
  <si>
    <t>18' - 0''</t>
  </si>
  <si>
    <t>17' - 10 1/2''</t>
  </si>
  <si>
    <t>17' - 9''</t>
  </si>
  <si>
    <t>17' - 8''</t>
  </si>
  <si>
    <t>17' - 7''</t>
  </si>
  <si>
    <t>17' - 6''</t>
  </si>
  <si>
    <t>17' - 4 1/2''</t>
  </si>
  <si>
    <t>17' - 3''</t>
  </si>
  <si>
    <t>17' - 1''</t>
  </si>
  <si>
    <t>16' - 11''</t>
  </si>
  <si>
    <t xml:space="preserve">16' - 9'' </t>
  </si>
  <si>
    <t>16' - 9''</t>
  </si>
  <si>
    <t>16' - 10''</t>
  </si>
  <si>
    <t>16' - 7''</t>
  </si>
  <si>
    <t>16' - 6''</t>
  </si>
  <si>
    <t>16' - 4''</t>
  </si>
  <si>
    <t>16' - 3"</t>
  </si>
  <si>
    <t>16' - 1"</t>
  </si>
  <si>
    <t>16' - 0"</t>
  </si>
  <si>
    <t>15' - 10"</t>
  </si>
  <si>
    <t>15' - 8"</t>
  </si>
  <si>
    <t>15' - 7"</t>
  </si>
  <si>
    <t>15' - 5"</t>
  </si>
  <si>
    <t>15' - 3"</t>
  </si>
  <si>
    <t>15' - 2"</t>
  </si>
  <si>
    <t>15' - 0"</t>
  </si>
  <si>
    <t>14' - 10"</t>
  </si>
  <si>
    <t>14' - 8"</t>
  </si>
  <si>
    <t>14' - 7"</t>
  </si>
  <si>
    <t>14' - 6"</t>
  </si>
  <si>
    <t>14' - 3"</t>
  </si>
  <si>
    <t>14' - 2"</t>
  </si>
  <si>
    <t>14' - 1"</t>
  </si>
  <si>
    <t>14' - 0"</t>
  </si>
  <si>
    <t>13' - 10 1/2"</t>
  </si>
  <si>
    <t>13' - 9"</t>
  </si>
  <si>
    <t>13' - 10"</t>
  </si>
  <si>
    <t>13' - 11 1/2"</t>
  </si>
  <si>
    <t>14' - 8 1/2"</t>
  </si>
  <si>
    <t>14' - 9"</t>
  </si>
  <si>
    <t>15' - 4"</t>
  </si>
  <si>
    <t>15' - 5 1/2"</t>
  </si>
  <si>
    <t>15' - 4 1/2"</t>
  </si>
  <si>
    <t>15' - 2 1/2'</t>
  </si>
  <si>
    <t>15' - 1 1/2'</t>
  </si>
  <si>
    <t>15' - 1"</t>
  </si>
  <si>
    <t>14' - 11"</t>
  </si>
  <si>
    <t>14' - 7 1/2"</t>
  </si>
  <si>
    <t>14' - 4"</t>
  </si>
  <si>
    <t>14' - 2 1/2"</t>
  </si>
  <si>
    <t>14' - 1 1/2"</t>
  </si>
  <si>
    <t>13' -11"</t>
  </si>
  <si>
    <t>13' -9 1/2"</t>
  </si>
  <si>
    <t>13' -9"</t>
  </si>
  <si>
    <t>13' -8 1/2"</t>
  </si>
  <si>
    <t>13' -8"</t>
  </si>
  <si>
    <t>13' - 7 1/2"</t>
  </si>
  <si>
    <t>13' -6"</t>
  </si>
  <si>
    <t>13' - 4 1/2"</t>
  </si>
  <si>
    <t>13' - 2 1/2"</t>
  </si>
  <si>
    <t>13' -0"</t>
  </si>
  <si>
    <t>12' - 11 1/2"</t>
  </si>
  <si>
    <t>12' - 11"</t>
  </si>
  <si>
    <t>12' - 7"</t>
  </si>
  <si>
    <t>12' - 5 1/2"</t>
  </si>
  <si>
    <t>12' - 4 1/2"</t>
  </si>
  <si>
    <t>12' - 3 1/2"</t>
  </si>
  <si>
    <t>12' - 3"</t>
  </si>
  <si>
    <t>12' - 5"</t>
  </si>
  <si>
    <t>12' - 0"</t>
  </si>
  <si>
    <t>11' - 9 1/2"</t>
  </si>
  <si>
    <t>11' - 8"</t>
  </si>
  <si>
    <t>11' - 7 1/2"</t>
  </si>
  <si>
    <t>11' - 6"</t>
  </si>
  <si>
    <t>11' - 6''</t>
  </si>
  <si>
    <t>11' - 5 1/2''</t>
  </si>
  <si>
    <t>11' - 4''</t>
  </si>
  <si>
    <t>11' - 2 1/2''</t>
  </si>
  <si>
    <t>11' - 0''</t>
  </si>
  <si>
    <t>10' - 10''</t>
  </si>
  <si>
    <t>10' - 9 1/2''</t>
  </si>
  <si>
    <t>10' - 9''</t>
  </si>
  <si>
    <t>10' - 7''</t>
  </si>
  <si>
    <t>10' - 5''</t>
  </si>
  <si>
    <t>10' - 3''</t>
  </si>
  <si>
    <t>10' - 1''</t>
  </si>
  <si>
    <t>9' - 11''</t>
  </si>
  <si>
    <t>9' - 10 1/2''</t>
  </si>
  <si>
    <t>9' - 10''</t>
  </si>
  <si>
    <t>9' - 8''</t>
  </si>
  <si>
    <t>9' - 5 1/2''</t>
  </si>
  <si>
    <t>9' - 3''</t>
  </si>
  <si>
    <t>9' - 1 1/2''</t>
  </si>
  <si>
    <t>9' - 1''</t>
  </si>
  <si>
    <t>8' - 10''</t>
  </si>
  <si>
    <t>8' - 7 1/2''</t>
  </si>
  <si>
    <t>8' - 5 1/2''</t>
  </si>
  <si>
    <t>8' - 3 1/2''</t>
  </si>
  <si>
    <t>8' -1"</t>
  </si>
  <si>
    <t>8' -0"</t>
  </si>
  <si>
    <t>7' - 11 1/2"</t>
  </si>
  <si>
    <t>9' - 7 1/2"</t>
  </si>
  <si>
    <t>9' - 10 1/2"</t>
  </si>
  <si>
    <t>10' - 1 1/2"</t>
  </si>
  <si>
    <t>11' - 3 1/2"</t>
  </si>
  <si>
    <t>11' - 6 1/2"</t>
  </si>
  <si>
    <t>11' - 11 1/2"</t>
  </si>
  <si>
    <t>12' - 7 1/2"</t>
  </si>
  <si>
    <t>13' - 0"</t>
  </si>
  <si>
    <t>13' - 1''</t>
  </si>
  <si>
    <t>13' - 2 1/2''</t>
  </si>
  <si>
    <t>13' - 3''</t>
  </si>
  <si>
    <t>13' - 3 1/2''</t>
  </si>
  <si>
    <t>13' - 6 1/2''</t>
  </si>
  <si>
    <t>13' - 9 1/2''</t>
  </si>
  <si>
    <t>14' - 4 1/2''</t>
  </si>
  <si>
    <t>15' - 0''</t>
  </si>
  <si>
    <t>15' - 4 1/2''</t>
  </si>
  <si>
    <t>15' - 8 1/2''</t>
  </si>
  <si>
    <t>16' - 1 1/2''</t>
  </si>
  <si>
    <t>19' - 4''</t>
  </si>
  <si>
    <t>20' - 4''</t>
  </si>
  <si>
    <t>20' - 8''</t>
  </si>
  <si>
    <t>20' - 6''</t>
  </si>
  <si>
    <t xml:space="preserve">20' - 4'' </t>
  </si>
  <si>
    <t xml:space="preserve">20' - 2'' </t>
  </si>
  <si>
    <t>20' - 1/2''</t>
  </si>
  <si>
    <t>20' - 1''</t>
  </si>
  <si>
    <t>20' - 1 1/2''</t>
  </si>
  <si>
    <t>4'' Spill</t>
  </si>
  <si>
    <t>8'' Spill</t>
  </si>
  <si>
    <t>6'' Spill</t>
  </si>
  <si>
    <t>2'' Spill</t>
  </si>
  <si>
    <t>1/2'' Spill</t>
  </si>
  <si>
    <t>1'' Spill</t>
  </si>
  <si>
    <t>1 1/2'' Spill</t>
  </si>
  <si>
    <t>19' - 11 1/2"</t>
  </si>
  <si>
    <t>19' - 11"</t>
  </si>
  <si>
    <t>19' - 10 1/2"</t>
  </si>
  <si>
    <t>19' - 7 1/2"</t>
  </si>
  <si>
    <t>18' - 8"</t>
  </si>
  <si>
    <t>18' - 6 1/2"</t>
  </si>
  <si>
    <t>18' - 4"</t>
  </si>
  <si>
    <t>18' - 2 1/2"</t>
  </si>
  <si>
    <t>18' - 1 1/2"</t>
  </si>
  <si>
    <t>17' - 11"</t>
  </si>
  <si>
    <t>17' - 10 1/2"</t>
  </si>
  <si>
    <t>17' - 10"</t>
  </si>
  <si>
    <t>17' - 9"</t>
  </si>
  <si>
    <t>17' - 7"</t>
  </si>
  <si>
    <t>17' - 5 1/2"</t>
  </si>
  <si>
    <t>17 - 4 1/2"</t>
  </si>
  <si>
    <t>17' - 3"</t>
  </si>
  <si>
    <t>17' - 1 1/2"</t>
  </si>
  <si>
    <t>17' - 0"</t>
  </si>
  <si>
    <t>16' - 10 1/2"</t>
  </si>
  <si>
    <t>16' - 9"</t>
  </si>
  <si>
    <t>16' - 8"</t>
  </si>
  <si>
    <t>16' - 7"</t>
  </si>
  <si>
    <t>16' - 11"</t>
  </si>
  <si>
    <t>17' - 1/2"</t>
  </si>
  <si>
    <t>17' - 1"</t>
  </si>
  <si>
    <t>17' - 2"</t>
  </si>
  <si>
    <t>16' - 6"</t>
  </si>
  <si>
    <t>16' - 4 1/2"</t>
  </si>
  <si>
    <t>16' - 2 1/2"</t>
  </si>
  <si>
    <t>16' - 3 1/2"</t>
  </si>
  <si>
    <t>16' -3"</t>
  </si>
  <si>
    <t>16' - 2"</t>
  </si>
  <si>
    <t>16' - 4"</t>
  </si>
  <si>
    <t>16' -5"</t>
  </si>
  <si>
    <t>16' - 5 1/2"</t>
  </si>
  <si>
    <t>16' -1/2"</t>
  </si>
  <si>
    <t>15' - 11"</t>
  </si>
  <si>
    <t>15' - 9 1/2"</t>
  </si>
  <si>
    <t>22975</t>
  </si>
  <si>
    <t>22425</t>
  </si>
  <si>
    <t>15' - 2 1/2"</t>
  </si>
  <si>
    <t>14' - 10 1/2"</t>
  </si>
  <si>
    <t>14' - 6 1/2"</t>
  </si>
  <si>
    <t>14' - 3 1/2"</t>
  </si>
  <si>
    <t>13' - 7"</t>
  </si>
  <si>
    <t>12' - 6"</t>
  </si>
  <si>
    <t>12' - 1"</t>
  </si>
  <si>
    <t>11' - 11"</t>
  </si>
  <si>
    <t>11' - 10 1/2"</t>
  </si>
  <si>
    <t>11' - 4"</t>
  </si>
  <si>
    <t>11' - 2 1/2"</t>
  </si>
  <si>
    <t>11' - 2"</t>
  </si>
  <si>
    <t>11' - 1 1/2"</t>
  </si>
  <si>
    <t>11' - 1"</t>
  </si>
  <si>
    <t>11' - 1/2"</t>
  </si>
  <si>
    <t>10' - 11 1/2"</t>
  </si>
  <si>
    <t>10' - 8"</t>
  </si>
  <si>
    <t>10' - 6 1/2"</t>
  </si>
  <si>
    <t>10' - 5"</t>
  </si>
  <si>
    <t>10' - 3 1/2"</t>
  </si>
  <si>
    <t>10' - 2 1/2"</t>
  </si>
  <si>
    <t>10' - 2"</t>
  </si>
  <si>
    <t>9' - 11 1/2"</t>
  </si>
  <si>
    <t>10' - 1"</t>
  </si>
  <si>
    <t>6'</t>
  </si>
  <si>
    <t>4"</t>
  </si>
  <si>
    <t>2"</t>
  </si>
  <si>
    <t>16"</t>
  </si>
  <si>
    <t>10' - 5 1/2"</t>
  </si>
  <si>
    <t>10' - 5 "</t>
  </si>
  <si>
    <t>11' - 3"</t>
  </si>
  <si>
    <t>11" - 8 1/2"</t>
  </si>
  <si>
    <t>5"</t>
  </si>
  <si>
    <t>12' - 10"</t>
  </si>
  <si>
    <t>13' - 3"</t>
  </si>
  <si>
    <t>13' - 4"</t>
  </si>
  <si>
    <t>13' - 6"</t>
  </si>
  <si>
    <t>20' - 3"</t>
  </si>
  <si>
    <t xml:space="preserve"> 20' - 3"</t>
  </si>
  <si>
    <t>20' - 1"</t>
  </si>
  <si>
    <t>20'-1/2"</t>
  </si>
  <si>
    <t>20'-3"</t>
  </si>
  <si>
    <t>20'-2"</t>
  </si>
  <si>
    <t>20'-1"</t>
  </si>
  <si>
    <t>20'-6 1/2"</t>
  </si>
  <si>
    <t>20'-5"</t>
  </si>
  <si>
    <t>20'-4"</t>
  </si>
  <si>
    <t>7"</t>
  </si>
  <si>
    <t>0'-3" Spill</t>
  </si>
  <si>
    <t>6" Spill</t>
  </si>
  <si>
    <t>3" Spill</t>
  </si>
  <si>
    <t>1" Spill</t>
  </si>
  <si>
    <t>1/2" Spill</t>
  </si>
  <si>
    <t>6 1/2" Spill</t>
  </si>
  <si>
    <t>5" Spill</t>
  </si>
  <si>
    <t>20' - 1/2"</t>
  </si>
  <si>
    <t>20' - 2"</t>
  </si>
  <si>
    <t>20' - 5"</t>
  </si>
  <si>
    <t>20' - 4 1/2"</t>
  </si>
  <si>
    <t>20' - 4"</t>
  </si>
  <si>
    <t>20' - 1 1/2</t>
  </si>
  <si>
    <t>20"</t>
  </si>
  <si>
    <t>4 1/2" Spill</t>
  </si>
  <si>
    <t>1 1/2" Spill</t>
  </si>
  <si>
    <t>18' - 3 1/2"</t>
  </si>
  <si>
    <t>18' - 2"</t>
  </si>
  <si>
    <t>17' - 11 1/2"</t>
  </si>
  <si>
    <t>18' - 6"</t>
  </si>
  <si>
    <t>18' - 5 1/2"</t>
  </si>
  <si>
    <t>18' - 1"</t>
  </si>
  <si>
    <t>17' - 9 1/2"</t>
  </si>
  <si>
    <t>17' - 8 1/2"</t>
  </si>
  <si>
    <t>17' - 8"</t>
  </si>
  <si>
    <t>17' - 7 1/2"</t>
  </si>
  <si>
    <t>17' - 6 1/2"</t>
  </si>
  <si>
    <t>17' - 6"</t>
  </si>
  <si>
    <t>17' - 5"</t>
  </si>
  <si>
    <t>17' - 4 1/2"</t>
  </si>
  <si>
    <t>17' - 4"</t>
  </si>
  <si>
    <t>17' - 3 1/.2"</t>
  </si>
  <si>
    <t>17' - 2 1/2"</t>
  </si>
  <si>
    <t>17' - 1 /2"</t>
  </si>
  <si>
    <t>16' - 11 1/2"</t>
  </si>
  <si>
    <t>16' - 9 1/2"</t>
  </si>
  <si>
    <t>16' - 6 1/2"</t>
  </si>
  <si>
    <t>16' - 1 1/2"</t>
  </si>
  <si>
    <t>15' - 6 1/2"</t>
  </si>
  <si>
    <t>15' - 1 1/2"</t>
  </si>
  <si>
    <t>14' - 1/2"</t>
  </si>
  <si>
    <t>13' - 11"</t>
  </si>
  <si>
    <t>13' - 5 1/2"</t>
  </si>
  <si>
    <t>13' - 1"</t>
  </si>
  <si>
    <t>12' - 10 1/2"</t>
  </si>
  <si>
    <t>12' - 8"</t>
  </si>
  <si>
    <t>12' - 4"</t>
  </si>
  <si>
    <t>11' - 10"</t>
  </si>
  <si>
    <t>11' - 5"</t>
  </si>
  <si>
    <t>10' - 7"</t>
  </si>
  <si>
    <t>9' - 4 1/2"</t>
  </si>
  <si>
    <t>8' - 9 1/2"</t>
  </si>
  <si>
    <t>4' - 4"</t>
  </si>
  <si>
    <t>4' - 3"</t>
  </si>
  <si>
    <t>4' - 2"</t>
  </si>
  <si>
    <t>4' - 1"</t>
  </si>
  <si>
    <t>4' - 0"</t>
  </si>
  <si>
    <t>3' - 11"</t>
  </si>
  <si>
    <t>5' - 11''</t>
  </si>
  <si>
    <t>5' - 9''</t>
  </si>
  <si>
    <t>5' - 7''</t>
  </si>
  <si>
    <t>5' - 6''</t>
  </si>
  <si>
    <t>5' - 4''</t>
  </si>
  <si>
    <t>5' - 1''</t>
  </si>
  <si>
    <t>4' - 11''</t>
  </si>
  <si>
    <t>4' - 9''</t>
  </si>
  <si>
    <t>4' - 8''</t>
  </si>
  <si>
    <t>4' - 6''</t>
  </si>
  <si>
    <t>4' - 5''</t>
  </si>
  <si>
    <t>4' - 4''</t>
  </si>
  <si>
    <t>4' - 5"</t>
  </si>
  <si>
    <t>4' - 6"</t>
  </si>
  <si>
    <t>5' - 4"</t>
  </si>
  <si>
    <t>5' - 5"</t>
  </si>
  <si>
    <t>5' - 6"</t>
  </si>
  <si>
    <t>12' - 2 1/2"</t>
  </si>
  <si>
    <t>12' - 6 1/2"</t>
  </si>
  <si>
    <t>20' - 5 1/2"</t>
  </si>
  <si>
    <t>20' - 2 1/2"</t>
  </si>
  <si>
    <t>5 1/2" Spilling</t>
  </si>
  <si>
    <t>2 1/2" Spilling</t>
  </si>
  <si>
    <t>3" Spilling</t>
  </si>
  <si>
    <t>4 1/2" Spilling</t>
  </si>
  <si>
    <t>1/2" Spilling</t>
  </si>
  <si>
    <t>10' - 9 1/2"</t>
  </si>
  <si>
    <t>10' - 8 1/2"</t>
  </si>
  <si>
    <t>Water Level     ( Ft)</t>
  </si>
  <si>
    <t>Capacity       ( Acft)</t>
  </si>
  <si>
    <t>10' - 7 1/2"</t>
  </si>
  <si>
    <t>10' -7"</t>
  </si>
  <si>
    <t>10' -5"</t>
  </si>
  <si>
    <t>10' - 4 1/2"</t>
  </si>
  <si>
    <t>10' -3"</t>
  </si>
  <si>
    <t>9' - 6 1/2'</t>
  </si>
  <si>
    <t>9'-5 1/2'</t>
  </si>
  <si>
    <t>9'-5'</t>
  </si>
  <si>
    <t>9'-5"</t>
  </si>
  <si>
    <t>9'-6'</t>
  </si>
  <si>
    <t>9'-8'</t>
  </si>
  <si>
    <t>9'-9'</t>
  </si>
  <si>
    <t>10'-0'</t>
  </si>
  <si>
    <t>10'-4"</t>
  </si>
  <si>
    <t>10'-5'</t>
  </si>
  <si>
    <t>10'-5''</t>
  </si>
  <si>
    <t>10'-6'</t>
  </si>
  <si>
    <t>10'-5 1/2'</t>
  </si>
  <si>
    <t>10'-5"</t>
  </si>
  <si>
    <t>10'-4 1/2"</t>
  </si>
  <si>
    <t>10'-4'</t>
  </si>
  <si>
    <t>10'-2 1/2"</t>
  </si>
  <si>
    <t>10'-1"</t>
  </si>
  <si>
    <t>9'-11'</t>
  </si>
  <si>
    <t>9'-10'</t>
  </si>
  <si>
    <t>9'-7'</t>
  </si>
  <si>
    <t>8' - 11'</t>
  </si>
  <si>
    <t>8' - 7 1/2"</t>
  </si>
  <si>
    <t>7' - 4 "</t>
  </si>
  <si>
    <t>6' - 6 1/2"</t>
  </si>
  <si>
    <t>6' - 5 1/2</t>
  </si>
  <si>
    <t>5 - 10 1/2"</t>
  </si>
  <si>
    <t>5' - 3"</t>
  </si>
  <si>
    <t>5' - 1 1/2"</t>
  </si>
  <si>
    <t>4' - 11 1/2"</t>
  </si>
  <si>
    <t>4' - 9 1/2"</t>
  </si>
  <si>
    <t>4' - 7"</t>
  </si>
  <si>
    <t>5' - 7"</t>
  </si>
  <si>
    <t>18' - 3"</t>
  </si>
  <si>
    <t>19' - 9 1/2"</t>
  </si>
  <si>
    <t>20' - 3 1/2"</t>
  </si>
  <si>
    <t>2" spilling</t>
  </si>
  <si>
    <t>3" spilling</t>
  </si>
  <si>
    <t>6" spilling</t>
  </si>
  <si>
    <t>3 1/2"spilling</t>
  </si>
  <si>
    <t>1/2" spilling</t>
  </si>
  <si>
    <t xml:space="preserve"> 1 1/2"spilling</t>
  </si>
  <si>
    <t>1" spilling</t>
  </si>
  <si>
    <t xml:space="preserve">19' - 10" </t>
  </si>
  <si>
    <t>22' - 5"</t>
  </si>
  <si>
    <t>5" spilling</t>
  </si>
  <si>
    <t>Spilling Discharge ( Acft)</t>
  </si>
  <si>
    <t>Water Level         ( Ft)</t>
  </si>
  <si>
    <t>3 1/2" Spill</t>
  </si>
  <si>
    <t>2 1/2" Spill</t>
  </si>
  <si>
    <t>Capacity (Acft)</t>
  </si>
  <si>
    <t>Capacity     ( Acft)</t>
  </si>
  <si>
    <t>Spilling Discharge      (Acft)</t>
  </si>
  <si>
    <t>CAPACTY : 36,250 Ac.Ft              SPILL LEVEL : 19'-0"</t>
  </si>
  <si>
    <t>Spilling Discharge    (Acft)</t>
  </si>
  <si>
    <t>Water Level in Mahakadarawa Tank - 2013</t>
  </si>
  <si>
    <t>Gate open for construction Period</t>
  </si>
  <si>
    <t>Water Level in Mahakadarawa Tank - 2012</t>
  </si>
  <si>
    <t>Water Level in Mahakadarawa Tank - 2011</t>
  </si>
  <si>
    <t>Water Level in Mahakadarawa Tank - 2001</t>
  </si>
  <si>
    <t>Water Level        ( ft)</t>
  </si>
  <si>
    <t>Capacity (Ac.ft.)</t>
  </si>
  <si>
    <t>Water Issues</t>
  </si>
  <si>
    <t>Opening   (LB) (inch)</t>
  </si>
  <si>
    <t>Opening   (RB)      (inch)</t>
  </si>
  <si>
    <t>Capacity    (Acft)</t>
  </si>
  <si>
    <t>Water Level in Mahakadarawa Tank - 2002</t>
  </si>
  <si>
    <t>Water Level in Mahakadarawa Tank - 2003</t>
  </si>
  <si>
    <t>Water Level in Mahakadarawa Tank - 2004</t>
  </si>
  <si>
    <t>Water Level in Mahakanadarawa Tank - 2005</t>
  </si>
  <si>
    <t>Water Level in Mahakanadarawa Tank - 2006</t>
  </si>
  <si>
    <t>Water Level in Mahakanadarawa Tank - 2007</t>
  </si>
  <si>
    <t>Water Level in Mahakanadarawa Tank - 2008</t>
  </si>
  <si>
    <t>Water Level in Mahakanadarawa Tank - 2009</t>
  </si>
  <si>
    <t xml:space="preserve">Water Issues </t>
  </si>
  <si>
    <t>Spilling Discharge           ( Acft)</t>
  </si>
  <si>
    <t>Water Level in Mahakanadarawa Tank - 2010</t>
  </si>
  <si>
    <t>Water level ( ft)</t>
  </si>
  <si>
    <t>Water Level in Mahakadarawa Tank - 2015</t>
  </si>
  <si>
    <t>Water Level in Mahakadarawa Tank - 2016</t>
  </si>
  <si>
    <t xml:space="preserve">Water Level Data in Mahakanadarawa Tank - 2017 </t>
  </si>
  <si>
    <t>Water level (ft)</t>
  </si>
  <si>
    <t xml:space="preserve">Water Level Data in Mahakanadarawa Tank - 2018 </t>
  </si>
  <si>
    <t xml:space="preserve">Water Level Data in Mahakanadarawa Tank - 2019 </t>
  </si>
  <si>
    <t xml:space="preserve">Water Level Data in Mahakanadarawa Tank - 2020 </t>
  </si>
  <si>
    <t>Water Level Data in Mahakanadarawa Tank - 2021.</t>
  </si>
  <si>
    <t>FSl</t>
  </si>
  <si>
    <t>Water Level Data in Mahakanadarawa Tank - 2022.</t>
  </si>
  <si>
    <t>20' - 8"</t>
  </si>
  <si>
    <t>8" Spill</t>
  </si>
  <si>
    <t>20' - 7"</t>
  </si>
  <si>
    <t>7" Spill</t>
  </si>
  <si>
    <t>19' - 8 1/2"</t>
  </si>
  <si>
    <t>18' - 11 1/2"</t>
  </si>
  <si>
    <t>1'-1" Spill</t>
  </si>
  <si>
    <t>20' - 9"</t>
  </si>
  <si>
    <t>18' - 8 1/2"</t>
  </si>
  <si>
    <t>18' -1/2"</t>
  </si>
  <si>
    <t>13' - 6 1/2"</t>
  </si>
  <si>
    <t>13' - 2"</t>
  </si>
  <si>
    <t>11' - 9"</t>
  </si>
  <si>
    <t>15' - 9"</t>
  </si>
  <si>
    <t>18"</t>
  </si>
  <si>
    <t>3"</t>
  </si>
  <si>
    <t xml:space="preserve">16" </t>
  </si>
  <si>
    <t>10"-</t>
  </si>
  <si>
    <t>17"</t>
  </si>
  <si>
    <t>22"</t>
  </si>
  <si>
    <t>11"</t>
  </si>
  <si>
    <t>15''</t>
  </si>
  <si>
    <t>18''</t>
  </si>
  <si>
    <t>6''</t>
  </si>
  <si>
    <t>12''</t>
  </si>
  <si>
    <t>18'</t>
  </si>
  <si>
    <t>21"</t>
  </si>
  <si>
    <t>24"</t>
  </si>
  <si>
    <t>15' - 7 1/2"</t>
  </si>
  <si>
    <t>17' - 0 "</t>
  </si>
  <si>
    <t>19 - 10"</t>
  </si>
  <si>
    <t>19' - 11.5"</t>
  </si>
  <si>
    <t>19' - 10.5 "</t>
  </si>
  <si>
    <t>19' - 9.5"</t>
  </si>
  <si>
    <t>19' - 8.5"</t>
  </si>
  <si>
    <t>18' - 10.5"</t>
  </si>
  <si>
    <t>18' - 7.5"</t>
  </si>
  <si>
    <t>19' - 0.5"</t>
  </si>
  <si>
    <t>18' -11"</t>
  </si>
  <si>
    <t>18' -9"</t>
  </si>
  <si>
    <t>18' -8"</t>
  </si>
  <si>
    <t>18' -7"</t>
  </si>
  <si>
    <t>18' -6"</t>
  </si>
  <si>
    <t>18' -5"</t>
  </si>
  <si>
    <t>18' -4"</t>
  </si>
  <si>
    <t>18' -2"</t>
  </si>
  <si>
    <t>18' -0"</t>
  </si>
  <si>
    <t>17' -9"</t>
  </si>
  <si>
    <t>17' - 4.5"</t>
  </si>
  <si>
    <t>17' - 19</t>
  </si>
  <si>
    <t>17' - 9.5"</t>
  </si>
  <si>
    <t>17' - 6.5"</t>
  </si>
  <si>
    <t>16' - 3.5"</t>
  </si>
  <si>
    <t>13' - 8"</t>
  </si>
  <si>
    <t>13' - 4.5"</t>
  </si>
  <si>
    <t>13' - 3.5"</t>
  </si>
  <si>
    <t>13' - 2.5"</t>
  </si>
  <si>
    <t>13' - 1.5"</t>
  </si>
  <si>
    <t>12' - 10.5"</t>
  </si>
  <si>
    <t>11' - 0.5"</t>
  </si>
  <si>
    <t>10' - 7.5"</t>
  </si>
  <si>
    <t>10' - 2.5"</t>
  </si>
  <si>
    <t>9' -11"</t>
  </si>
  <si>
    <t>9' -8"</t>
  </si>
  <si>
    <t>9' -7"</t>
  </si>
  <si>
    <t>9' -5"</t>
  </si>
  <si>
    <t>9' -3"</t>
  </si>
  <si>
    <t>9' -0"</t>
  </si>
  <si>
    <t>8' - 9.5"</t>
  </si>
  <si>
    <t>8' -8"</t>
  </si>
  <si>
    <t>8' - 7.5"</t>
  </si>
  <si>
    <t>8' - 6.5"</t>
  </si>
  <si>
    <t>8' - 5.5"</t>
  </si>
  <si>
    <t>8' - 2.5"</t>
  </si>
  <si>
    <t>8' - 1.5"</t>
  </si>
  <si>
    <t>8' - 0.5"</t>
  </si>
  <si>
    <t>20' - 10"</t>
  </si>
  <si>
    <t>21'-  1/2"</t>
  </si>
  <si>
    <t>5 1/2" Spill</t>
  </si>
  <si>
    <t>21' - 0"</t>
  </si>
  <si>
    <t>20' - 11 1/2"</t>
  </si>
  <si>
    <t>21' - 7"</t>
  </si>
  <si>
    <t>1' - 0" Spill</t>
  </si>
  <si>
    <t>21' - 5 1/2"</t>
  </si>
  <si>
    <t>9 1/2" Spill</t>
  </si>
  <si>
    <t>21' - 2 1/2"</t>
  </si>
  <si>
    <t>7 1/2" Spill</t>
  </si>
  <si>
    <t>21' - 2"</t>
  </si>
  <si>
    <t>20' - 11"</t>
  </si>
  <si>
    <t>20' - 8 1/2"</t>
  </si>
  <si>
    <t>20' - 8 1/4"</t>
  </si>
  <si>
    <t>1/4" Spill</t>
  </si>
  <si>
    <t>20' -8"</t>
  </si>
  <si>
    <t>21' -1"</t>
  </si>
  <si>
    <t>5" spill</t>
  </si>
  <si>
    <t>21' -31\2"</t>
  </si>
  <si>
    <t>71\2" spill</t>
  </si>
  <si>
    <t>21' -3"</t>
  </si>
  <si>
    <t>7" spill</t>
  </si>
  <si>
    <t>21' -21\2"</t>
  </si>
  <si>
    <t>61\2" spill</t>
  </si>
  <si>
    <t xml:space="preserve">21' </t>
  </si>
  <si>
    <t>4" spill</t>
  </si>
  <si>
    <t>21'</t>
  </si>
  <si>
    <t>21' -4"</t>
  </si>
  <si>
    <t>8" spill</t>
  </si>
  <si>
    <t>21' -7"</t>
  </si>
  <si>
    <t>11" spill</t>
  </si>
  <si>
    <t>21' -81\2"</t>
  </si>
  <si>
    <t>11\2" spill</t>
  </si>
  <si>
    <t>21' -6"</t>
  </si>
  <si>
    <t>10" spill</t>
  </si>
  <si>
    <t>21' -1\2"</t>
  </si>
  <si>
    <t>41\2" spill</t>
  </si>
  <si>
    <t>20' -111\4"</t>
  </si>
  <si>
    <t>31\4" spill</t>
  </si>
  <si>
    <t>20' -101\2"</t>
  </si>
  <si>
    <t>21\2" spill</t>
  </si>
  <si>
    <t>20' -10"</t>
  </si>
  <si>
    <t>2" spill</t>
  </si>
  <si>
    <t>20' -91\2"</t>
  </si>
  <si>
    <t>20' -81\2"</t>
  </si>
  <si>
    <t>1\2" spill</t>
  </si>
  <si>
    <t>20' -11 1/2"</t>
  </si>
  <si>
    <t>3 1/2 " spill</t>
  </si>
  <si>
    <t>6" spill</t>
  </si>
  <si>
    <t>Water Level Data in Mahakanadarawa Tank - 2023.</t>
  </si>
  <si>
    <t>16''</t>
  </si>
  <si>
    <t>19"</t>
  </si>
  <si>
    <t>8''</t>
  </si>
  <si>
    <t>23"</t>
  </si>
  <si>
    <t>28"</t>
  </si>
  <si>
    <t>30"</t>
  </si>
  <si>
    <t>21' -0"</t>
  </si>
  <si>
    <t>20' -9 1/2"</t>
  </si>
  <si>
    <t>1 1/2" spill</t>
  </si>
  <si>
    <t>20' -10 1/2"</t>
  </si>
  <si>
    <t>2 1/2" spill</t>
  </si>
  <si>
    <t>20' -9"</t>
  </si>
  <si>
    <t>1" spill</t>
  </si>
  <si>
    <t>12" spill</t>
  </si>
  <si>
    <t>21' -9"</t>
  </si>
  <si>
    <t>13" spill</t>
  </si>
  <si>
    <t>21' -2"</t>
  </si>
  <si>
    <t>20' -11"</t>
  </si>
  <si>
    <t>3" spill</t>
  </si>
  <si>
    <t>20' -7 1/2"</t>
  </si>
  <si>
    <t>20' -6 1/2"</t>
  </si>
  <si>
    <t>20' -5 1/2"</t>
  </si>
  <si>
    <t>20' -4"</t>
  </si>
  <si>
    <t>20' -3"</t>
  </si>
  <si>
    <t>20' -2"</t>
  </si>
  <si>
    <t>20' -1 1/2"</t>
  </si>
  <si>
    <t>20' -1"</t>
  </si>
  <si>
    <t>20' -0"</t>
  </si>
  <si>
    <t>19' -11"</t>
  </si>
  <si>
    <t>19' -9 1/2"</t>
  </si>
  <si>
    <t>19' -8"</t>
  </si>
  <si>
    <t>19' -6 1/2"</t>
  </si>
  <si>
    <t>19' -5 1/2"</t>
  </si>
  <si>
    <t>19' -5 "</t>
  </si>
  <si>
    <t>19' -4 "</t>
  </si>
  <si>
    <t>19' -2 1/2"</t>
  </si>
  <si>
    <t>19' -1 1/2"</t>
  </si>
  <si>
    <t>19' -0"</t>
  </si>
  <si>
    <t>18' -10 1/2"</t>
  </si>
  <si>
    <t>18' -10 "</t>
  </si>
  <si>
    <t>18'-7 1/2"</t>
  </si>
  <si>
    <t>17'- 10 1/2"</t>
  </si>
  <si>
    <t>17'- 9 1/2"</t>
  </si>
  <si>
    <t>17'- 8 1/2"</t>
  </si>
  <si>
    <t>17'- 7"</t>
  </si>
  <si>
    <t>17'- 5"</t>
  </si>
  <si>
    <t>17'- 3"</t>
  </si>
  <si>
    <t>17'- 2"</t>
  </si>
  <si>
    <t>17'- 1/2"</t>
  </si>
  <si>
    <t>16'- 10"</t>
  </si>
  <si>
    <t>16'- 8"</t>
  </si>
  <si>
    <t>16' -6"</t>
  </si>
  <si>
    <t>16' -4"</t>
  </si>
  <si>
    <t>16' -2"</t>
  </si>
  <si>
    <t>16' -0"</t>
  </si>
  <si>
    <t>15 - 8"</t>
  </si>
  <si>
    <t xml:space="preserve"> 14' - 3"</t>
  </si>
  <si>
    <t>13' - 5"</t>
  </si>
  <si>
    <t>13' - 1/2".</t>
  </si>
  <si>
    <t>12' - 9 1/2"</t>
  </si>
  <si>
    <t>12' - 1/2"</t>
  </si>
  <si>
    <t>14' - 9 1/2"</t>
  </si>
  <si>
    <t>14' -8"</t>
  </si>
  <si>
    <t>14' -6"</t>
  </si>
  <si>
    <t>14' -4"</t>
  </si>
  <si>
    <t>14' -2"</t>
  </si>
  <si>
    <t>14' -0"</t>
  </si>
  <si>
    <t>13' -10 1/2"</t>
  </si>
  <si>
    <t>13' -7"</t>
  </si>
  <si>
    <t>13' -4 1/2"</t>
  </si>
  <si>
    <t>13' -2"</t>
  </si>
  <si>
    <t>12' -11"</t>
  </si>
  <si>
    <t>12' -9 1/2"</t>
  </si>
  <si>
    <t>12' - 1 1/2"</t>
  </si>
  <si>
    <t>11' - 4 1/2"</t>
  </si>
  <si>
    <t>11' -1"</t>
  </si>
  <si>
    <t>10' -10 1/2"</t>
  </si>
  <si>
    <t>10' -8"</t>
  </si>
  <si>
    <t>10' -5 1/2"</t>
  </si>
  <si>
    <t>10" -1/2"</t>
  </si>
  <si>
    <t>10' -0"</t>
  </si>
  <si>
    <t>9' -10"</t>
  </si>
  <si>
    <t>.9' -9"</t>
  </si>
  <si>
    <t>9' -8 1/2"</t>
  </si>
  <si>
    <t>9' -6 1/2"</t>
  </si>
  <si>
    <t>9' -5 1/2"</t>
  </si>
  <si>
    <t>9' -5 "</t>
  </si>
  <si>
    <t>9' -4 1/2"</t>
  </si>
  <si>
    <t>9' -3 1/2"</t>
  </si>
  <si>
    <t>9' -3 "</t>
  </si>
  <si>
    <t>9' -2 1/2 "</t>
  </si>
  <si>
    <t>9' -2"</t>
  </si>
  <si>
    <t>9' -1"</t>
  </si>
  <si>
    <t>8' -11 1/2"</t>
  </si>
  <si>
    <t>8' -11"</t>
  </si>
  <si>
    <t>8' -10"</t>
  </si>
  <si>
    <t>8' -9 1/2"</t>
  </si>
  <si>
    <t>8' -8 "</t>
  </si>
  <si>
    <t>8' -6 "</t>
  </si>
  <si>
    <t>8' -5 "</t>
  </si>
  <si>
    <t>8' -4 "</t>
  </si>
  <si>
    <t>8' -3 "</t>
  </si>
  <si>
    <t>7' -11"</t>
  </si>
  <si>
    <t>7' -10"</t>
  </si>
  <si>
    <t>8' -6"</t>
  </si>
  <si>
    <t>8' -10 1/2"</t>
  </si>
  <si>
    <t>8' -8 1/2"</t>
  </si>
  <si>
    <t>8' -6 1/2"</t>
  </si>
  <si>
    <t>8' -5"</t>
  </si>
  <si>
    <t>8' -4"</t>
  </si>
  <si>
    <t>8' -2"</t>
  </si>
  <si>
    <t>7' -9 1/2"</t>
  </si>
  <si>
    <t>7' -8"</t>
  </si>
  <si>
    <t>7' -6 1/2"</t>
  </si>
  <si>
    <t>7' -5"</t>
  </si>
  <si>
    <t>7' -3"</t>
  </si>
  <si>
    <t>7' -2"</t>
  </si>
  <si>
    <t>9' -6"</t>
  </si>
  <si>
    <t>12' -2"</t>
  </si>
  <si>
    <t>15' -6"</t>
  </si>
  <si>
    <t>17' -0"</t>
  </si>
  <si>
    <t>17' -7"</t>
  </si>
  <si>
    <t>17' -11"</t>
  </si>
  <si>
    <t>17' -10 1/2"</t>
  </si>
  <si>
    <t>19' -6"</t>
  </si>
  <si>
    <t>21' -5 1/2"</t>
  </si>
  <si>
    <t>9 1/2" spill</t>
  </si>
  <si>
    <t>21' -3 1/2"</t>
  </si>
  <si>
    <t>7 1/2" spill</t>
  </si>
  <si>
    <t>21' -1/2"</t>
  </si>
  <si>
    <t>4 1/2" spill</t>
  </si>
  <si>
    <t xml:space="preserve"> 1" spill</t>
  </si>
  <si>
    <t>Water Level Data in Mahakanadarawa Tank - 2024.</t>
  </si>
  <si>
    <t>14''</t>
  </si>
  <si>
    <t>10''</t>
  </si>
  <si>
    <t>13''</t>
  </si>
  <si>
    <t>7''</t>
  </si>
  <si>
    <t>18"'</t>
  </si>
  <si>
    <t>26"</t>
  </si>
  <si>
    <t>Water Level Data in Mahakanadarawa Tank - 2025</t>
  </si>
  <si>
    <t>21'-5" 1/2</t>
  </si>
  <si>
    <t>9" spill</t>
  </si>
  <si>
    <t>21'-5"</t>
  </si>
  <si>
    <t>21'-3"</t>
  </si>
  <si>
    <t>21'-1"</t>
  </si>
  <si>
    <t>20'-10"</t>
  </si>
  <si>
    <t>1' spill</t>
  </si>
  <si>
    <t>20'-9"</t>
  </si>
  <si>
    <t>21'-2"</t>
  </si>
  <si>
    <t>21'-0"</t>
  </si>
  <si>
    <t>21'-6 1/2"</t>
  </si>
  <si>
    <t>21'-4"</t>
  </si>
  <si>
    <t>20'-8"</t>
  </si>
  <si>
    <t>20'-11"</t>
  </si>
  <si>
    <t>20'-11 1/2"</t>
  </si>
  <si>
    <t>22'-1/4"</t>
  </si>
  <si>
    <t>21'-1 1/2"</t>
  </si>
  <si>
    <t>16 1/4"spill</t>
  </si>
  <si>
    <t>7"spill</t>
  </si>
  <si>
    <t>3 1/2" spill</t>
  </si>
  <si>
    <t>3 1/2" spilll</t>
  </si>
  <si>
    <t>5 1/2" spill</t>
  </si>
  <si>
    <t>10 1/2"spill</t>
  </si>
  <si>
    <t>9 1/2"spill</t>
  </si>
  <si>
    <t>20'-10 1/2"</t>
  </si>
  <si>
    <t>20'-9 1/2"</t>
  </si>
  <si>
    <t>20'-8 1/2"</t>
  </si>
  <si>
    <t>20'-7 1/2"</t>
  </si>
  <si>
    <t>20'-7"</t>
  </si>
  <si>
    <t>20'-6"</t>
  </si>
  <si>
    <t>20-5"</t>
  </si>
  <si>
    <t>20'-3 1/2"</t>
  </si>
  <si>
    <t>20'-2 1/2"</t>
  </si>
  <si>
    <t>20'- 1 1/2"</t>
  </si>
  <si>
    <t>20'-0"</t>
  </si>
  <si>
    <t>19'-11 1/2"</t>
  </si>
  <si>
    <t>19'-10"</t>
  </si>
  <si>
    <t>19'-8"</t>
  </si>
  <si>
    <t>19'-4"</t>
  </si>
  <si>
    <t>19'-5"</t>
  </si>
  <si>
    <t>5" spilll</t>
  </si>
  <si>
    <t>1/2" spill</t>
  </si>
  <si>
    <t>21'-2 1/2"</t>
  </si>
  <si>
    <t>21"-0"</t>
  </si>
  <si>
    <t>21'-1/2"</t>
  </si>
  <si>
    <t>20'-5 1/2"</t>
  </si>
  <si>
    <t>20'-1 1/2"</t>
  </si>
  <si>
    <t>6 1/2 spill</t>
  </si>
  <si>
    <t>3 spill</t>
  </si>
  <si>
    <t>4 1/2" spiil</t>
  </si>
  <si>
    <t xml:space="preserve"> 19'-11 1/2"</t>
  </si>
  <si>
    <t>19'-11"</t>
  </si>
  <si>
    <t>19'-8 1/2"</t>
  </si>
  <si>
    <t>19'-7 1/2"</t>
  </si>
  <si>
    <t>19'-7"</t>
  </si>
  <si>
    <t>19'-6 1/2"</t>
  </si>
  <si>
    <t>19'-5 1/2"</t>
  </si>
  <si>
    <t>19'-4 1/2"</t>
  </si>
  <si>
    <t>20'-10'</t>
  </si>
  <si>
    <t>20'-4 1/2'</t>
  </si>
  <si>
    <t>10 1/2 spill</t>
  </si>
  <si>
    <t>6 1/2'spill</t>
  </si>
  <si>
    <t>2 1/2 spill</t>
  </si>
  <si>
    <t>12'</t>
  </si>
  <si>
    <t>15'</t>
  </si>
  <si>
    <t>11'</t>
  </si>
  <si>
    <t>16'</t>
  </si>
  <si>
    <t xml:space="preserve"> 18'-11"</t>
  </si>
  <si>
    <t>18'-5"</t>
  </si>
  <si>
    <t>18 '-1 1/2"</t>
  </si>
  <si>
    <t>17'-8 1/2"</t>
  </si>
  <si>
    <t>17'-4 1/2"</t>
  </si>
  <si>
    <t>17'-1 1/2"</t>
  </si>
  <si>
    <t>25"</t>
  </si>
  <si>
    <t>16'-5"</t>
  </si>
  <si>
    <t>16'-3 1/2"</t>
  </si>
  <si>
    <t>15'-8 1/2"</t>
  </si>
  <si>
    <t>15'-2 1/2"</t>
  </si>
  <si>
    <t>15'-0"</t>
  </si>
  <si>
    <t>14'-10"</t>
  </si>
  <si>
    <t>14'-8 1/2"</t>
  </si>
  <si>
    <t>14'-7 1/2"</t>
  </si>
  <si>
    <t>14'-6 1/2"</t>
  </si>
  <si>
    <t>14'-6"</t>
  </si>
  <si>
    <t>14'-5 1/2"</t>
  </si>
  <si>
    <t>14'-4 1/2"</t>
  </si>
  <si>
    <t>14'-4"</t>
  </si>
  <si>
    <t>14'-3 1/2"</t>
  </si>
  <si>
    <t>14'-2 1/2"</t>
  </si>
  <si>
    <t>14'-1 1/2"</t>
  </si>
  <si>
    <t>13'-11 1/2"</t>
  </si>
  <si>
    <t>13'-10 1/2"</t>
  </si>
  <si>
    <t>13'-9 1/2"</t>
  </si>
  <si>
    <t>13'-8 1/2"</t>
  </si>
  <si>
    <t>13'-7 1/2"</t>
  </si>
  <si>
    <t>13'-6 1/2"</t>
  </si>
  <si>
    <t>13'-5 1/2"</t>
  </si>
  <si>
    <t>13'-2 1/2"</t>
  </si>
  <si>
    <t>12'-11 1/2"</t>
  </si>
  <si>
    <t>12'-8 1/2"</t>
  </si>
  <si>
    <t>22'</t>
  </si>
  <si>
    <t>11'-9 1/2"</t>
  </si>
  <si>
    <t>11'-7"</t>
  </si>
  <si>
    <t>11'-5"</t>
  </si>
  <si>
    <t>11'-2 1/2"</t>
  </si>
  <si>
    <t>11'-1/2"</t>
  </si>
  <si>
    <t>10'-10"</t>
  </si>
  <si>
    <t>9'-7"</t>
  </si>
  <si>
    <t>9'-5 1/2"</t>
  </si>
  <si>
    <t>9'-4 1/2"</t>
  </si>
  <si>
    <t>9'-1/2"</t>
  </si>
  <si>
    <t>8'-10 1/2"</t>
  </si>
  <si>
    <t>8'-8 1/2"</t>
  </si>
  <si>
    <t>8'-6 1/2"</t>
  </si>
  <si>
    <t>8'-11 1/2"</t>
  </si>
  <si>
    <t>8'-7 1/2"</t>
  </si>
  <si>
    <t>8'-7"</t>
  </si>
  <si>
    <t>8'-5 1/2"</t>
  </si>
  <si>
    <t>8'</t>
  </si>
  <si>
    <t>7'-8"</t>
  </si>
  <si>
    <t>7'4"</t>
  </si>
  <si>
    <t>7'-2"</t>
  </si>
  <si>
    <t>5'-10'</t>
  </si>
  <si>
    <t>5'-11"</t>
  </si>
  <si>
    <t>8'-6"</t>
  </si>
  <si>
    <t>22'-10'</t>
  </si>
  <si>
    <t>22'-5"</t>
  </si>
  <si>
    <t>2'-2" spill</t>
  </si>
  <si>
    <t>1'-9" spill</t>
  </si>
  <si>
    <t>32"</t>
  </si>
  <si>
    <t>19'-9"</t>
  </si>
  <si>
    <t>19'-10 1/2"</t>
  </si>
  <si>
    <t>10 1/2" spill</t>
  </si>
  <si>
    <t>Spilling Discharge        ( Acft)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</si>
</sst>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
    <numFmt numFmtId="165" formatCode="0.00;[Red]0.00"/>
    <numFmt numFmtId="166" formatCode="0.000"/>
    <numFmt numFmtId="167" formatCode="[$-409]d\-mmm\-yy;@"/>
  </numFmts>
  <fonts count="42" x14ac:knownFonts="1">
    <font>
      <sz val="11"/>
      <color theme="1"/>
      <name val="Calibri"/>
      <family val="2"/>
      <scheme val="minor"/>
    </font>
    <font>
      <sz val="10"/>
      <name val="Arial"/>
      <family val="2"/>
    </font>
    <font>
      <sz val="11"/>
      <color theme="1"/>
      <name val="Calibri"/>
      <family val="2"/>
      <scheme val="minor"/>
    </font>
    <font>
      <b/>
      <sz val="11"/>
      <color theme="1"/>
      <name val="Arial"/>
      <family val="2"/>
    </font>
    <font>
      <sz val="11"/>
      <color theme="1"/>
      <name val="Arial"/>
      <family val="2"/>
    </font>
    <font>
      <b/>
      <sz val="11"/>
      <name val="Arial"/>
      <family val="2"/>
    </font>
    <font>
      <sz val="10"/>
      <color rgb="FFFF0000"/>
      <name val="Arial"/>
      <family val="2"/>
    </font>
    <font>
      <sz val="14"/>
      <color theme="1"/>
      <name val="Times New Roman"/>
      <family val="1"/>
    </font>
    <font>
      <sz val="11"/>
      <color theme="1"/>
      <name val="Times New Roman"/>
      <family val="1"/>
    </font>
    <font>
      <b/>
      <sz val="11"/>
      <name val="Times New Roman"/>
      <family val="1"/>
    </font>
    <font>
      <b/>
      <sz val="11"/>
      <color theme="1"/>
      <name val="Times New Roman"/>
      <family val="1"/>
    </font>
    <font>
      <sz val="10"/>
      <name val="Times New Roman"/>
      <family val="1"/>
    </font>
    <font>
      <sz val="10"/>
      <color rgb="FFFF0000"/>
      <name val="Times New Roman"/>
      <family val="1"/>
    </font>
    <font>
      <b/>
      <sz val="10"/>
      <name val="Times New Roman"/>
      <family val="1"/>
    </font>
    <font>
      <b/>
      <sz val="14"/>
      <color theme="1"/>
      <name val="Times New Roman"/>
      <family val="1"/>
    </font>
    <font>
      <b/>
      <sz val="14"/>
      <color theme="1"/>
      <name val="Arial"/>
      <family val="2"/>
    </font>
    <font>
      <sz val="12"/>
      <color theme="1"/>
      <name val="Times New Roman"/>
      <family val="1"/>
    </font>
    <font>
      <sz val="11"/>
      <name val="Times New Roman"/>
      <family val="1"/>
    </font>
    <font>
      <sz val="10"/>
      <color theme="1"/>
      <name val="Times New Roman"/>
      <family val="1"/>
    </font>
    <font>
      <b/>
      <sz val="12"/>
      <name val="Times New Roman"/>
      <family val="1"/>
    </font>
    <font>
      <sz val="10"/>
      <name val="Arial"/>
      <family val="2"/>
    </font>
    <font>
      <vertAlign val="superscript"/>
      <sz val="10"/>
      <name val="Arial"/>
      <family val="2"/>
    </font>
    <font>
      <vertAlign val="subscript"/>
      <sz val="10"/>
      <name val="Arial"/>
      <family val="2"/>
    </font>
    <font>
      <sz val="20"/>
      <name val="Times New Roman"/>
      <family val="1"/>
    </font>
    <font>
      <sz val="10"/>
      <color theme="1"/>
      <name val="Arial"/>
      <family val="2"/>
    </font>
    <font>
      <b/>
      <sz val="10"/>
      <name val="Arial"/>
      <family val="2"/>
    </font>
    <font>
      <sz val="18"/>
      <name val="Times New Roman"/>
      <family val="1"/>
    </font>
    <font>
      <sz val="12"/>
      <color theme="1"/>
      <name val="Calibri"/>
      <family val="2"/>
      <scheme val="minor"/>
    </font>
    <font>
      <sz val="16"/>
      <color theme="1"/>
      <name val="Times New Roman"/>
      <family val="1"/>
    </font>
    <font>
      <b/>
      <sz val="16"/>
      <color theme="1"/>
      <name val="Times New Roman"/>
      <family val="1"/>
    </font>
    <font>
      <sz val="17"/>
      <color theme="1"/>
      <name val="Times New Roman"/>
      <family val="1"/>
    </font>
    <font>
      <b/>
      <sz val="12"/>
      <color theme="1"/>
      <name val="Times New Roman"/>
      <family val="1"/>
    </font>
    <font>
      <sz val="16"/>
      <name val="Times New Roman"/>
      <family val="1"/>
    </font>
    <font>
      <sz val="11"/>
      <name val="Arial"/>
      <family val="2"/>
    </font>
    <font>
      <sz val="11"/>
      <name val="Book Antiqua"/>
      <family val="1"/>
    </font>
    <font>
      <sz val="11"/>
      <color theme="1"/>
      <name val="Book Antiqua"/>
      <family val="1"/>
    </font>
    <font>
      <sz val="11"/>
      <color rgb="FFFF0000"/>
      <name val="Book Antiqua"/>
      <family val="1"/>
    </font>
    <font>
      <b/>
      <sz val="11"/>
      <color rgb="FF000000"/>
      <name val="Book Antiqua"/>
      <family val="1"/>
    </font>
    <font>
      <sz val="10"/>
      <name val="Book Antiqua"/>
      <family val="1"/>
    </font>
    <font>
      <sz val="10"/>
      <color theme="1"/>
      <name val="Book Antiqua"/>
      <family val="1"/>
    </font>
    <font>
      <b/>
      <sz val="12"/>
      <name val="Book Antiqua"/>
      <family val="1"/>
    </font>
    <font>
      <sz val="10"/>
      <color rgb="FFFF0000"/>
      <name val="Book Antiqua"/>
      <family val="1"/>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6" tint="0.39997558519241921"/>
        <bgColor indexed="64"/>
      </patternFill>
    </fill>
    <fill>
      <patternFill patternType="solid">
        <fgColor theme="0"/>
        <bgColor indexed="64"/>
      </patternFill>
    </fill>
    <fill>
      <patternFill patternType="solid">
        <fgColor rgb="FF00B0F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bottom style="medium">
        <color indexed="64"/>
      </bottom>
      <diagonal/>
    </border>
    <border>
      <left/>
      <right style="thin">
        <color auto="1"/>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hair">
        <color indexed="64"/>
      </top>
      <bottom style="hair">
        <color indexed="64"/>
      </bottom>
      <diagonal/>
    </border>
    <border>
      <left style="thin">
        <color indexed="64"/>
      </left>
      <right/>
      <top style="hair">
        <color indexed="64"/>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thin">
        <color indexed="64"/>
      </left>
      <right style="medium">
        <color indexed="64"/>
      </right>
      <top/>
      <bottom/>
      <diagonal/>
    </border>
  </borders>
  <cellStyleXfs count="4">
    <xf numFmtId="0" fontId="0" fillId="0" borderId="0"/>
    <xf numFmtId="43" fontId="2" fillId="0" borderId="0" applyFont="0" applyFill="0" applyBorder="0" applyAlignment="0" applyProtection="0"/>
    <xf numFmtId="0" fontId="20" fillId="0" borderId="0"/>
    <xf numFmtId="0" fontId="1" fillId="0" borderId="0"/>
  </cellStyleXfs>
  <cellXfs count="514">
    <xf numFmtId="0" fontId="0" fillId="0" borderId="0" xfId="0"/>
    <xf numFmtId="0" fontId="1" fillId="0" borderId="1" xfId="0" applyFont="1" applyBorder="1" applyAlignment="1">
      <alignment horizontal="center"/>
    </xf>
    <xf numFmtId="0" fontId="4" fillId="0" borderId="0" xfId="0" applyFont="1"/>
    <xf numFmtId="49" fontId="5" fillId="0" borderId="1" xfId="0" applyNumberFormat="1" applyFont="1" applyBorder="1" applyAlignment="1">
      <alignment horizontal="right" vertical="center"/>
    </xf>
    <xf numFmtId="49" fontId="3" fillId="0" borderId="1" xfId="0" applyNumberFormat="1" applyFont="1" applyBorder="1" applyAlignment="1">
      <alignment horizontal="right" textRotation="90" wrapText="1"/>
    </xf>
    <xf numFmtId="49" fontId="4" fillId="0" borderId="0" xfId="0" applyNumberFormat="1" applyFont="1" applyAlignment="1">
      <alignment horizontal="right"/>
    </xf>
    <xf numFmtId="49" fontId="4" fillId="0" borderId="1" xfId="0" quotePrefix="1" applyNumberFormat="1" applyFont="1" applyBorder="1" applyAlignment="1">
      <alignment horizontal="center"/>
    </xf>
    <xf numFmtId="49" fontId="4" fillId="0" borderId="1" xfId="0" applyNumberFormat="1" applyFont="1" applyBorder="1" applyAlignment="1">
      <alignment horizontal="center"/>
    </xf>
    <xf numFmtId="0" fontId="4" fillId="0" borderId="1" xfId="0" applyFont="1" applyBorder="1" applyAlignment="1">
      <alignment horizontal="center"/>
    </xf>
    <xf numFmtId="49" fontId="4" fillId="0" borderId="0" xfId="0" applyNumberFormat="1" applyFont="1"/>
    <xf numFmtId="49" fontId="5" fillId="0" borderId="1" xfId="0" applyNumberFormat="1" applyFont="1" applyBorder="1" applyAlignment="1">
      <alignment horizontal="center" vertical="center"/>
    </xf>
    <xf numFmtId="49" fontId="3" fillId="0" borderId="1" xfId="0" applyNumberFormat="1" applyFont="1" applyBorder="1" applyAlignment="1">
      <alignment horizontal="right" textRotation="90"/>
    </xf>
    <xf numFmtId="0" fontId="6" fillId="0" borderId="1" xfId="0" applyFont="1" applyBorder="1" applyAlignment="1">
      <alignment horizontal="center"/>
    </xf>
    <xf numFmtId="0" fontId="4" fillId="0" borderId="1" xfId="0" quotePrefix="1" applyFont="1" applyBorder="1" applyAlignment="1">
      <alignment horizontal="center"/>
    </xf>
    <xf numFmtId="0" fontId="8" fillId="0" borderId="0" xfId="0" applyFont="1"/>
    <xf numFmtId="0" fontId="9" fillId="0" borderId="1" xfId="0" applyFont="1" applyBorder="1" applyAlignment="1">
      <alignment horizontal="center" vertical="center"/>
    </xf>
    <xf numFmtId="0" fontId="10" fillId="0" borderId="1" xfId="0" applyFont="1" applyBorder="1" applyAlignment="1">
      <alignment textRotation="90" wrapText="1"/>
    </xf>
    <xf numFmtId="0" fontId="10" fillId="0" borderId="1" xfId="0" applyFont="1" applyBorder="1" applyAlignment="1">
      <alignment textRotation="90"/>
    </xf>
    <xf numFmtId="0" fontId="8" fillId="0" borderId="1" xfId="0" applyFont="1" applyBorder="1" applyAlignment="1">
      <alignment horizontal="left"/>
    </xf>
    <xf numFmtId="49" fontId="11" fillId="0" borderId="1" xfId="0" applyNumberFormat="1" applyFont="1" applyBorder="1" applyAlignment="1">
      <alignment horizontal="left"/>
    </xf>
    <xf numFmtId="0" fontId="11" fillId="0" borderId="1" xfId="0" applyFont="1" applyBorder="1" applyAlignment="1">
      <alignment horizontal="left"/>
    </xf>
    <xf numFmtId="0" fontId="12" fillId="0" borderId="1" xfId="0" applyFont="1" applyBorder="1" applyAlignment="1">
      <alignment horizontal="left"/>
    </xf>
    <xf numFmtId="49" fontId="11" fillId="0" borderId="1" xfId="0" quotePrefix="1" applyNumberFormat="1" applyFont="1" applyBorder="1" applyAlignment="1">
      <alignment horizontal="left"/>
    </xf>
    <xf numFmtId="49" fontId="11" fillId="0" borderId="1" xfId="0" applyNumberFormat="1" applyFont="1" applyBorder="1" applyAlignment="1">
      <alignment horizontal="left" vertical="center"/>
    </xf>
    <xf numFmtId="16" fontId="11" fillId="0" borderId="1" xfId="0" quotePrefix="1" applyNumberFormat="1" applyFont="1" applyBorder="1" applyAlignment="1">
      <alignment horizontal="left"/>
    </xf>
    <xf numFmtId="0" fontId="11" fillId="0" borderId="1" xfId="0" quotePrefix="1" applyFont="1" applyBorder="1" applyAlignment="1">
      <alignment horizontal="left"/>
    </xf>
    <xf numFmtId="0" fontId="13" fillId="0" borderId="0" xfId="0" applyFont="1" applyAlignment="1">
      <alignment horizontal="left"/>
    </xf>
    <xf numFmtId="0" fontId="8" fillId="0" borderId="0" xfId="0" applyFont="1" applyAlignment="1">
      <alignment horizontal="center"/>
    </xf>
    <xf numFmtId="0" fontId="11" fillId="0" borderId="1" xfId="0" applyFont="1" applyBorder="1" applyAlignment="1">
      <alignment horizontal="left" vertical="center"/>
    </xf>
    <xf numFmtId="2" fontId="8" fillId="0" borderId="1" xfId="0" quotePrefix="1" applyNumberFormat="1" applyFont="1" applyBorder="1" applyAlignment="1">
      <alignment horizontal="left"/>
    </xf>
    <xf numFmtId="1" fontId="8" fillId="0" borderId="1" xfId="0" quotePrefix="1" applyNumberFormat="1" applyFont="1" applyBorder="1" applyAlignment="1">
      <alignment horizontal="left"/>
    </xf>
    <xf numFmtId="49" fontId="9" fillId="0" borderId="1" xfId="0" applyNumberFormat="1" applyFont="1" applyBorder="1" applyAlignment="1">
      <alignment horizontal="center" vertical="center"/>
    </xf>
    <xf numFmtId="49" fontId="9" fillId="0" borderId="1" xfId="0" applyNumberFormat="1" applyFont="1" applyBorder="1" applyAlignment="1">
      <alignment horizontal="right" vertical="center"/>
    </xf>
    <xf numFmtId="49" fontId="10" fillId="0" borderId="1" xfId="0" applyNumberFormat="1" applyFont="1" applyBorder="1" applyAlignment="1">
      <alignment horizontal="right" textRotation="90" wrapText="1"/>
    </xf>
    <xf numFmtId="0" fontId="8" fillId="0" borderId="1" xfId="0" applyFont="1" applyBorder="1"/>
    <xf numFmtId="49" fontId="11" fillId="0" borderId="1" xfId="0" applyNumberFormat="1" applyFont="1" applyBorder="1" applyAlignment="1">
      <alignment horizontal="center"/>
    </xf>
    <xf numFmtId="0" fontId="11" fillId="0" borderId="1" xfId="0" applyFont="1" applyBorder="1" applyAlignment="1">
      <alignment horizontal="center"/>
    </xf>
    <xf numFmtId="49" fontId="8" fillId="0" borderId="0" xfId="0" applyNumberFormat="1" applyFont="1" applyAlignment="1">
      <alignment horizontal="right"/>
    </xf>
    <xf numFmtId="49" fontId="11" fillId="0" borderId="1" xfId="0" quotePrefix="1" applyNumberFormat="1" applyFont="1" applyBorder="1" applyAlignment="1">
      <alignment horizontal="center"/>
    </xf>
    <xf numFmtId="49" fontId="8" fillId="0" borderId="1" xfId="0" applyNumberFormat="1" applyFont="1" applyBorder="1"/>
    <xf numFmtId="0" fontId="11" fillId="0" borderId="1" xfId="0" quotePrefix="1" applyFont="1" applyBorder="1" applyAlignment="1">
      <alignment horizontal="center"/>
    </xf>
    <xf numFmtId="0" fontId="11" fillId="0" borderId="1" xfId="0" applyFont="1" applyBorder="1" applyAlignment="1">
      <alignment horizontal="center" vertical="center"/>
    </xf>
    <xf numFmtId="49" fontId="8" fillId="0" borderId="1" xfId="0" quotePrefix="1" applyNumberFormat="1" applyFont="1" applyBorder="1" applyAlignment="1">
      <alignment horizontal="center"/>
    </xf>
    <xf numFmtId="0" fontId="8" fillId="0" borderId="1" xfId="0" applyFont="1" applyBorder="1" applyAlignment="1">
      <alignment horizontal="center"/>
    </xf>
    <xf numFmtId="49" fontId="8" fillId="0" borderId="1" xfId="0" applyNumberFormat="1" applyFont="1" applyBorder="1" applyAlignment="1">
      <alignment horizontal="center"/>
    </xf>
    <xf numFmtId="0" fontId="8" fillId="0" borderId="0" xfId="0" applyFont="1" applyAlignment="1">
      <alignment horizontal="left"/>
    </xf>
    <xf numFmtId="49" fontId="8" fillId="0" borderId="0" xfId="0" applyNumberFormat="1" applyFont="1"/>
    <xf numFmtId="49" fontId="8" fillId="0" borderId="1" xfId="0" applyNumberFormat="1" applyFont="1" applyBorder="1" applyAlignment="1">
      <alignment horizontal="right"/>
    </xf>
    <xf numFmtId="0" fontId="8" fillId="0" borderId="1" xfId="0" applyFont="1" applyBorder="1" applyAlignment="1">
      <alignment horizontal="right"/>
    </xf>
    <xf numFmtId="0" fontId="9" fillId="0" borderId="1" xfId="0" applyFont="1" applyBorder="1" applyAlignment="1">
      <alignment horizontal="right" vertical="center"/>
    </xf>
    <xf numFmtId="49" fontId="10" fillId="0" borderId="1" xfId="0" applyNumberFormat="1" applyFont="1" applyBorder="1" applyAlignment="1">
      <alignment horizontal="right" textRotation="90"/>
    </xf>
    <xf numFmtId="0" fontId="11" fillId="0" borderId="1" xfId="0" applyFont="1" applyBorder="1" applyAlignment="1">
      <alignment horizontal="right"/>
    </xf>
    <xf numFmtId="49" fontId="11" fillId="0" borderId="1" xfId="0" applyNumberFormat="1" applyFont="1" applyBorder="1" applyAlignment="1">
      <alignment horizontal="right"/>
    </xf>
    <xf numFmtId="49" fontId="11" fillId="0" borderId="1" xfId="0" quotePrefix="1" applyNumberFormat="1" applyFont="1" applyBorder="1" applyAlignment="1">
      <alignment horizontal="right"/>
    </xf>
    <xf numFmtId="0" fontId="11" fillId="0" borderId="1" xfId="0" quotePrefix="1" applyFont="1" applyBorder="1" applyAlignment="1">
      <alignment horizontal="right"/>
    </xf>
    <xf numFmtId="0" fontId="8" fillId="0" borderId="0" xfId="0" applyFont="1" applyAlignment="1">
      <alignment horizontal="right"/>
    </xf>
    <xf numFmtId="49" fontId="8" fillId="0" borderId="1" xfId="0" applyNumberFormat="1" applyFont="1" applyBorder="1" applyAlignment="1">
      <alignment horizontal="left"/>
    </xf>
    <xf numFmtId="49" fontId="8" fillId="0" borderId="1" xfId="0" quotePrefix="1" applyNumberFormat="1" applyFont="1" applyBorder="1" applyAlignment="1">
      <alignment horizontal="left"/>
    </xf>
    <xf numFmtId="0" fontId="8" fillId="0" borderId="1" xfId="0" quotePrefix="1" applyFont="1" applyBorder="1" applyAlignment="1">
      <alignment horizontal="left"/>
    </xf>
    <xf numFmtId="2" fontId="11" fillId="0" borderId="1" xfId="0" quotePrefix="1" applyNumberFormat="1" applyFont="1" applyBorder="1" applyAlignment="1">
      <alignment horizontal="left"/>
    </xf>
    <xf numFmtId="2" fontId="8" fillId="0" borderId="1" xfId="0" applyNumberFormat="1" applyFont="1" applyBorder="1" applyAlignment="1">
      <alignment horizontal="left"/>
    </xf>
    <xf numFmtId="1" fontId="8" fillId="0" borderId="1" xfId="0" applyNumberFormat="1" applyFont="1" applyBorder="1" applyAlignment="1">
      <alignment horizontal="left"/>
    </xf>
    <xf numFmtId="0" fontId="12" fillId="0" borderId="1" xfId="0" applyFont="1" applyBorder="1" applyAlignment="1">
      <alignment horizontal="center"/>
    </xf>
    <xf numFmtId="0" fontId="8" fillId="0" borderId="1" xfId="0" applyFont="1" applyBorder="1" applyAlignment="1">
      <alignment horizontal="center" vertical="center"/>
    </xf>
    <xf numFmtId="1" fontId="8" fillId="0" borderId="1" xfId="0" quotePrefix="1" applyNumberFormat="1" applyFont="1" applyBorder="1" applyAlignment="1">
      <alignment horizontal="center"/>
    </xf>
    <xf numFmtId="0" fontId="8" fillId="0" borderId="1" xfId="0" quotePrefix="1" applyFont="1" applyBorder="1" applyAlignment="1">
      <alignment horizontal="center"/>
    </xf>
    <xf numFmtId="164" fontId="11" fillId="0" borderId="1" xfId="0" quotePrefix="1" applyNumberFormat="1" applyFont="1" applyBorder="1" applyAlignment="1">
      <alignment horizontal="center"/>
    </xf>
    <xf numFmtId="16" fontId="11" fillId="0" borderId="1" xfId="0" quotePrefix="1" applyNumberFormat="1" applyFont="1" applyBorder="1" applyAlignment="1">
      <alignment horizontal="center"/>
    </xf>
    <xf numFmtId="2" fontId="8" fillId="0" borderId="1" xfId="0" quotePrefix="1" applyNumberFormat="1" applyFont="1" applyBorder="1" applyAlignment="1">
      <alignment horizontal="center"/>
    </xf>
    <xf numFmtId="2" fontId="11" fillId="0" borderId="1" xfId="0" quotePrefix="1" applyNumberFormat="1" applyFont="1" applyBorder="1" applyAlignment="1">
      <alignment horizontal="center"/>
    </xf>
    <xf numFmtId="164" fontId="11" fillId="0" borderId="1" xfId="0" applyNumberFormat="1" applyFont="1" applyBorder="1" applyAlignment="1">
      <alignment horizontal="center"/>
    </xf>
    <xf numFmtId="0" fontId="10" fillId="0" borderId="1" xfId="0" applyFont="1" applyBorder="1" applyAlignment="1">
      <alignment horizontal="right" textRotation="90" wrapText="1"/>
    </xf>
    <xf numFmtId="0" fontId="10" fillId="0" borderId="1" xfId="0" applyFont="1" applyBorder="1" applyAlignment="1">
      <alignment horizontal="right" textRotation="90"/>
    </xf>
    <xf numFmtId="49" fontId="8" fillId="0" borderId="1" xfId="0" applyNumberFormat="1" applyFont="1" applyBorder="1" applyAlignment="1">
      <alignment horizontal="center" vertical="center"/>
    </xf>
    <xf numFmtId="0" fontId="8" fillId="0" borderId="0" xfId="0" applyFont="1" applyAlignment="1">
      <alignment vertical="center"/>
    </xf>
    <xf numFmtId="49" fontId="10" fillId="0" borderId="1" xfId="0" applyNumberFormat="1" applyFont="1" applyBorder="1" applyAlignment="1">
      <alignment horizontal="right" vertical="center" textRotation="90" wrapText="1"/>
    </xf>
    <xf numFmtId="49" fontId="10" fillId="0" borderId="1" xfId="0" applyNumberFormat="1" applyFont="1" applyBorder="1" applyAlignment="1">
      <alignment horizontal="right" vertical="center" textRotation="90"/>
    </xf>
    <xf numFmtId="49" fontId="9" fillId="0" borderId="1" xfId="0" applyNumberFormat="1" applyFont="1" applyBorder="1" applyAlignment="1">
      <alignment vertical="center"/>
    </xf>
    <xf numFmtId="49" fontId="10" fillId="0" borderId="1" xfId="0" applyNumberFormat="1" applyFont="1" applyBorder="1" applyAlignment="1">
      <alignment textRotation="90" wrapText="1"/>
    </xf>
    <xf numFmtId="49" fontId="10" fillId="0" borderId="1" xfId="0" applyNumberFormat="1" applyFont="1" applyBorder="1" applyAlignment="1">
      <alignment textRotation="90"/>
    </xf>
    <xf numFmtId="164" fontId="8" fillId="0" borderId="0" xfId="0" applyNumberFormat="1" applyFont="1" applyAlignment="1">
      <alignment horizontal="center"/>
    </xf>
    <xf numFmtId="0" fontId="23" fillId="0" borderId="0" xfId="0" applyFont="1"/>
    <xf numFmtId="0" fontId="19" fillId="0" borderId="0" xfId="0" applyFont="1"/>
    <xf numFmtId="2" fontId="19" fillId="0" borderId="11" xfId="0" applyNumberFormat="1" applyFont="1" applyBorder="1" applyAlignment="1">
      <alignment horizontal="center" vertical="center"/>
    </xf>
    <xf numFmtId="0" fontId="19" fillId="5" borderId="9" xfId="0" applyFont="1" applyFill="1" applyBorder="1" applyAlignment="1">
      <alignment horizontal="center" vertical="center"/>
    </xf>
    <xf numFmtId="2" fontId="19" fillId="0" borderId="3" xfId="0" applyNumberFormat="1" applyFont="1" applyBorder="1" applyAlignment="1">
      <alignment horizontal="center" vertical="center"/>
    </xf>
    <xf numFmtId="167" fontId="1" fillId="0" borderId="29" xfId="0" applyNumberFormat="1" applyFont="1" applyBorder="1" applyAlignment="1">
      <alignment horizontal="center"/>
    </xf>
    <xf numFmtId="2" fontId="1" fillId="0" borderId="30" xfId="0" applyNumberFormat="1" applyFont="1" applyBorder="1" applyAlignment="1">
      <alignment horizontal="center"/>
    </xf>
    <xf numFmtId="167" fontId="24" fillId="0" borderId="26" xfId="0" applyNumberFormat="1" applyFont="1" applyBorder="1" applyAlignment="1">
      <alignment horizontal="center"/>
    </xf>
    <xf numFmtId="167" fontId="24" fillId="0" borderId="29" xfId="0" applyNumberFormat="1" applyFont="1" applyBorder="1" applyAlignment="1">
      <alignment horizontal="center"/>
    </xf>
    <xf numFmtId="167" fontId="24" fillId="0" borderId="32" xfId="0" applyNumberFormat="1" applyFont="1" applyBorder="1" applyAlignment="1">
      <alignment horizontal="center"/>
    </xf>
    <xf numFmtId="167" fontId="1" fillId="0" borderId="26" xfId="0" applyNumberFormat="1" applyFont="1" applyBorder="1" applyAlignment="1">
      <alignment horizontal="center"/>
    </xf>
    <xf numFmtId="0" fontId="0" fillId="0" borderId="31" xfId="0" applyBorder="1" applyAlignment="1">
      <alignment horizontal="center"/>
    </xf>
    <xf numFmtId="0" fontId="8" fillId="0" borderId="30" xfId="0" applyFont="1" applyBorder="1" applyAlignment="1">
      <alignment horizontal="center" vertical="center"/>
    </xf>
    <xf numFmtId="0" fontId="8" fillId="0" borderId="30" xfId="0" applyFont="1" applyBorder="1" applyAlignment="1">
      <alignment horizontal="center"/>
    </xf>
    <xf numFmtId="167" fontId="8" fillId="0" borderId="29" xfId="0" applyNumberFormat="1" applyFont="1" applyBorder="1" applyAlignment="1">
      <alignment horizontal="center"/>
    </xf>
    <xf numFmtId="49" fontId="8" fillId="0" borderId="30" xfId="0" applyNumberFormat="1" applyFont="1" applyBorder="1" applyAlignment="1">
      <alignment horizontal="center"/>
    </xf>
    <xf numFmtId="167" fontId="8" fillId="0" borderId="32" xfId="0" applyNumberFormat="1" applyFont="1" applyBorder="1" applyAlignment="1">
      <alignment horizontal="center"/>
    </xf>
    <xf numFmtId="0" fontId="8" fillId="0" borderId="38" xfId="0" applyFont="1" applyBorder="1" applyAlignment="1">
      <alignment horizontal="center" vertical="center"/>
    </xf>
    <xf numFmtId="167" fontId="16" fillId="0" borderId="42" xfId="0" applyNumberFormat="1" applyFont="1" applyBorder="1" applyAlignment="1">
      <alignment horizontal="center"/>
    </xf>
    <xf numFmtId="0" fontId="27" fillId="0" borderId="41" xfId="0" applyFont="1" applyBorder="1"/>
    <xf numFmtId="0" fontId="27" fillId="0" borderId="41" xfId="0" applyFont="1" applyBorder="1" applyAlignment="1">
      <alignment horizontal="center"/>
    </xf>
    <xf numFmtId="0" fontId="27" fillId="0" borderId="43" xfId="0" applyFont="1" applyBorder="1" applyAlignment="1">
      <alignment horizontal="center"/>
    </xf>
    <xf numFmtId="0" fontId="27" fillId="0" borderId="0" xfId="0" applyFont="1"/>
    <xf numFmtId="167" fontId="16" fillId="0" borderId="29" xfId="0" applyNumberFormat="1" applyFont="1" applyBorder="1" applyAlignment="1">
      <alignment horizontal="center"/>
    </xf>
    <xf numFmtId="0" fontId="27" fillId="0" borderId="30" xfId="0" applyFont="1" applyBorder="1"/>
    <xf numFmtId="0" fontId="27" fillId="0" borderId="30" xfId="0" applyFont="1" applyBorder="1" applyAlignment="1">
      <alignment horizontal="center"/>
    </xf>
    <xf numFmtId="0" fontId="27" fillId="0" borderId="31" xfId="0" applyFont="1" applyBorder="1" applyAlignment="1">
      <alignment horizontal="center"/>
    </xf>
    <xf numFmtId="49" fontId="16" fillId="0" borderId="30" xfId="0" applyNumberFormat="1" applyFont="1" applyBorder="1" applyAlignment="1">
      <alignment horizontal="center"/>
    </xf>
    <xf numFmtId="167" fontId="16" fillId="0" borderId="32" xfId="0" applyNumberFormat="1" applyFont="1" applyBorder="1" applyAlignment="1">
      <alignment horizontal="center"/>
    </xf>
    <xf numFmtId="0" fontId="27" fillId="0" borderId="33" xfId="0" applyFont="1" applyBorder="1"/>
    <xf numFmtId="0" fontId="27" fillId="0" borderId="34" xfId="0" applyFont="1" applyBorder="1"/>
    <xf numFmtId="49" fontId="8" fillId="0" borderId="27" xfId="0" applyNumberFormat="1" applyFont="1" applyBorder="1" applyAlignment="1">
      <alignment horizontal="center"/>
    </xf>
    <xf numFmtId="0" fontId="8" fillId="0" borderId="27" xfId="0" applyFont="1" applyBorder="1" applyAlignment="1">
      <alignment horizontal="center"/>
    </xf>
    <xf numFmtId="0" fontId="8" fillId="0" borderId="28" xfId="0" applyFont="1" applyBorder="1" applyAlignment="1">
      <alignment horizontal="center"/>
    </xf>
    <xf numFmtId="0" fontId="8" fillId="0" borderId="31" xfId="0" applyFont="1" applyBorder="1" applyAlignment="1">
      <alignment horizontal="center"/>
    </xf>
    <xf numFmtId="49" fontId="8" fillId="0" borderId="30" xfId="0" quotePrefix="1" applyNumberFormat="1" applyFont="1" applyBorder="1" applyAlignment="1">
      <alignment horizontal="center"/>
    </xf>
    <xf numFmtId="0" fontId="8" fillId="0" borderId="33" xfId="0" applyFont="1" applyBorder="1" applyAlignment="1">
      <alignment horizontal="center"/>
    </xf>
    <xf numFmtId="0" fontId="8" fillId="0" borderId="34" xfId="0" applyFont="1" applyBorder="1" applyAlignment="1">
      <alignment horizontal="center"/>
    </xf>
    <xf numFmtId="0" fontId="8" fillId="0" borderId="48" xfId="0" applyFont="1" applyBorder="1"/>
    <xf numFmtId="167" fontId="8" fillId="0" borderId="26" xfId="0" applyNumberFormat="1" applyFont="1" applyBorder="1" applyAlignment="1">
      <alignment horizontal="center"/>
    </xf>
    <xf numFmtId="0" fontId="8" fillId="0" borderId="28" xfId="0" applyFont="1" applyBorder="1"/>
    <xf numFmtId="0" fontId="8" fillId="0" borderId="31" xfId="0" applyFont="1" applyBorder="1"/>
    <xf numFmtId="49" fontId="8" fillId="7" borderId="30" xfId="0" applyNumberFormat="1" applyFont="1" applyFill="1" applyBorder="1" applyAlignment="1">
      <alignment horizontal="center"/>
    </xf>
    <xf numFmtId="0" fontId="8" fillId="2" borderId="9" xfId="0" applyFont="1" applyFill="1" applyBorder="1" applyAlignment="1">
      <alignment vertical="center"/>
    </xf>
    <xf numFmtId="0" fontId="8" fillId="2" borderId="0" xfId="0" applyFont="1" applyFill="1" applyAlignment="1">
      <alignment vertical="center"/>
    </xf>
    <xf numFmtId="0" fontId="8" fillId="0" borderId="27" xfId="0" applyFont="1" applyBorder="1" applyAlignment="1">
      <alignment horizontal="left"/>
    </xf>
    <xf numFmtId="0" fontId="8" fillId="0" borderId="30" xfId="0" applyFont="1" applyBorder="1" applyAlignment="1">
      <alignment horizontal="left"/>
    </xf>
    <xf numFmtId="0" fontId="11" fillId="0" borderId="30" xfId="0" applyFont="1" applyBorder="1" applyAlignment="1">
      <alignment horizontal="left"/>
    </xf>
    <xf numFmtId="2" fontId="8" fillId="0" borderId="30" xfId="0" applyNumberFormat="1" applyFont="1" applyBorder="1" applyAlignment="1">
      <alignment horizontal="left"/>
    </xf>
    <xf numFmtId="164" fontId="8" fillId="0" borderId="30" xfId="0" applyNumberFormat="1" applyFont="1" applyBorder="1" applyAlignment="1">
      <alignment horizontal="left"/>
    </xf>
    <xf numFmtId="0" fontId="8" fillId="0" borderId="33" xfId="0" applyFont="1" applyBorder="1" applyAlignment="1">
      <alignment horizontal="left"/>
    </xf>
    <xf numFmtId="167" fontId="8" fillId="0" borderId="26" xfId="0" applyNumberFormat="1" applyFont="1" applyBorder="1" applyAlignment="1">
      <alignment horizontal="center" vertical="center"/>
    </xf>
    <xf numFmtId="167" fontId="8" fillId="0" borderId="29" xfId="0" applyNumberFormat="1" applyFont="1" applyBorder="1" applyAlignment="1">
      <alignment horizontal="center" vertical="center"/>
    </xf>
    <xf numFmtId="2" fontId="11" fillId="0" borderId="30" xfId="0" applyNumberFormat="1" applyFont="1" applyBorder="1" applyAlignment="1">
      <alignment horizontal="left"/>
    </xf>
    <xf numFmtId="0" fontId="8" fillId="0" borderId="34" xfId="0" applyFont="1" applyBorder="1"/>
    <xf numFmtId="0" fontId="8" fillId="0" borderId="31" xfId="0" applyFont="1" applyBorder="1" applyAlignment="1">
      <alignment horizontal="center" vertical="center"/>
    </xf>
    <xf numFmtId="0" fontId="16" fillId="0" borderId="30" xfId="0" applyFont="1" applyBorder="1" applyAlignment="1">
      <alignment horizontal="center"/>
    </xf>
    <xf numFmtId="2" fontId="8" fillId="0" borderId="0" xfId="0" applyNumberFormat="1" applyFont="1"/>
    <xf numFmtId="164" fontId="8" fillId="0" borderId="27" xfId="0" applyNumberFormat="1" applyFont="1" applyBorder="1" applyAlignment="1">
      <alignment horizontal="left"/>
    </xf>
    <xf numFmtId="164" fontId="11" fillId="0" borderId="30" xfId="0" applyNumberFormat="1" applyFont="1" applyBorder="1" applyAlignment="1">
      <alignment horizontal="left"/>
    </xf>
    <xf numFmtId="0" fontId="11" fillId="0" borderId="30" xfId="0" applyFont="1" applyBorder="1" applyAlignment="1">
      <alignment horizontal="left" vertical="center"/>
    </xf>
    <xf numFmtId="164" fontId="11" fillId="0" borderId="30" xfId="0" applyNumberFormat="1" applyFont="1" applyBorder="1" applyAlignment="1">
      <alignment horizontal="left" vertical="center"/>
    </xf>
    <xf numFmtId="164" fontId="8" fillId="0" borderId="30" xfId="1" applyNumberFormat="1" applyFont="1" applyFill="1" applyBorder="1" applyAlignment="1">
      <alignment horizontal="left"/>
    </xf>
    <xf numFmtId="164" fontId="8" fillId="0" borderId="30" xfId="1" applyNumberFormat="1" applyFont="1" applyBorder="1" applyAlignment="1">
      <alignment horizontal="left"/>
    </xf>
    <xf numFmtId="165" fontId="8" fillId="0" borderId="30" xfId="0" applyNumberFormat="1" applyFont="1" applyBorder="1" applyAlignment="1">
      <alignment horizontal="left"/>
    </xf>
    <xf numFmtId="2" fontId="18" fillId="0" borderId="30" xfId="0" applyNumberFormat="1" applyFont="1" applyBorder="1" applyAlignment="1">
      <alignment horizontal="left" vertical="center"/>
    </xf>
    <xf numFmtId="164" fontId="18" fillId="0" borderId="30" xfId="0" applyNumberFormat="1" applyFont="1" applyBorder="1" applyAlignment="1">
      <alignment horizontal="left" vertical="center"/>
    </xf>
    <xf numFmtId="0" fontId="18" fillId="0" borderId="30" xfId="0" applyFont="1" applyBorder="1" applyAlignment="1">
      <alignment horizontal="left" vertical="center"/>
    </xf>
    <xf numFmtId="0" fontId="8" fillId="0" borderId="30" xfId="0" applyFont="1" applyBorder="1" applyAlignment="1">
      <alignment horizontal="left" vertical="center"/>
    </xf>
    <xf numFmtId="2" fontId="8" fillId="0" borderId="30" xfId="0" applyNumberFormat="1" applyFont="1" applyBorder="1" applyAlignment="1">
      <alignment horizontal="left" vertical="center"/>
    </xf>
    <xf numFmtId="164" fontId="8" fillId="0" borderId="30" xfId="0" applyNumberFormat="1" applyFont="1" applyBorder="1" applyAlignment="1">
      <alignment horizontal="left" vertical="center"/>
    </xf>
    <xf numFmtId="164" fontId="8" fillId="0" borderId="33" xfId="0" applyNumberFormat="1" applyFont="1" applyBorder="1" applyAlignment="1">
      <alignment horizontal="left"/>
    </xf>
    <xf numFmtId="2" fontId="8" fillId="0" borderId="30" xfId="0" applyNumberFormat="1" applyFont="1" applyBorder="1" applyAlignment="1">
      <alignment horizontal="center"/>
    </xf>
    <xf numFmtId="164" fontId="8" fillId="0" borderId="30" xfId="0" applyNumberFormat="1" applyFont="1" applyBorder="1" applyAlignment="1">
      <alignment horizontal="center"/>
    </xf>
    <xf numFmtId="165" fontId="8" fillId="0" borderId="30" xfId="0" applyNumberFormat="1" applyFont="1" applyBorder="1" applyAlignment="1">
      <alignment horizontal="center"/>
    </xf>
    <xf numFmtId="2" fontId="8" fillId="0" borderId="30" xfId="0" applyNumberFormat="1" applyFont="1" applyBorder="1" applyAlignment="1">
      <alignment horizontal="center" vertical="center"/>
    </xf>
    <xf numFmtId="0" fontId="17" fillId="0" borderId="30" xfId="0" applyFont="1" applyBorder="1" applyAlignment="1">
      <alignment horizontal="center" vertical="center"/>
    </xf>
    <xf numFmtId="0" fontId="19" fillId="0" borderId="38" xfId="0" applyFont="1" applyBorder="1" applyAlignment="1">
      <alignment horizontal="center" vertical="center"/>
    </xf>
    <xf numFmtId="167" fontId="8" fillId="0" borderId="26" xfId="0" applyNumberFormat="1" applyFont="1" applyBorder="1"/>
    <xf numFmtId="0" fontId="8" fillId="0" borderId="27" xfId="0" quotePrefix="1" applyFont="1" applyBorder="1" applyAlignment="1">
      <alignment horizontal="right"/>
    </xf>
    <xf numFmtId="0" fontId="8" fillId="0" borderId="27" xfId="0" applyFont="1" applyBorder="1" applyAlignment="1">
      <alignment horizontal="right"/>
    </xf>
    <xf numFmtId="0" fontId="8" fillId="0" borderId="28" xfId="0" applyFont="1" applyBorder="1" applyAlignment="1">
      <alignment horizontal="right"/>
    </xf>
    <xf numFmtId="167" fontId="8" fillId="0" borderId="29" xfId="0" applyNumberFormat="1" applyFont="1" applyBorder="1"/>
    <xf numFmtId="49" fontId="8" fillId="0" borderId="30" xfId="0" quotePrefix="1" applyNumberFormat="1" applyFont="1" applyBorder="1" applyAlignment="1">
      <alignment horizontal="right"/>
    </xf>
    <xf numFmtId="0" fontId="8" fillId="0" borderId="30" xfId="0" quotePrefix="1" applyFont="1" applyBorder="1" applyAlignment="1">
      <alignment horizontal="right"/>
    </xf>
    <xf numFmtId="0" fontId="8" fillId="0" borderId="30" xfId="0" applyFont="1" applyBorder="1" applyAlignment="1">
      <alignment horizontal="right"/>
    </xf>
    <xf numFmtId="0" fontId="8" fillId="0" borderId="31" xfId="0" applyFont="1" applyBorder="1" applyAlignment="1">
      <alignment horizontal="right"/>
    </xf>
    <xf numFmtId="49" fontId="8" fillId="0" borderId="30" xfId="0" applyNumberFormat="1" applyFont="1" applyBorder="1" applyAlignment="1">
      <alignment horizontal="right"/>
    </xf>
    <xf numFmtId="167" fontId="8" fillId="0" borderId="32" xfId="0" applyNumberFormat="1" applyFont="1" applyBorder="1"/>
    <xf numFmtId="0" fontId="8" fillId="0" borderId="33" xfId="0" quotePrefix="1" applyFont="1" applyBorder="1" applyAlignment="1">
      <alignment horizontal="right"/>
    </xf>
    <xf numFmtId="49" fontId="8" fillId="0" borderId="33" xfId="0" applyNumberFormat="1" applyFont="1" applyBorder="1" applyAlignment="1">
      <alignment horizontal="right"/>
    </xf>
    <xf numFmtId="0" fontId="8" fillId="0" borderId="33" xfId="0" applyFont="1" applyBorder="1" applyAlignment="1">
      <alignment horizontal="right"/>
    </xf>
    <xf numFmtId="0" fontId="8" fillId="0" borderId="34" xfId="0" applyFont="1" applyBorder="1" applyAlignment="1">
      <alignment horizontal="right"/>
    </xf>
    <xf numFmtId="49" fontId="8" fillId="0" borderId="27" xfId="0" quotePrefix="1" applyNumberFormat="1" applyFont="1" applyBorder="1" applyAlignment="1">
      <alignment horizontal="center"/>
    </xf>
    <xf numFmtId="49" fontId="8" fillId="0" borderId="30" xfId="0" applyNumberFormat="1" applyFont="1" applyBorder="1" applyAlignment="1">
      <alignment horizontal="center" vertical="center"/>
    </xf>
    <xf numFmtId="49" fontId="8" fillId="0" borderId="33" xfId="0" quotePrefix="1" applyNumberFormat="1" applyFont="1" applyBorder="1" applyAlignment="1">
      <alignment horizontal="center"/>
    </xf>
    <xf numFmtId="49" fontId="8" fillId="0" borderId="0" xfId="0" applyNumberFormat="1" applyFont="1" applyAlignment="1">
      <alignment horizontal="center"/>
    </xf>
    <xf numFmtId="49" fontId="11" fillId="0" borderId="30" xfId="0" quotePrefix="1" applyNumberFormat="1" applyFont="1" applyBorder="1" applyAlignment="1">
      <alignment horizontal="center"/>
    </xf>
    <xf numFmtId="49" fontId="11" fillId="0" borderId="30" xfId="0" applyNumberFormat="1" applyFont="1" applyBorder="1" applyAlignment="1">
      <alignment horizontal="center"/>
    </xf>
    <xf numFmtId="49" fontId="10" fillId="0" borderId="3" xfId="0" applyNumberFormat="1" applyFont="1" applyBorder="1" applyAlignment="1">
      <alignment horizontal="center" vertical="center" textRotation="90" wrapText="1"/>
    </xf>
    <xf numFmtId="49" fontId="10" fillId="0" borderId="24" xfId="0" applyNumberFormat="1" applyFont="1" applyBorder="1" applyAlignment="1">
      <alignment horizontal="center" vertical="center" textRotation="90" wrapText="1"/>
    </xf>
    <xf numFmtId="49" fontId="10" fillId="0" borderId="24" xfId="0" applyNumberFormat="1" applyFont="1" applyBorder="1" applyAlignment="1">
      <alignment horizontal="right" vertical="center" textRotation="90"/>
    </xf>
    <xf numFmtId="49" fontId="10" fillId="0" borderId="49" xfId="0" applyNumberFormat="1" applyFont="1" applyBorder="1" applyAlignment="1">
      <alignment horizontal="center" vertical="center" textRotation="90"/>
    </xf>
    <xf numFmtId="49" fontId="10" fillId="0" borderId="24" xfId="0" applyNumberFormat="1" applyFont="1" applyBorder="1" applyAlignment="1">
      <alignment horizontal="center" vertical="center" textRotation="90"/>
    </xf>
    <xf numFmtId="49" fontId="8" fillId="0" borderId="33" xfId="0" applyNumberFormat="1" applyFont="1" applyBorder="1" applyAlignment="1">
      <alignment horizontal="center"/>
    </xf>
    <xf numFmtId="49" fontId="8" fillId="0" borderId="31" xfId="0" applyNumberFormat="1" applyFont="1" applyBorder="1" applyAlignment="1">
      <alignment horizontal="center"/>
    </xf>
    <xf numFmtId="49" fontId="10" fillId="0" borderId="49" xfId="0" applyNumberFormat="1" applyFont="1" applyBorder="1" applyAlignment="1">
      <alignment horizontal="right" vertical="center" textRotation="90"/>
    </xf>
    <xf numFmtId="49" fontId="8" fillId="0" borderId="30" xfId="0" applyNumberFormat="1" applyFont="1" applyBorder="1"/>
    <xf numFmtId="49" fontId="8" fillId="0" borderId="28" xfId="0" applyNumberFormat="1" applyFont="1" applyBorder="1" applyAlignment="1">
      <alignment horizontal="center"/>
    </xf>
    <xf numFmtId="0" fontId="8" fillId="0" borderId="30" xfId="0" quotePrefix="1" applyFont="1" applyBorder="1" applyAlignment="1">
      <alignment horizontal="center"/>
    </xf>
    <xf numFmtId="0" fontId="8" fillId="0" borderId="33" xfId="0" quotePrefix="1" applyFont="1" applyBorder="1" applyAlignment="1">
      <alignment horizontal="center"/>
    </xf>
    <xf numFmtId="49" fontId="8" fillId="0" borderId="34" xfId="0" applyNumberFormat="1" applyFont="1" applyBorder="1" applyAlignment="1">
      <alignment horizontal="center"/>
    </xf>
    <xf numFmtId="49" fontId="10" fillId="0" borderId="3" xfId="0" applyNumberFormat="1" applyFont="1" applyBorder="1" applyAlignment="1">
      <alignment horizontal="center" vertical="center" textRotation="90"/>
    </xf>
    <xf numFmtId="49" fontId="10" fillId="0" borderId="52" xfId="0" applyNumberFormat="1" applyFont="1" applyBorder="1" applyAlignment="1">
      <alignment horizontal="center" vertical="center" textRotation="90"/>
    </xf>
    <xf numFmtId="49" fontId="8" fillId="0" borderId="31" xfId="0" quotePrefix="1" applyNumberFormat="1" applyFont="1" applyBorder="1" applyAlignment="1">
      <alignment horizontal="center"/>
    </xf>
    <xf numFmtId="167" fontId="8" fillId="0" borderId="26" xfId="0" applyNumberFormat="1" applyFont="1" applyBorder="1" applyAlignment="1">
      <alignment horizontal="center" vertical="top"/>
    </xf>
    <xf numFmtId="49" fontId="8" fillId="0" borderId="27" xfId="0" applyNumberFormat="1" applyFont="1" applyBorder="1" applyAlignment="1">
      <alignment horizontal="center" vertical="top"/>
    </xf>
    <xf numFmtId="0" fontId="8" fillId="0" borderId="27" xfId="0" applyFont="1" applyBorder="1" applyAlignment="1">
      <alignment horizontal="center" vertical="top"/>
    </xf>
    <xf numFmtId="49" fontId="8" fillId="0" borderId="28" xfId="0" applyNumberFormat="1" applyFont="1" applyBorder="1" applyAlignment="1">
      <alignment horizontal="center" vertical="top"/>
    </xf>
    <xf numFmtId="0" fontId="8" fillId="0" borderId="0" xfId="0" applyFont="1" applyAlignment="1">
      <alignment horizontal="center" vertical="top"/>
    </xf>
    <xf numFmtId="167" fontId="8" fillId="0" borderId="29" xfId="0" applyNumberFormat="1" applyFont="1" applyBorder="1" applyAlignment="1">
      <alignment horizontal="center" vertical="top"/>
    </xf>
    <xf numFmtId="49" fontId="8" fillId="0" borderId="30" xfId="0" applyNumberFormat="1" applyFont="1" applyBorder="1" applyAlignment="1">
      <alignment horizontal="center" vertical="top"/>
    </xf>
    <xf numFmtId="0" fontId="8" fillId="0" borderId="30" xfId="0" applyFont="1" applyBorder="1" applyAlignment="1">
      <alignment horizontal="center" vertical="top"/>
    </xf>
    <xf numFmtId="49" fontId="8" fillId="0" borderId="31" xfId="0" applyNumberFormat="1" applyFont="1" applyBorder="1" applyAlignment="1">
      <alignment horizontal="center" vertical="top"/>
    </xf>
    <xf numFmtId="49" fontId="8" fillId="0" borderId="30" xfId="0" quotePrefix="1" applyNumberFormat="1" applyFont="1" applyBorder="1" applyAlignment="1">
      <alignment horizontal="center" vertical="top"/>
    </xf>
    <xf numFmtId="0" fontId="8" fillId="0" borderId="30" xfId="0" quotePrefix="1" applyFont="1" applyBorder="1" applyAlignment="1">
      <alignment horizontal="center" vertical="top"/>
    </xf>
    <xf numFmtId="167" fontId="8" fillId="0" borderId="32" xfId="0" applyNumberFormat="1" applyFont="1" applyBorder="1" applyAlignment="1">
      <alignment horizontal="center" vertical="top"/>
    </xf>
    <xf numFmtId="49" fontId="8" fillId="0" borderId="33" xfId="0" applyNumberFormat="1" applyFont="1" applyBorder="1" applyAlignment="1">
      <alignment horizontal="center" vertical="top"/>
    </xf>
    <xf numFmtId="0" fontId="8" fillId="0" borderId="33" xfId="0" applyFont="1" applyBorder="1" applyAlignment="1">
      <alignment horizontal="center" vertical="top"/>
    </xf>
    <xf numFmtId="49" fontId="8" fillId="0" borderId="34" xfId="0" applyNumberFormat="1" applyFont="1" applyBorder="1" applyAlignment="1">
      <alignment horizontal="center" vertical="top"/>
    </xf>
    <xf numFmtId="16" fontId="8" fillId="0" borderId="30" xfId="0" applyNumberFormat="1" applyFont="1" applyBorder="1" applyAlignment="1">
      <alignment horizontal="center"/>
    </xf>
    <xf numFmtId="2" fontId="8" fillId="0" borderId="27" xfId="0" applyNumberFormat="1" applyFont="1" applyBorder="1" applyAlignment="1">
      <alignment horizontal="center"/>
    </xf>
    <xf numFmtId="2" fontId="8" fillId="0" borderId="30" xfId="0" applyNumberFormat="1" applyFont="1" applyBorder="1" applyAlignment="1">
      <alignment horizontal="center" wrapText="1"/>
    </xf>
    <xf numFmtId="0" fontId="8" fillId="0" borderId="30" xfId="0" applyFont="1" applyBorder="1" applyAlignment="1">
      <alignment horizontal="center" wrapText="1"/>
    </xf>
    <xf numFmtId="2" fontId="8" fillId="0" borderId="33" xfId="0" applyNumberFormat="1" applyFont="1" applyBorder="1" applyAlignment="1">
      <alignment horizontal="center"/>
    </xf>
    <xf numFmtId="0" fontId="11" fillId="0" borderId="30" xfId="0" applyFont="1" applyBorder="1" applyAlignment="1">
      <alignment horizontal="center"/>
    </xf>
    <xf numFmtId="2" fontId="11" fillId="0" borderId="30" xfId="0" applyNumberFormat="1" applyFont="1" applyBorder="1" applyAlignment="1">
      <alignment horizontal="center"/>
    </xf>
    <xf numFmtId="16" fontId="11" fillId="0" borderId="30" xfId="0" applyNumberFormat="1" applyFont="1" applyBorder="1" applyAlignment="1">
      <alignment horizontal="center"/>
    </xf>
    <xf numFmtId="49" fontId="10" fillId="0" borderId="53" xfId="0" applyNumberFormat="1" applyFont="1" applyBorder="1" applyAlignment="1">
      <alignment horizontal="center" vertical="center" textRotation="90"/>
    </xf>
    <xf numFmtId="0" fontId="17" fillId="0" borderId="30" xfId="0" applyFont="1" applyBorder="1" applyAlignment="1">
      <alignment horizontal="center"/>
    </xf>
    <xf numFmtId="0" fontId="29" fillId="0" borderId="0" xfId="0" applyFont="1" applyAlignment="1">
      <alignment vertical="center"/>
    </xf>
    <xf numFmtId="0" fontId="28" fillId="0" borderId="0" xfId="0" applyFont="1" applyAlignment="1">
      <alignment vertical="center"/>
    </xf>
    <xf numFmtId="1" fontId="8" fillId="0" borderId="30" xfId="0" applyNumberFormat="1" applyFont="1" applyBorder="1" applyAlignment="1">
      <alignment horizontal="center"/>
    </xf>
    <xf numFmtId="2" fontId="17" fillId="0" borderId="27" xfId="0" applyNumberFormat="1" applyFont="1" applyBorder="1" applyAlignment="1">
      <alignment horizontal="center"/>
    </xf>
    <xf numFmtId="0" fontId="17" fillId="0" borderId="27" xfId="0" applyFont="1" applyBorder="1" applyAlignment="1">
      <alignment horizontal="center"/>
    </xf>
    <xf numFmtId="2" fontId="17" fillId="0" borderId="30" xfId="0" applyNumberFormat="1" applyFont="1" applyBorder="1" applyAlignment="1">
      <alignment horizontal="center"/>
    </xf>
    <xf numFmtId="1" fontId="17" fillId="0" borderId="30" xfId="0" applyNumberFormat="1" applyFont="1" applyBorder="1" applyAlignment="1">
      <alignment horizontal="center"/>
    </xf>
    <xf numFmtId="2" fontId="17" fillId="0" borderId="33" xfId="0" applyNumberFormat="1" applyFont="1" applyBorder="1" applyAlignment="1">
      <alignment horizontal="center"/>
    </xf>
    <xf numFmtId="1" fontId="17" fillId="0" borderId="33" xfId="0" applyNumberFormat="1" applyFont="1" applyBorder="1" applyAlignment="1">
      <alignment horizontal="center"/>
    </xf>
    <xf numFmtId="0" fontId="7" fillId="0" borderId="8" xfId="0" applyFont="1" applyBorder="1"/>
    <xf numFmtId="0" fontId="8" fillId="0" borderId="24" xfId="0" applyFont="1" applyBorder="1" applyAlignment="1">
      <alignment horizontal="center" vertical="center"/>
    </xf>
    <xf numFmtId="167" fontId="1" fillId="0" borderId="27" xfId="0" applyNumberFormat="1" applyFont="1" applyBorder="1" applyAlignment="1">
      <alignment horizontal="center"/>
    </xf>
    <xf numFmtId="1" fontId="1" fillId="0" borderId="27" xfId="0" applyNumberFormat="1" applyFont="1" applyBorder="1" applyAlignment="1">
      <alignment horizontal="center"/>
    </xf>
    <xf numFmtId="0" fontId="0" fillId="0" borderId="27" xfId="0" applyBorder="1" applyAlignment="1">
      <alignment horizontal="center"/>
    </xf>
    <xf numFmtId="0" fontId="0" fillId="0" borderId="28" xfId="0" applyBorder="1"/>
    <xf numFmtId="167" fontId="1" fillId="0" borderId="30" xfId="0" applyNumberFormat="1" applyFont="1" applyBorder="1" applyAlignment="1">
      <alignment horizontal="center"/>
    </xf>
    <xf numFmtId="1" fontId="1" fillId="0" borderId="30" xfId="0" applyNumberFormat="1" applyFont="1" applyBorder="1" applyAlignment="1">
      <alignment horizontal="center"/>
    </xf>
    <xf numFmtId="0" fontId="0" fillId="0" borderId="30" xfId="0" applyBorder="1" applyAlignment="1">
      <alignment horizontal="center"/>
    </xf>
    <xf numFmtId="0" fontId="0" fillId="0" borderId="31" xfId="0" applyBorder="1"/>
    <xf numFmtId="0" fontId="1" fillId="0" borderId="30" xfId="0" applyFont="1" applyBorder="1" applyAlignment="1">
      <alignment horizontal="center"/>
    </xf>
    <xf numFmtId="2" fontId="0" fillId="0" borderId="30" xfId="0" applyNumberFormat="1" applyBorder="1"/>
    <xf numFmtId="167" fontId="1" fillId="0" borderId="29" xfId="2" applyNumberFormat="1" applyFont="1" applyBorder="1" applyAlignment="1">
      <alignment horizontal="center"/>
    </xf>
    <xf numFmtId="167" fontId="1" fillId="0" borderId="30" xfId="2" applyNumberFormat="1" applyFont="1" applyBorder="1" applyAlignment="1">
      <alignment horizontal="center"/>
    </xf>
    <xf numFmtId="2" fontId="1" fillId="0" borderId="30" xfId="2" applyNumberFormat="1" applyFont="1" applyBorder="1" applyAlignment="1">
      <alignment horizontal="center"/>
    </xf>
    <xf numFmtId="0" fontId="1" fillId="0" borderId="30" xfId="2" applyFont="1" applyBorder="1" applyAlignment="1">
      <alignment horizontal="center"/>
    </xf>
    <xf numFmtId="1" fontId="1" fillId="0" borderId="30" xfId="2" applyNumberFormat="1" applyFont="1" applyBorder="1" applyAlignment="1">
      <alignment horizontal="center"/>
    </xf>
    <xf numFmtId="167" fontId="1" fillId="0" borderId="32" xfId="2" applyNumberFormat="1" applyFont="1" applyBorder="1" applyAlignment="1">
      <alignment horizontal="center"/>
    </xf>
    <xf numFmtId="167" fontId="1" fillId="0" borderId="33" xfId="2" applyNumberFormat="1" applyFont="1" applyBorder="1" applyAlignment="1">
      <alignment horizontal="center"/>
    </xf>
    <xf numFmtId="2" fontId="1" fillId="0" borderId="33" xfId="2" applyNumberFormat="1" applyFont="1" applyBorder="1" applyAlignment="1">
      <alignment horizontal="center"/>
    </xf>
    <xf numFmtId="0" fontId="1" fillId="0" borderId="33" xfId="2" applyFont="1" applyBorder="1" applyAlignment="1">
      <alignment horizontal="center"/>
    </xf>
    <xf numFmtId="0" fontId="0" fillId="0" borderId="34" xfId="0" applyBorder="1"/>
    <xf numFmtId="0" fontId="28" fillId="0" borderId="8" xfId="0" applyFont="1" applyBorder="1" applyAlignment="1">
      <alignment vertical="center" wrapText="1"/>
    </xf>
    <xf numFmtId="0" fontId="28" fillId="0" borderId="0" xfId="0" applyFont="1" applyAlignment="1">
      <alignment vertical="center" wrapText="1"/>
    </xf>
    <xf numFmtId="0" fontId="8" fillId="0" borderId="55" xfId="0" applyFont="1" applyBorder="1"/>
    <xf numFmtId="0" fontId="8" fillId="0" borderId="56" xfId="0" applyFont="1" applyBorder="1"/>
    <xf numFmtId="0" fontId="27" fillId="0" borderId="33" xfId="0" applyFont="1" applyBorder="1" applyAlignment="1">
      <alignment horizontal="center"/>
    </xf>
    <xf numFmtId="0" fontId="0" fillId="0" borderId="0" xfId="0" applyAlignment="1">
      <alignment horizontal="center"/>
    </xf>
    <xf numFmtId="167" fontId="33" fillId="0" borderId="26" xfId="0" applyNumberFormat="1" applyFont="1" applyBorder="1" applyAlignment="1">
      <alignment horizontal="center"/>
    </xf>
    <xf numFmtId="167" fontId="33" fillId="4" borderId="27" xfId="0" applyNumberFormat="1" applyFont="1" applyFill="1" applyBorder="1" applyAlignment="1">
      <alignment horizontal="center"/>
    </xf>
    <xf numFmtId="1" fontId="33" fillId="4" borderId="27" xfId="0" applyNumberFormat="1" applyFont="1" applyFill="1" applyBorder="1" applyAlignment="1">
      <alignment horizontal="center"/>
    </xf>
    <xf numFmtId="0" fontId="0" fillId="0" borderId="28" xfId="0" applyBorder="1" applyAlignment="1">
      <alignment horizontal="center"/>
    </xf>
    <xf numFmtId="167" fontId="33" fillId="0" borderId="29" xfId="0" applyNumberFormat="1" applyFont="1" applyBorder="1" applyAlignment="1">
      <alignment horizontal="center"/>
    </xf>
    <xf numFmtId="167" fontId="33" fillId="4" borderId="30" xfId="0" applyNumberFormat="1" applyFont="1" applyFill="1" applyBorder="1" applyAlignment="1">
      <alignment horizontal="center"/>
    </xf>
    <xf numFmtId="1" fontId="33" fillId="4" borderId="30" xfId="0" applyNumberFormat="1" applyFont="1" applyFill="1" applyBorder="1" applyAlignment="1">
      <alignment horizontal="center"/>
    </xf>
    <xf numFmtId="0" fontId="33" fillId="6" borderId="30" xfId="0" applyFont="1" applyFill="1" applyBorder="1" applyAlignment="1">
      <alignment horizontal="center"/>
    </xf>
    <xf numFmtId="0" fontId="33" fillId="4" borderId="30" xfId="0" applyFont="1" applyFill="1" applyBorder="1" applyAlignment="1">
      <alignment horizontal="center"/>
    </xf>
    <xf numFmtId="0" fontId="33" fillId="0" borderId="30" xfId="0" applyFont="1" applyBorder="1" applyAlignment="1">
      <alignment horizontal="center"/>
    </xf>
    <xf numFmtId="164" fontId="33" fillId="6" borderId="30" xfId="0" applyNumberFormat="1" applyFont="1" applyFill="1" applyBorder="1" applyAlignment="1">
      <alignment horizontal="center"/>
    </xf>
    <xf numFmtId="2" fontId="33" fillId="6" borderId="30" xfId="0" applyNumberFormat="1" applyFont="1" applyFill="1" applyBorder="1" applyAlignment="1">
      <alignment horizontal="center"/>
    </xf>
    <xf numFmtId="2" fontId="33" fillId="4" borderId="30" xfId="0" applyNumberFormat="1" applyFont="1" applyFill="1" applyBorder="1" applyAlignment="1">
      <alignment horizontal="center"/>
    </xf>
    <xf numFmtId="1" fontId="33" fillId="7" borderId="30" xfId="0" applyNumberFormat="1" applyFont="1" applyFill="1" applyBorder="1" applyAlignment="1">
      <alignment horizontal="center"/>
    </xf>
    <xf numFmtId="164" fontId="33" fillId="4" borderId="30" xfId="0" applyNumberFormat="1" applyFont="1" applyFill="1" applyBorder="1" applyAlignment="1">
      <alignment horizontal="center"/>
    </xf>
    <xf numFmtId="167" fontId="33" fillId="0" borderId="32" xfId="0" applyNumberFormat="1" applyFont="1" applyBorder="1" applyAlignment="1">
      <alignment horizontal="center"/>
    </xf>
    <xf numFmtId="167" fontId="33" fillId="4" borderId="33" xfId="0" applyNumberFormat="1" applyFont="1" applyFill="1" applyBorder="1" applyAlignment="1">
      <alignment horizontal="center"/>
    </xf>
    <xf numFmtId="1" fontId="33" fillId="7" borderId="33" xfId="0" applyNumberFormat="1" applyFont="1" applyFill="1" applyBorder="1" applyAlignment="1">
      <alignment horizontal="center"/>
    </xf>
    <xf numFmtId="0" fontId="33" fillId="0" borderId="33" xfId="0" applyFont="1" applyBorder="1" applyAlignment="1">
      <alignment horizontal="center"/>
    </xf>
    <xf numFmtId="0" fontId="33" fillId="4" borderId="33" xfId="0" applyFont="1" applyFill="1" applyBorder="1" applyAlignment="1">
      <alignment horizontal="center"/>
    </xf>
    <xf numFmtId="2" fontId="33" fillId="6" borderId="33" xfId="0" applyNumberFormat="1" applyFont="1" applyFill="1" applyBorder="1" applyAlignment="1">
      <alignment horizontal="center"/>
    </xf>
    <xf numFmtId="2" fontId="19" fillId="0" borderId="38" xfId="0" applyNumberFormat="1" applyFont="1" applyBorder="1" applyAlignment="1">
      <alignment horizontal="center" vertical="center"/>
    </xf>
    <xf numFmtId="0" fontId="19" fillId="0" borderId="35" xfId="0" applyFont="1" applyBorder="1" applyAlignment="1">
      <alignment horizontal="center" vertical="center"/>
    </xf>
    <xf numFmtId="2" fontId="19" fillId="0" borderId="24" xfId="0" applyNumberFormat="1" applyFont="1" applyBorder="1" applyAlignment="1">
      <alignment horizontal="center" vertical="center"/>
    </xf>
    <xf numFmtId="164" fontId="1" fillId="0" borderId="27" xfId="0" applyNumberFormat="1" applyFont="1" applyBorder="1" applyAlignment="1">
      <alignment horizontal="center"/>
    </xf>
    <xf numFmtId="0" fontId="1" fillId="0" borderId="27" xfId="0" applyFont="1" applyBorder="1" applyAlignment="1">
      <alignment horizontal="center"/>
    </xf>
    <xf numFmtId="2" fontId="1" fillId="0" borderId="27" xfId="0" applyNumberFormat="1" applyFont="1" applyBorder="1" applyAlignment="1">
      <alignment horizontal="center"/>
    </xf>
    <xf numFmtId="164" fontId="1" fillId="0" borderId="30" xfId="0" applyNumberFormat="1" applyFont="1" applyBorder="1" applyAlignment="1">
      <alignment horizontal="center"/>
    </xf>
    <xf numFmtId="0" fontId="0" fillId="0" borderId="30" xfId="0" applyBorder="1"/>
    <xf numFmtId="167" fontId="1" fillId="0" borderId="30" xfId="3" applyNumberFormat="1" applyBorder="1" applyAlignment="1">
      <alignment horizontal="center"/>
    </xf>
    <xf numFmtId="1" fontId="1" fillId="0" borderId="30" xfId="3" applyNumberFormat="1" applyBorder="1" applyAlignment="1">
      <alignment horizontal="center"/>
    </xf>
    <xf numFmtId="0" fontId="1" fillId="0" borderId="30" xfId="3" applyBorder="1" applyAlignment="1">
      <alignment horizontal="center"/>
    </xf>
    <xf numFmtId="0" fontId="6" fillId="0" borderId="30" xfId="3" applyFont="1" applyBorder="1" applyAlignment="1">
      <alignment horizontal="center"/>
    </xf>
    <xf numFmtId="2" fontId="1" fillId="0" borderId="30" xfId="3" applyNumberFormat="1" applyBorder="1" applyAlignment="1">
      <alignment horizontal="center"/>
    </xf>
    <xf numFmtId="2" fontId="6" fillId="0" borderId="30" xfId="3" applyNumberFormat="1" applyFont="1" applyBorder="1" applyAlignment="1">
      <alignment horizontal="center"/>
    </xf>
    <xf numFmtId="164" fontId="1" fillId="0" borderId="30" xfId="3" applyNumberFormat="1" applyBorder="1" applyAlignment="1">
      <alignment horizontal="center"/>
    </xf>
    <xf numFmtId="0" fontId="6" fillId="0" borderId="30" xfId="0" applyFont="1" applyBorder="1" applyAlignment="1">
      <alignment horizontal="center"/>
    </xf>
    <xf numFmtId="2" fontId="6" fillId="0" borderId="30" xfId="0" applyNumberFormat="1" applyFont="1" applyBorder="1" applyAlignment="1">
      <alignment horizontal="center"/>
    </xf>
    <xf numFmtId="0" fontId="0" fillId="0" borderId="31" xfId="0" applyBorder="1" applyAlignment="1">
      <alignment horizontal="center" vertical="center"/>
    </xf>
    <xf numFmtId="167" fontId="1" fillId="0" borderId="33" xfId="0" applyNumberFormat="1" applyFont="1" applyBorder="1" applyAlignment="1">
      <alignment horizontal="center"/>
    </xf>
    <xf numFmtId="1" fontId="1" fillId="0" borderId="33" xfId="0" applyNumberFormat="1" applyFont="1" applyBorder="1" applyAlignment="1">
      <alignment horizontal="center"/>
    </xf>
    <xf numFmtId="0" fontId="0" fillId="0" borderId="33" xfId="0" applyBorder="1"/>
    <xf numFmtId="0" fontId="6" fillId="0" borderId="33" xfId="0" applyFont="1" applyBorder="1" applyAlignment="1">
      <alignment horizontal="center"/>
    </xf>
    <xf numFmtId="2" fontId="1" fillId="0" borderId="33" xfId="0" applyNumberFormat="1" applyFont="1" applyBorder="1" applyAlignment="1">
      <alignment horizontal="center"/>
    </xf>
    <xf numFmtId="0" fontId="1" fillId="0" borderId="33" xfId="0" applyFont="1" applyBorder="1" applyAlignment="1">
      <alignment horizontal="center"/>
    </xf>
    <xf numFmtId="0" fontId="0" fillId="0" borderId="34" xfId="0" applyBorder="1" applyAlignment="1">
      <alignment horizontal="center"/>
    </xf>
    <xf numFmtId="0" fontId="25" fillId="0" borderId="0" xfId="0" applyFont="1"/>
    <xf numFmtId="2" fontId="0" fillId="0" borderId="0" xfId="0" applyNumberFormat="1"/>
    <xf numFmtId="166" fontId="0" fillId="0" borderId="0" xfId="0" applyNumberFormat="1"/>
    <xf numFmtId="0" fontId="6" fillId="0" borderId="0" xfId="0" applyFont="1"/>
    <xf numFmtId="167" fontId="34" fillId="0" borderId="26" xfId="0" applyNumberFormat="1" applyFont="1" applyBorder="1" applyAlignment="1">
      <alignment horizontal="center"/>
    </xf>
    <xf numFmtId="167" fontId="34" fillId="0" borderId="27" xfId="0" applyNumberFormat="1" applyFont="1" applyBorder="1" applyAlignment="1">
      <alignment horizontal="center"/>
    </xf>
    <xf numFmtId="2" fontId="34" fillId="0" borderId="27" xfId="0" applyNumberFormat="1" applyFont="1" applyBorder="1" applyAlignment="1">
      <alignment horizontal="center"/>
    </xf>
    <xf numFmtId="1" fontId="34" fillId="0" borderId="27" xfId="0" applyNumberFormat="1" applyFont="1" applyBorder="1" applyAlignment="1">
      <alignment horizontal="center"/>
    </xf>
    <xf numFmtId="0" fontId="35" fillId="0" borderId="27" xfId="0" applyFont="1" applyBorder="1" applyAlignment="1">
      <alignment horizontal="center"/>
    </xf>
    <xf numFmtId="0" fontId="34" fillId="0" borderId="27" xfId="0" applyFont="1" applyBorder="1" applyAlignment="1">
      <alignment horizontal="center"/>
    </xf>
    <xf numFmtId="0" fontId="35" fillId="0" borderId="28" xfId="0" applyFont="1" applyBorder="1" applyAlignment="1">
      <alignment horizontal="center" vertical="center"/>
    </xf>
    <xf numFmtId="167" fontId="34" fillId="0" borderId="29" xfId="0" applyNumberFormat="1" applyFont="1" applyBorder="1" applyAlignment="1">
      <alignment horizontal="center"/>
    </xf>
    <xf numFmtId="167" fontId="34" fillId="0" borderId="30" xfId="0" applyNumberFormat="1" applyFont="1" applyBorder="1" applyAlignment="1">
      <alignment horizontal="center"/>
    </xf>
    <xf numFmtId="2" fontId="34" fillId="0" borderId="30" xfId="0" applyNumberFormat="1" applyFont="1" applyBorder="1" applyAlignment="1">
      <alignment horizontal="center"/>
    </xf>
    <xf numFmtId="1" fontId="34" fillId="0" borderId="30" xfId="0" applyNumberFormat="1" applyFont="1" applyBorder="1" applyAlignment="1">
      <alignment horizontal="center"/>
    </xf>
    <xf numFmtId="0" fontId="35" fillId="0" borderId="30" xfId="0" applyFont="1" applyBorder="1" applyAlignment="1">
      <alignment horizontal="center"/>
    </xf>
    <xf numFmtId="0" fontId="34" fillId="0" borderId="30" xfId="0" applyFont="1" applyBorder="1" applyAlignment="1">
      <alignment horizontal="center"/>
    </xf>
    <xf numFmtId="1" fontId="35" fillId="0" borderId="31" xfId="0" applyNumberFormat="1" applyFont="1" applyBorder="1" applyAlignment="1">
      <alignment horizontal="center" vertical="center"/>
    </xf>
    <xf numFmtId="0" fontId="36" fillId="0" borderId="30" xfId="0" applyFont="1" applyBorder="1" applyAlignment="1">
      <alignment horizontal="center"/>
    </xf>
    <xf numFmtId="0" fontId="35" fillId="0" borderId="30" xfId="0" applyFont="1" applyBorder="1"/>
    <xf numFmtId="2" fontId="35" fillId="0" borderId="30" xfId="0" applyNumberFormat="1" applyFont="1" applyBorder="1" applyAlignment="1">
      <alignment horizontal="center"/>
    </xf>
    <xf numFmtId="2" fontId="35" fillId="0" borderId="30" xfId="0" applyNumberFormat="1" applyFont="1" applyBorder="1"/>
    <xf numFmtId="0" fontId="37" fillId="0" borderId="30" xfId="0" applyFont="1" applyBorder="1" applyAlignment="1">
      <alignment horizontal="center"/>
    </xf>
    <xf numFmtId="167" fontId="34" fillId="0" borderId="32" xfId="0" applyNumberFormat="1" applyFont="1" applyBorder="1" applyAlignment="1">
      <alignment horizontal="center"/>
    </xf>
    <xf numFmtId="167" fontId="34" fillId="0" borderId="33" xfId="0" applyNumberFormat="1" applyFont="1" applyBorder="1" applyAlignment="1">
      <alignment horizontal="center"/>
    </xf>
    <xf numFmtId="0" fontId="35" fillId="0" borderId="33" xfId="0" applyFont="1" applyBorder="1"/>
    <xf numFmtId="0" fontId="35" fillId="0" borderId="33" xfId="0" applyFont="1" applyBorder="1" applyAlignment="1">
      <alignment horizontal="center"/>
    </xf>
    <xf numFmtId="2" fontId="35" fillId="0" borderId="33" xfId="0" applyNumberFormat="1" applyFont="1" applyBorder="1"/>
    <xf numFmtId="0" fontId="36" fillId="0" borderId="33" xfId="0" applyFont="1" applyBorder="1"/>
    <xf numFmtId="1" fontId="35" fillId="0" borderId="34" xfId="0" applyNumberFormat="1" applyFont="1" applyBorder="1" applyAlignment="1">
      <alignment horizontal="center" vertical="center"/>
    </xf>
    <xf numFmtId="167" fontId="38" fillId="0" borderId="26" xfId="0" applyNumberFormat="1" applyFont="1" applyBorder="1" applyAlignment="1">
      <alignment horizontal="center"/>
    </xf>
    <xf numFmtId="167" fontId="38" fillId="0" borderId="27" xfId="0" applyNumberFormat="1" applyFont="1" applyBorder="1" applyAlignment="1">
      <alignment horizontal="center"/>
    </xf>
    <xf numFmtId="1" fontId="38" fillId="0" borderId="27" xfId="0" applyNumberFormat="1" applyFont="1" applyBorder="1" applyAlignment="1">
      <alignment horizontal="center"/>
    </xf>
    <xf numFmtId="2" fontId="38" fillId="0" borderId="27" xfId="0" applyNumberFormat="1" applyFont="1" applyBorder="1" applyAlignment="1">
      <alignment horizontal="center"/>
    </xf>
    <xf numFmtId="0" fontId="39" fillId="0" borderId="27" xfId="0" applyFont="1" applyBorder="1" applyAlignment="1">
      <alignment horizontal="center"/>
    </xf>
    <xf numFmtId="0" fontId="38" fillId="0" borderId="27" xfId="0" applyFont="1" applyBorder="1" applyAlignment="1">
      <alignment horizontal="center"/>
    </xf>
    <xf numFmtId="0" fontId="40" fillId="0" borderId="28" xfId="0" applyFont="1" applyBorder="1" applyAlignment="1">
      <alignment wrapText="1"/>
    </xf>
    <xf numFmtId="167" fontId="38" fillId="0" borderId="29" xfId="0" applyNumberFormat="1" applyFont="1" applyBorder="1" applyAlignment="1">
      <alignment horizontal="center"/>
    </xf>
    <xf numFmtId="167" fontId="38" fillId="0" borderId="30" xfId="0" applyNumberFormat="1" applyFont="1" applyBorder="1" applyAlignment="1">
      <alignment horizontal="center"/>
    </xf>
    <xf numFmtId="1" fontId="38" fillId="0" borderId="30" xfId="0" applyNumberFormat="1" applyFont="1" applyBorder="1" applyAlignment="1">
      <alignment horizontal="center"/>
    </xf>
    <xf numFmtId="0" fontId="35" fillId="0" borderId="31" xfId="0" applyFont="1" applyBorder="1"/>
    <xf numFmtId="167" fontId="41" fillId="0" borderId="30" xfId="0" applyNumberFormat="1" applyFont="1" applyBorder="1" applyAlignment="1">
      <alignment horizontal="center"/>
    </xf>
    <xf numFmtId="0" fontId="41" fillId="0" borderId="30" xfId="0" applyFont="1" applyBorder="1" applyAlignment="1">
      <alignment horizontal="center"/>
    </xf>
    <xf numFmtId="2" fontId="38" fillId="0" borderId="30" xfId="0" applyNumberFormat="1" applyFont="1" applyBorder="1" applyAlignment="1">
      <alignment horizontal="center"/>
    </xf>
    <xf numFmtId="0" fontId="38" fillId="0" borderId="30" xfId="0" applyFont="1" applyBorder="1" applyAlignment="1">
      <alignment horizontal="center"/>
    </xf>
    <xf numFmtId="49" fontId="38" fillId="0" borderId="30" xfId="0" applyNumberFormat="1" applyFont="1" applyBorder="1" applyAlignment="1">
      <alignment horizontal="center"/>
    </xf>
    <xf numFmtId="2" fontId="41" fillId="0" borderId="30" xfId="0" applyNumberFormat="1" applyFont="1" applyBorder="1" applyAlignment="1">
      <alignment horizontal="center"/>
    </xf>
    <xf numFmtId="1" fontId="41" fillId="0" borderId="30" xfId="0" applyNumberFormat="1" applyFont="1" applyBorder="1" applyAlignment="1">
      <alignment horizontal="center"/>
    </xf>
    <xf numFmtId="167" fontId="38" fillId="0" borderId="32" xfId="0" applyNumberFormat="1" applyFont="1" applyBorder="1" applyAlignment="1">
      <alignment horizontal="center"/>
    </xf>
    <xf numFmtId="167" fontId="38" fillId="0" borderId="33" xfId="0" applyNumberFormat="1" applyFont="1" applyBorder="1" applyAlignment="1">
      <alignment horizontal="center"/>
    </xf>
    <xf numFmtId="1" fontId="38" fillId="0" borderId="33" xfId="0" applyNumberFormat="1" applyFont="1" applyBorder="1" applyAlignment="1">
      <alignment horizontal="center"/>
    </xf>
    <xf numFmtId="2" fontId="38" fillId="0" borderId="33" xfId="0" applyNumberFormat="1" applyFont="1" applyBorder="1" applyAlignment="1">
      <alignment horizontal="center"/>
    </xf>
    <xf numFmtId="0" fontId="41" fillId="0" borderId="33" xfId="0" applyFont="1" applyBorder="1" applyAlignment="1">
      <alignment horizontal="center"/>
    </xf>
    <xf numFmtId="0" fontId="38" fillId="0" borderId="33" xfId="0" applyFont="1" applyBorder="1" applyAlignment="1">
      <alignment horizontal="center"/>
    </xf>
    <xf numFmtId="0" fontId="35" fillId="0" borderId="34" xfId="0" applyFont="1" applyBorder="1"/>
    <xf numFmtId="167" fontId="34" fillId="0" borderId="58" xfId="0" applyNumberFormat="1" applyFont="1" applyBorder="1" applyAlignment="1">
      <alignment horizontal="center"/>
    </xf>
    <xf numFmtId="167" fontId="34" fillId="0" borderId="59" xfId="0" applyNumberFormat="1" applyFont="1" applyBorder="1" applyAlignment="1">
      <alignment horizontal="center"/>
    </xf>
    <xf numFmtId="0" fontId="34" fillId="0" borderId="57" xfId="0" applyFont="1" applyBorder="1" applyAlignment="1">
      <alignment horizontal="center"/>
    </xf>
    <xf numFmtId="167" fontId="0" fillId="0" borderId="4" xfId="0" applyNumberFormat="1" applyBorder="1" applyAlignment="1">
      <alignment horizontal="right" vertical="center"/>
    </xf>
    <xf numFmtId="167" fontId="1" fillId="0" borderId="1" xfId="0" applyNumberFormat="1" applyFont="1" applyBorder="1" applyAlignment="1">
      <alignment horizontal="center"/>
    </xf>
    <xf numFmtId="1" fontId="1" fillId="0" borderId="1" xfId="0" applyNumberFormat="1" applyFont="1" applyBorder="1" applyAlignment="1">
      <alignment horizontal="center"/>
    </xf>
    <xf numFmtId="167" fontId="6" fillId="0" borderId="1" xfId="0" applyNumberFormat="1" applyFont="1" applyBorder="1" applyAlignment="1">
      <alignment horizontal="center"/>
    </xf>
    <xf numFmtId="1" fontId="6" fillId="0" borderId="1" xfId="0" applyNumberFormat="1" applyFont="1" applyBorder="1" applyAlignment="1">
      <alignment horizontal="center"/>
    </xf>
    <xf numFmtId="2" fontId="1" fillId="0" borderId="1" xfId="0" applyNumberFormat="1" applyFont="1" applyBorder="1" applyAlignment="1">
      <alignment horizontal="center"/>
    </xf>
    <xf numFmtId="164" fontId="1" fillId="0" borderId="1" xfId="0" applyNumberFormat="1" applyFont="1" applyBorder="1" applyAlignment="1">
      <alignment horizontal="center"/>
    </xf>
    <xf numFmtId="0" fontId="19" fillId="0" borderId="11" xfId="0" applyFont="1" applyBorder="1" applyAlignment="1">
      <alignment horizontal="center" vertical="center"/>
    </xf>
    <xf numFmtId="0" fontId="0" fillId="0" borderId="1" xfId="0" applyBorder="1" applyAlignment="1">
      <alignment horizontal="center"/>
    </xf>
    <xf numFmtId="0" fontId="0" fillId="0" borderId="11" xfId="0" applyBorder="1" applyAlignment="1">
      <alignment horizontal="center"/>
    </xf>
    <xf numFmtId="0" fontId="19" fillId="0" borderId="3" xfId="0" applyFont="1" applyBorder="1" applyAlignment="1">
      <alignment horizontal="center" vertical="center"/>
    </xf>
    <xf numFmtId="1" fontId="1" fillId="0" borderId="1" xfId="2" applyNumberFormat="1" applyFont="1" applyBorder="1" applyAlignment="1">
      <alignment horizontal="center"/>
    </xf>
    <xf numFmtId="2" fontId="1" fillId="0" borderId="1" xfId="2" applyNumberFormat="1" applyFont="1" applyBorder="1" applyAlignment="1">
      <alignment horizontal="center"/>
    </xf>
    <xf numFmtId="167" fontId="1" fillId="0" borderId="1" xfId="2" applyNumberFormat="1" applyFont="1" applyBorder="1" applyAlignment="1">
      <alignment horizontal="center"/>
    </xf>
    <xf numFmtId="164" fontId="1" fillId="0" borderId="1" xfId="2" applyNumberFormat="1" applyFont="1" applyBorder="1" applyAlignment="1">
      <alignment horizontal="center"/>
    </xf>
    <xf numFmtId="167" fontId="0" fillId="0" borderId="4" xfId="0" applyNumberFormat="1" applyBorder="1" applyAlignment="1">
      <alignment horizontal="center" vertical="center"/>
    </xf>
    <xf numFmtId="1" fontId="0" fillId="0" borderId="1" xfId="0" applyNumberFormat="1" applyBorder="1" applyAlignment="1">
      <alignment horizontal="center"/>
    </xf>
    <xf numFmtId="2" fontId="0" fillId="0" borderId="1" xfId="0" applyNumberFormat="1" applyBorder="1" applyAlignment="1">
      <alignment horizontal="center"/>
    </xf>
    <xf numFmtId="0" fontId="0" fillId="0" borderId="1" xfId="0" quotePrefix="1" applyBorder="1" applyAlignment="1">
      <alignment horizontal="center"/>
    </xf>
    <xf numFmtId="0" fontId="0" fillId="2" borderId="1" xfId="0" applyFill="1" applyBorder="1" applyAlignment="1">
      <alignment horizontal="center"/>
    </xf>
    <xf numFmtId="0" fontId="0" fillId="0" borderId="1" xfId="0"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0" fontId="14" fillId="2" borderId="2" xfId="0" applyFont="1" applyFill="1" applyBorder="1" applyAlignment="1">
      <alignment horizontal="center"/>
    </xf>
    <xf numFmtId="0" fontId="13" fillId="0" borderId="0" xfId="0" applyFont="1" applyAlignment="1">
      <alignment horizontal="left"/>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0" fillId="0" borderId="5" xfId="0" applyFont="1" applyBorder="1" applyAlignment="1">
      <alignment horizontal="center" wrapText="1"/>
    </xf>
    <xf numFmtId="0" fontId="10" fillId="0" borderId="6" xfId="0" applyFont="1" applyBorder="1" applyAlignment="1">
      <alignment horizontal="center" wrapText="1"/>
    </xf>
    <xf numFmtId="0" fontId="7" fillId="2" borderId="2" xfId="0" applyFont="1" applyFill="1" applyBorder="1" applyAlignment="1">
      <alignment horizontal="center"/>
    </xf>
    <xf numFmtId="0" fontId="9" fillId="0" borderId="1" xfId="0" applyFont="1" applyBorder="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wrapText="1"/>
    </xf>
    <xf numFmtId="0" fontId="9" fillId="0" borderId="1" xfId="0" applyFont="1" applyBorder="1" applyAlignment="1">
      <alignment horizontal="left"/>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15" fillId="2" borderId="2" xfId="0" applyFont="1" applyFill="1" applyBorder="1" applyAlignment="1">
      <alignment horizontal="center"/>
    </xf>
    <xf numFmtId="49" fontId="3" fillId="0" borderId="1" xfId="0" applyNumberFormat="1" applyFont="1" applyBorder="1" applyAlignment="1">
      <alignment horizontal="right" wrapText="1"/>
    </xf>
    <xf numFmtId="0" fontId="5" fillId="0" borderId="1" xfId="0" applyFont="1" applyBorder="1" applyAlignment="1">
      <alignment horizontal="center"/>
    </xf>
    <xf numFmtId="49" fontId="5"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49" fontId="10" fillId="0" borderId="1" xfId="0" applyNumberFormat="1" applyFont="1" applyBorder="1" applyAlignment="1">
      <alignment horizontal="right" wrapText="1"/>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9" fillId="0" borderId="3" xfId="0" applyFont="1" applyBorder="1" applyAlignment="1">
      <alignment horizontal="left"/>
    </xf>
    <xf numFmtId="0" fontId="9" fillId="0" borderId="4" xfId="0" applyFont="1" applyBorder="1" applyAlignment="1">
      <alignment horizontal="left"/>
    </xf>
    <xf numFmtId="0" fontId="10" fillId="0" borderId="1" xfId="0" applyFont="1" applyBorder="1" applyAlignment="1">
      <alignment horizontal="right" wrapText="1"/>
    </xf>
    <xf numFmtId="49" fontId="10" fillId="0" borderId="1" xfId="0" applyNumberFormat="1" applyFont="1" applyBorder="1" applyAlignment="1">
      <alignment horizontal="right" vertical="center" wrapText="1"/>
    </xf>
    <xf numFmtId="0" fontId="9" fillId="0" borderId="1" xfId="0" applyFont="1" applyBorder="1" applyAlignment="1">
      <alignment horizontal="left" vertical="center"/>
    </xf>
    <xf numFmtId="49" fontId="9" fillId="0" borderId="1" xfId="0" applyNumberFormat="1" applyFont="1" applyBorder="1" applyAlignment="1">
      <alignment horizontal="right" vertical="center" wrapText="1"/>
    </xf>
    <xf numFmtId="49" fontId="9" fillId="0" borderId="1" xfId="0" applyNumberFormat="1" applyFont="1" applyBorder="1" applyAlignment="1">
      <alignment horizontal="right" vertical="center"/>
    </xf>
    <xf numFmtId="49" fontId="10" fillId="0" borderId="1" xfId="0" applyNumberFormat="1" applyFont="1" applyBorder="1" applyAlignment="1">
      <alignment wrapText="1"/>
    </xf>
    <xf numFmtId="0" fontId="9" fillId="0" borderId="1" xfId="0" applyFont="1" applyBorder="1"/>
    <xf numFmtId="49" fontId="9" fillId="0" borderId="1" xfId="0" applyNumberFormat="1" applyFont="1" applyBorder="1" applyAlignment="1">
      <alignment vertical="center" wrapText="1"/>
    </xf>
    <xf numFmtId="49" fontId="9" fillId="0" borderId="1" xfId="0" applyNumberFormat="1" applyFont="1" applyBorder="1" applyAlignment="1">
      <alignment vertical="center"/>
    </xf>
    <xf numFmtId="0" fontId="29" fillId="2" borderId="0" xfId="0" applyFont="1" applyFill="1" applyAlignment="1">
      <alignment horizontal="center" vertical="center"/>
    </xf>
    <xf numFmtId="49" fontId="9" fillId="0" borderId="18" xfId="0" applyNumberFormat="1" applyFont="1" applyBorder="1" applyAlignment="1">
      <alignment horizontal="center" vertical="center" wrapText="1"/>
    </xf>
    <xf numFmtId="49" fontId="9" fillId="0" borderId="38" xfId="0" applyNumberFormat="1" applyFont="1" applyBorder="1" applyAlignment="1">
      <alignment horizontal="center" vertical="center" wrapText="1"/>
    </xf>
    <xf numFmtId="0" fontId="9" fillId="0" borderId="20" xfId="0" applyFont="1" applyBorder="1" applyAlignment="1">
      <alignment horizontal="center" vertical="center"/>
    </xf>
    <xf numFmtId="0" fontId="9" fillId="0" borderId="23" xfId="0" applyFont="1" applyBorder="1" applyAlignment="1">
      <alignment horizontal="center" vertical="center"/>
    </xf>
    <xf numFmtId="49" fontId="9" fillId="0" borderId="13" xfId="0" applyNumberFormat="1" applyFont="1" applyBorder="1" applyAlignment="1">
      <alignment horizontal="center" vertical="center" wrapText="1"/>
    </xf>
    <xf numFmtId="49" fontId="9" fillId="0" borderId="14"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49" fontId="9" fillId="0" borderId="36" xfId="0" applyNumberFormat="1" applyFont="1" applyBorder="1" applyAlignment="1">
      <alignment horizontal="center" vertical="center" wrapText="1"/>
    </xf>
    <xf numFmtId="49" fontId="10" fillId="0" borderId="15" xfId="0" applyNumberFormat="1" applyFont="1" applyBorder="1" applyAlignment="1">
      <alignment horizontal="center" vertical="center" wrapText="1"/>
    </xf>
    <xf numFmtId="49" fontId="10" fillId="0" borderId="16" xfId="0" applyNumberFormat="1" applyFont="1" applyBorder="1" applyAlignment="1">
      <alignment horizontal="center" vertical="center" wrapText="1"/>
    </xf>
    <xf numFmtId="49" fontId="10" fillId="0" borderId="50" xfId="0" applyNumberFormat="1" applyFont="1" applyBorder="1" applyAlignment="1">
      <alignment horizontal="center" vertical="center" wrapText="1"/>
    </xf>
    <xf numFmtId="0" fontId="28" fillId="2" borderId="0" xfId="0" applyFont="1" applyFill="1" applyAlignment="1">
      <alignment horizontal="center"/>
    </xf>
    <xf numFmtId="0" fontId="30" fillId="2" borderId="2" xfId="0" applyFont="1" applyFill="1" applyBorder="1" applyAlignment="1">
      <alignment horizontal="center" vertical="center"/>
    </xf>
    <xf numFmtId="0" fontId="9" fillId="0" borderId="51" xfId="0" applyFont="1" applyBorder="1" applyAlignment="1">
      <alignment horizontal="center" vertical="center"/>
    </xf>
    <xf numFmtId="49" fontId="31" fillId="0" borderId="15" xfId="0" applyNumberFormat="1" applyFont="1" applyBorder="1" applyAlignment="1">
      <alignment horizontal="center" vertical="center" wrapText="1"/>
    </xf>
    <xf numFmtId="49" fontId="31" fillId="0" borderId="16" xfId="0" applyNumberFormat="1" applyFont="1" applyBorder="1" applyAlignment="1">
      <alignment horizontal="center" vertical="center" wrapText="1"/>
    </xf>
    <xf numFmtId="49" fontId="31" fillId="0" borderId="50" xfId="0" applyNumberFormat="1" applyFont="1" applyBorder="1" applyAlignment="1">
      <alignment horizontal="center" vertical="center" wrapText="1"/>
    </xf>
    <xf numFmtId="0" fontId="28" fillId="2" borderId="2" xfId="0" applyFont="1" applyFill="1" applyBorder="1" applyAlignment="1">
      <alignment horizontal="center" vertical="center"/>
    </xf>
    <xf numFmtId="49" fontId="9" fillId="0" borderId="11" xfId="0" applyNumberFormat="1" applyFont="1" applyBorder="1" applyAlignment="1">
      <alignment horizontal="center" vertical="center" wrapText="1"/>
    </xf>
    <xf numFmtId="0" fontId="29" fillId="2" borderId="2" xfId="0" applyFont="1" applyFill="1" applyBorder="1" applyAlignment="1">
      <alignment horizontal="center" vertical="center"/>
    </xf>
    <xf numFmtId="49" fontId="14" fillId="0" borderId="15" xfId="0" applyNumberFormat="1" applyFont="1" applyBorder="1" applyAlignment="1">
      <alignment horizontal="center" vertical="center" wrapText="1"/>
    </xf>
    <xf numFmtId="49" fontId="14" fillId="0" borderId="16" xfId="0" applyNumberFormat="1" applyFont="1" applyBorder="1" applyAlignment="1">
      <alignment horizontal="center" vertical="center" wrapText="1"/>
    </xf>
    <xf numFmtId="49" fontId="14" fillId="0" borderId="50" xfId="0" applyNumberFormat="1" applyFont="1" applyBorder="1" applyAlignment="1">
      <alignment horizontal="center" vertical="center" wrapText="1"/>
    </xf>
    <xf numFmtId="0" fontId="29" fillId="2" borderId="12" xfId="0" applyFont="1" applyFill="1" applyBorder="1" applyAlignment="1">
      <alignment horizontal="center" vertical="center"/>
    </xf>
    <xf numFmtId="0" fontId="8" fillId="0" borderId="46" xfId="0" applyFont="1" applyBorder="1" applyAlignment="1">
      <alignment horizontal="center" textRotation="90" wrapText="1"/>
    </xf>
    <xf numFmtId="0" fontId="8" fillId="0" borderId="47" xfId="0" applyFont="1" applyBorder="1" applyAlignment="1">
      <alignment horizontal="center" textRotation="90" wrapText="1"/>
    </xf>
    <xf numFmtId="0" fontId="9" fillId="0" borderId="13" xfId="0" applyFont="1" applyBorder="1" applyAlignment="1">
      <alignment horizontal="center" vertical="center" wrapText="1"/>
    </xf>
    <xf numFmtId="0" fontId="9" fillId="0" borderId="35"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6" xfId="0" applyFont="1" applyBorder="1" applyAlignment="1">
      <alignment horizontal="center" vertical="center" wrapText="1"/>
    </xf>
    <xf numFmtId="0" fontId="29" fillId="2" borderId="54" xfId="0" applyFont="1" applyFill="1" applyBorder="1" applyAlignment="1">
      <alignment horizontal="center" vertical="center"/>
    </xf>
    <xf numFmtId="0" fontId="19" fillId="0" borderId="46" xfId="0" applyFont="1" applyBorder="1" applyAlignment="1">
      <alignment horizontal="center" vertical="center" wrapText="1"/>
    </xf>
    <xf numFmtId="0" fontId="19" fillId="0" borderId="47" xfId="0" applyFont="1" applyBorder="1" applyAlignment="1">
      <alignment horizontal="center" vertical="center" wrapText="1"/>
    </xf>
    <xf numFmtId="0" fontId="28" fillId="2" borderId="54" xfId="0" applyFont="1" applyFill="1" applyBorder="1" applyAlignment="1">
      <alignment horizontal="center" vertical="center"/>
    </xf>
    <xf numFmtId="0" fontId="19" fillId="0" borderId="46" xfId="0" applyFont="1" applyBorder="1" applyAlignment="1">
      <alignment horizontal="center" wrapText="1"/>
    </xf>
    <xf numFmtId="0" fontId="19" fillId="0" borderId="47" xfId="0" applyFont="1" applyBorder="1" applyAlignment="1">
      <alignment horizontal="center" wrapText="1"/>
    </xf>
    <xf numFmtId="0" fontId="28" fillId="2" borderId="8" xfId="0" applyFont="1" applyFill="1" applyBorder="1" applyAlignment="1">
      <alignment horizontal="center" vertical="center"/>
    </xf>
    <xf numFmtId="0" fontId="28" fillId="0" borderId="8" xfId="0" applyFont="1" applyBorder="1" applyAlignment="1">
      <alignment horizontal="center" vertical="center" wrapText="1"/>
    </xf>
    <xf numFmtId="0" fontId="19" fillId="0" borderId="20" xfId="0" applyFont="1" applyBorder="1" applyAlignment="1">
      <alignment horizontal="center" vertical="center"/>
    </xf>
    <xf numFmtId="0" fontId="19" fillId="0" borderId="23" xfId="0" applyFont="1" applyBorder="1" applyAlignment="1">
      <alignment horizontal="center" vertical="center"/>
    </xf>
    <xf numFmtId="0" fontId="8" fillId="0" borderId="21"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1" xfId="0" applyFont="1" applyBorder="1" applyAlignment="1">
      <alignment horizontal="center" vertical="center"/>
    </xf>
    <xf numFmtId="0" fontId="19" fillId="0" borderId="22" xfId="0" applyFont="1" applyBorder="1" applyAlignment="1">
      <alignment horizontal="center" vertical="center" wrapText="1"/>
    </xf>
    <xf numFmtId="0" fontId="19" fillId="0" borderId="25"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38" xfId="0" applyFont="1" applyBorder="1" applyAlignment="1">
      <alignment horizontal="center" vertical="center" wrapText="1"/>
    </xf>
    <xf numFmtId="0" fontId="28" fillId="0" borderId="0" xfId="0" applyFont="1" applyAlignment="1">
      <alignment horizontal="center" vertical="center" wrapText="1"/>
    </xf>
    <xf numFmtId="0" fontId="28" fillId="0" borderId="3" xfId="0" applyFont="1" applyBorder="1" applyAlignment="1">
      <alignment horizontal="center" vertical="center" textRotation="90"/>
    </xf>
    <xf numFmtId="0" fontId="28" fillId="0" borderId="11" xfId="0" applyFont="1" applyBorder="1" applyAlignment="1">
      <alignment horizontal="center" vertical="center" textRotation="90"/>
    </xf>
    <xf numFmtId="0" fontId="28" fillId="0" borderId="4" xfId="0" applyFont="1" applyBorder="1" applyAlignment="1">
      <alignment horizontal="center" vertical="center" textRotation="90"/>
    </xf>
    <xf numFmtId="0" fontId="19" fillId="0" borderId="44" xfId="0" applyFont="1" applyBorder="1" applyAlignment="1">
      <alignment horizontal="center" vertical="center"/>
    </xf>
    <xf numFmtId="0" fontId="19" fillId="0" borderId="45" xfId="0" applyFont="1" applyBorder="1" applyAlignment="1">
      <alignment horizontal="center" vertical="center"/>
    </xf>
    <xf numFmtId="0" fontId="19" fillId="0" borderId="18"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36" xfId="0" applyFont="1" applyBorder="1" applyAlignment="1">
      <alignment horizontal="center" vertical="center" wrapText="1"/>
    </xf>
    <xf numFmtId="0" fontId="8" fillId="0" borderId="15" xfId="0" applyFont="1" applyBorder="1" applyAlignment="1">
      <alignment horizontal="center" vertical="center"/>
    </xf>
    <xf numFmtId="0" fontId="8" fillId="0" borderId="17" xfId="0" applyFont="1" applyBorder="1" applyAlignment="1">
      <alignment horizontal="center" vertical="center"/>
    </xf>
    <xf numFmtId="0" fontId="8" fillId="2" borderId="35" xfId="0" applyFont="1" applyFill="1" applyBorder="1" applyAlignment="1">
      <alignment horizontal="center" vertical="center"/>
    </xf>
    <xf numFmtId="0" fontId="8" fillId="2" borderId="12" xfId="0" applyFont="1" applyFill="1" applyBorder="1" applyAlignment="1">
      <alignment horizontal="center" vertical="center"/>
    </xf>
    <xf numFmtId="0" fontId="8" fillId="0" borderId="30" xfId="0" applyFont="1" applyBorder="1" applyAlignment="1">
      <alignment horizontal="distributed" vertical="center" textRotation="255"/>
    </xf>
    <xf numFmtId="0" fontId="19" fillId="0" borderId="10" xfId="0" applyFont="1" applyBorder="1" applyAlignment="1">
      <alignment horizontal="center" vertical="center"/>
    </xf>
    <xf numFmtId="0" fontId="19" fillId="0" borderId="37" xfId="0" applyFont="1" applyBorder="1" applyAlignment="1">
      <alignment horizontal="center" vertical="center"/>
    </xf>
    <xf numFmtId="0" fontId="19" fillId="0" borderId="18" xfId="0" applyFont="1" applyBorder="1" applyAlignment="1">
      <alignment horizontal="center" vertical="center"/>
    </xf>
    <xf numFmtId="0" fontId="19" fillId="0" borderId="38" xfId="0" applyFont="1" applyBorder="1" applyAlignment="1">
      <alignment horizontal="center" vertical="center"/>
    </xf>
    <xf numFmtId="0" fontId="19" fillId="0" borderId="27"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6" xfId="0" applyFont="1" applyBorder="1" applyAlignment="1">
      <alignment horizontal="center" vertical="center"/>
    </xf>
    <xf numFmtId="0" fontId="19" fillId="0" borderId="32" xfId="0" applyFont="1" applyBorder="1" applyAlignment="1">
      <alignment horizontal="center" vertical="center"/>
    </xf>
    <xf numFmtId="0" fontId="31" fillId="0" borderId="21" xfId="0" applyFont="1" applyBorder="1" applyAlignment="1">
      <alignment horizontal="center" vertical="center"/>
    </xf>
    <xf numFmtId="0" fontId="32" fillId="0" borderId="0" xfId="0" applyFont="1" applyAlignment="1">
      <alignment horizontal="center" vertical="center" wrapText="1"/>
    </xf>
    <xf numFmtId="0" fontId="32" fillId="0" borderId="12" xfId="0" applyFont="1" applyBorder="1" applyAlignment="1">
      <alignment horizontal="center" vertical="center" wrapText="1"/>
    </xf>
    <xf numFmtId="0" fontId="19" fillId="0" borderId="28" xfId="0" applyFont="1" applyBorder="1" applyAlignment="1">
      <alignment horizontal="center" wrapText="1"/>
    </xf>
    <xf numFmtId="0" fontId="19" fillId="0" borderId="34" xfId="0" applyFont="1" applyBorder="1" applyAlignment="1">
      <alignment horizontal="center" wrapText="1"/>
    </xf>
    <xf numFmtId="0" fontId="26" fillId="0" borderId="12" xfId="0" applyFont="1" applyBorder="1" applyAlignment="1">
      <alignment horizontal="center" vertical="center" wrapText="1"/>
    </xf>
    <xf numFmtId="0" fontId="19" fillId="0" borderId="39" xfId="0" applyFont="1" applyBorder="1" applyAlignment="1">
      <alignment horizontal="center" wrapText="1"/>
    </xf>
    <xf numFmtId="0" fontId="19" fillId="0" borderId="40" xfId="0" applyFont="1" applyBorder="1" applyAlignment="1">
      <alignment horizontal="center" wrapText="1"/>
    </xf>
    <xf numFmtId="0" fontId="19" fillId="0" borderId="19" xfId="0" applyFont="1" applyBorder="1" applyAlignment="1">
      <alignment horizontal="center" vertical="center"/>
    </xf>
    <xf numFmtId="0" fontId="19" fillId="0" borderId="13"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9" fillId="0" borderId="11" xfId="0" applyFont="1" applyBorder="1" applyAlignment="1">
      <alignment horizontal="center" vertical="center" wrapText="1"/>
    </xf>
    <xf numFmtId="0" fontId="19" fillId="0" borderId="35" xfId="0" applyFont="1" applyBorder="1" applyAlignment="1">
      <alignment horizontal="center" vertical="center" wrapText="1"/>
    </xf>
    <xf numFmtId="0" fontId="19" fillId="0" borderId="21" xfId="0" applyFont="1" applyBorder="1" applyAlignment="1">
      <alignment horizontal="center" vertical="center"/>
    </xf>
    <xf numFmtId="0" fontId="19" fillId="0" borderId="60" xfId="0" applyFont="1" applyBorder="1" applyAlignment="1">
      <alignment horizontal="center" wrapText="1"/>
    </xf>
    <xf numFmtId="0" fontId="26" fillId="0" borderId="0" xfId="0" applyFont="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wrapText="1"/>
    </xf>
    <xf numFmtId="0" fontId="19" fillId="0" borderId="3" xfId="0" applyFont="1" applyBorder="1" applyAlignment="1">
      <alignment horizontal="center" wrapText="1"/>
    </xf>
  </cellXfs>
  <cellStyles count="4">
    <cellStyle name="Comma" xfId="1" builtinId="3"/>
    <cellStyle name="Normal" xfId="0" builtinId="0"/>
    <cellStyle name="Normal 2" xfId="2"/>
    <cellStyle name="Normal 3" xf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WATER%20REPORT%20-%202020\CORRECT%20Monitoring_Sheet_Major_Scheme_2020_Yala_Anuradhapu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wara wewa"/>
      <sheetName val=" Tissawewa"/>
      <sheetName val="Abhayawewa"/>
      <sheetName val="Mahawilachchiya"/>
      <sheetName val="Mahakanadarawa"/>
      <sheetName val="Nuwara_Wewa_Capcity "/>
      <sheetName val="Nuwara_Wewa_Slu_dis_RB"/>
      <sheetName val="Nuwara_Wewa_Slu_dis_LB"/>
      <sheetName val="Mahawilachchiya_Capcity "/>
      <sheetName val="Mahawilachchiya_Slu_Dis"/>
      <sheetName val="Mahakanadarawa_Capcity "/>
      <sheetName val="Mahakanadara_Slu_dis"/>
      <sheetName val="Thisawewa_Capcity "/>
      <sheetName val="Thiawewa_Slu_dis_RB"/>
      <sheetName val="Thiawewa_Slu_dis_LB"/>
      <sheetName val="Abayawewa_Capcity "/>
      <sheetName val="Abayawewa_Slu_Dis_LB"/>
    </sheetNames>
    <sheetDataSet>
      <sheetData sheetId="0"/>
      <sheetData sheetId="1"/>
      <sheetData sheetId="2"/>
      <sheetData sheetId="3"/>
      <sheetData sheetId="4">
        <row r="46">
          <cell r="G46">
            <v>22350</v>
          </cell>
        </row>
        <row r="47">
          <cell r="G47">
            <v>22300</v>
          </cell>
        </row>
        <row r="48">
          <cell r="G48">
            <v>22300</v>
          </cell>
        </row>
        <row r="49">
          <cell r="G49">
            <v>22300</v>
          </cell>
        </row>
        <row r="50">
          <cell r="G50">
            <v>22300</v>
          </cell>
        </row>
        <row r="51">
          <cell r="G51">
            <v>22250</v>
          </cell>
        </row>
        <row r="52">
          <cell r="G52">
            <v>21750</v>
          </cell>
        </row>
        <row r="53">
          <cell r="G53">
            <v>21400</v>
          </cell>
        </row>
        <row r="54">
          <cell r="G54">
            <v>21200</v>
          </cell>
        </row>
        <row r="55">
          <cell r="G55">
            <v>20650</v>
          </cell>
        </row>
        <row r="56">
          <cell r="G56">
            <v>20000</v>
          </cell>
        </row>
        <row r="57">
          <cell r="G57">
            <v>19850</v>
          </cell>
        </row>
        <row r="58">
          <cell r="G58">
            <v>19850</v>
          </cell>
        </row>
        <row r="59">
          <cell r="G59">
            <v>19850</v>
          </cell>
        </row>
        <row r="60">
          <cell r="G60">
            <v>19850</v>
          </cell>
        </row>
        <row r="61">
          <cell r="G61">
            <v>19850</v>
          </cell>
        </row>
        <row r="62">
          <cell r="G62">
            <v>19500</v>
          </cell>
        </row>
        <row r="63">
          <cell r="G63">
            <v>19200</v>
          </cell>
        </row>
        <row r="64">
          <cell r="G64">
            <v>18600</v>
          </cell>
        </row>
        <row r="65">
          <cell r="G65">
            <v>18250</v>
          </cell>
        </row>
        <row r="66">
          <cell r="G66">
            <v>18250</v>
          </cell>
        </row>
        <row r="67">
          <cell r="G67">
            <v>18250</v>
          </cell>
        </row>
        <row r="68">
          <cell r="G68">
            <v>18250</v>
          </cell>
        </row>
        <row r="69">
          <cell r="G69">
            <v>18250</v>
          </cell>
        </row>
        <row r="70">
          <cell r="G70">
            <v>18000</v>
          </cell>
        </row>
        <row r="71">
          <cell r="G71">
            <v>18000</v>
          </cell>
        </row>
        <row r="72">
          <cell r="G72">
            <v>18000</v>
          </cell>
        </row>
        <row r="73">
          <cell r="G73">
            <v>18000</v>
          </cell>
        </row>
        <row r="74">
          <cell r="G74">
            <v>17800</v>
          </cell>
        </row>
        <row r="75">
          <cell r="G75">
            <v>17800</v>
          </cell>
        </row>
        <row r="76">
          <cell r="G76">
            <v>17800</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3"/>
  <sheetViews>
    <sheetView topLeftCell="A16" workbookViewId="0">
      <selection activeCell="M7" sqref="M7"/>
    </sheetView>
  </sheetViews>
  <sheetFormatPr defaultColWidth="9.140625" defaultRowHeight="15" x14ac:dyDescent="0.25"/>
  <cols>
    <col min="1" max="2" width="9.140625" style="14"/>
    <col min="3" max="3" width="7.5703125" style="14" customWidth="1"/>
    <col min="4" max="4" width="9.140625" style="14"/>
    <col min="5" max="5" width="5.28515625" style="14" customWidth="1"/>
    <col min="6" max="6" width="11.28515625" style="14" customWidth="1"/>
    <col min="7" max="7" width="7.7109375" style="14" customWidth="1"/>
    <col min="8" max="8" width="5.85546875" style="14" customWidth="1"/>
    <col min="9" max="9" width="6.140625" style="14" customWidth="1"/>
    <col min="10" max="10" width="6" style="14" customWidth="1"/>
    <col min="11" max="11" width="5.140625" style="14" customWidth="1"/>
    <col min="12" max="16384" width="9.140625" style="14"/>
  </cols>
  <sheetData>
    <row r="1" spans="1:11" ht="17.45" x14ac:dyDescent="0.3">
      <c r="A1" s="385" t="s">
        <v>1754</v>
      </c>
      <c r="B1" s="385"/>
      <c r="C1" s="385"/>
      <c r="D1" s="385"/>
      <c r="E1" s="385"/>
      <c r="F1" s="385"/>
      <c r="G1" s="385"/>
      <c r="H1" s="385"/>
      <c r="I1" s="385"/>
      <c r="J1" s="385"/>
      <c r="K1" s="385"/>
    </row>
    <row r="2" spans="1:11" ht="30" customHeight="1" x14ac:dyDescent="0.25">
      <c r="A2" s="387" t="s">
        <v>532</v>
      </c>
      <c r="B2" s="387" t="s">
        <v>22</v>
      </c>
      <c r="C2" s="387" t="s">
        <v>0</v>
      </c>
      <c r="D2" s="389" t="s">
        <v>728</v>
      </c>
      <c r="E2" s="390"/>
      <c r="F2" s="391" t="s">
        <v>729</v>
      </c>
      <c r="G2" s="392"/>
      <c r="H2" s="393" t="s">
        <v>1746</v>
      </c>
      <c r="I2" s="394"/>
      <c r="J2" s="393" t="s">
        <v>1747</v>
      </c>
      <c r="K2" s="394"/>
    </row>
    <row r="3" spans="1:11" ht="78.75" customHeight="1" x14ac:dyDescent="0.25">
      <c r="A3" s="388"/>
      <c r="B3" s="388"/>
      <c r="C3" s="388"/>
      <c r="D3" s="15" t="s">
        <v>1755</v>
      </c>
      <c r="E3" s="15" t="s">
        <v>1756</v>
      </c>
      <c r="F3" s="15" t="s">
        <v>732</v>
      </c>
      <c r="G3" s="15" t="s">
        <v>733</v>
      </c>
      <c r="H3" s="16" t="s">
        <v>734</v>
      </c>
      <c r="I3" s="17" t="s">
        <v>735</v>
      </c>
      <c r="J3" s="16" t="s">
        <v>734</v>
      </c>
      <c r="K3" s="17" t="s">
        <v>735</v>
      </c>
    </row>
    <row r="4" spans="1:11" ht="13.9" x14ac:dyDescent="0.25">
      <c r="A4" s="18">
        <v>1990</v>
      </c>
      <c r="B4" s="18" t="s">
        <v>23</v>
      </c>
      <c r="C4" s="18">
        <v>1</v>
      </c>
      <c r="D4" s="19" t="s">
        <v>1</v>
      </c>
      <c r="E4" s="19"/>
      <c r="F4" s="19" t="s">
        <v>2</v>
      </c>
      <c r="G4" s="18"/>
      <c r="H4" s="18"/>
      <c r="I4" s="18"/>
      <c r="J4" s="18"/>
      <c r="K4" s="18"/>
    </row>
    <row r="5" spans="1:11" ht="13.9" x14ac:dyDescent="0.25">
      <c r="A5" s="18">
        <v>1990</v>
      </c>
      <c r="B5" s="18" t="s">
        <v>23</v>
      </c>
      <c r="C5" s="18">
        <v>2</v>
      </c>
      <c r="D5" s="19" t="s">
        <v>1</v>
      </c>
      <c r="E5" s="19"/>
      <c r="F5" s="19" t="s">
        <v>2</v>
      </c>
      <c r="G5" s="18"/>
      <c r="H5" s="18"/>
      <c r="I5" s="18"/>
      <c r="J5" s="18"/>
      <c r="K5" s="18"/>
    </row>
    <row r="6" spans="1:11" ht="13.9" x14ac:dyDescent="0.25">
      <c r="A6" s="18">
        <v>1990</v>
      </c>
      <c r="B6" s="18" t="s">
        <v>23</v>
      </c>
      <c r="C6" s="18">
        <v>3</v>
      </c>
      <c r="D6" s="19" t="s">
        <v>1</v>
      </c>
      <c r="E6" s="19"/>
      <c r="F6" s="19" t="s">
        <v>2</v>
      </c>
      <c r="G6" s="18"/>
      <c r="H6" s="18"/>
      <c r="I6" s="18"/>
      <c r="J6" s="18"/>
      <c r="K6" s="18"/>
    </row>
    <row r="7" spans="1:11" ht="13.9" x14ac:dyDescent="0.25">
      <c r="A7" s="18">
        <v>1990</v>
      </c>
      <c r="B7" s="18" t="s">
        <v>23</v>
      </c>
      <c r="C7" s="18">
        <v>4</v>
      </c>
      <c r="D7" s="19" t="s">
        <v>1</v>
      </c>
      <c r="E7" s="19"/>
      <c r="F7" s="19" t="s">
        <v>2</v>
      </c>
      <c r="G7" s="18"/>
      <c r="H7" s="18"/>
      <c r="I7" s="18"/>
      <c r="J7" s="18"/>
      <c r="K7" s="18"/>
    </row>
    <row r="8" spans="1:11" ht="13.9" x14ac:dyDescent="0.25">
      <c r="A8" s="18">
        <v>1990</v>
      </c>
      <c r="B8" s="18" t="s">
        <v>23</v>
      </c>
      <c r="C8" s="18">
        <v>5</v>
      </c>
      <c r="D8" s="19" t="s">
        <v>3</v>
      </c>
      <c r="E8" s="19"/>
      <c r="F8" s="19" t="s">
        <v>4</v>
      </c>
      <c r="G8" s="18"/>
      <c r="H8" s="18"/>
      <c r="I8" s="18"/>
      <c r="J8" s="18"/>
      <c r="K8" s="18"/>
    </row>
    <row r="9" spans="1:11" ht="13.9" x14ac:dyDescent="0.25">
      <c r="A9" s="18">
        <v>1990</v>
      </c>
      <c r="B9" s="18" t="s">
        <v>23</v>
      </c>
      <c r="C9" s="18">
        <v>6</v>
      </c>
      <c r="D9" s="19" t="s">
        <v>5</v>
      </c>
      <c r="E9" s="19"/>
      <c r="F9" s="19" t="s">
        <v>6</v>
      </c>
      <c r="G9" s="18"/>
      <c r="H9" s="18"/>
      <c r="I9" s="18"/>
      <c r="J9" s="18"/>
      <c r="K9" s="18"/>
    </row>
    <row r="10" spans="1:11" ht="13.9" x14ac:dyDescent="0.25">
      <c r="A10" s="18">
        <v>1990</v>
      </c>
      <c r="B10" s="18" t="s">
        <v>23</v>
      </c>
      <c r="C10" s="18">
        <v>7</v>
      </c>
      <c r="D10" s="19" t="s">
        <v>7</v>
      </c>
      <c r="E10" s="19"/>
      <c r="F10" s="19" t="s">
        <v>8</v>
      </c>
      <c r="G10" s="18"/>
      <c r="H10" s="18"/>
      <c r="I10" s="18"/>
      <c r="J10" s="18"/>
      <c r="K10" s="18"/>
    </row>
    <row r="11" spans="1:11" ht="13.9" x14ac:dyDescent="0.25">
      <c r="A11" s="18">
        <v>1990</v>
      </c>
      <c r="B11" s="18" t="s">
        <v>23</v>
      </c>
      <c r="C11" s="18">
        <v>8</v>
      </c>
      <c r="D11" s="19" t="s">
        <v>9</v>
      </c>
      <c r="E11" s="19"/>
      <c r="F11" s="19" t="s">
        <v>10</v>
      </c>
      <c r="G11" s="18"/>
      <c r="H11" s="18"/>
      <c r="I11" s="18"/>
      <c r="J11" s="18"/>
      <c r="K11" s="18"/>
    </row>
    <row r="12" spans="1:11" ht="13.9" x14ac:dyDescent="0.25">
      <c r="A12" s="18">
        <v>1990</v>
      </c>
      <c r="B12" s="18" t="s">
        <v>23</v>
      </c>
      <c r="C12" s="18">
        <v>9</v>
      </c>
      <c r="D12" s="19" t="s">
        <v>11</v>
      </c>
      <c r="E12" s="19"/>
      <c r="F12" s="19" t="s">
        <v>12</v>
      </c>
      <c r="G12" s="18"/>
      <c r="H12" s="18"/>
      <c r="I12" s="18"/>
      <c r="J12" s="18"/>
      <c r="K12" s="18"/>
    </row>
    <row r="13" spans="1:11" ht="13.9" x14ac:dyDescent="0.25">
      <c r="A13" s="18">
        <v>1990</v>
      </c>
      <c r="B13" s="18" t="s">
        <v>23</v>
      </c>
      <c r="C13" s="18">
        <v>10</v>
      </c>
      <c r="D13" s="19" t="s">
        <v>13</v>
      </c>
      <c r="E13" s="19"/>
      <c r="F13" s="19" t="s">
        <v>14</v>
      </c>
      <c r="G13" s="18"/>
      <c r="H13" s="18"/>
      <c r="I13" s="18"/>
      <c r="J13" s="18"/>
      <c r="K13" s="18"/>
    </row>
    <row r="14" spans="1:11" ht="13.9" x14ac:dyDescent="0.25">
      <c r="A14" s="18">
        <v>1990</v>
      </c>
      <c r="B14" s="18" t="s">
        <v>23</v>
      </c>
      <c r="C14" s="18">
        <v>11</v>
      </c>
      <c r="D14" s="19" t="s">
        <v>15</v>
      </c>
      <c r="E14" s="19"/>
      <c r="F14" s="19" t="s">
        <v>16</v>
      </c>
      <c r="G14" s="18"/>
      <c r="H14" s="18"/>
      <c r="I14" s="18"/>
      <c r="J14" s="18"/>
      <c r="K14" s="18"/>
    </row>
    <row r="15" spans="1:11" ht="13.9" x14ac:dyDescent="0.25">
      <c r="A15" s="18">
        <v>1990</v>
      </c>
      <c r="B15" s="18" t="s">
        <v>23</v>
      </c>
      <c r="C15" s="18">
        <v>12</v>
      </c>
      <c r="D15" s="19" t="s">
        <v>17</v>
      </c>
      <c r="E15" s="19"/>
      <c r="F15" s="19" t="s">
        <v>18</v>
      </c>
      <c r="G15" s="18"/>
      <c r="H15" s="18"/>
      <c r="I15" s="18"/>
      <c r="J15" s="18"/>
      <c r="K15" s="18"/>
    </row>
    <row r="16" spans="1:11" ht="13.9" x14ac:dyDescent="0.25">
      <c r="A16" s="18">
        <v>1990</v>
      </c>
      <c r="B16" s="18" t="s">
        <v>23</v>
      </c>
      <c r="C16" s="18">
        <v>13</v>
      </c>
      <c r="D16" s="19" t="s">
        <v>17</v>
      </c>
      <c r="E16" s="19"/>
      <c r="F16" s="19" t="s">
        <v>18</v>
      </c>
      <c r="G16" s="18"/>
      <c r="H16" s="18"/>
      <c r="I16" s="18"/>
      <c r="J16" s="18"/>
      <c r="K16" s="18"/>
    </row>
    <row r="17" spans="1:11" ht="13.9" x14ac:dyDescent="0.25">
      <c r="A17" s="18">
        <v>1990</v>
      </c>
      <c r="B17" s="18" t="s">
        <v>23</v>
      </c>
      <c r="C17" s="18">
        <v>14</v>
      </c>
      <c r="D17" s="19" t="s">
        <v>17</v>
      </c>
      <c r="E17" s="19"/>
      <c r="F17" s="19" t="s">
        <v>18</v>
      </c>
      <c r="G17" s="18"/>
      <c r="H17" s="18"/>
      <c r="I17" s="18"/>
      <c r="J17" s="18"/>
      <c r="K17" s="18"/>
    </row>
    <row r="18" spans="1:11" ht="13.9" x14ac:dyDescent="0.25">
      <c r="A18" s="18">
        <v>1990</v>
      </c>
      <c r="B18" s="18" t="s">
        <v>23</v>
      </c>
      <c r="C18" s="18">
        <v>15</v>
      </c>
      <c r="D18" s="19" t="s">
        <v>17</v>
      </c>
      <c r="E18" s="19"/>
      <c r="F18" s="19" t="s">
        <v>18</v>
      </c>
      <c r="G18" s="18"/>
      <c r="H18" s="18"/>
      <c r="I18" s="18"/>
      <c r="J18" s="18"/>
      <c r="K18" s="18"/>
    </row>
    <row r="19" spans="1:11" ht="13.9" x14ac:dyDescent="0.25">
      <c r="A19" s="18">
        <v>1990</v>
      </c>
      <c r="B19" s="18" t="s">
        <v>23</v>
      </c>
      <c r="C19" s="18">
        <v>16</v>
      </c>
      <c r="D19" s="19" t="s">
        <v>17</v>
      </c>
      <c r="E19" s="19"/>
      <c r="F19" s="19" t="s">
        <v>18</v>
      </c>
      <c r="G19" s="18"/>
      <c r="H19" s="18"/>
      <c r="I19" s="18"/>
      <c r="J19" s="18"/>
      <c r="K19" s="18"/>
    </row>
    <row r="20" spans="1:11" ht="13.9" x14ac:dyDescent="0.25">
      <c r="A20" s="18">
        <v>1990</v>
      </c>
      <c r="B20" s="18" t="s">
        <v>23</v>
      </c>
      <c r="C20" s="18">
        <v>17</v>
      </c>
      <c r="D20" s="19" t="s">
        <v>17</v>
      </c>
      <c r="E20" s="19"/>
      <c r="F20" s="19" t="s">
        <v>18</v>
      </c>
      <c r="G20" s="18"/>
      <c r="H20" s="18"/>
      <c r="I20" s="18"/>
      <c r="J20" s="18"/>
      <c r="K20" s="18"/>
    </row>
    <row r="21" spans="1:11" ht="13.9" x14ac:dyDescent="0.25">
      <c r="A21" s="18">
        <v>1990</v>
      </c>
      <c r="B21" s="18" t="s">
        <v>23</v>
      </c>
      <c r="C21" s="18">
        <v>18</v>
      </c>
      <c r="D21" s="19" t="s">
        <v>17</v>
      </c>
      <c r="E21" s="19"/>
      <c r="F21" s="19" t="s">
        <v>18</v>
      </c>
      <c r="G21" s="18"/>
      <c r="H21" s="18"/>
      <c r="I21" s="18"/>
      <c r="J21" s="18"/>
      <c r="K21" s="18"/>
    </row>
    <row r="22" spans="1:11" ht="13.9" x14ac:dyDescent="0.25">
      <c r="A22" s="18">
        <v>1990</v>
      </c>
      <c r="B22" s="18" t="s">
        <v>23</v>
      </c>
      <c r="C22" s="18">
        <v>19</v>
      </c>
      <c r="D22" s="19" t="s">
        <v>17</v>
      </c>
      <c r="E22" s="19"/>
      <c r="F22" s="19" t="s">
        <v>18</v>
      </c>
      <c r="G22" s="18"/>
      <c r="H22" s="18"/>
      <c r="I22" s="18"/>
      <c r="J22" s="18"/>
      <c r="K22" s="18"/>
    </row>
    <row r="23" spans="1:11" ht="13.9" x14ac:dyDescent="0.25">
      <c r="A23" s="18">
        <v>1990</v>
      </c>
      <c r="B23" s="18" t="s">
        <v>23</v>
      </c>
      <c r="C23" s="18">
        <v>20</v>
      </c>
      <c r="D23" s="19" t="s">
        <v>15</v>
      </c>
      <c r="E23" s="19"/>
      <c r="F23" s="19" t="s">
        <v>19</v>
      </c>
      <c r="G23" s="18"/>
      <c r="H23" s="18"/>
      <c r="I23" s="18"/>
      <c r="J23" s="18"/>
      <c r="K23" s="18"/>
    </row>
    <row r="24" spans="1:11" ht="13.9" x14ac:dyDescent="0.25">
      <c r="A24" s="18">
        <v>1990</v>
      </c>
      <c r="B24" s="18" t="s">
        <v>23</v>
      </c>
      <c r="C24" s="18">
        <v>21</v>
      </c>
      <c r="D24" s="19" t="s">
        <v>15</v>
      </c>
      <c r="E24" s="19"/>
      <c r="F24" s="19" t="s">
        <v>19</v>
      </c>
      <c r="G24" s="18"/>
      <c r="H24" s="18"/>
      <c r="I24" s="18"/>
      <c r="J24" s="18"/>
      <c r="K24" s="18"/>
    </row>
    <row r="25" spans="1:11" ht="13.9" x14ac:dyDescent="0.25">
      <c r="A25" s="18">
        <v>1990</v>
      </c>
      <c r="B25" s="18" t="s">
        <v>23</v>
      </c>
      <c r="C25" s="18">
        <v>22</v>
      </c>
      <c r="D25" s="19" t="s">
        <v>15</v>
      </c>
      <c r="E25" s="19"/>
      <c r="F25" s="19" t="s">
        <v>19</v>
      </c>
      <c r="G25" s="18"/>
      <c r="H25" s="18"/>
      <c r="I25" s="18"/>
      <c r="J25" s="18"/>
      <c r="K25" s="18"/>
    </row>
    <row r="26" spans="1:11" ht="13.9" x14ac:dyDescent="0.25">
      <c r="A26" s="18">
        <v>1990</v>
      </c>
      <c r="B26" s="18" t="s">
        <v>23</v>
      </c>
      <c r="C26" s="18">
        <v>23</v>
      </c>
      <c r="D26" s="19" t="s">
        <v>15</v>
      </c>
      <c r="E26" s="19"/>
      <c r="F26" s="19" t="s">
        <v>19</v>
      </c>
      <c r="G26" s="18"/>
      <c r="H26" s="18"/>
      <c r="I26" s="18"/>
      <c r="J26" s="18"/>
      <c r="K26" s="18"/>
    </row>
    <row r="27" spans="1:11" ht="13.9" x14ac:dyDescent="0.25">
      <c r="A27" s="18">
        <v>1990</v>
      </c>
      <c r="B27" s="18" t="s">
        <v>23</v>
      </c>
      <c r="C27" s="18">
        <v>24</v>
      </c>
      <c r="D27" s="19" t="s">
        <v>15</v>
      </c>
      <c r="E27" s="19"/>
      <c r="F27" s="19" t="s">
        <v>19</v>
      </c>
      <c r="G27" s="18"/>
      <c r="H27" s="18"/>
      <c r="I27" s="18"/>
      <c r="J27" s="18"/>
      <c r="K27" s="18"/>
    </row>
    <row r="28" spans="1:11" ht="13.9" x14ac:dyDescent="0.25">
      <c r="A28" s="18">
        <v>1990</v>
      </c>
      <c r="B28" s="18" t="s">
        <v>23</v>
      </c>
      <c r="C28" s="18">
        <v>25</v>
      </c>
      <c r="D28" s="19" t="s">
        <v>15</v>
      </c>
      <c r="E28" s="19"/>
      <c r="F28" s="19" t="s">
        <v>19</v>
      </c>
      <c r="G28" s="18"/>
      <c r="H28" s="18"/>
      <c r="I28" s="18"/>
      <c r="J28" s="18"/>
      <c r="K28" s="18"/>
    </row>
    <row r="29" spans="1:11" ht="13.9" x14ac:dyDescent="0.25">
      <c r="A29" s="18">
        <v>1990</v>
      </c>
      <c r="B29" s="18" t="s">
        <v>23</v>
      </c>
      <c r="C29" s="18">
        <v>26</v>
      </c>
      <c r="D29" s="19" t="s">
        <v>15</v>
      </c>
      <c r="E29" s="19"/>
      <c r="F29" s="19" t="s">
        <v>19</v>
      </c>
      <c r="G29" s="18"/>
      <c r="H29" s="18"/>
      <c r="I29" s="18"/>
      <c r="J29" s="18"/>
      <c r="K29" s="18"/>
    </row>
    <row r="30" spans="1:11" ht="13.9" x14ac:dyDescent="0.25">
      <c r="A30" s="18">
        <v>1990</v>
      </c>
      <c r="B30" s="18" t="s">
        <v>23</v>
      </c>
      <c r="C30" s="18">
        <v>27</v>
      </c>
      <c r="D30" s="19" t="s">
        <v>15</v>
      </c>
      <c r="E30" s="19"/>
      <c r="F30" s="19" t="s">
        <v>19</v>
      </c>
      <c r="G30" s="18"/>
      <c r="H30" s="18"/>
      <c r="I30" s="18"/>
      <c r="J30" s="18"/>
      <c r="K30" s="18"/>
    </row>
    <row r="31" spans="1:11" ht="13.9" x14ac:dyDescent="0.25">
      <c r="A31" s="18">
        <v>1990</v>
      </c>
      <c r="B31" s="18" t="s">
        <v>23</v>
      </c>
      <c r="C31" s="18">
        <v>28</v>
      </c>
      <c r="D31" s="19" t="s">
        <v>15</v>
      </c>
      <c r="E31" s="19"/>
      <c r="F31" s="19" t="s">
        <v>19</v>
      </c>
      <c r="G31" s="18"/>
      <c r="H31" s="18"/>
      <c r="I31" s="18"/>
      <c r="J31" s="18"/>
      <c r="K31" s="18"/>
    </row>
    <row r="32" spans="1:11" ht="13.9" x14ac:dyDescent="0.25">
      <c r="A32" s="18">
        <v>1990</v>
      </c>
      <c r="B32" s="18" t="s">
        <v>23</v>
      </c>
      <c r="C32" s="18">
        <v>29</v>
      </c>
      <c r="D32" s="19" t="s">
        <v>15</v>
      </c>
      <c r="E32" s="19"/>
      <c r="F32" s="19" t="s">
        <v>19</v>
      </c>
      <c r="G32" s="18"/>
      <c r="H32" s="18"/>
      <c r="I32" s="18"/>
      <c r="J32" s="18"/>
      <c r="K32" s="18"/>
    </row>
    <row r="33" spans="1:11" ht="13.9" x14ac:dyDescent="0.25">
      <c r="A33" s="18">
        <v>1990</v>
      </c>
      <c r="B33" s="18" t="s">
        <v>23</v>
      </c>
      <c r="C33" s="18">
        <v>30</v>
      </c>
      <c r="D33" s="19" t="s">
        <v>20</v>
      </c>
      <c r="E33" s="19"/>
      <c r="F33" s="19" t="s">
        <v>21</v>
      </c>
      <c r="G33" s="18"/>
      <c r="H33" s="18"/>
      <c r="I33" s="18"/>
      <c r="J33" s="18"/>
      <c r="K33" s="18"/>
    </row>
    <row r="34" spans="1:11" ht="13.9" x14ac:dyDescent="0.25">
      <c r="A34" s="18">
        <v>1990</v>
      </c>
      <c r="B34" s="18" t="s">
        <v>23</v>
      </c>
      <c r="C34" s="18">
        <v>31</v>
      </c>
      <c r="D34" s="19" t="s">
        <v>20</v>
      </c>
      <c r="E34" s="19"/>
      <c r="F34" s="19" t="s">
        <v>21</v>
      </c>
      <c r="G34" s="18"/>
      <c r="H34" s="18"/>
      <c r="I34" s="18"/>
      <c r="J34" s="18"/>
      <c r="K34" s="18"/>
    </row>
    <row r="35" spans="1:11" ht="13.9" x14ac:dyDescent="0.25">
      <c r="A35" s="18">
        <v>1990</v>
      </c>
      <c r="B35" s="20" t="s">
        <v>24</v>
      </c>
      <c r="C35" s="20">
        <v>1</v>
      </c>
      <c r="D35" s="19" t="s">
        <v>13</v>
      </c>
      <c r="E35" s="19"/>
      <c r="F35" s="19" t="s">
        <v>34</v>
      </c>
      <c r="G35" s="18"/>
      <c r="H35" s="18"/>
      <c r="I35" s="18"/>
      <c r="J35" s="18"/>
      <c r="K35" s="18"/>
    </row>
    <row r="36" spans="1:11" ht="13.9" x14ac:dyDescent="0.25">
      <c r="A36" s="18">
        <v>1990</v>
      </c>
      <c r="B36" s="20" t="s">
        <v>24</v>
      </c>
      <c r="C36" s="20">
        <v>2</v>
      </c>
      <c r="D36" s="19" t="s">
        <v>11</v>
      </c>
      <c r="E36" s="19"/>
      <c r="F36" s="19" t="s">
        <v>35</v>
      </c>
      <c r="G36" s="18"/>
      <c r="H36" s="18"/>
      <c r="I36" s="18"/>
      <c r="J36" s="18"/>
      <c r="K36" s="18"/>
    </row>
    <row r="37" spans="1:11" ht="13.9" x14ac:dyDescent="0.25">
      <c r="A37" s="18">
        <v>1990</v>
      </c>
      <c r="B37" s="20" t="s">
        <v>24</v>
      </c>
      <c r="C37" s="20">
        <v>3</v>
      </c>
      <c r="D37" s="19" t="s">
        <v>11</v>
      </c>
      <c r="E37" s="19"/>
      <c r="F37" s="19" t="s">
        <v>35</v>
      </c>
      <c r="G37" s="18"/>
      <c r="H37" s="18"/>
      <c r="I37" s="18"/>
      <c r="J37" s="18"/>
      <c r="K37" s="18"/>
    </row>
    <row r="38" spans="1:11" ht="13.9" x14ac:dyDescent="0.25">
      <c r="A38" s="18">
        <v>1990</v>
      </c>
      <c r="B38" s="20" t="s">
        <v>24</v>
      </c>
      <c r="C38" s="20">
        <v>4</v>
      </c>
      <c r="D38" s="19" t="s">
        <v>11</v>
      </c>
      <c r="E38" s="19"/>
      <c r="F38" s="19" t="s">
        <v>35</v>
      </c>
      <c r="G38" s="18"/>
      <c r="H38" s="18"/>
      <c r="I38" s="18"/>
      <c r="J38" s="18"/>
      <c r="K38" s="18"/>
    </row>
    <row r="39" spans="1:11" ht="13.9" x14ac:dyDescent="0.25">
      <c r="A39" s="18">
        <v>1990</v>
      </c>
      <c r="B39" s="20" t="s">
        <v>24</v>
      </c>
      <c r="C39" s="20">
        <v>5</v>
      </c>
      <c r="D39" s="19" t="s">
        <v>36</v>
      </c>
      <c r="E39" s="19"/>
      <c r="F39" s="19" t="s">
        <v>37</v>
      </c>
      <c r="G39" s="18"/>
      <c r="H39" s="18"/>
      <c r="I39" s="18"/>
      <c r="J39" s="18"/>
      <c r="K39" s="18"/>
    </row>
    <row r="40" spans="1:11" ht="13.9" x14ac:dyDescent="0.25">
      <c r="A40" s="18">
        <v>1990</v>
      </c>
      <c r="B40" s="20" t="s">
        <v>24</v>
      </c>
      <c r="C40" s="20">
        <v>6</v>
      </c>
      <c r="D40" s="19" t="s">
        <v>36</v>
      </c>
      <c r="E40" s="19"/>
      <c r="F40" s="19" t="s">
        <v>37</v>
      </c>
      <c r="G40" s="18"/>
      <c r="H40" s="18"/>
      <c r="I40" s="18"/>
      <c r="J40" s="18"/>
      <c r="K40" s="18"/>
    </row>
    <row r="41" spans="1:11" ht="13.9" x14ac:dyDescent="0.25">
      <c r="A41" s="18">
        <v>1990</v>
      </c>
      <c r="B41" s="20" t="s">
        <v>24</v>
      </c>
      <c r="C41" s="20">
        <v>7</v>
      </c>
      <c r="D41" s="19" t="s">
        <v>36</v>
      </c>
      <c r="E41" s="19"/>
      <c r="F41" s="19" t="s">
        <v>37</v>
      </c>
      <c r="G41" s="18"/>
      <c r="H41" s="18"/>
      <c r="I41" s="18"/>
      <c r="J41" s="18"/>
      <c r="K41" s="18"/>
    </row>
    <row r="42" spans="1:11" ht="13.9" x14ac:dyDescent="0.25">
      <c r="A42" s="18">
        <v>1990</v>
      </c>
      <c r="B42" s="20" t="s">
        <v>24</v>
      </c>
      <c r="C42" s="20">
        <v>8</v>
      </c>
      <c r="D42" s="19" t="s">
        <v>36</v>
      </c>
      <c r="E42" s="19"/>
      <c r="F42" s="19" t="s">
        <v>37</v>
      </c>
      <c r="G42" s="18"/>
      <c r="H42" s="18"/>
      <c r="I42" s="18"/>
      <c r="J42" s="18"/>
      <c r="K42" s="18"/>
    </row>
    <row r="43" spans="1:11" ht="13.9" x14ac:dyDescent="0.25">
      <c r="A43" s="18">
        <v>1990</v>
      </c>
      <c r="B43" s="20" t="s">
        <v>24</v>
      </c>
      <c r="C43" s="20">
        <v>9</v>
      </c>
      <c r="D43" s="19" t="s">
        <v>36</v>
      </c>
      <c r="E43" s="19"/>
      <c r="F43" s="19" t="s">
        <v>37</v>
      </c>
      <c r="G43" s="18"/>
      <c r="H43" s="18"/>
      <c r="I43" s="18"/>
      <c r="J43" s="18"/>
      <c r="K43" s="18"/>
    </row>
    <row r="44" spans="1:11" ht="13.9" x14ac:dyDescent="0.25">
      <c r="A44" s="18">
        <v>1990</v>
      </c>
      <c r="B44" s="20" t="s">
        <v>24</v>
      </c>
      <c r="C44" s="20">
        <v>10</v>
      </c>
      <c r="D44" s="19" t="s">
        <v>38</v>
      </c>
      <c r="E44" s="19"/>
      <c r="F44" s="19" t="s">
        <v>39</v>
      </c>
      <c r="G44" s="18"/>
      <c r="H44" s="18"/>
      <c r="I44" s="18"/>
      <c r="J44" s="18"/>
      <c r="K44" s="18"/>
    </row>
    <row r="45" spans="1:11" ht="13.9" x14ac:dyDescent="0.25">
      <c r="A45" s="18">
        <v>1990</v>
      </c>
      <c r="B45" s="20" t="s">
        <v>24</v>
      </c>
      <c r="C45" s="20">
        <v>11</v>
      </c>
      <c r="D45" s="19" t="s">
        <v>40</v>
      </c>
      <c r="E45" s="19"/>
      <c r="F45" s="19" t="s">
        <v>41</v>
      </c>
      <c r="G45" s="18"/>
      <c r="H45" s="18"/>
      <c r="I45" s="18"/>
      <c r="J45" s="18"/>
      <c r="K45" s="18"/>
    </row>
    <row r="46" spans="1:11" ht="13.9" x14ac:dyDescent="0.25">
      <c r="A46" s="18">
        <v>1990</v>
      </c>
      <c r="B46" s="20" t="s">
        <v>24</v>
      </c>
      <c r="C46" s="20">
        <v>12</v>
      </c>
      <c r="D46" s="19" t="s">
        <v>11</v>
      </c>
      <c r="E46" s="19"/>
      <c r="F46" s="19" t="s">
        <v>42</v>
      </c>
      <c r="G46" s="18"/>
      <c r="H46" s="18"/>
      <c r="I46" s="18"/>
      <c r="J46" s="18"/>
      <c r="K46" s="18"/>
    </row>
    <row r="47" spans="1:11" ht="13.9" x14ac:dyDescent="0.25">
      <c r="A47" s="18">
        <v>1990</v>
      </c>
      <c r="B47" s="20" t="s">
        <v>24</v>
      </c>
      <c r="C47" s="20">
        <v>13</v>
      </c>
      <c r="D47" s="19" t="s">
        <v>11</v>
      </c>
      <c r="E47" s="19"/>
      <c r="F47" s="19" t="s">
        <v>42</v>
      </c>
      <c r="G47" s="18"/>
      <c r="H47" s="18"/>
      <c r="I47" s="18"/>
      <c r="J47" s="18"/>
      <c r="K47" s="18"/>
    </row>
    <row r="48" spans="1:11" ht="13.9" x14ac:dyDescent="0.25">
      <c r="A48" s="18">
        <v>1990</v>
      </c>
      <c r="B48" s="20" t="s">
        <v>24</v>
      </c>
      <c r="C48" s="20">
        <v>14</v>
      </c>
      <c r="D48" s="19" t="s">
        <v>9</v>
      </c>
      <c r="E48" s="19"/>
      <c r="F48" s="19" t="s">
        <v>43</v>
      </c>
      <c r="G48" s="18"/>
      <c r="H48" s="18"/>
      <c r="I48" s="18"/>
      <c r="J48" s="18"/>
      <c r="K48" s="18"/>
    </row>
    <row r="49" spans="1:11" ht="13.9" x14ac:dyDescent="0.25">
      <c r="A49" s="18">
        <v>1990</v>
      </c>
      <c r="B49" s="20" t="s">
        <v>24</v>
      </c>
      <c r="C49" s="20">
        <v>15</v>
      </c>
      <c r="D49" s="19" t="s">
        <v>9</v>
      </c>
      <c r="E49" s="19"/>
      <c r="F49" s="19" t="s">
        <v>44</v>
      </c>
      <c r="G49" s="18"/>
      <c r="H49" s="18"/>
      <c r="I49" s="18"/>
      <c r="J49" s="18"/>
      <c r="K49" s="18"/>
    </row>
    <row r="50" spans="1:11" ht="13.9" x14ac:dyDescent="0.25">
      <c r="A50" s="18">
        <v>1990</v>
      </c>
      <c r="B50" s="20" t="s">
        <v>24</v>
      </c>
      <c r="C50" s="20">
        <v>16</v>
      </c>
      <c r="D50" s="19" t="s">
        <v>45</v>
      </c>
      <c r="E50" s="19"/>
      <c r="F50" s="19" t="s">
        <v>46</v>
      </c>
      <c r="G50" s="18"/>
      <c r="H50" s="18"/>
      <c r="I50" s="18"/>
      <c r="J50" s="18"/>
      <c r="K50" s="18"/>
    </row>
    <row r="51" spans="1:11" ht="13.9" x14ac:dyDescent="0.25">
      <c r="A51" s="18">
        <v>1990</v>
      </c>
      <c r="B51" s="20" t="s">
        <v>24</v>
      </c>
      <c r="C51" s="20">
        <v>17</v>
      </c>
      <c r="D51" s="19" t="s">
        <v>47</v>
      </c>
      <c r="E51" s="19"/>
      <c r="F51" s="19" t="s">
        <v>48</v>
      </c>
      <c r="G51" s="18"/>
      <c r="H51" s="18"/>
      <c r="I51" s="18"/>
      <c r="J51" s="18"/>
      <c r="K51" s="18"/>
    </row>
    <row r="52" spans="1:11" ht="13.9" x14ac:dyDescent="0.25">
      <c r="A52" s="18">
        <v>1990</v>
      </c>
      <c r="B52" s="20" t="s">
        <v>24</v>
      </c>
      <c r="C52" s="20">
        <v>18</v>
      </c>
      <c r="D52" s="19" t="s">
        <v>49</v>
      </c>
      <c r="E52" s="19"/>
      <c r="F52" s="19" t="s">
        <v>50</v>
      </c>
      <c r="G52" s="18"/>
      <c r="H52" s="18"/>
      <c r="I52" s="18"/>
      <c r="J52" s="18"/>
      <c r="K52" s="18"/>
    </row>
    <row r="53" spans="1:11" ht="13.9" x14ac:dyDescent="0.25">
      <c r="A53" s="18">
        <v>1990</v>
      </c>
      <c r="B53" s="20" t="s">
        <v>24</v>
      </c>
      <c r="C53" s="20">
        <v>19</v>
      </c>
      <c r="D53" s="19" t="s">
        <v>51</v>
      </c>
      <c r="E53" s="19"/>
      <c r="F53" s="19" t="s">
        <v>52</v>
      </c>
      <c r="G53" s="18"/>
      <c r="H53" s="18"/>
      <c r="I53" s="18"/>
      <c r="J53" s="18"/>
      <c r="K53" s="18"/>
    </row>
    <row r="54" spans="1:11" ht="13.9" x14ac:dyDescent="0.25">
      <c r="A54" s="18">
        <v>1990</v>
      </c>
      <c r="B54" s="20" t="s">
        <v>24</v>
      </c>
      <c r="C54" s="20">
        <v>20</v>
      </c>
      <c r="D54" s="19" t="s">
        <v>7</v>
      </c>
      <c r="E54" s="19"/>
      <c r="F54" s="19" t="s">
        <v>53</v>
      </c>
      <c r="G54" s="18"/>
      <c r="H54" s="18"/>
      <c r="I54" s="18"/>
      <c r="J54" s="18"/>
      <c r="K54" s="18"/>
    </row>
    <row r="55" spans="1:11" ht="13.9" x14ac:dyDescent="0.25">
      <c r="A55" s="18">
        <v>1990</v>
      </c>
      <c r="B55" s="20" t="s">
        <v>24</v>
      </c>
      <c r="C55" s="20">
        <v>21</v>
      </c>
      <c r="D55" s="19" t="s">
        <v>54</v>
      </c>
      <c r="E55" s="19"/>
      <c r="F55" s="19" t="s">
        <v>55</v>
      </c>
      <c r="G55" s="18"/>
      <c r="H55" s="18"/>
      <c r="I55" s="18"/>
      <c r="J55" s="18"/>
      <c r="K55" s="18"/>
    </row>
    <row r="56" spans="1:11" ht="13.9" x14ac:dyDescent="0.25">
      <c r="A56" s="18">
        <v>1990</v>
      </c>
      <c r="B56" s="20" t="s">
        <v>24</v>
      </c>
      <c r="C56" s="20">
        <v>22</v>
      </c>
      <c r="D56" s="19" t="s">
        <v>56</v>
      </c>
      <c r="E56" s="19"/>
      <c r="F56" s="19" t="s">
        <v>57</v>
      </c>
      <c r="G56" s="18"/>
      <c r="H56" s="18"/>
      <c r="I56" s="18"/>
      <c r="J56" s="18"/>
      <c r="K56" s="18"/>
    </row>
    <row r="57" spans="1:11" x14ac:dyDescent="0.25">
      <c r="A57" s="18">
        <v>1990</v>
      </c>
      <c r="B57" s="20" t="s">
        <v>24</v>
      </c>
      <c r="C57" s="20">
        <v>23</v>
      </c>
      <c r="D57" s="19" t="s">
        <v>56</v>
      </c>
      <c r="E57" s="19"/>
      <c r="F57" s="19" t="s">
        <v>57</v>
      </c>
      <c r="G57" s="18"/>
      <c r="H57" s="18"/>
      <c r="I57" s="18"/>
      <c r="J57" s="18"/>
      <c r="K57" s="18"/>
    </row>
    <row r="58" spans="1:11" x14ac:dyDescent="0.25">
      <c r="A58" s="18">
        <v>1990</v>
      </c>
      <c r="B58" s="20" t="s">
        <v>24</v>
      </c>
      <c r="C58" s="20">
        <v>24</v>
      </c>
      <c r="D58" s="19" t="s">
        <v>58</v>
      </c>
      <c r="E58" s="19"/>
      <c r="F58" s="19" t="s">
        <v>59</v>
      </c>
      <c r="G58" s="18"/>
      <c r="H58" s="18"/>
      <c r="I58" s="18"/>
      <c r="J58" s="18"/>
      <c r="K58" s="18"/>
    </row>
    <row r="59" spans="1:11" x14ac:dyDescent="0.25">
      <c r="A59" s="18">
        <v>1990</v>
      </c>
      <c r="B59" s="20" t="s">
        <v>24</v>
      </c>
      <c r="C59" s="20">
        <v>25</v>
      </c>
      <c r="D59" s="19" t="s">
        <v>58</v>
      </c>
      <c r="E59" s="19"/>
      <c r="F59" s="19" t="s">
        <v>59</v>
      </c>
      <c r="G59" s="18"/>
      <c r="H59" s="18"/>
      <c r="I59" s="18"/>
      <c r="J59" s="18"/>
      <c r="K59" s="18"/>
    </row>
    <row r="60" spans="1:11" x14ac:dyDescent="0.25">
      <c r="A60" s="18">
        <v>1990</v>
      </c>
      <c r="B60" s="20" t="s">
        <v>24</v>
      </c>
      <c r="C60" s="20">
        <v>26</v>
      </c>
      <c r="D60" s="19" t="s">
        <v>60</v>
      </c>
      <c r="E60" s="19"/>
      <c r="F60" s="19" t="s">
        <v>61</v>
      </c>
      <c r="G60" s="18"/>
      <c r="H60" s="18"/>
      <c r="I60" s="18"/>
      <c r="J60" s="18"/>
      <c r="K60" s="18"/>
    </row>
    <row r="61" spans="1:11" x14ac:dyDescent="0.25">
      <c r="A61" s="18">
        <v>1990</v>
      </c>
      <c r="B61" s="20" t="s">
        <v>24</v>
      </c>
      <c r="C61" s="20">
        <v>27</v>
      </c>
      <c r="D61" s="19" t="s">
        <v>60</v>
      </c>
      <c r="E61" s="19"/>
      <c r="F61" s="19" t="s">
        <v>61</v>
      </c>
      <c r="G61" s="18"/>
      <c r="H61" s="18"/>
      <c r="I61" s="18"/>
      <c r="J61" s="18"/>
      <c r="K61" s="18"/>
    </row>
    <row r="62" spans="1:11" x14ac:dyDescent="0.25">
      <c r="A62" s="18">
        <v>1990</v>
      </c>
      <c r="B62" s="20" t="s">
        <v>24</v>
      </c>
      <c r="C62" s="20">
        <v>28</v>
      </c>
      <c r="D62" s="19" t="s">
        <v>62</v>
      </c>
      <c r="E62" s="19"/>
      <c r="F62" s="19" t="s">
        <v>63</v>
      </c>
      <c r="G62" s="18"/>
      <c r="H62" s="18"/>
      <c r="I62" s="18"/>
      <c r="J62" s="18"/>
      <c r="K62" s="18"/>
    </row>
    <row r="63" spans="1:11" x14ac:dyDescent="0.25">
      <c r="A63" s="18">
        <v>1990</v>
      </c>
      <c r="B63" s="20" t="s">
        <v>24</v>
      </c>
      <c r="C63" s="20">
        <v>29</v>
      </c>
      <c r="D63" s="18">
        <v>0</v>
      </c>
      <c r="E63" s="18"/>
      <c r="F63" s="18">
        <v>0</v>
      </c>
      <c r="G63" s="18"/>
      <c r="H63" s="18"/>
      <c r="I63" s="18"/>
      <c r="J63" s="18"/>
      <c r="K63" s="18"/>
    </row>
    <row r="64" spans="1:11" x14ac:dyDescent="0.25">
      <c r="A64" s="18">
        <v>1990</v>
      </c>
      <c r="B64" s="20" t="s">
        <v>25</v>
      </c>
      <c r="C64" s="20">
        <v>1</v>
      </c>
      <c r="D64" s="19" t="s">
        <v>64</v>
      </c>
      <c r="E64" s="19"/>
      <c r="F64" s="19" t="s">
        <v>65</v>
      </c>
      <c r="G64" s="18"/>
      <c r="H64" s="18"/>
      <c r="I64" s="18"/>
      <c r="J64" s="18"/>
      <c r="K64" s="18"/>
    </row>
    <row r="65" spans="1:11" x14ac:dyDescent="0.25">
      <c r="A65" s="18">
        <v>1990</v>
      </c>
      <c r="B65" s="20" t="s">
        <v>25</v>
      </c>
      <c r="C65" s="20">
        <v>2</v>
      </c>
      <c r="D65" s="19" t="s">
        <v>66</v>
      </c>
      <c r="E65" s="19"/>
      <c r="F65" s="19" t="s">
        <v>67</v>
      </c>
      <c r="G65" s="18"/>
      <c r="H65" s="18"/>
      <c r="I65" s="18"/>
      <c r="J65" s="18"/>
      <c r="K65" s="18"/>
    </row>
    <row r="66" spans="1:11" x14ac:dyDescent="0.25">
      <c r="A66" s="18">
        <v>1990</v>
      </c>
      <c r="B66" s="20" t="s">
        <v>25</v>
      </c>
      <c r="C66" s="20">
        <v>3</v>
      </c>
      <c r="D66" s="19" t="s">
        <v>68</v>
      </c>
      <c r="E66" s="19"/>
      <c r="F66" s="19" t="s">
        <v>69</v>
      </c>
      <c r="G66" s="18"/>
      <c r="H66" s="18"/>
      <c r="I66" s="18"/>
      <c r="J66" s="18"/>
      <c r="K66" s="18"/>
    </row>
    <row r="67" spans="1:11" x14ac:dyDescent="0.25">
      <c r="A67" s="18">
        <v>1990</v>
      </c>
      <c r="B67" s="20" t="s">
        <v>25</v>
      </c>
      <c r="C67" s="20">
        <v>4</v>
      </c>
      <c r="D67" s="19" t="s">
        <v>70</v>
      </c>
      <c r="E67" s="19"/>
      <c r="F67" s="19" t="s">
        <v>71</v>
      </c>
      <c r="G67" s="18"/>
      <c r="H67" s="18"/>
      <c r="I67" s="18"/>
      <c r="J67" s="18"/>
      <c r="K67" s="18"/>
    </row>
    <row r="68" spans="1:11" x14ac:dyDescent="0.25">
      <c r="A68" s="18">
        <v>1990</v>
      </c>
      <c r="B68" s="20" t="s">
        <v>25</v>
      </c>
      <c r="C68" s="20">
        <v>5</v>
      </c>
      <c r="D68" s="19" t="s">
        <v>72</v>
      </c>
      <c r="E68" s="19"/>
      <c r="F68" s="19" t="s">
        <v>73</v>
      </c>
      <c r="G68" s="18"/>
      <c r="H68" s="18"/>
      <c r="I68" s="18"/>
      <c r="J68" s="18"/>
      <c r="K68" s="18"/>
    </row>
    <row r="69" spans="1:11" x14ac:dyDescent="0.25">
      <c r="A69" s="18">
        <v>1990</v>
      </c>
      <c r="B69" s="20" t="s">
        <v>25</v>
      </c>
      <c r="C69" s="20">
        <v>6</v>
      </c>
      <c r="D69" s="19" t="s">
        <v>72</v>
      </c>
      <c r="E69" s="19"/>
      <c r="F69" s="19" t="s">
        <v>73</v>
      </c>
      <c r="G69" s="18"/>
      <c r="H69" s="18"/>
      <c r="I69" s="18"/>
      <c r="J69" s="18"/>
      <c r="K69" s="18"/>
    </row>
    <row r="70" spans="1:11" x14ac:dyDescent="0.25">
      <c r="A70" s="18">
        <v>1990</v>
      </c>
      <c r="B70" s="20" t="s">
        <v>25</v>
      </c>
      <c r="C70" s="20">
        <v>7</v>
      </c>
      <c r="D70" s="19" t="s">
        <v>72</v>
      </c>
      <c r="E70" s="19"/>
      <c r="F70" s="19" t="s">
        <v>73</v>
      </c>
      <c r="G70" s="18"/>
      <c r="H70" s="18"/>
      <c r="I70" s="18"/>
      <c r="J70" s="18"/>
      <c r="K70" s="18"/>
    </row>
    <row r="71" spans="1:11" x14ac:dyDescent="0.25">
      <c r="A71" s="18">
        <v>1990</v>
      </c>
      <c r="B71" s="20" t="s">
        <v>25</v>
      </c>
      <c r="C71" s="20">
        <v>8</v>
      </c>
      <c r="D71" s="19" t="s">
        <v>72</v>
      </c>
      <c r="E71" s="19"/>
      <c r="F71" s="19" t="s">
        <v>73</v>
      </c>
      <c r="G71" s="18"/>
      <c r="H71" s="18"/>
      <c r="I71" s="18"/>
      <c r="J71" s="18"/>
      <c r="K71" s="18"/>
    </row>
    <row r="72" spans="1:11" x14ac:dyDescent="0.25">
      <c r="A72" s="18">
        <v>1990</v>
      </c>
      <c r="B72" s="20" t="s">
        <v>25</v>
      </c>
      <c r="C72" s="20">
        <v>9</v>
      </c>
      <c r="D72" s="19" t="s">
        <v>72</v>
      </c>
      <c r="E72" s="19"/>
      <c r="F72" s="19" t="s">
        <v>73</v>
      </c>
      <c r="G72" s="18"/>
      <c r="H72" s="18"/>
      <c r="I72" s="18"/>
      <c r="J72" s="18"/>
      <c r="K72" s="18"/>
    </row>
    <row r="73" spans="1:11" x14ac:dyDescent="0.25">
      <c r="A73" s="18">
        <v>1990</v>
      </c>
      <c r="B73" s="20" t="s">
        <v>25</v>
      </c>
      <c r="C73" s="20">
        <v>10</v>
      </c>
      <c r="D73" s="19" t="s">
        <v>72</v>
      </c>
      <c r="E73" s="19"/>
      <c r="F73" s="19" t="s">
        <v>73</v>
      </c>
      <c r="G73" s="18"/>
      <c r="H73" s="18"/>
      <c r="I73" s="18"/>
      <c r="J73" s="18"/>
      <c r="K73" s="18"/>
    </row>
    <row r="74" spans="1:11" x14ac:dyDescent="0.25">
      <c r="A74" s="18">
        <v>1990</v>
      </c>
      <c r="B74" s="20" t="s">
        <v>25</v>
      </c>
      <c r="C74" s="20">
        <v>11</v>
      </c>
      <c r="D74" s="19" t="s">
        <v>72</v>
      </c>
      <c r="E74" s="19"/>
      <c r="F74" s="19" t="s">
        <v>73</v>
      </c>
      <c r="G74" s="18"/>
      <c r="H74" s="18"/>
      <c r="I74" s="18"/>
      <c r="J74" s="18"/>
      <c r="K74" s="18"/>
    </row>
    <row r="75" spans="1:11" x14ac:dyDescent="0.25">
      <c r="A75" s="18">
        <v>1990</v>
      </c>
      <c r="B75" s="20" t="s">
        <v>25</v>
      </c>
      <c r="C75" s="20">
        <v>12</v>
      </c>
      <c r="D75" s="19" t="s">
        <v>74</v>
      </c>
      <c r="E75" s="19"/>
      <c r="F75" s="19" t="s">
        <v>75</v>
      </c>
      <c r="G75" s="18"/>
      <c r="H75" s="18"/>
      <c r="I75" s="18"/>
      <c r="J75" s="18"/>
      <c r="K75" s="18"/>
    </row>
    <row r="76" spans="1:11" x14ac:dyDescent="0.25">
      <c r="A76" s="18">
        <v>1990</v>
      </c>
      <c r="B76" s="20" t="s">
        <v>25</v>
      </c>
      <c r="C76" s="20">
        <v>13</v>
      </c>
      <c r="D76" s="19" t="s">
        <v>74</v>
      </c>
      <c r="E76" s="19"/>
      <c r="F76" s="19" t="s">
        <v>75</v>
      </c>
      <c r="G76" s="18"/>
      <c r="H76" s="18"/>
      <c r="I76" s="18"/>
      <c r="J76" s="18"/>
      <c r="K76" s="18"/>
    </row>
    <row r="77" spans="1:11" x14ac:dyDescent="0.25">
      <c r="A77" s="18">
        <v>1990</v>
      </c>
      <c r="B77" s="20" t="s">
        <v>25</v>
      </c>
      <c r="C77" s="20">
        <v>14</v>
      </c>
      <c r="D77" s="19" t="s">
        <v>76</v>
      </c>
      <c r="E77" s="19"/>
      <c r="F77" s="19" t="s">
        <v>77</v>
      </c>
      <c r="G77" s="18"/>
      <c r="H77" s="18"/>
      <c r="I77" s="18"/>
      <c r="J77" s="18"/>
      <c r="K77" s="18"/>
    </row>
    <row r="78" spans="1:11" x14ac:dyDescent="0.25">
      <c r="A78" s="18">
        <v>1990</v>
      </c>
      <c r="B78" s="20" t="s">
        <v>25</v>
      </c>
      <c r="C78" s="21">
        <v>15</v>
      </c>
      <c r="D78" s="22" t="s">
        <v>76</v>
      </c>
      <c r="E78" s="22"/>
      <c r="F78" s="19" t="s">
        <v>77</v>
      </c>
      <c r="G78" s="18"/>
      <c r="H78" s="18"/>
      <c r="I78" s="18"/>
      <c r="J78" s="18"/>
      <c r="K78" s="18"/>
    </row>
    <row r="79" spans="1:11" x14ac:dyDescent="0.25">
      <c r="A79" s="18">
        <v>1990</v>
      </c>
      <c r="B79" s="20" t="s">
        <v>25</v>
      </c>
      <c r="C79" s="20">
        <v>16</v>
      </c>
      <c r="D79" s="22" t="s">
        <v>78</v>
      </c>
      <c r="E79" s="22"/>
      <c r="F79" s="19" t="s">
        <v>6</v>
      </c>
      <c r="G79" s="18"/>
      <c r="H79" s="18"/>
      <c r="I79" s="18"/>
      <c r="J79" s="18"/>
      <c r="K79" s="18"/>
    </row>
    <row r="80" spans="1:11" x14ac:dyDescent="0.25">
      <c r="A80" s="18">
        <v>1990</v>
      </c>
      <c r="B80" s="20" t="s">
        <v>25</v>
      </c>
      <c r="C80" s="20">
        <v>17</v>
      </c>
      <c r="D80" s="22" t="s">
        <v>78</v>
      </c>
      <c r="E80" s="22"/>
      <c r="F80" s="19" t="s">
        <v>6</v>
      </c>
      <c r="G80" s="18"/>
      <c r="H80" s="18"/>
      <c r="I80" s="18"/>
      <c r="J80" s="18"/>
      <c r="K80" s="18"/>
    </row>
    <row r="81" spans="1:11" x14ac:dyDescent="0.25">
      <c r="A81" s="18">
        <v>1990</v>
      </c>
      <c r="B81" s="20" t="s">
        <v>25</v>
      </c>
      <c r="C81" s="20">
        <v>18</v>
      </c>
      <c r="D81" s="22" t="s">
        <v>78</v>
      </c>
      <c r="E81" s="22"/>
      <c r="F81" s="19" t="s">
        <v>6</v>
      </c>
      <c r="G81" s="18"/>
      <c r="H81" s="18"/>
      <c r="I81" s="18"/>
      <c r="J81" s="18"/>
      <c r="K81" s="18"/>
    </row>
    <row r="82" spans="1:11" x14ac:dyDescent="0.25">
      <c r="A82" s="18">
        <v>1990</v>
      </c>
      <c r="B82" s="20" t="s">
        <v>25</v>
      </c>
      <c r="C82" s="20">
        <v>19</v>
      </c>
      <c r="D82" s="22" t="s">
        <v>72</v>
      </c>
      <c r="E82" s="22"/>
      <c r="F82" s="19" t="s">
        <v>73</v>
      </c>
      <c r="G82" s="18"/>
      <c r="H82" s="18"/>
      <c r="I82" s="18"/>
      <c r="J82" s="18"/>
      <c r="K82" s="18"/>
    </row>
    <row r="83" spans="1:11" x14ac:dyDescent="0.25">
      <c r="A83" s="18">
        <v>1990</v>
      </c>
      <c r="B83" s="20" t="s">
        <v>25</v>
      </c>
      <c r="C83" s="20">
        <v>20</v>
      </c>
      <c r="D83" s="22" t="s">
        <v>72</v>
      </c>
      <c r="E83" s="22"/>
      <c r="F83" s="19" t="s">
        <v>73</v>
      </c>
      <c r="G83" s="18"/>
      <c r="H83" s="18"/>
      <c r="I83" s="18"/>
      <c r="J83" s="18"/>
      <c r="K83" s="18"/>
    </row>
    <row r="84" spans="1:11" x14ac:dyDescent="0.25">
      <c r="A84" s="18">
        <v>1990</v>
      </c>
      <c r="B84" s="20" t="s">
        <v>25</v>
      </c>
      <c r="C84" s="20">
        <v>21</v>
      </c>
      <c r="D84" s="22" t="s">
        <v>72</v>
      </c>
      <c r="E84" s="22"/>
      <c r="F84" s="19" t="s">
        <v>73</v>
      </c>
      <c r="G84" s="18"/>
      <c r="H84" s="18"/>
      <c r="I84" s="18"/>
      <c r="J84" s="18"/>
      <c r="K84" s="18"/>
    </row>
    <row r="85" spans="1:11" x14ac:dyDescent="0.25">
      <c r="A85" s="18">
        <v>1990</v>
      </c>
      <c r="B85" s="20" t="s">
        <v>25</v>
      </c>
      <c r="C85" s="20">
        <v>22</v>
      </c>
      <c r="D85" s="22" t="s">
        <v>72</v>
      </c>
      <c r="E85" s="22"/>
      <c r="F85" s="19" t="s">
        <v>73</v>
      </c>
      <c r="G85" s="18"/>
      <c r="H85" s="18"/>
      <c r="I85" s="18"/>
      <c r="J85" s="18"/>
      <c r="K85" s="18"/>
    </row>
    <row r="86" spans="1:11" x14ac:dyDescent="0.25">
      <c r="A86" s="18">
        <v>1990</v>
      </c>
      <c r="B86" s="20" t="s">
        <v>25</v>
      </c>
      <c r="C86" s="20">
        <v>23</v>
      </c>
      <c r="D86" s="22" t="s">
        <v>72</v>
      </c>
      <c r="E86" s="22"/>
      <c r="F86" s="19" t="s">
        <v>73</v>
      </c>
      <c r="G86" s="18"/>
      <c r="H86" s="18"/>
      <c r="I86" s="18"/>
      <c r="J86" s="18"/>
      <c r="K86" s="18"/>
    </row>
    <row r="87" spans="1:11" x14ac:dyDescent="0.25">
      <c r="A87" s="18">
        <v>1990</v>
      </c>
      <c r="B87" s="20" t="s">
        <v>25</v>
      </c>
      <c r="C87" s="20">
        <v>24</v>
      </c>
      <c r="D87" s="22" t="s">
        <v>72</v>
      </c>
      <c r="E87" s="22"/>
      <c r="F87" s="19" t="s">
        <v>73</v>
      </c>
      <c r="G87" s="18"/>
      <c r="H87" s="18"/>
      <c r="I87" s="18"/>
      <c r="J87" s="18"/>
      <c r="K87" s="18"/>
    </row>
    <row r="88" spans="1:11" x14ac:dyDescent="0.25">
      <c r="A88" s="18">
        <v>1990</v>
      </c>
      <c r="B88" s="20" t="s">
        <v>25</v>
      </c>
      <c r="C88" s="20">
        <v>25</v>
      </c>
      <c r="D88" s="22" t="s">
        <v>72</v>
      </c>
      <c r="E88" s="22"/>
      <c r="F88" s="19" t="s">
        <v>73</v>
      </c>
      <c r="G88" s="18"/>
      <c r="H88" s="18"/>
      <c r="I88" s="18"/>
      <c r="J88" s="18"/>
      <c r="K88" s="18"/>
    </row>
    <row r="89" spans="1:11" x14ac:dyDescent="0.25">
      <c r="A89" s="18">
        <v>1990</v>
      </c>
      <c r="B89" s="20" t="s">
        <v>25</v>
      </c>
      <c r="C89" s="20">
        <v>26</v>
      </c>
      <c r="D89" s="22" t="s">
        <v>74</v>
      </c>
      <c r="E89" s="22"/>
      <c r="F89" s="23" t="s">
        <v>79</v>
      </c>
      <c r="G89" s="18"/>
      <c r="H89" s="18"/>
      <c r="I89" s="18"/>
      <c r="J89" s="18"/>
      <c r="K89" s="18"/>
    </row>
    <row r="90" spans="1:11" x14ac:dyDescent="0.25">
      <c r="A90" s="18">
        <v>1990</v>
      </c>
      <c r="B90" s="20" t="s">
        <v>25</v>
      </c>
      <c r="C90" s="20">
        <v>27</v>
      </c>
      <c r="D90" s="22" t="s">
        <v>74</v>
      </c>
      <c r="E90" s="22"/>
      <c r="F90" s="23" t="s">
        <v>79</v>
      </c>
      <c r="G90" s="18"/>
      <c r="H90" s="18"/>
      <c r="I90" s="18"/>
      <c r="J90" s="18"/>
      <c r="K90" s="18"/>
    </row>
    <row r="91" spans="1:11" x14ac:dyDescent="0.25">
      <c r="A91" s="18">
        <v>1990</v>
      </c>
      <c r="B91" s="20" t="s">
        <v>25</v>
      </c>
      <c r="C91" s="20">
        <v>28</v>
      </c>
      <c r="D91" s="22" t="s">
        <v>74</v>
      </c>
      <c r="E91" s="22"/>
      <c r="F91" s="23" t="s">
        <v>79</v>
      </c>
      <c r="G91" s="18"/>
      <c r="H91" s="18"/>
      <c r="I91" s="18"/>
      <c r="J91" s="18"/>
      <c r="K91" s="18"/>
    </row>
    <row r="92" spans="1:11" x14ac:dyDescent="0.25">
      <c r="A92" s="18">
        <v>1990</v>
      </c>
      <c r="B92" s="20" t="s">
        <v>25</v>
      </c>
      <c r="C92" s="20">
        <v>29</v>
      </c>
      <c r="D92" s="22" t="s">
        <v>76</v>
      </c>
      <c r="E92" s="22"/>
      <c r="F92" s="22" t="s">
        <v>77</v>
      </c>
      <c r="G92" s="18"/>
      <c r="H92" s="18"/>
      <c r="I92" s="18"/>
      <c r="J92" s="18"/>
      <c r="K92" s="18"/>
    </row>
    <row r="93" spans="1:11" x14ac:dyDescent="0.25">
      <c r="A93" s="18">
        <v>1990</v>
      </c>
      <c r="B93" s="20" t="s">
        <v>25</v>
      </c>
      <c r="C93" s="20">
        <v>30</v>
      </c>
      <c r="D93" s="22" t="s">
        <v>80</v>
      </c>
      <c r="E93" s="22"/>
      <c r="F93" s="22" t="s">
        <v>6</v>
      </c>
      <c r="G93" s="18"/>
      <c r="H93" s="18"/>
      <c r="I93" s="18"/>
      <c r="J93" s="18"/>
      <c r="K93" s="18"/>
    </row>
    <row r="94" spans="1:11" x14ac:dyDescent="0.25">
      <c r="A94" s="18">
        <v>1990</v>
      </c>
      <c r="B94" s="20" t="s">
        <v>25</v>
      </c>
      <c r="C94" s="20">
        <v>31</v>
      </c>
      <c r="D94" s="22" t="s">
        <v>80</v>
      </c>
      <c r="E94" s="22"/>
      <c r="F94" s="22" t="s">
        <v>6</v>
      </c>
      <c r="G94" s="18"/>
      <c r="H94" s="18"/>
      <c r="I94" s="18"/>
      <c r="J94" s="18"/>
      <c r="K94" s="18"/>
    </row>
    <row r="95" spans="1:11" x14ac:dyDescent="0.25">
      <c r="A95" s="18">
        <v>1990</v>
      </c>
      <c r="B95" s="20" t="s">
        <v>26</v>
      </c>
      <c r="C95" s="20">
        <v>1</v>
      </c>
      <c r="D95" s="22" t="s">
        <v>5</v>
      </c>
      <c r="E95" s="22"/>
      <c r="F95" s="22" t="s">
        <v>81</v>
      </c>
      <c r="G95" s="18"/>
      <c r="H95" s="18"/>
      <c r="I95" s="18"/>
      <c r="J95" s="18"/>
      <c r="K95" s="18"/>
    </row>
    <row r="96" spans="1:11" x14ac:dyDescent="0.25">
      <c r="A96" s="18">
        <v>1990</v>
      </c>
      <c r="B96" s="20" t="s">
        <v>26</v>
      </c>
      <c r="C96" s="20">
        <v>2</v>
      </c>
      <c r="D96" s="22" t="s">
        <v>82</v>
      </c>
      <c r="E96" s="22"/>
      <c r="F96" s="22" t="s">
        <v>83</v>
      </c>
      <c r="G96" s="18"/>
      <c r="H96" s="18"/>
      <c r="I96" s="18"/>
      <c r="J96" s="18"/>
      <c r="K96" s="18"/>
    </row>
    <row r="97" spans="1:11" x14ac:dyDescent="0.25">
      <c r="A97" s="18">
        <v>1990</v>
      </c>
      <c r="B97" s="20" t="s">
        <v>26</v>
      </c>
      <c r="C97" s="20">
        <v>3</v>
      </c>
      <c r="D97" s="22" t="s">
        <v>84</v>
      </c>
      <c r="E97" s="22"/>
      <c r="F97" s="22" t="s">
        <v>85</v>
      </c>
      <c r="G97" s="18"/>
      <c r="H97" s="18"/>
      <c r="I97" s="18"/>
      <c r="J97" s="18"/>
      <c r="K97" s="18"/>
    </row>
    <row r="98" spans="1:11" x14ac:dyDescent="0.25">
      <c r="A98" s="18">
        <v>1990</v>
      </c>
      <c r="B98" s="20" t="s">
        <v>26</v>
      </c>
      <c r="C98" s="20">
        <v>4</v>
      </c>
      <c r="D98" s="22" t="s">
        <v>86</v>
      </c>
      <c r="E98" s="22"/>
      <c r="F98" s="22" t="s">
        <v>87</v>
      </c>
      <c r="G98" s="18"/>
      <c r="H98" s="18"/>
      <c r="I98" s="18"/>
      <c r="J98" s="18"/>
      <c r="K98" s="18"/>
    </row>
    <row r="99" spans="1:11" x14ac:dyDescent="0.25">
      <c r="A99" s="18">
        <v>1990</v>
      </c>
      <c r="B99" s="20" t="s">
        <v>26</v>
      </c>
      <c r="C99" s="20">
        <v>5</v>
      </c>
      <c r="D99" s="22" t="s">
        <v>88</v>
      </c>
      <c r="E99" s="22"/>
      <c r="F99" s="19" t="s">
        <v>89</v>
      </c>
      <c r="G99" s="18"/>
      <c r="H99" s="18"/>
      <c r="I99" s="18"/>
      <c r="J99" s="18"/>
      <c r="K99" s="18"/>
    </row>
    <row r="100" spans="1:11" x14ac:dyDescent="0.25">
      <c r="A100" s="18">
        <v>1990</v>
      </c>
      <c r="B100" s="20" t="s">
        <v>26</v>
      </c>
      <c r="C100" s="20">
        <v>6</v>
      </c>
      <c r="D100" s="22" t="s">
        <v>88</v>
      </c>
      <c r="E100" s="22"/>
      <c r="F100" s="19" t="s">
        <v>89</v>
      </c>
      <c r="G100" s="18"/>
      <c r="H100" s="18"/>
      <c r="I100" s="18"/>
      <c r="J100" s="18"/>
      <c r="K100" s="18"/>
    </row>
    <row r="101" spans="1:11" x14ac:dyDescent="0.25">
      <c r="A101" s="18">
        <v>1990</v>
      </c>
      <c r="B101" s="20" t="s">
        <v>26</v>
      </c>
      <c r="C101" s="20">
        <v>7</v>
      </c>
      <c r="D101" s="22" t="s">
        <v>90</v>
      </c>
      <c r="E101" s="22"/>
      <c r="F101" s="19" t="s">
        <v>91</v>
      </c>
      <c r="G101" s="18"/>
      <c r="H101" s="18"/>
      <c r="I101" s="18"/>
      <c r="J101" s="18"/>
      <c r="K101" s="18"/>
    </row>
    <row r="102" spans="1:11" x14ac:dyDescent="0.25">
      <c r="A102" s="18">
        <v>1990</v>
      </c>
      <c r="B102" s="20" t="s">
        <v>26</v>
      </c>
      <c r="C102" s="20">
        <v>8</v>
      </c>
      <c r="D102" s="22" t="s">
        <v>90</v>
      </c>
      <c r="E102" s="22"/>
      <c r="F102" s="19" t="s">
        <v>91</v>
      </c>
      <c r="G102" s="18"/>
      <c r="H102" s="18"/>
      <c r="I102" s="18"/>
      <c r="J102" s="18"/>
      <c r="K102" s="18"/>
    </row>
    <row r="103" spans="1:11" x14ac:dyDescent="0.25">
      <c r="A103" s="18">
        <v>1990</v>
      </c>
      <c r="B103" s="20" t="s">
        <v>26</v>
      </c>
      <c r="C103" s="20">
        <v>9</v>
      </c>
      <c r="D103" s="22" t="s">
        <v>90</v>
      </c>
      <c r="E103" s="22"/>
      <c r="F103" s="19" t="s">
        <v>91</v>
      </c>
      <c r="G103" s="18"/>
      <c r="H103" s="18"/>
      <c r="I103" s="18"/>
      <c r="J103" s="18"/>
      <c r="K103" s="18"/>
    </row>
    <row r="104" spans="1:11" x14ac:dyDescent="0.25">
      <c r="A104" s="18">
        <v>1990</v>
      </c>
      <c r="B104" s="20" t="s">
        <v>26</v>
      </c>
      <c r="C104" s="20">
        <v>10</v>
      </c>
      <c r="D104" s="22" t="s">
        <v>90</v>
      </c>
      <c r="E104" s="22"/>
      <c r="F104" s="19" t="s">
        <v>91</v>
      </c>
      <c r="G104" s="18"/>
      <c r="H104" s="18"/>
      <c r="I104" s="18"/>
      <c r="J104" s="18"/>
      <c r="K104" s="18"/>
    </row>
    <row r="105" spans="1:11" x14ac:dyDescent="0.25">
      <c r="A105" s="18">
        <v>1990</v>
      </c>
      <c r="B105" s="20" t="s">
        <v>26</v>
      </c>
      <c r="C105" s="20">
        <v>11</v>
      </c>
      <c r="D105" s="22" t="s">
        <v>90</v>
      </c>
      <c r="E105" s="22"/>
      <c r="F105" s="19" t="s">
        <v>91</v>
      </c>
      <c r="G105" s="18"/>
      <c r="H105" s="18"/>
      <c r="I105" s="18"/>
      <c r="J105" s="18"/>
      <c r="K105" s="18"/>
    </row>
    <row r="106" spans="1:11" x14ac:dyDescent="0.25">
      <c r="A106" s="18">
        <v>1990</v>
      </c>
      <c r="B106" s="20" t="s">
        <v>26</v>
      </c>
      <c r="C106" s="20">
        <v>12</v>
      </c>
      <c r="D106" s="22" t="s">
        <v>90</v>
      </c>
      <c r="E106" s="22"/>
      <c r="F106" s="19" t="s">
        <v>91</v>
      </c>
      <c r="G106" s="18"/>
      <c r="H106" s="18"/>
      <c r="I106" s="18"/>
      <c r="J106" s="18"/>
      <c r="K106" s="18"/>
    </row>
    <row r="107" spans="1:11" x14ac:dyDescent="0.25">
      <c r="A107" s="18">
        <v>1990</v>
      </c>
      <c r="B107" s="20" t="s">
        <v>26</v>
      </c>
      <c r="C107" s="20">
        <v>13</v>
      </c>
      <c r="D107" s="22" t="s">
        <v>90</v>
      </c>
      <c r="E107" s="22"/>
      <c r="F107" s="19" t="s">
        <v>91</v>
      </c>
      <c r="G107" s="18"/>
      <c r="H107" s="18"/>
      <c r="I107" s="18"/>
      <c r="J107" s="18"/>
      <c r="K107" s="18"/>
    </row>
    <row r="108" spans="1:11" x14ac:dyDescent="0.25">
      <c r="A108" s="18">
        <v>1990</v>
      </c>
      <c r="B108" s="20" t="s">
        <v>26</v>
      </c>
      <c r="C108" s="20">
        <v>14</v>
      </c>
      <c r="D108" s="22" t="s">
        <v>90</v>
      </c>
      <c r="E108" s="22"/>
      <c r="F108" s="19" t="s">
        <v>91</v>
      </c>
      <c r="G108" s="18"/>
      <c r="H108" s="18"/>
      <c r="I108" s="18"/>
      <c r="J108" s="18"/>
      <c r="K108" s="18"/>
    </row>
    <row r="109" spans="1:11" x14ac:dyDescent="0.25">
      <c r="A109" s="18">
        <v>1990</v>
      </c>
      <c r="B109" s="20" t="s">
        <v>26</v>
      </c>
      <c r="C109" s="20">
        <v>15</v>
      </c>
      <c r="D109" s="22" t="s">
        <v>90</v>
      </c>
      <c r="E109" s="22"/>
      <c r="F109" s="19" t="s">
        <v>91</v>
      </c>
      <c r="G109" s="18"/>
      <c r="H109" s="18"/>
      <c r="I109" s="18"/>
      <c r="J109" s="18"/>
      <c r="K109" s="18"/>
    </row>
    <row r="110" spans="1:11" x14ac:dyDescent="0.25">
      <c r="A110" s="18">
        <v>1990</v>
      </c>
      <c r="B110" s="20" t="s">
        <v>26</v>
      </c>
      <c r="C110" s="20">
        <v>16</v>
      </c>
      <c r="D110" s="22" t="s">
        <v>90</v>
      </c>
      <c r="E110" s="22"/>
      <c r="F110" s="19" t="s">
        <v>91</v>
      </c>
      <c r="G110" s="18"/>
      <c r="H110" s="18"/>
      <c r="I110" s="18"/>
      <c r="J110" s="18"/>
      <c r="K110" s="18"/>
    </row>
    <row r="111" spans="1:11" x14ac:dyDescent="0.25">
      <c r="A111" s="18">
        <v>1990</v>
      </c>
      <c r="B111" s="20" t="s">
        <v>26</v>
      </c>
      <c r="C111" s="20">
        <v>17</v>
      </c>
      <c r="D111" s="22" t="s">
        <v>90</v>
      </c>
      <c r="E111" s="22"/>
      <c r="F111" s="19" t="s">
        <v>91</v>
      </c>
      <c r="G111" s="18"/>
      <c r="H111" s="18"/>
      <c r="I111" s="18"/>
      <c r="J111" s="18"/>
      <c r="K111" s="18"/>
    </row>
    <row r="112" spans="1:11" x14ac:dyDescent="0.25">
      <c r="A112" s="18">
        <v>1990</v>
      </c>
      <c r="B112" s="20" t="s">
        <v>26</v>
      </c>
      <c r="C112" s="20">
        <v>18</v>
      </c>
      <c r="D112" s="22" t="s">
        <v>92</v>
      </c>
      <c r="E112" s="22"/>
      <c r="F112" s="22" t="s">
        <v>93</v>
      </c>
      <c r="G112" s="18"/>
      <c r="H112" s="18"/>
      <c r="I112" s="18"/>
      <c r="J112" s="18"/>
      <c r="K112" s="18"/>
    </row>
    <row r="113" spans="1:11" x14ac:dyDescent="0.25">
      <c r="A113" s="18">
        <v>1990</v>
      </c>
      <c r="B113" s="20" t="s">
        <v>26</v>
      </c>
      <c r="C113" s="20">
        <v>19</v>
      </c>
      <c r="D113" s="22" t="s">
        <v>92</v>
      </c>
      <c r="E113" s="22"/>
      <c r="F113" s="19" t="s">
        <v>93</v>
      </c>
      <c r="G113" s="18"/>
      <c r="H113" s="18"/>
      <c r="I113" s="18"/>
      <c r="J113" s="18"/>
      <c r="K113" s="18"/>
    </row>
    <row r="114" spans="1:11" x14ac:dyDescent="0.25">
      <c r="A114" s="18">
        <v>1990</v>
      </c>
      <c r="B114" s="20" t="s">
        <v>26</v>
      </c>
      <c r="C114" s="20">
        <v>20</v>
      </c>
      <c r="D114" s="22" t="s">
        <v>94</v>
      </c>
      <c r="E114" s="22"/>
      <c r="F114" s="19" t="s">
        <v>95</v>
      </c>
      <c r="G114" s="18"/>
      <c r="H114" s="18"/>
      <c r="I114" s="18"/>
      <c r="J114" s="18"/>
      <c r="K114" s="18"/>
    </row>
    <row r="115" spans="1:11" x14ac:dyDescent="0.25">
      <c r="A115" s="18">
        <v>1990</v>
      </c>
      <c r="B115" s="20" t="s">
        <v>26</v>
      </c>
      <c r="C115" s="20">
        <v>21</v>
      </c>
      <c r="D115" s="22" t="s">
        <v>96</v>
      </c>
      <c r="E115" s="22"/>
      <c r="F115" s="19" t="s">
        <v>97</v>
      </c>
      <c r="G115" s="18"/>
      <c r="H115" s="18"/>
      <c r="I115" s="18"/>
      <c r="J115" s="18"/>
      <c r="K115" s="18"/>
    </row>
    <row r="116" spans="1:11" x14ac:dyDescent="0.25">
      <c r="A116" s="18">
        <v>1990</v>
      </c>
      <c r="B116" s="20" t="s">
        <v>26</v>
      </c>
      <c r="C116" s="20">
        <v>22</v>
      </c>
      <c r="D116" s="22" t="s">
        <v>98</v>
      </c>
      <c r="E116" s="22"/>
      <c r="F116" s="19" t="s">
        <v>99</v>
      </c>
      <c r="G116" s="18"/>
      <c r="H116" s="18"/>
      <c r="I116" s="18"/>
      <c r="J116" s="18"/>
      <c r="K116" s="18"/>
    </row>
    <row r="117" spans="1:11" x14ac:dyDescent="0.25">
      <c r="A117" s="18">
        <v>1990</v>
      </c>
      <c r="B117" s="20" t="s">
        <v>26</v>
      </c>
      <c r="C117" s="20">
        <v>23</v>
      </c>
      <c r="D117" s="22" t="s">
        <v>100</v>
      </c>
      <c r="E117" s="22"/>
      <c r="F117" s="19" t="s">
        <v>101</v>
      </c>
      <c r="G117" s="18"/>
      <c r="H117" s="18"/>
      <c r="I117" s="18"/>
      <c r="J117" s="18"/>
      <c r="K117" s="18"/>
    </row>
    <row r="118" spans="1:11" x14ac:dyDescent="0.25">
      <c r="A118" s="18">
        <v>1990</v>
      </c>
      <c r="B118" s="20" t="s">
        <v>26</v>
      </c>
      <c r="C118" s="20">
        <v>24</v>
      </c>
      <c r="D118" s="22" t="s">
        <v>102</v>
      </c>
      <c r="E118" s="22"/>
      <c r="F118" s="22" t="s">
        <v>103</v>
      </c>
      <c r="G118" s="18"/>
      <c r="H118" s="18"/>
      <c r="I118" s="18"/>
      <c r="J118" s="18"/>
      <c r="K118" s="18"/>
    </row>
    <row r="119" spans="1:11" x14ac:dyDescent="0.25">
      <c r="A119" s="18">
        <v>1990</v>
      </c>
      <c r="B119" s="20" t="s">
        <v>26</v>
      </c>
      <c r="C119" s="20">
        <v>25</v>
      </c>
      <c r="D119" s="22" t="s">
        <v>104</v>
      </c>
      <c r="E119" s="22"/>
      <c r="F119" s="22" t="s">
        <v>4</v>
      </c>
      <c r="G119" s="18"/>
      <c r="H119" s="18"/>
      <c r="I119" s="18"/>
      <c r="J119" s="18"/>
      <c r="K119" s="18"/>
    </row>
    <row r="120" spans="1:11" x14ac:dyDescent="0.25">
      <c r="A120" s="18">
        <v>1990</v>
      </c>
      <c r="B120" s="20" t="s">
        <v>26</v>
      </c>
      <c r="C120" s="20">
        <v>26</v>
      </c>
      <c r="D120" s="22" t="s">
        <v>104</v>
      </c>
      <c r="E120" s="22"/>
      <c r="F120" s="22" t="s">
        <v>4</v>
      </c>
      <c r="G120" s="18"/>
      <c r="H120" s="18"/>
      <c r="I120" s="18"/>
      <c r="J120" s="18"/>
      <c r="K120" s="18"/>
    </row>
    <row r="121" spans="1:11" x14ac:dyDescent="0.25">
      <c r="A121" s="18">
        <v>1990</v>
      </c>
      <c r="B121" s="20" t="s">
        <v>26</v>
      </c>
      <c r="C121" s="20">
        <v>27</v>
      </c>
      <c r="D121" s="22" t="s">
        <v>1</v>
      </c>
      <c r="E121" s="22"/>
      <c r="F121" s="22" t="s">
        <v>105</v>
      </c>
      <c r="G121" s="18"/>
      <c r="H121" s="18"/>
      <c r="I121" s="18"/>
      <c r="J121" s="18"/>
      <c r="K121" s="18"/>
    </row>
    <row r="122" spans="1:11" x14ac:dyDescent="0.25">
      <c r="A122" s="18">
        <v>1990</v>
      </c>
      <c r="B122" s="20" t="s">
        <v>26</v>
      </c>
      <c r="C122" s="20">
        <v>28</v>
      </c>
      <c r="D122" s="22" t="s">
        <v>1</v>
      </c>
      <c r="E122" s="22"/>
      <c r="F122" s="22" t="s">
        <v>105</v>
      </c>
      <c r="G122" s="18"/>
      <c r="H122" s="18"/>
      <c r="I122" s="18"/>
      <c r="J122" s="18"/>
      <c r="K122" s="18"/>
    </row>
    <row r="123" spans="1:11" x14ac:dyDescent="0.25">
      <c r="A123" s="18">
        <v>1990</v>
      </c>
      <c r="B123" s="20" t="s">
        <v>26</v>
      </c>
      <c r="C123" s="20">
        <v>29</v>
      </c>
      <c r="D123" s="22" t="s">
        <v>106</v>
      </c>
      <c r="E123" s="22"/>
      <c r="F123" s="22" t="s">
        <v>107</v>
      </c>
      <c r="G123" s="18"/>
      <c r="H123" s="18"/>
      <c r="I123" s="18"/>
      <c r="J123" s="18"/>
      <c r="K123" s="18"/>
    </row>
    <row r="124" spans="1:11" x14ac:dyDescent="0.25">
      <c r="A124" s="18">
        <v>1990</v>
      </c>
      <c r="B124" s="20" t="s">
        <v>26</v>
      </c>
      <c r="C124" s="20">
        <v>30</v>
      </c>
      <c r="D124" s="22" t="s">
        <v>106</v>
      </c>
      <c r="E124" s="22"/>
      <c r="F124" s="22" t="s">
        <v>107</v>
      </c>
      <c r="G124" s="18"/>
      <c r="H124" s="18"/>
      <c r="I124" s="18"/>
      <c r="J124" s="18"/>
      <c r="K124" s="18"/>
    </row>
    <row r="125" spans="1:11" x14ac:dyDescent="0.25">
      <c r="A125" s="18">
        <v>1990</v>
      </c>
      <c r="B125" s="20" t="s">
        <v>27</v>
      </c>
      <c r="C125" s="20">
        <v>1</v>
      </c>
      <c r="D125" s="22" t="s">
        <v>108</v>
      </c>
      <c r="E125" s="22"/>
      <c r="F125" s="22" t="s">
        <v>109</v>
      </c>
      <c r="G125" s="18"/>
      <c r="H125" s="18"/>
      <c r="I125" s="18"/>
      <c r="J125" s="18"/>
      <c r="K125" s="18"/>
    </row>
    <row r="126" spans="1:11" x14ac:dyDescent="0.25">
      <c r="A126" s="18">
        <v>1990</v>
      </c>
      <c r="B126" s="20" t="s">
        <v>27</v>
      </c>
      <c r="C126" s="20">
        <v>2</v>
      </c>
      <c r="D126" s="22" t="s">
        <v>108</v>
      </c>
      <c r="E126" s="22"/>
      <c r="F126" s="22" t="s">
        <v>109</v>
      </c>
      <c r="G126" s="18"/>
      <c r="H126" s="18"/>
      <c r="I126" s="18"/>
      <c r="J126" s="18"/>
      <c r="K126" s="18"/>
    </row>
    <row r="127" spans="1:11" x14ac:dyDescent="0.25">
      <c r="A127" s="18">
        <v>1990</v>
      </c>
      <c r="B127" s="20" t="s">
        <v>27</v>
      </c>
      <c r="C127" s="20">
        <v>3</v>
      </c>
      <c r="D127" s="22" t="s">
        <v>108</v>
      </c>
      <c r="E127" s="22"/>
      <c r="F127" s="22" t="s">
        <v>109</v>
      </c>
      <c r="G127" s="18"/>
      <c r="H127" s="18"/>
      <c r="I127" s="18"/>
      <c r="J127" s="18"/>
      <c r="K127" s="18"/>
    </row>
    <row r="128" spans="1:11" x14ac:dyDescent="0.25">
      <c r="A128" s="18">
        <v>1990</v>
      </c>
      <c r="B128" s="20" t="s">
        <v>27</v>
      </c>
      <c r="C128" s="20">
        <v>4</v>
      </c>
      <c r="D128" s="22" t="s">
        <v>108</v>
      </c>
      <c r="E128" s="22"/>
      <c r="F128" s="22" t="s">
        <v>109</v>
      </c>
      <c r="G128" s="18"/>
      <c r="H128" s="18"/>
      <c r="I128" s="18"/>
      <c r="J128" s="18"/>
      <c r="K128" s="18"/>
    </row>
    <row r="129" spans="1:11" x14ac:dyDescent="0.25">
      <c r="A129" s="18">
        <v>1990</v>
      </c>
      <c r="B129" s="20" t="s">
        <v>27</v>
      </c>
      <c r="C129" s="20">
        <v>5</v>
      </c>
      <c r="D129" s="22" t="s">
        <v>108</v>
      </c>
      <c r="E129" s="22"/>
      <c r="F129" s="22" t="s">
        <v>109</v>
      </c>
      <c r="G129" s="18"/>
      <c r="H129" s="18"/>
      <c r="I129" s="18"/>
      <c r="J129" s="18"/>
      <c r="K129" s="18"/>
    </row>
    <row r="130" spans="1:11" x14ac:dyDescent="0.25">
      <c r="A130" s="18">
        <v>1990</v>
      </c>
      <c r="B130" s="20" t="s">
        <v>27</v>
      </c>
      <c r="C130" s="20">
        <v>6</v>
      </c>
      <c r="D130" s="22" t="s">
        <v>110</v>
      </c>
      <c r="E130" s="22"/>
      <c r="F130" s="22" t="s">
        <v>111</v>
      </c>
      <c r="G130" s="18"/>
      <c r="H130" s="18"/>
      <c r="I130" s="18"/>
      <c r="J130" s="18"/>
      <c r="K130" s="18"/>
    </row>
    <row r="131" spans="1:11" x14ac:dyDescent="0.25">
      <c r="A131" s="18">
        <v>1990</v>
      </c>
      <c r="B131" s="20" t="s">
        <v>27</v>
      </c>
      <c r="C131" s="20">
        <v>7</v>
      </c>
      <c r="D131" s="22" t="s">
        <v>3</v>
      </c>
      <c r="E131" s="22"/>
      <c r="F131" s="22" t="s">
        <v>2</v>
      </c>
      <c r="G131" s="18"/>
      <c r="H131" s="18"/>
      <c r="I131" s="18"/>
      <c r="J131" s="18"/>
      <c r="K131" s="18"/>
    </row>
    <row r="132" spans="1:11" x14ac:dyDescent="0.25">
      <c r="A132" s="18">
        <v>1990</v>
      </c>
      <c r="B132" s="20" t="s">
        <v>27</v>
      </c>
      <c r="C132" s="20">
        <v>8</v>
      </c>
      <c r="D132" s="22" t="s">
        <v>112</v>
      </c>
      <c r="E132" s="22"/>
      <c r="F132" s="22" t="s">
        <v>113</v>
      </c>
      <c r="G132" s="18"/>
      <c r="H132" s="18"/>
      <c r="I132" s="18"/>
      <c r="J132" s="18"/>
      <c r="K132" s="18"/>
    </row>
    <row r="133" spans="1:11" x14ac:dyDescent="0.25">
      <c r="A133" s="18">
        <v>1990</v>
      </c>
      <c r="B133" s="20" t="s">
        <v>27</v>
      </c>
      <c r="C133" s="20">
        <v>9</v>
      </c>
      <c r="D133" s="22" t="s">
        <v>112</v>
      </c>
      <c r="E133" s="22"/>
      <c r="F133" s="22" t="s">
        <v>113</v>
      </c>
      <c r="G133" s="18"/>
      <c r="H133" s="18"/>
      <c r="I133" s="18"/>
      <c r="J133" s="18"/>
      <c r="K133" s="18"/>
    </row>
    <row r="134" spans="1:11" x14ac:dyDescent="0.25">
      <c r="A134" s="18">
        <v>1990</v>
      </c>
      <c r="B134" s="20" t="s">
        <v>27</v>
      </c>
      <c r="C134" s="20">
        <v>10</v>
      </c>
      <c r="D134" s="22" t="s">
        <v>112</v>
      </c>
      <c r="E134" s="22"/>
      <c r="F134" s="22" t="s">
        <v>113</v>
      </c>
      <c r="G134" s="18"/>
      <c r="H134" s="18"/>
      <c r="I134" s="18"/>
      <c r="J134" s="18"/>
      <c r="K134" s="18"/>
    </row>
    <row r="135" spans="1:11" x14ac:dyDescent="0.25">
      <c r="A135" s="18">
        <v>1990</v>
      </c>
      <c r="B135" s="20" t="s">
        <v>27</v>
      </c>
      <c r="C135" s="20">
        <v>11</v>
      </c>
      <c r="D135" s="22" t="s">
        <v>112</v>
      </c>
      <c r="E135" s="22"/>
      <c r="F135" s="22" t="s">
        <v>113</v>
      </c>
      <c r="G135" s="18"/>
      <c r="H135" s="18"/>
      <c r="I135" s="18"/>
      <c r="J135" s="18"/>
      <c r="K135" s="18"/>
    </row>
    <row r="136" spans="1:11" x14ac:dyDescent="0.25">
      <c r="A136" s="18">
        <v>1990</v>
      </c>
      <c r="B136" s="20" t="s">
        <v>27</v>
      </c>
      <c r="C136" s="20">
        <v>12</v>
      </c>
      <c r="D136" s="22" t="s">
        <v>112</v>
      </c>
      <c r="E136" s="22"/>
      <c r="F136" s="22" t="s">
        <v>113</v>
      </c>
      <c r="G136" s="18"/>
      <c r="H136" s="18"/>
      <c r="I136" s="18"/>
      <c r="J136" s="18"/>
      <c r="K136" s="18"/>
    </row>
    <row r="137" spans="1:11" x14ac:dyDescent="0.25">
      <c r="A137" s="18">
        <v>1990</v>
      </c>
      <c r="B137" s="20" t="s">
        <v>27</v>
      </c>
      <c r="C137" s="20">
        <v>13</v>
      </c>
      <c r="D137" s="22" t="s">
        <v>112</v>
      </c>
      <c r="E137" s="22"/>
      <c r="F137" s="22" t="s">
        <v>113</v>
      </c>
      <c r="G137" s="18"/>
      <c r="H137" s="18"/>
      <c r="I137" s="18"/>
      <c r="J137" s="18"/>
      <c r="K137" s="18"/>
    </row>
    <row r="138" spans="1:11" x14ac:dyDescent="0.25">
      <c r="A138" s="18">
        <v>1990</v>
      </c>
      <c r="B138" s="20" t="s">
        <v>27</v>
      </c>
      <c r="C138" s="20">
        <v>14</v>
      </c>
      <c r="D138" s="22" t="s">
        <v>112</v>
      </c>
      <c r="E138" s="22"/>
      <c r="F138" s="22" t="s">
        <v>113</v>
      </c>
      <c r="G138" s="18"/>
      <c r="H138" s="18"/>
      <c r="I138" s="18"/>
      <c r="J138" s="18"/>
      <c r="K138" s="18"/>
    </row>
    <row r="139" spans="1:11" x14ac:dyDescent="0.25">
      <c r="A139" s="18">
        <v>1990</v>
      </c>
      <c r="B139" s="20" t="s">
        <v>27</v>
      </c>
      <c r="C139" s="20">
        <v>15</v>
      </c>
      <c r="D139" s="22" t="s">
        <v>112</v>
      </c>
      <c r="E139" s="22"/>
      <c r="F139" s="22" t="s">
        <v>113</v>
      </c>
      <c r="G139" s="18"/>
      <c r="H139" s="18"/>
      <c r="I139" s="18"/>
      <c r="J139" s="18"/>
      <c r="K139" s="18"/>
    </row>
    <row r="140" spans="1:11" x14ac:dyDescent="0.25">
      <c r="A140" s="18">
        <v>1990</v>
      </c>
      <c r="B140" s="20" t="s">
        <v>27</v>
      </c>
      <c r="C140" s="20">
        <v>16</v>
      </c>
      <c r="D140" s="22" t="s">
        <v>112</v>
      </c>
      <c r="E140" s="22"/>
      <c r="F140" s="22" t="s">
        <v>113</v>
      </c>
      <c r="G140" s="18"/>
      <c r="H140" s="18"/>
      <c r="I140" s="18"/>
      <c r="J140" s="18"/>
      <c r="K140" s="18"/>
    </row>
    <row r="141" spans="1:11" x14ac:dyDescent="0.25">
      <c r="A141" s="18">
        <v>1990</v>
      </c>
      <c r="B141" s="20" t="s">
        <v>27</v>
      </c>
      <c r="C141" s="20">
        <v>17</v>
      </c>
      <c r="D141" s="22" t="s">
        <v>114</v>
      </c>
      <c r="E141" s="22"/>
      <c r="F141" s="19" t="s">
        <v>115</v>
      </c>
      <c r="G141" s="18"/>
      <c r="H141" s="18"/>
      <c r="I141" s="18"/>
      <c r="J141" s="18"/>
      <c r="K141" s="18"/>
    </row>
    <row r="142" spans="1:11" x14ac:dyDescent="0.25">
      <c r="A142" s="18">
        <v>1990</v>
      </c>
      <c r="B142" s="20" t="s">
        <v>27</v>
      </c>
      <c r="C142" s="20">
        <v>18</v>
      </c>
      <c r="D142" s="24" t="s">
        <v>104</v>
      </c>
      <c r="E142" s="24"/>
      <c r="F142" s="19" t="s">
        <v>4</v>
      </c>
      <c r="G142" s="18"/>
      <c r="H142" s="18"/>
      <c r="I142" s="18"/>
      <c r="J142" s="18"/>
      <c r="K142" s="18"/>
    </row>
    <row r="143" spans="1:11" x14ac:dyDescent="0.25">
      <c r="A143" s="18">
        <v>1990</v>
      </c>
      <c r="B143" s="20" t="s">
        <v>27</v>
      </c>
      <c r="C143" s="20">
        <v>19</v>
      </c>
      <c r="D143" s="22" t="s">
        <v>3</v>
      </c>
      <c r="E143" s="22"/>
      <c r="F143" s="19" t="s">
        <v>2</v>
      </c>
      <c r="G143" s="18"/>
      <c r="H143" s="18"/>
      <c r="I143" s="18"/>
      <c r="J143" s="18"/>
      <c r="K143" s="18"/>
    </row>
    <row r="144" spans="1:11" x14ac:dyDescent="0.25">
      <c r="A144" s="18">
        <v>1990</v>
      </c>
      <c r="B144" s="20" t="s">
        <v>27</v>
      </c>
      <c r="C144" s="20">
        <v>20</v>
      </c>
      <c r="D144" s="22" t="s">
        <v>106</v>
      </c>
      <c r="E144" s="22"/>
      <c r="F144" s="19" t="s">
        <v>107</v>
      </c>
      <c r="G144" s="18"/>
      <c r="H144" s="18"/>
      <c r="I144" s="18"/>
      <c r="J144" s="18"/>
      <c r="K144" s="18"/>
    </row>
    <row r="145" spans="1:11" x14ac:dyDescent="0.25">
      <c r="A145" s="18">
        <v>1990</v>
      </c>
      <c r="B145" s="20" t="s">
        <v>27</v>
      </c>
      <c r="C145" s="20">
        <v>21</v>
      </c>
      <c r="D145" s="22" t="s">
        <v>116</v>
      </c>
      <c r="E145" s="22"/>
      <c r="F145" s="22" t="s">
        <v>117</v>
      </c>
      <c r="G145" s="18"/>
      <c r="H145" s="18"/>
      <c r="I145" s="18"/>
      <c r="J145" s="18"/>
      <c r="K145" s="18"/>
    </row>
    <row r="146" spans="1:11" x14ac:dyDescent="0.25">
      <c r="A146" s="18">
        <v>1990</v>
      </c>
      <c r="B146" s="20" t="s">
        <v>27</v>
      </c>
      <c r="C146" s="20">
        <v>22</v>
      </c>
      <c r="D146" s="22" t="s">
        <v>108</v>
      </c>
      <c r="E146" s="22"/>
      <c r="F146" s="22" t="s">
        <v>109</v>
      </c>
      <c r="G146" s="18"/>
      <c r="H146" s="18"/>
      <c r="I146" s="18"/>
      <c r="J146" s="18"/>
      <c r="K146" s="18"/>
    </row>
    <row r="147" spans="1:11" x14ac:dyDescent="0.25">
      <c r="A147" s="18">
        <v>1990</v>
      </c>
      <c r="B147" s="20" t="s">
        <v>27</v>
      </c>
      <c r="C147" s="20">
        <v>23</v>
      </c>
      <c r="D147" s="22" t="s">
        <v>118</v>
      </c>
      <c r="E147" s="22"/>
      <c r="F147" s="22" t="s">
        <v>119</v>
      </c>
      <c r="G147" s="18"/>
      <c r="H147" s="18"/>
      <c r="I147" s="18"/>
      <c r="J147" s="18"/>
      <c r="K147" s="18"/>
    </row>
    <row r="148" spans="1:11" x14ac:dyDescent="0.25">
      <c r="A148" s="18">
        <v>1990</v>
      </c>
      <c r="B148" s="20" t="s">
        <v>27</v>
      </c>
      <c r="C148" s="20">
        <v>24</v>
      </c>
      <c r="D148" s="22" t="s">
        <v>120</v>
      </c>
      <c r="E148" s="22"/>
      <c r="F148" s="19" t="s">
        <v>121</v>
      </c>
      <c r="G148" s="18"/>
      <c r="H148" s="18"/>
      <c r="I148" s="18"/>
      <c r="J148" s="18"/>
      <c r="K148" s="18"/>
    </row>
    <row r="149" spans="1:11" x14ac:dyDescent="0.25">
      <c r="A149" s="18">
        <v>1990</v>
      </c>
      <c r="B149" s="20" t="s">
        <v>27</v>
      </c>
      <c r="C149" s="20">
        <v>25</v>
      </c>
      <c r="D149" s="22" t="s">
        <v>120</v>
      </c>
      <c r="E149" s="22"/>
      <c r="F149" s="19" t="s">
        <v>121</v>
      </c>
      <c r="G149" s="18"/>
      <c r="H149" s="18"/>
      <c r="I149" s="18"/>
      <c r="J149" s="18"/>
      <c r="K149" s="18"/>
    </row>
    <row r="150" spans="1:11" x14ac:dyDescent="0.25">
      <c r="A150" s="18">
        <v>1990</v>
      </c>
      <c r="B150" s="20" t="s">
        <v>27</v>
      </c>
      <c r="C150" s="20">
        <v>26</v>
      </c>
      <c r="D150" s="22" t="s">
        <v>120</v>
      </c>
      <c r="E150" s="22"/>
      <c r="F150" s="22" t="s">
        <v>121</v>
      </c>
      <c r="G150" s="18"/>
      <c r="H150" s="18"/>
      <c r="I150" s="18"/>
      <c r="J150" s="18"/>
      <c r="K150" s="18"/>
    </row>
    <row r="151" spans="1:11" x14ac:dyDescent="0.25">
      <c r="A151" s="18">
        <v>1990</v>
      </c>
      <c r="B151" s="20" t="s">
        <v>27</v>
      </c>
      <c r="C151" s="20">
        <v>27</v>
      </c>
      <c r="D151" s="22" t="s">
        <v>122</v>
      </c>
      <c r="E151" s="22"/>
      <c r="F151" s="22" t="s">
        <v>122</v>
      </c>
      <c r="G151" s="18"/>
      <c r="H151" s="18"/>
      <c r="I151" s="18"/>
      <c r="J151" s="18"/>
      <c r="K151" s="18"/>
    </row>
    <row r="152" spans="1:11" x14ac:dyDescent="0.25">
      <c r="A152" s="18">
        <v>1990</v>
      </c>
      <c r="B152" s="20" t="s">
        <v>27</v>
      </c>
      <c r="C152" s="20">
        <v>28</v>
      </c>
      <c r="D152" s="22" t="s">
        <v>122</v>
      </c>
      <c r="E152" s="22"/>
      <c r="F152" s="22" t="s">
        <v>122</v>
      </c>
      <c r="G152" s="18"/>
      <c r="H152" s="18"/>
      <c r="I152" s="18"/>
      <c r="J152" s="18"/>
      <c r="K152" s="18"/>
    </row>
    <row r="153" spans="1:11" x14ac:dyDescent="0.25">
      <c r="A153" s="18">
        <v>1990</v>
      </c>
      <c r="B153" s="20" t="s">
        <v>27</v>
      </c>
      <c r="C153" s="20">
        <v>29</v>
      </c>
      <c r="D153" s="22" t="s">
        <v>122</v>
      </c>
      <c r="E153" s="22"/>
      <c r="F153" s="22" t="s">
        <v>122</v>
      </c>
      <c r="G153" s="18"/>
      <c r="H153" s="18"/>
      <c r="I153" s="18"/>
      <c r="J153" s="18"/>
      <c r="K153" s="18"/>
    </row>
    <row r="154" spans="1:11" x14ac:dyDescent="0.25">
      <c r="A154" s="18">
        <v>1990</v>
      </c>
      <c r="B154" s="20" t="s">
        <v>27</v>
      </c>
      <c r="C154" s="20">
        <v>30</v>
      </c>
      <c r="D154" s="22" t="s">
        <v>122</v>
      </c>
      <c r="E154" s="22"/>
      <c r="F154" s="22" t="s">
        <v>122</v>
      </c>
      <c r="G154" s="18"/>
      <c r="H154" s="18"/>
      <c r="I154" s="18"/>
      <c r="J154" s="18"/>
      <c r="K154" s="18"/>
    </row>
    <row r="155" spans="1:11" x14ac:dyDescent="0.25">
      <c r="A155" s="18">
        <v>1990</v>
      </c>
      <c r="B155" s="20" t="s">
        <v>27</v>
      </c>
      <c r="C155" s="20">
        <v>31</v>
      </c>
      <c r="D155" s="22" t="s">
        <v>122</v>
      </c>
      <c r="E155" s="22"/>
      <c r="F155" s="22" t="s">
        <v>122</v>
      </c>
      <c r="G155" s="18"/>
      <c r="H155" s="18"/>
      <c r="I155" s="18"/>
      <c r="J155" s="18"/>
      <c r="K155" s="18"/>
    </row>
    <row r="156" spans="1:11" x14ac:dyDescent="0.25">
      <c r="A156" s="18">
        <v>1990</v>
      </c>
      <c r="B156" s="20" t="s">
        <v>28</v>
      </c>
      <c r="C156" s="20">
        <v>1</v>
      </c>
      <c r="D156" s="18"/>
      <c r="E156" s="18"/>
      <c r="F156" s="18"/>
      <c r="G156" s="18"/>
      <c r="H156" s="18"/>
      <c r="I156" s="18"/>
      <c r="J156" s="18"/>
      <c r="K156" s="18"/>
    </row>
    <row r="157" spans="1:11" x14ac:dyDescent="0.25">
      <c r="A157" s="18">
        <v>1990</v>
      </c>
      <c r="B157" s="20" t="s">
        <v>28</v>
      </c>
      <c r="C157" s="20">
        <v>2</v>
      </c>
      <c r="D157" s="18"/>
      <c r="E157" s="18"/>
      <c r="F157" s="18"/>
      <c r="G157" s="18"/>
      <c r="H157" s="18"/>
      <c r="I157" s="18"/>
      <c r="J157" s="18"/>
      <c r="K157" s="18"/>
    </row>
    <row r="158" spans="1:11" x14ac:dyDescent="0.25">
      <c r="A158" s="18">
        <v>1990</v>
      </c>
      <c r="B158" s="20" t="s">
        <v>28</v>
      </c>
      <c r="C158" s="20">
        <v>3</v>
      </c>
      <c r="D158" s="18"/>
      <c r="E158" s="18"/>
      <c r="F158" s="18"/>
      <c r="G158" s="18"/>
      <c r="H158" s="18"/>
      <c r="I158" s="18"/>
      <c r="J158" s="18"/>
      <c r="K158" s="18"/>
    </row>
    <row r="159" spans="1:11" x14ac:dyDescent="0.25">
      <c r="A159" s="18">
        <v>1990</v>
      </c>
      <c r="B159" s="20" t="s">
        <v>28</v>
      </c>
      <c r="C159" s="20">
        <v>4</v>
      </c>
      <c r="D159" s="18"/>
      <c r="E159" s="18"/>
      <c r="F159" s="18"/>
      <c r="G159" s="18"/>
      <c r="H159" s="18"/>
      <c r="I159" s="18"/>
      <c r="J159" s="18"/>
      <c r="K159" s="18"/>
    </row>
    <row r="160" spans="1:11" x14ac:dyDescent="0.25">
      <c r="A160" s="18">
        <v>1990</v>
      </c>
      <c r="B160" s="20" t="s">
        <v>28</v>
      </c>
      <c r="C160" s="20">
        <v>5</v>
      </c>
      <c r="D160" s="18"/>
      <c r="E160" s="18"/>
      <c r="F160" s="18"/>
      <c r="G160" s="18"/>
      <c r="H160" s="18"/>
      <c r="I160" s="18"/>
      <c r="J160" s="18"/>
      <c r="K160" s="18"/>
    </row>
    <row r="161" spans="1:11" x14ac:dyDescent="0.25">
      <c r="A161" s="18">
        <v>1990</v>
      </c>
      <c r="B161" s="20" t="s">
        <v>28</v>
      </c>
      <c r="C161" s="20">
        <v>6</v>
      </c>
      <c r="D161" s="18"/>
      <c r="E161" s="18"/>
      <c r="F161" s="18"/>
      <c r="G161" s="18"/>
      <c r="H161" s="18"/>
      <c r="I161" s="18"/>
      <c r="J161" s="18"/>
      <c r="K161" s="18"/>
    </row>
    <row r="162" spans="1:11" x14ac:dyDescent="0.25">
      <c r="A162" s="18">
        <v>1990</v>
      </c>
      <c r="B162" s="20" t="s">
        <v>28</v>
      </c>
      <c r="C162" s="20">
        <v>7</v>
      </c>
      <c r="D162" s="18"/>
      <c r="E162" s="18"/>
      <c r="F162" s="18"/>
      <c r="G162" s="18"/>
      <c r="H162" s="18"/>
      <c r="I162" s="18"/>
      <c r="J162" s="18"/>
      <c r="K162" s="18"/>
    </row>
    <row r="163" spans="1:11" x14ac:dyDescent="0.25">
      <c r="A163" s="18">
        <v>1990</v>
      </c>
      <c r="B163" s="20" t="s">
        <v>28</v>
      </c>
      <c r="C163" s="20">
        <v>8</v>
      </c>
      <c r="D163" s="18"/>
      <c r="E163" s="18"/>
      <c r="F163" s="18"/>
      <c r="G163" s="18"/>
      <c r="H163" s="18"/>
      <c r="I163" s="18"/>
      <c r="J163" s="18"/>
      <c r="K163" s="18"/>
    </row>
    <row r="164" spans="1:11" x14ac:dyDescent="0.25">
      <c r="A164" s="18">
        <v>1990</v>
      </c>
      <c r="B164" s="20" t="s">
        <v>28</v>
      </c>
      <c r="C164" s="20">
        <v>9</v>
      </c>
      <c r="D164" s="18"/>
      <c r="E164" s="18"/>
      <c r="F164" s="18"/>
      <c r="G164" s="18"/>
      <c r="H164" s="18"/>
      <c r="I164" s="18"/>
      <c r="J164" s="18"/>
      <c r="K164" s="18"/>
    </row>
    <row r="165" spans="1:11" x14ac:dyDescent="0.25">
      <c r="A165" s="18">
        <v>1990</v>
      </c>
      <c r="B165" s="20" t="s">
        <v>28</v>
      </c>
      <c r="C165" s="20">
        <v>10</v>
      </c>
      <c r="D165" s="18"/>
      <c r="E165" s="18"/>
      <c r="F165" s="18"/>
      <c r="G165" s="18"/>
      <c r="H165" s="18"/>
      <c r="I165" s="18"/>
      <c r="J165" s="18"/>
      <c r="K165" s="18"/>
    </row>
    <row r="166" spans="1:11" x14ac:dyDescent="0.25">
      <c r="A166" s="18">
        <v>1990</v>
      </c>
      <c r="B166" s="20" t="s">
        <v>28</v>
      </c>
      <c r="C166" s="20">
        <v>11</v>
      </c>
      <c r="D166" s="18"/>
      <c r="E166" s="18"/>
      <c r="F166" s="18"/>
      <c r="G166" s="18"/>
      <c r="H166" s="18"/>
      <c r="I166" s="18"/>
      <c r="J166" s="18"/>
      <c r="K166" s="18"/>
    </row>
    <row r="167" spans="1:11" x14ac:dyDescent="0.25">
      <c r="A167" s="18">
        <v>1990</v>
      </c>
      <c r="B167" s="20" t="s">
        <v>28</v>
      </c>
      <c r="C167" s="20">
        <v>12</v>
      </c>
      <c r="D167" s="18"/>
      <c r="E167" s="18"/>
      <c r="F167" s="18"/>
      <c r="G167" s="18"/>
      <c r="H167" s="18"/>
      <c r="I167" s="18"/>
      <c r="J167" s="18"/>
      <c r="K167" s="18"/>
    </row>
    <row r="168" spans="1:11" x14ac:dyDescent="0.25">
      <c r="A168" s="18">
        <v>1990</v>
      </c>
      <c r="B168" s="20" t="s">
        <v>28</v>
      </c>
      <c r="C168" s="20">
        <v>13</v>
      </c>
      <c r="D168" s="18"/>
      <c r="E168" s="18"/>
      <c r="F168" s="18"/>
      <c r="G168" s="18"/>
      <c r="H168" s="18"/>
      <c r="I168" s="18"/>
      <c r="J168" s="18"/>
      <c r="K168" s="18"/>
    </row>
    <row r="169" spans="1:11" x14ac:dyDescent="0.25">
      <c r="A169" s="18">
        <v>1990</v>
      </c>
      <c r="B169" s="20" t="s">
        <v>28</v>
      </c>
      <c r="C169" s="20">
        <v>14</v>
      </c>
      <c r="D169" s="18"/>
      <c r="E169" s="18"/>
      <c r="F169" s="18"/>
      <c r="G169" s="18"/>
      <c r="H169" s="18"/>
      <c r="I169" s="18"/>
      <c r="J169" s="18"/>
      <c r="K169" s="18"/>
    </row>
    <row r="170" spans="1:11" x14ac:dyDescent="0.25">
      <c r="A170" s="18">
        <v>1990</v>
      </c>
      <c r="B170" s="20" t="s">
        <v>28</v>
      </c>
      <c r="C170" s="20">
        <v>15</v>
      </c>
      <c r="D170" s="18"/>
      <c r="E170" s="18"/>
      <c r="F170" s="18"/>
      <c r="G170" s="18"/>
      <c r="H170" s="18"/>
      <c r="I170" s="18"/>
      <c r="J170" s="18"/>
      <c r="K170" s="18"/>
    </row>
    <row r="171" spans="1:11" x14ac:dyDescent="0.25">
      <c r="A171" s="18">
        <v>1990</v>
      </c>
      <c r="B171" s="20" t="s">
        <v>28</v>
      </c>
      <c r="C171" s="20">
        <v>16</v>
      </c>
      <c r="D171" s="18"/>
      <c r="E171" s="18"/>
      <c r="F171" s="18"/>
      <c r="G171" s="18"/>
      <c r="H171" s="18"/>
      <c r="I171" s="18"/>
      <c r="J171" s="18"/>
      <c r="K171" s="18"/>
    </row>
    <row r="172" spans="1:11" x14ac:dyDescent="0.25">
      <c r="A172" s="18">
        <v>1990</v>
      </c>
      <c r="B172" s="20" t="s">
        <v>28</v>
      </c>
      <c r="C172" s="20">
        <v>17</v>
      </c>
      <c r="D172" s="18"/>
      <c r="E172" s="18"/>
      <c r="F172" s="18"/>
      <c r="G172" s="18"/>
      <c r="H172" s="18"/>
      <c r="I172" s="18"/>
      <c r="J172" s="18"/>
      <c r="K172" s="18"/>
    </row>
    <row r="173" spans="1:11" x14ac:dyDescent="0.25">
      <c r="A173" s="18">
        <v>1990</v>
      </c>
      <c r="B173" s="20" t="s">
        <v>28</v>
      </c>
      <c r="C173" s="20">
        <v>18</v>
      </c>
      <c r="D173" s="18"/>
      <c r="E173" s="18"/>
      <c r="F173" s="18"/>
      <c r="G173" s="18"/>
      <c r="H173" s="18"/>
      <c r="I173" s="18"/>
      <c r="J173" s="18"/>
      <c r="K173" s="18"/>
    </row>
    <row r="174" spans="1:11" x14ac:dyDescent="0.25">
      <c r="A174" s="18">
        <v>1990</v>
      </c>
      <c r="B174" s="20" t="s">
        <v>28</v>
      </c>
      <c r="C174" s="20">
        <v>19</v>
      </c>
      <c r="D174" s="18"/>
      <c r="E174" s="18"/>
      <c r="F174" s="18"/>
      <c r="G174" s="18"/>
      <c r="H174" s="18"/>
      <c r="I174" s="18"/>
      <c r="J174" s="18"/>
      <c r="K174" s="18"/>
    </row>
    <row r="175" spans="1:11" x14ac:dyDescent="0.25">
      <c r="A175" s="18">
        <v>1990</v>
      </c>
      <c r="B175" s="20" t="s">
        <v>28</v>
      </c>
      <c r="C175" s="20">
        <v>20</v>
      </c>
      <c r="D175" s="18"/>
      <c r="E175" s="18"/>
      <c r="F175" s="18"/>
      <c r="G175" s="18"/>
      <c r="H175" s="18"/>
      <c r="I175" s="18"/>
      <c r="J175" s="18"/>
      <c r="K175" s="18"/>
    </row>
    <row r="176" spans="1:11" x14ac:dyDescent="0.25">
      <c r="A176" s="18">
        <v>1990</v>
      </c>
      <c r="B176" s="20" t="s">
        <v>28</v>
      </c>
      <c r="C176" s="20">
        <v>21</v>
      </c>
      <c r="D176" s="18"/>
      <c r="E176" s="18"/>
      <c r="F176" s="18"/>
      <c r="G176" s="18"/>
      <c r="H176" s="18"/>
      <c r="I176" s="18"/>
      <c r="J176" s="18"/>
      <c r="K176" s="18"/>
    </row>
    <row r="177" spans="1:11" x14ac:dyDescent="0.25">
      <c r="A177" s="18">
        <v>1990</v>
      </c>
      <c r="B177" s="20" t="s">
        <v>28</v>
      </c>
      <c r="C177" s="20">
        <v>22</v>
      </c>
      <c r="D177" s="18"/>
      <c r="E177" s="18"/>
      <c r="F177" s="18"/>
      <c r="G177" s="18"/>
      <c r="H177" s="18"/>
      <c r="I177" s="18"/>
      <c r="J177" s="18"/>
      <c r="K177" s="18"/>
    </row>
    <row r="178" spans="1:11" x14ac:dyDescent="0.25">
      <c r="A178" s="18">
        <v>1990</v>
      </c>
      <c r="B178" s="20" t="s">
        <v>28</v>
      </c>
      <c r="C178" s="20">
        <v>23</v>
      </c>
      <c r="D178" s="18"/>
      <c r="E178" s="18"/>
      <c r="F178" s="18"/>
      <c r="G178" s="18"/>
      <c r="H178" s="18"/>
      <c r="I178" s="18"/>
      <c r="J178" s="18"/>
      <c r="K178" s="18"/>
    </row>
    <row r="179" spans="1:11" x14ac:dyDescent="0.25">
      <c r="A179" s="18">
        <v>1990</v>
      </c>
      <c r="B179" s="20" t="s">
        <v>28</v>
      </c>
      <c r="C179" s="20">
        <v>24</v>
      </c>
      <c r="D179" s="18"/>
      <c r="E179" s="18"/>
      <c r="F179" s="18"/>
      <c r="G179" s="18"/>
      <c r="H179" s="18"/>
      <c r="I179" s="18"/>
      <c r="J179" s="18"/>
      <c r="K179" s="18"/>
    </row>
    <row r="180" spans="1:11" x14ac:dyDescent="0.25">
      <c r="A180" s="18">
        <v>1990</v>
      </c>
      <c r="B180" s="20" t="s">
        <v>28</v>
      </c>
      <c r="C180" s="20">
        <v>25</v>
      </c>
      <c r="D180" s="18"/>
      <c r="E180" s="18"/>
      <c r="F180" s="18"/>
      <c r="G180" s="18"/>
      <c r="H180" s="18"/>
      <c r="I180" s="18"/>
      <c r="J180" s="18"/>
      <c r="K180" s="18"/>
    </row>
    <row r="181" spans="1:11" x14ac:dyDescent="0.25">
      <c r="A181" s="18">
        <v>1990</v>
      </c>
      <c r="B181" s="20" t="s">
        <v>28</v>
      </c>
      <c r="C181" s="20">
        <v>26</v>
      </c>
      <c r="D181" s="18"/>
      <c r="E181" s="18"/>
      <c r="F181" s="18"/>
      <c r="G181" s="18"/>
      <c r="H181" s="18"/>
      <c r="I181" s="18"/>
      <c r="J181" s="18"/>
      <c r="K181" s="18"/>
    </row>
    <row r="182" spans="1:11" x14ac:dyDescent="0.25">
      <c r="A182" s="18">
        <v>1990</v>
      </c>
      <c r="B182" s="20" t="s">
        <v>28</v>
      </c>
      <c r="C182" s="20">
        <v>27</v>
      </c>
      <c r="D182" s="18"/>
      <c r="E182" s="18"/>
      <c r="F182" s="18"/>
      <c r="G182" s="18"/>
      <c r="H182" s="18"/>
      <c r="I182" s="18"/>
      <c r="J182" s="18"/>
      <c r="K182" s="18"/>
    </row>
    <row r="183" spans="1:11" x14ac:dyDescent="0.25">
      <c r="A183" s="18">
        <v>1990</v>
      </c>
      <c r="B183" s="20" t="s">
        <v>28</v>
      </c>
      <c r="C183" s="20">
        <v>28</v>
      </c>
      <c r="D183" s="18"/>
      <c r="E183" s="18"/>
      <c r="F183" s="18"/>
      <c r="G183" s="18"/>
      <c r="H183" s="18"/>
      <c r="I183" s="18"/>
      <c r="J183" s="18"/>
      <c r="K183" s="18"/>
    </row>
    <row r="184" spans="1:11" x14ac:dyDescent="0.25">
      <c r="A184" s="18">
        <v>1990</v>
      </c>
      <c r="B184" s="20" t="s">
        <v>28</v>
      </c>
      <c r="C184" s="20">
        <v>29</v>
      </c>
      <c r="D184" s="18"/>
      <c r="E184" s="18"/>
      <c r="F184" s="18"/>
      <c r="G184" s="18"/>
      <c r="H184" s="18"/>
      <c r="I184" s="18"/>
      <c r="J184" s="18"/>
      <c r="K184" s="18"/>
    </row>
    <row r="185" spans="1:11" x14ac:dyDescent="0.25">
      <c r="A185" s="18">
        <v>1990</v>
      </c>
      <c r="B185" s="20" t="s">
        <v>28</v>
      </c>
      <c r="C185" s="20">
        <v>30</v>
      </c>
      <c r="D185" s="18"/>
      <c r="E185" s="18"/>
      <c r="F185" s="18"/>
      <c r="G185" s="18"/>
      <c r="H185" s="18"/>
      <c r="I185" s="18"/>
      <c r="J185" s="18"/>
      <c r="K185" s="18"/>
    </row>
    <row r="186" spans="1:11" x14ac:dyDescent="0.25">
      <c r="A186" s="18">
        <v>1990</v>
      </c>
      <c r="B186" s="20" t="s">
        <v>29</v>
      </c>
      <c r="C186" s="20">
        <v>1</v>
      </c>
      <c r="D186" s="18"/>
      <c r="E186" s="18"/>
      <c r="F186" s="18"/>
      <c r="G186" s="18"/>
      <c r="H186" s="18"/>
      <c r="I186" s="18"/>
      <c r="J186" s="18"/>
      <c r="K186" s="18"/>
    </row>
    <row r="187" spans="1:11" x14ac:dyDescent="0.25">
      <c r="A187" s="18">
        <v>1990</v>
      </c>
      <c r="B187" s="20" t="s">
        <v>29</v>
      </c>
      <c r="C187" s="20">
        <v>2</v>
      </c>
      <c r="D187" s="18"/>
      <c r="E187" s="18"/>
      <c r="F187" s="18"/>
      <c r="G187" s="18"/>
      <c r="H187" s="18"/>
      <c r="I187" s="18"/>
      <c r="J187" s="18"/>
      <c r="K187" s="18"/>
    </row>
    <row r="188" spans="1:11" x14ac:dyDescent="0.25">
      <c r="A188" s="18">
        <v>1990</v>
      </c>
      <c r="B188" s="20" t="s">
        <v>29</v>
      </c>
      <c r="C188" s="20">
        <v>3</v>
      </c>
      <c r="D188" s="18"/>
      <c r="E188" s="18"/>
      <c r="F188" s="18"/>
      <c r="G188" s="18"/>
      <c r="H188" s="18"/>
      <c r="I188" s="18"/>
      <c r="J188" s="18"/>
      <c r="K188" s="18"/>
    </row>
    <row r="189" spans="1:11" x14ac:dyDescent="0.25">
      <c r="A189" s="18">
        <v>1990</v>
      </c>
      <c r="B189" s="20" t="s">
        <v>29</v>
      </c>
      <c r="C189" s="20">
        <v>4</v>
      </c>
      <c r="D189" s="18"/>
      <c r="E189" s="18"/>
      <c r="F189" s="18"/>
      <c r="G189" s="18"/>
      <c r="H189" s="18"/>
      <c r="I189" s="18"/>
      <c r="J189" s="18"/>
      <c r="K189" s="18"/>
    </row>
    <row r="190" spans="1:11" x14ac:dyDescent="0.25">
      <c r="A190" s="18">
        <v>1990</v>
      </c>
      <c r="B190" s="20" t="s">
        <v>29</v>
      </c>
      <c r="C190" s="20">
        <v>5</v>
      </c>
      <c r="D190" s="18"/>
      <c r="E190" s="18"/>
      <c r="F190" s="18"/>
      <c r="G190" s="18"/>
      <c r="H190" s="18"/>
      <c r="I190" s="18"/>
      <c r="J190" s="18"/>
      <c r="K190" s="18"/>
    </row>
    <row r="191" spans="1:11" x14ac:dyDescent="0.25">
      <c r="A191" s="18">
        <v>1990</v>
      </c>
      <c r="B191" s="20" t="s">
        <v>29</v>
      </c>
      <c r="C191" s="20">
        <v>6</v>
      </c>
      <c r="D191" s="18"/>
      <c r="E191" s="18"/>
      <c r="F191" s="18"/>
      <c r="G191" s="18"/>
      <c r="H191" s="18"/>
      <c r="I191" s="18"/>
      <c r="J191" s="18"/>
      <c r="K191" s="18"/>
    </row>
    <row r="192" spans="1:11" x14ac:dyDescent="0.25">
      <c r="A192" s="18">
        <v>1990</v>
      </c>
      <c r="B192" s="20" t="s">
        <v>29</v>
      </c>
      <c r="C192" s="20">
        <v>7</v>
      </c>
      <c r="D192" s="18"/>
      <c r="E192" s="18"/>
      <c r="F192" s="18"/>
      <c r="G192" s="18"/>
      <c r="H192" s="18"/>
      <c r="I192" s="18"/>
      <c r="J192" s="18"/>
      <c r="K192" s="18"/>
    </row>
    <row r="193" spans="1:11" x14ac:dyDescent="0.25">
      <c r="A193" s="18">
        <v>1990</v>
      </c>
      <c r="B193" s="20" t="s">
        <v>29</v>
      </c>
      <c r="C193" s="20">
        <v>8</v>
      </c>
      <c r="D193" s="18"/>
      <c r="E193" s="18"/>
      <c r="F193" s="18"/>
      <c r="G193" s="18"/>
      <c r="H193" s="18"/>
      <c r="I193" s="18"/>
      <c r="J193" s="18"/>
      <c r="K193" s="18"/>
    </row>
    <row r="194" spans="1:11" x14ac:dyDescent="0.25">
      <c r="A194" s="18">
        <v>1990</v>
      </c>
      <c r="B194" s="20" t="s">
        <v>29</v>
      </c>
      <c r="C194" s="20">
        <v>9</v>
      </c>
      <c r="D194" s="18"/>
      <c r="E194" s="18"/>
      <c r="F194" s="18"/>
      <c r="G194" s="18"/>
      <c r="H194" s="18"/>
      <c r="I194" s="18"/>
      <c r="J194" s="18"/>
      <c r="K194" s="18"/>
    </row>
    <row r="195" spans="1:11" x14ac:dyDescent="0.25">
      <c r="A195" s="18">
        <v>1990</v>
      </c>
      <c r="B195" s="20" t="s">
        <v>29</v>
      </c>
      <c r="C195" s="20">
        <v>10</v>
      </c>
      <c r="D195" s="18"/>
      <c r="E195" s="18"/>
      <c r="F195" s="18"/>
      <c r="G195" s="18"/>
      <c r="H195" s="18"/>
      <c r="I195" s="18"/>
      <c r="J195" s="18"/>
      <c r="K195" s="18"/>
    </row>
    <row r="196" spans="1:11" x14ac:dyDescent="0.25">
      <c r="A196" s="18">
        <v>1990</v>
      </c>
      <c r="B196" s="20" t="s">
        <v>29</v>
      </c>
      <c r="C196" s="20">
        <v>11</v>
      </c>
      <c r="D196" s="18"/>
      <c r="E196" s="18"/>
      <c r="F196" s="18"/>
      <c r="G196" s="18"/>
      <c r="H196" s="18"/>
      <c r="I196" s="18"/>
      <c r="J196" s="18"/>
      <c r="K196" s="18"/>
    </row>
    <row r="197" spans="1:11" x14ac:dyDescent="0.25">
      <c r="A197" s="18">
        <v>1990</v>
      </c>
      <c r="B197" s="20" t="s">
        <v>29</v>
      </c>
      <c r="C197" s="20">
        <v>12</v>
      </c>
      <c r="D197" s="18"/>
      <c r="E197" s="18"/>
      <c r="F197" s="18"/>
      <c r="G197" s="18"/>
      <c r="H197" s="18"/>
      <c r="I197" s="18"/>
      <c r="J197" s="18"/>
      <c r="K197" s="18"/>
    </row>
    <row r="198" spans="1:11" x14ac:dyDescent="0.25">
      <c r="A198" s="18">
        <v>1990</v>
      </c>
      <c r="B198" s="20" t="s">
        <v>29</v>
      </c>
      <c r="C198" s="20">
        <v>13</v>
      </c>
      <c r="D198" s="18"/>
      <c r="E198" s="18"/>
      <c r="F198" s="18"/>
      <c r="G198" s="18"/>
      <c r="H198" s="18"/>
      <c r="I198" s="18"/>
      <c r="J198" s="18"/>
      <c r="K198" s="18"/>
    </row>
    <row r="199" spans="1:11" x14ac:dyDescent="0.25">
      <c r="A199" s="18">
        <v>1990</v>
      </c>
      <c r="B199" s="20" t="s">
        <v>29</v>
      </c>
      <c r="C199" s="20">
        <v>14</v>
      </c>
      <c r="D199" s="18"/>
      <c r="E199" s="18"/>
      <c r="F199" s="18"/>
      <c r="G199" s="18"/>
      <c r="H199" s="18"/>
      <c r="I199" s="18"/>
      <c r="J199" s="18"/>
      <c r="K199" s="18"/>
    </row>
    <row r="200" spans="1:11" x14ac:dyDescent="0.25">
      <c r="A200" s="18">
        <v>1990</v>
      </c>
      <c r="B200" s="20" t="s">
        <v>29</v>
      </c>
      <c r="C200" s="20">
        <v>15</v>
      </c>
      <c r="D200" s="18"/>
      <c r="E200" s="18"/>
      <c r="F200" s="18"/>
      <c r="G200" s="18"/>
      <c r="H200" s="18"/>
      <c r="I200" s="18"/>
      <c r="J200" s="18"/>
      <c r="K200" s="18"/>
    </row>
    <row r="201" spans="1:11" x14ac:dyDescent="0.25">
      <c r="A201" s="18">
        <v>1990</v>
      </c>
      <c r="B201" s="20" t="s">
        <v>29</v>
      </c>
      <c r="C201" s="20">
        <v>16</v>
      </c>
      <c r="D201" s="18"/>
      <c r="E201" s="18"/>
      <c r="F201" s="18"/>
      <c r="G201" s="18"/>
      <c r="H201" s="18"/>
      <c r="I201" s="18"/>
      <c r="J201" s="18"/>
      <c r="K201" s="18"/>
    </row>
    <row r="202" spans="1:11" x14ac:dyDescent="0.25">
      <c r="A202" s="18">
        <v>1990</v>
      </c>
      <c r="B202" s="20" t="s">
        <v>29</v>
      </c>
      <c r="C202" s="20">
        <v>17</v>
      </c>
      <c r="D202" s="18"/>
      <c r="E202" s="18"/>
      <c r="F202" s="18"/>
      <c r="G202" s="18"/>
      <c r="H202" s="18"/>
      <c r="I202" s="18"/>
      <c r="J202" s="18"/>
      <c r="K202" s="18"/>
    </row>
    <row r="203" spans="1:11" x14ac:dyDescent="0.25">
      <c r="A203" s="18">
        <v>1990</v>
      </c>
      <c r="B203" s="20" t="s">
        <v>29</v>
      </c>
      <c r="C203" s="20">
        <v>18</v>
      </c>
      <c r="D203" s="18"/>
      <c r="E203" s="18"/>
      <c r="F203" s="18"/>
      <c r="G203" s="18"/>
      <c r="H203" s="18"/>
      <c r="I203" s="18"/>
      <c r="J203" s="18"/>
      <c r="K203" s="18"/>
    </row>
    <row r="204" spans="1:11" x14ac:dyDescent="0.25">
      <c r="A204" s="18">
        <v>1990</v>
      </c>
      <c r="B204" s="20" t="s">
        <v>29</v>
      </c>
      <c r="C204" s="20">
        <v>19</v>
      </c>
      <c r="D204" s="18"/>
      <c r="E204" s="18"/>
      <c r="F204" s="18"/>
      <c r="G204" s="18"/>
      <c r="H204" s="18"/>
      <c r="I204" s="18"/>
      <c r="J204" s="18"/>
      <c r="K204" s="18"/>
    </row>
    <row r="205" spans="1:11" x14ac:dyDescent="0.25">
      <c r="A205" s="18">
        <v>1990</v>
      </c>
      <c r="B205" s="20" t="s">
        <v>29</v>
      </c>
      <c r="C205" s="20">
        <v>20</v>
      </c>
      <c r="D205" s="18"/>
      <c r="E205" s="18"/>
      <c r="F205" s="18"/>
      <c r="G205" s="18"/>
      <c r="H205" s="18"/>
      <c r="I205" s="18"/>
      <c r="J205" s="18"/>
      <c r="K205" s="18"/>
    </row>
    <row r="206" spans="1:11" x14ac:dyDescent="0.25">
      <c r="A206" s="18">
        <v>1990</v>
      </c>
      <c r="B206" s="20" t="s">
        <v>29</v>
      </c>
      <c r="C206" s="20">
        <v>21</v>
      </c>
      <c r="D206" s="18"/>
      <c r="E206" s="18"/>
      <c r="F206" s="18"/>
      <c r="G206" s="18"/>
      <c r="H206" s="18"/>
      <c r="I206" s="18"/>
      <c r="J206" s="18"/>
      <c r="K206" s="18"/>
    </row>
    <row r="207" spans="1:11" x14ac:dyDescent="0.25">
      <c r="A207" s="18">
        <v>1990</v>
      </c>
      <c r="B207" s="20" t="s">
        <v>29</v>
      </c>
      <c r="C207" s="20">
        <v>22</v>
      </c>
      <c r="D207" s="18"/>
      <c r="E207" s="18"/>
      <c r="F207" s="18"/>
      <c r="G207" s="18"/>
      <c r="H207" s="18"/>
      <c r="I207" s="18"/>
      <c r="J207" s="18"/>
      <c r="K207" s="18"/>
    </row>
    <row r="208" spans="1:11" x14ac:dyDescent="0.25">
      <c r="A208" s="18">
        <v>1990</v>
      </c>
      <c r="B208" s="20" t="s">
        <v>29</v>
      </c>
      <c r="C208" s="20">
        <v>23</v>
      </c>
      <c r="D208" s="18"/>
      <c r="E208" s="18"/>
      <c r="F208" s="18"/>
      <c r="G208" s="18"/>
      <c r="H208" s="18"/>
      <c r="I208" s="18"/>
      <c r="J208" s="18"/>
      <c r="K208" s="18"/>
    </row>
    <row r="209" spans="1:11" x14ac:dyDescent="0.25">
      <c r="A209" s="18">
        <v>1990</v>
      </c>
      <c r="B209" s="20" t="s">
        <v>29</v>
      </c>
      <c r="C209" s="20">
        <v>24</v>
      </c>
      <c r="D209" s="18"/>
      <c r="E209" s="18"/>
      <c r="F209" s="18"/>
      <c r="G209" s="18"/>
      <c r="H209" s="18"/>
      <c r="I209" s="18"/>
      <c r="J209" s="18"/>
      <c r="K209" s="18"/>
    </row>
    <row r="210" spans="1:11" x14ac:dyDescent="0.25">
      <c r="A210" s="18">
        <v>1990</v>
      </c>
      <c r="B210" s="20" t="s">
        <v>29</v>
      </c>
      <c r="C210" s="20">
        <v>25</v>
      </c>
      <c r="D210" s="18"/>
      <c r="E210" s="18"/>
      <c r="F210" s="18"/>
      <c r="G210" s="18"/>
      <c r="H210" s="18"/>
      <c r="I210" s="18"/>
      <c r="J210" s="18"/>
      <c r="K210" s="18"/>
    </row>
    <row r="211" spans="1:11" x14ac:dyDescent="0.25">
      <c r="A211" s="18">
        <v>1990</v>
      </c>
      <c r="B211" s="20" t="s">
        <v>29</v>
      </c>
      <c r="C211" s="20">
        <v>26</v>
      </c>
      <c r="D211" s="18"/>
      <c r="E211" s="18"/>
      <c r="F211" s="18"/>
      <c r="G211" s="18"/>
      <c r="H211" s="18"/>
      <c r="I211" s="18"/>
      <c r="J211" s="18"/>
      <c r="K211" s="18"/>
    </row>
    <row r="212" spans="1:11" x14ac:dyDescent="0.25">
      <c r="A212" s="18">
        <v>1990</v>
      </c>
      <c r="B212" s="20" t="s">
        <v>29</v>
      </c>
      <c r="C212" s="20">
        <v>27</v>
      </c>
      <c r="D212" s="18"/>
      <c r="E212" s="18"/>
      <c r="F212" s="18"/>
      <c r="G212" s="18"/>
      <c r="H212" s="18"/>
      <c r="I212" s="18"/>
      <c r="J212" s="18"/>
      <c r="K212" s="18"/>
    </row>
    <row r="213" spans="1:11" x14ac:dyDescent="0.25">
      <c r="A213" s="18">
        <v>1990</v>
      </c>
      <c r="B213" s="20" t="s">
        <v>29</v>
      </c>
      <c r="C213" s="20">
        <v>28</v>
      </c>
      <c r="D213" s="18"/>
      <c r="E213" s="18"/>
      <c r="F213" s="18"/>
      <c r="G213" s="18"/>
      <c r="H213" s="18"/>
      <c r="I213" s="18"/>
      <c r="J213" s="18"/>
      <c r="K213" s="18"/>
    </row>
    <row r="214" spans="1:11" x14ac:dyDescent="0.25">
      <c r="A214" s="18">
        <v>1990</v>
      </c>
      <c r="B214" s="20" t="s">
        <v>29</v>
      </c>
      <c r="C214" s="20">
        <v>29</v>
      </c>
      <c r="D214" s="18"/>
      <c r="E214" s="18"/>
      <c r="F214" s="18"/>
      <c r="G214" s="18"/>
      <c r="H214" s="18"/>
      <c r="I214" s="18"/>
      <c r="J214" s="18"/>
      <c r="K214" s="18"/>
    </row>
    <row r="215" spans="1:11" x14ac:dyDescent="0.25">
      <c r="A215" s="18">
        <v>1990</v>
      </c>
      <c r="B215" s="20" t="s">
        <v>29</v>
      </c>
      <c r="C215" s="20">
        <v>30</v>
      </c>
      <c r="D215" s="18"/>
      <c r="E215" s="18"/>
      <c r="F215" s="18"/>
      <c r="G215" s="18"/>
      <c r="H215" s="18"/>
      <c r="I215" s="18"/>
      <c r="J215" s="18"/>
      <c r="K215" s="18"/>
    </row>
    <row r="216" spans="1:11" x14ac:dyDescent="0.25">
      <c r="A216" s="18">
        <v>1990</v>
      </c>
      <c r="B216" s="20" t="s">
        <v>29</v>
      </c>
      <c r="C216" s="20">
        <v>31</v>
      </c>
      <c r="D216" s="18"/>
      <c r="E216" s="18"/>
      <c r="F216" s="18"/>
      <c r="G216" s="18"/>
      <c r="H216" s="18"/>
      <c r="I216" s="18"/>
      <c r="J216" s="18"/>
      <c r="K216" s="18"/>
    </row>
    <row r="217" spans="1:11" x14ac:dyDescent="0.25">
      <c r="A217" s="18">
        <v>1990</v>
      </c>
      <c r="B217" s="20" t="s">
        <v>30</v>
      </c>
      <c r="C217" s="20">
        <v>1</v>
      </c>
      <c r="D217" s="18"/>
      <c r="E217" s="18"/>
      <c r="F217" s="18"/>
      <c r="G217" s="18"/>
      <c r="H217" s="18"/>
      <c r="I217" s="18"/>
      <c r="J217" s="18"/>
      <c r="K217" s="18"/>
    </row>
    <row r="218" spans="1:11" x14ac:dyDescent="0.25">
      <c r="A218" s="18">
        <v>1990</v>
      </c>
      <c r="B218" s="20" t="s">
        <v>30</v>
      </c>
      <c r="C218" s="20">
        <v>2</v>
      </c>
      <c r="D218" s="18"/>
      <c r="E218" s="18"/>
      <c r="F218" s="18"/>
      <c r="G218" s="18"/>
      <c r="H218" s="18"/>
      <c r="I218" s="18"/>
      <c r="J218" s="18"/>
      <c r="K218" s="18"/>
    </row>
    <row r="219" spans="1:11" x14ac:dyDescent="0.25">
      <c r="A219" s="18">
        <v>1990</v>
      </c>
      <c r="B219" s="20" t="s">
        <v>30</v>
      </c>
      <c r="C219" s="20">
        <v>3</v>
      </c>
      <c r="D219" s="18"/>
      <c r="E219" s="18"/>
      <c r="F219" s="18"/>
      <c r="G219" s="18"/>
      <c r="H219" s="18"/>
      <c r="I219" s="18"/>
      <c r="J219" s="18"/>
      <c r="K219" s="18"/>
    </row>
    <row r="220" spans="1:11" x14ac:dyDescent="0.25">
      <c r="A220" s="18">
        <v>1990</v>
      </c>
      <c r="B220" s="20" t="s">
        <v>30</v>
      </c>
      <c r="C220" s="20">
        <v>4</v>
      </c>
      <c r="D220" s="18"/>
      <c r="E220" s="18"/>
      <c r="F220" s="18"/>
      <c r="G220" s="18"/>
      <c r="H220" s="18"/>
      <c r="I220" s="18"/>
      <c r="J220" s="18"/>
      <c r="K220" s="18"/>
    </row>
    <row r="221" spans="1:11" x14ac:dyDescent="0.25">
      <c r="A221" s="18">
        <v>1990</v>
      </c>
      <c r="B221" s="20" t="s">
        <v>30</v>
      </c>
      <c r="C221" s="20">
        <v>5</v>
      </c>
      <c r="D221" s="18"/>
      <c r="E221" s="18"/>
      <c r="F221" s="18"/>
      <c r="G221" s="18"/>
      <c r="H221" s="18"/>
      <c r="I221" s="18"/>
      <c r="J221" s="18"/>
      <c r="K221" s="18"/>
    </row>
    <row r="222" spans="1:11" x14ac:dyDescent="0.25">
      <c r="A222" s="18">
        <v>1990</v>
      </c>
      <c r="B222" s="20" t="s">
        <v>30</v>
      </c>
      <c r="C222" s="20">
        <v>6</v>
      </c>
      <c r="D222" s="18"/>
      <c r="E222" s="18"/>
      <c r="F222" s="18"/>
      <c r="G222" s="18"/>
      <c r="H222" s="18"/>
      <c r="I222" s="18"/>
      <c r="J222" s="18"/>
      <c r="K222" s="18"/>
    </row>
    <row r="223" spans="1:11" x14ac:dyDescent="0.25">
      <c r="A223" s="18">
        <v>1990</v>
      </c>
      <c r="B223" s="20" t="s">
        <v>30</v>
      </c>
      <c r="C223" s="20">
        <v>7</v>
      </c>
      <c r="D223" s="18"/>
      <c r="E223" s="18"/>
      <c r="F223" s="18"/>
      <c r="G223" s="18"/>
      <c r="H223" s="18"/>
      <c r="I223" s="18"/>
      <c r="J223" s="18"/>
      <c r="K223" s="18"/>
    </row>
    <row r="224" spans="1:11" x14ac:dyDescent="0.25">
      <c r="A224" s="18">
        <v>1990</v>
      </c>
      <c r="B224" s="20" t="s">
        <v>30</v>
      </c>
      <c r="C224" s="20">
        <v>8</v>
      </c>
      <c r="D224" s="18"/>
      <c r="E224" s="18"/>
      <c r="F224" s="18"/>
      <c r="G224" s="18"/>
      <c r="H224" s="18"/>
      <c r="I224" s="18"/>
      <c r="J224" s="18"/>
      <c r="K224" s="18"/>
    </row>
    <row r="225" spans="1:11" x14ac:dyDescent="0.25">
      <c r="A225" s="18">
        <v>1990</v>
      </c>
      <c r="B225" s="20" t="s">
        <v>30</v>
      </c>
      <c r="C225" s="20">
        <v>9</v>
      </c>
      <c r="D225" s="18"/>
      <c r="E225" s="18"/>
      <c r="F225" s="18"/>
      <c r="G225" s="18"/>
      <c r="H225" s="18"/>
      <c r="I225" s="18"/>
      <c r="J225" s="18"/>
      <c r="K225" s="18"/>
    </row>
    <row r="226" spans="1:11" x14ac:dyDescent="0.25">
      <c r="A226" s="18">
        <v>1990</v>
      </c>
      <c r="B226" s="20" t="s">
        <v>30</v>
      </c>
      <c r="C226" s="20">
        <v>10</v>
      </c>
      <c r="D226" s="18"/>
      <c r="E226" s="18"/>
      <c r="F226" s="18"/>
      <c r="G226" s="18"/>
      <c r="H226" s="18"/>
      <c r="I226" s="18"/>
      <c r="J226" s="18"/>
      <c r="K226" s="18"/>
    </row>
    <row r="227" spans="1:11" x14ac:dyDescent="0.25">
      <c r="A227" s="18">
        <v>1990</v>
      </c>
      <c r="B227" s="20" t="s">
        <v>30</v>
      </c>
      <c r="C227" s="20">
        <v>11</v>
      </c>
      <c r="D227" s="18"/>
      <c r="E227" s="18"/>
      <c r="F227" s="18"/>
      <c r="G227" s="18"/>
      <c r="H227" s="18"/>
      <c r="I227" s="18"/>
      <c r="J227" s="18"/>
      <c r="K227" s="18"/>
    </row>
    <row r="228" spans="1:11" x14ac:dyDescent="0.25">
      <c r="A228" s="18">
        <v>1990</v>
      </c>
      <c r="B228" s="20" t="s">
        <v>30</v>
      </c>
      <c r="C228" s="20">
        <v>12</v>
      </c>
      <c r="D228" s="18"/>
      <c r="E228" s="18"/>
      <c r="F228" s="18"/>
      <c r="G228" s="18"/>
      <c r="H228" s="18"/>
      <c r="I228" s="18"/>
      <c r="J228" s="18"/>
      <c r="K228" s="18"/>
    </row>
    <row r="229" spans="1:11" x14ac:dyDescent="0.25">
      <c r="A229" s="18">
        <v>1990</v>
      </c>
      <c r="B229" s="20" t="s">
        <v>30</v>
      </c>
      <c r="C229" s="20">
        <v>13</v>
      </c>
      <c r="D229" s="18"/>
      <c r="E229" s="18"/>
      <c r="F229" s="18"/>
      <c r="G229" s="18"/>
      <c r="H229" s="18"/>
      <c r="I229" s="18"/>
      <c r="J229" s="18"/>
      <c r="K229" s="18"/>
    </row>
    <row r="230" spans="1:11" x14ac:dyDescent="0.25">
      <c r="A230" s="18">
        <v>1990</v>
      </c>
      <c r="B230" s="20" t="s">
        <v>30</v>
      </c>
      <c r="C230" s="20">
        <v>14</v>
      </c>
      <c r="D230" s="18"/>
      <c r="E230" s="18"/>
      <c r="F230" s="18"/>
      <c r="G230" s="18"/>
      <c r="H230" s="18"/>
      <c r="I230" s="18"/>
      <c r="J230" s="18"/>
      <c r="K230" s="18"/>
    </row>
    <row r="231" spans="1:11" x14ac:dyDescent="0.25">
      <c r="A231" s="18">
        <v>1990</v>
      </c>
      <c r="B231" s="20" t="s">
        <v>30</v>
      </c>
      <c r="C231" s="20">
        <v>15</v>
      </c>
      <c r="D231" s="18"/>
      <c r="E231" s="18"/>
      <c r="F231" s="18"/>
      <c r="G231" s="18"/>
      <c r="H231" s="18"/>
      <c r="I231" s="18"/>
      <c r="J231" s="18"/>
      <c r="K231" s="18"/>
    </row>
    <row r="232" spans="1:11" x14ac:dyDescent="0.25">
      <c r="A232" s="18">
        <v>1990</v>
      </c>
      <c r="B232" s="20" t="s">
        <v>30</v>
      </c>
      <c r="C232" s="20">
        <v>16</v>
      </c>
      <c r="D232" s="18"/>
      <c r="E232" s="18"/>
      <c r="F232" s="18"/>
      <c r="G232" s="18"/>
      <c r="H232" s="18"/>
      <c r="I232" s="18"/>
      <c r="J232" s="18"/>
      <c r="K232" s="18"/>
    </row>
    <row r="233" spans="1:11" x14ac:dyDescent="0.25">
      <c r="A233" s="18">
        <v>1990</v>
      </c>
      <c r="B233" s="20" t="s">
        <v>30</v>
      </c>
      <c r="C233" s="20">
        <v>17</v>
      </c>
      <c r="D233" s="18"/>
      <c r="E233" s="18"/>
      <c r="F233" s="18"/>
      <c r="G233" s="18"/>
      <c r="H233" s="18"/>
      <c r="I233" s="18"/>
      <c r="J233" s="18"/>
      <c r="K233" s="18"/>
    </row>
    <row r="234" spans="1:11" x14ac:dyDescent="0.25">
      <c r="A234" s="18">
        <v>1990</v>
      </c>
      <c r="B234" s="20" t="s">
        <v>30</v>
      </c>
      <c r="C234" s="20">
        <v>18</v>
      </c>
      <c r="D234" s="18"/>
      <c r="E234" s="18"/>
      <c r="F234" s="18"/>
      <c r="G234" s="18"/>
      <c r="H234" s="18"/>
      <c r="I234" s="18"/>
      <c r="J234" s="18"/>
      <c r="K234" s="18"/>
    </row>
    <row r="235" spans="1:11" x14ac:dyDescent="0.25">
      <c r="A235" s="18">
        <v>1990</v>
      </c>
      <c r="B235" s="20" t="s">
        <v>30</v>
      </c>
      <c r="C235" s="20">
        <v>19</v>
      </c>
      <c r="D235" s="18"/>
      <c r="E235" s="18"/>
      <c r="F235" s="18"/>
      <c r="G235" s="18"/>
      <c r="H235" s="18"/>
      <c r="I235" s="18"/>
      <c r="J235" s="18"/>
      <c r="K235" s="18"/>
    </row>
    <row r="236" spans="1:11" x14ac:dyDescent="0.25">
      <c r="A236" s="18">
        <v>1990</v>
      </c>
      <c r="B236" s="20" t="s">
        <v>30</v>
      </c>
      <c r="C236" s="20">
        <v>20</v>
      </c>
      <c r="D236" s="18"/>
      <c r="E236" s="18"/>
      <c r="F236" s="18"/>
      <c r="G236" s="18"/>
      <c r="H236" s="18"/>
      <c r="I236" s="18"/>
      <c r="J236" s="18"/>
      <c r="K236" s="18"/>
    </row>
    <row r="237" spans="1:11" x14ac:dyDescent="0.25">
      <c r="A237" s="18">
        <v>1990</v>
      </c>
      <c r="B237" s="20" t="s">
        <v>30</v>
      </c>
      <c r="C237" s="20">
        <v>21</v>
      </c>
      <c r="D237" s="18"/>
      <c r="E237" s="18"/>
      <c r="F237" s="18"/>
      <c r="G237" s="18"/>
      <c r="H237" s="18"/>
      <c r="I237" s="18"/>
      <c r="J237" s="18"/>
      <c r="K237" s="18"/>
    </row>
    <row r="238" spans="1:11" x14ac:dyDescent="0.25">
      <c r="A238" s="18">
        <v>1990</v>
      </c>
      <c r="B238" s="20" t="s">
        <v>30</v>
      </c>
      <c r="C238" s="20">
        <v>22</v>
      </c>
      <c r="D238" s="18"/>
      <c r="E238" s="18"/>
      <c r="F238" s="18"/>
      <c r="G238" s="18"/>
      <c r="H238" s="18"/>
      <c r="I238" s="18"/>
      <c r="J238" s="18"/>
      <c r="K238" s="18"/>
    </row>
    <row r="239" spans="1:11" x14ac:dyDescent="0.25">
      <c r="A239" s="18">
        <v>1990</v>
      </c>
      <c r="B239" s="20" t="s">
        <v>30</v>
      </c>
      <c r="C239" s="20">
        <v>23</v>
      </c>
      <c r="D239" s="18"/>
      <c r="E239" s="18"/>
      <c r="F239" s="18"/>
      <c r="G239" s="18"/>
      <c r="H239" s="18"/>
      <c r="I239" s="18"/>
      <c r="J239" s="18"/>
      <c r="K239" s="18"/>
    </row>
    <row r="240" spans="1:11" x14ac:dyDescent="0.25">
      <c r="A240" s="18">
        <v>1990</v>
      </c>
      <c r="B240" s="20" t="s">
        <v>30</v>
      </c>
      <c r="C240" s="20">
        <v>24</v>
      </c>
      <c r="D240" s="18"/>
      <c r="E240" s="18"/>
      <c r="F240" s="18"/>
      <c r="G240" s="18"/>
      <c r="H240" s="18"/>
      <c r="I240" s="18"/>
      <c r="J240" s="18"/>
      <c r="K240" s="18"/>
    </row>
    <row r="241" spans="1:11" x14ac:dyDescent="0.25">
      <c r="A241" s="18">
        <v>1990</v>
      </c>
      <c r="B241" s="20" t="s">
        <v>30</v>
      </c>
      <c r="C241" s="20">
        <v>25</v>
      </c>
      <c r="D241" s="18"/>
      <c r="E241" s="18"/>
      <c r="F241" s="18"/>
      <c r="G241" s="18"/>
      <c r="H241" s="18"/>
      <c r="I241" s="18"/>
      <c r="J241" s="18"/>
      <c r="K241" s="18"/>
    </row>
    <row r="242" spans="1:11" x14ac:dyDescent="0.25">
      <c r="A242" s="18">
        <v>1990</v>
      </c>
      <c r="B242" s="20" t="s">
        <v>30</v>
      </c>
      <c r="C242" s="20">
        <v>26</v>
      </c>
      <c r="D242" s="18"/>
      <c r="E242" s="18"/>
      <c r="F242" s="18"/>
      <c r="G242" s="18"/>
      <c r="H242" s="18"/>
      <c r="I242" s="18"/>
      <c r="J242" s="18"/>
      <c r="K242" s="18"/>
    </row>
    <row r="243" spans="1:11" x14ac:dyDescent="0.25">
      <c r="A243" s="18">
        <v>1990</v>
      </c>
      <c r="B243" s="20" t="s">
        <v>30</v>
      </c>
      <c r="C243" s="20">
        <v>27</v>
      </c>
      <c r="D243" s="18"/>
      <c r="E243" s="18"/>
      <c r="F243" s="18"/>
      <c r="G243" s="18"/>
      <c r="H243" s="18"/>
      <c r="I243" s="18"/>
      <c r="J243" s="18"/>
      <c r="K243" s="18"/>
    </row>
    <row r="244" spans="1:11" x14ac:dyDescent="0.25">
      <c r="A244" s="18">
        <v>1990</v>
      </c>
      <c r="B244" s="20" t="s">
        <v>30</v>
      </c>
      <c r="C244" s="20">
        <v>28</v>
      </c>
      <c r="D244" s="18"/>
      <c r="E244" s="18"/>
      <c r="F244" s="18"/>
      <c r="G244" s="18"/>
      <c r="H244" s="18"/>
      <c r="I244" s="18"/>
      <c r="J244" s="18"/>
      <c r="K244" s="18"/>
    </row>
    <row r="245" spans="1:11" x14ac:dyDescent="0.25">
      <c r="A245" s="18">
        <v>1990</v>
      </c>
      <c r="B245" s="20" t="s">
        <v>30</v>
      </c>
      <c r="C245" s="20">
        <v>29</v>
      </c>
      <c r="D245" s="18"/>
      <c r="E245" s="18"/>
      <c r="F245" s="18"/>
      <c r="G245" s="18"/>
      <c r="H245" s="18"/>
      <c r="I245" s="18"/>
      <c r="J245" s="18"/>
      <c r="K245" s="18"/>
    </row>
    <row r="246" spans="1:11" x14ac:dyDescent="0.25">
      <c r="A246" s="18">
        <v>1990</v>
      </c>
      <c r="B246" s="20" t="s">
        <v>30</v>
      </c>
      <c r="C246" s="20">
        <v>30</v>
      </c>
      <c r="D246" s="18"/>
      <c r="E246" s="18"/>
      <c r="F246" s="18"/>
      <c r="G246" s="18"/>
      <c r="H246" s="18"/>
      <c r="I246" s="18"/>
      <c r="J246" s="18"/>
      <c r="K246" s="18"/>
    </row>
    <row r="247" spans="1:11" x14ac:dyDescent="0.25">
      <c r="A247" s="18">
        <v>1990</v>
      </c>
      <c r="B247" s="20" t="s">
        <v>30</v>
      </c>
      <c r="C247" s="20">
        <v>31</v>
      </c>
      <c r="D247" s="18"/>
      <c r="E247" s="18"/>
      <c r="F247" s="18"/>
      <c r="G247" s="18"/>
      <c r="H247" s="18"/>
      <c r="I247" s="18"/>
      <c r="J247" s="18"/>
      <c r="K247" s="18"/>
    </row>
    <row r="248" spans="1:11" x14ac:dyDescent="0.25">
      <c r="A248" s="18">
        <v>1990</v>
      </c>
      <c r="B248" s="20" t="s">
        <v>31</v>
      </c>
      <c r="C248" s="20">
        <v>1</v>
      </c>
      <c r="D248" s="18"/>
      <c r="E248" s="18"/>
      <c r="F248" s="18"/>
      <c r="G248" s="18"/>
      <c r="H248" s="18"/>
      <c r="I248" s="18"/>
      <c r="J248" s="18"/>
      <c r="K248" s="18"/>
    </row>
    <row r="249" spans="1:11" x14ac:dyDescent="0.25">
      <c r="A249" s="18">
        <v>1990</v>
      </c>
      <c r="B249" s="20" t="s">
        <v>31</v>
      </c>
      <c r="C249" s="20">
        <v>2</v>
      </c>
      <c r="D249" s="18"/>
      <c r="E249" s="18"/>
      <c r="F249" s="18"/>
      <c r="G249" s="18"/>
      <c r="H249" s="18"/>
      <c r="I249" s="18"/>
      <c r="J249" s="18"/>
      <c r="K249" s="18"/>
    </row>
    <row r="250" spans="1:11" x14ac:dyDescent="0.25">
      <c r="A250" s="18">
        <v>1990</v>
      </c>
      <c r="B250" s="20" t="s">
        <v>31</v>
      </c>
      <c r="C250" s="20">
        <v>3</v>
      </c>
      <c r="D250" s="18"/>
      <c r="E250" s="18"/>
      <c r="F250" s="18"/>
      <c r="G250" s="18"/>
      <c r="H250" s="18"/>
      <c r="I250" s="18"/>
      <c r="J250" s="18"/>
      <c r="K250" s="18"/>
    </row>
    <row r="251" spans="1:11" x14ac:dyDescent="0.25">
      <c r="A251" s="18">
        <v>1990</v>
      </c>
      <c r="B251" s="20" t="s">
        <v>31</v>
      </c>
      <c r="C251" s="20">
        <v>4</v>
      </c>
      <c r="D251" s="18"/>
      <c r="E251" s="18"/>
      <c r="F251" s="18"/>
      <c r="G251" s="18"/>
      <c r="H251" s="18"/>
      <c r="I251" s="18"/>
      <c r="J251" s="18"/>
      <c r="K251" s="18"/>
    </row>
    <row r="252" spans="1:11" x14ac:dyDescent="0.25">
      <c r="A252" s="18">
        <v>1990</v>
      </c>
      <c r="B252" s="20" t="s">
        <v>31</v>
      </c>
      <c r="C252" s="20">
        <v>5</v>
      </c>
      <c r="D252" s="18"/>
      <c r="E252" s="18"/>
      <c r="F252" s="18"/>
      <c r="G252" s="18"/>
      <c r="H252" s="18"/>
      <c r="I252" s="18"/>
      <c r="J252" s="18"/>
      <c r="K252" s="18"/>
    </row>
    <row r="253" spans="1:11" x14ac:dyDescent="0.25">
      <c r="A253" s="18">
        <v>1990</v>
      </c>
      <c r="B253" s="20" t="s">
        <v>31</v>
      </c>
      <c r="C253" s="20">
        <v>6</v>
      </c>
      <c r="D253" s="18"/>
      <c r="E253" s="18"/>
      <c r="F253" s="18"/>
      <c r="G253" s="18"/>
      <c r="H253" s="18"/>
      <c r="I253" s="18"/>
      <c r="J253" s="18"/>
      <c r="K253" s="18"/>
    </row>
    <row r="254" spans="1:11" x14ac:dyDescent="0.25">
      <c r="A254" s="18">
        <v>1990</v>
      </c>
      <c r="B254" s="20" t="s">
        <v>31</v>
      </c>
      <c r="C254" s="20">
        <v>7</v>
      </c>
      <c r="D254" s="18"/>
      <c r="E254" s="18"/>
      <c r="F254" s="18"/>
      <c r="G254" s="18"/>
      <c r="H254" s="18"/>
      <c r="I254" s="18"/>
      <c r="J254" s="18"/>
      <c r="K254" s="18"/>
    </row>
    <row r="255" spans="1:11" x14ac:dyDescent="0.25">
      <c r="A255" s="18">
        <v>1990</v>
      </c>
      <c r="B255" s="20" t="s">
        <v>31</v>
      </c>
      <c r="C255" s="20">
        <v>8</v>
      </c>
      <c r="D255" s="18"/>
      <c r="E255" s="18"/>
      <c r="F255" s="18"/>
      <c r="G255" s="18"/>
      <c r="H255" s="18"/>
      <c r="I255" s="18"/>
      <c r="J255" s="18"/>
      <c r="K255" s="18"/>
    </row>
    <row r="256" spans="1:11" x14ac:dyDescent="0.25">
      <c r="A256" s="18">
        <v>1990</v>
      </c>
      <c r="B256" s="20" t="s">
        <v>31</v>
      </c>
      <c r="C256" s="20">
        <v>9</v>
      </c>
      <c r="D256" s="18"/>
      <c r="E256" s="18"/>
      <c r="F256" s="18"/>
      <c r="G256" s="18"/>
      <c r="H256" s="18"/>
      <c r="I256" s="18"/>
      <c r="J256" s="18"/>
      <c r="K256" s="18"/>
    </row>
    <row r="257" spans="1:11" x14ac:dyDescent="0.25">
      <c r="A257" s="18">
        <v>1990</v>
      </c>
      <c r="B257" s="20" t="s">
        <v>31</v>
      </c>
      <c r="C257" s="20">
        <v>10</v>
      </c>
      <c r="D257" s="18"/>
      <c r="E257" s="18"/>
      <c r="F257" s="18"/>
      <c r="G257" s="18"/>
      <c r="H257" s="18"/>
      <c r="I257" s="18"/>
      <c r="J257" s="18"/>
      <c r="K257" s="18"/>
    </row>
    <row r="258" spans="1:11" x14ac:dyDescent="0.25">
      <c r="A258" s="18">
        <v>1990</v>
      </c>
      <c r="B258" s="20" t="s">
        <v>31</v>
      </c>
      <c r="C258" s="20">
        <v>11</v>
      </c>
      <c r="D258" s="18"/>
      <c r="E258" s="18"/>
      <c r="F258" s="18"/>
      <c r="G258" s="18"/>
      <c r="H258" s="18"/>
      <c r="I258" s="18"/>
      <c r="J258" s="18"/>
      <c r="K258" s="18"/>
    </row>
    <row r="259" spans="1:11" x14ac:dyDescent="0.25">
      <c r="A259" s="18">
        <v>1990</v>
      </c>
      <c r="B259" s="20" t="s">
        <v>31</v>
      </c>
      <c r="C259" s="20">
        <v>12</v>
      </c>
      <c r="D259" s="18"/>
      <c r="E259" s="18"/>
      <c r="F259" s="18"/>
      <c r="G259" s="18"/>
      <c r="H259" s="18"/>
      <c r="I259" s="18"/>
      <c r="J259" s="18"/>
      <c r="K259" s="18"/>
    </row>
    <row r="260" spans="1:11" x14ac:dyDescent="0.25">
      <c r="A260" s="18">
        <v>1990</v>
      </c>
      <c r="B260" s="20" t="s">
        <v>31</v>
      </c>
      <c r="C260" s="20">
        <v>13</v>
      </c>
      <c r="D260" s="18"/>
      <c r="E260" s="18"/>
      <c r="F260" s="18"/>
      <c r="G260" s="18"/>
      <c r="H260" s="18"/>
      <c r="I260" s="18"/>
      <c r="J260" s="18"/>
      <c r="K260" s="18"/>
    </row>
    <row r="261" spans="1:11" x14ac:dyDescent="0.25">
      <c r="A261" s="18">
        <v>1990</v>
      </c>
      <c r="B261" s="20" t="s">
        <v>31</v>
      </c>
      <c r="C261" s="20">
        <v>14</v>
      </c>
      <c r="D261" s="18"/>
      <c r="E261" s="18"/>
      <c r="F261" s="18"/>
      <c r="G261" s="18"/>
      <c r="H261" s="18"/>
      <c r="I261" s="18"/>
      <c r="J261" s="18"/>
      <c r="K261" s="18"/>
    </row>
    <row r="262" spans="1:11" x14ac:dyDescent="0.25">
      <c r="A262" s="18">
        <v>1990</v>
      </c>
      <c r="B262" s="20" t="s">
        <v>31</v>
      </c>
      <c r="C262" s="20">
        <v>15</v>
      </c>
      <c r="D262" s="18"/>
      <c r="E262" s="18"/>
      <c r="F262" s="18"/>
      <c r="G262" s="18"/>
      <c r="H262" s="18"/>
      <c r="I262" s="18"/>
      <c r="J262" s="18"/>
      <c r="K262" s="18"/>
    </row>
    <row r="263" spans="1:11" x14ac:dyDescent="0.25">
      <c r="A263" s="18">
        <v>1990</v>
      </c>
      <c r="B263" s="20" t="s">
        <v>31</v>
      </c>
      <c r="C263" s="20">
        <v>16</v>
      </c>
      <c r="D263" s="18"/>
      <c r="E263" s="18"/>
      <c r="F263" s="18"/>
      <c r="G263" s="18"/>
      <c r="H263" s="18"/>
      <c r="I263" s="18"/>
      <c r="J263" s="18"/>
      <c r="K263" s="18"/>
    </row>
    <row r="264" spans="1:11" x14ac:dyDescent="0.25">
      <c r="A264" s="18">
        <v>1990</v>
      </c>
      <c r="B264" s="20" t="s">
        <v>31</v>
      </c>
      <c r="C264" s="20">
        <v>17</v>
      </c>
      <c r="D264" s="18"/>
      <c r="E264" s="18"/>
      <c r="F264" s="18"/>
      <c r="G264" s="18"/>
      <c r="H264" s="18"/>
      <c r="I264" s="18"/>
      <c r="J264" s="18"/>
      <c r="K264" s="18"/>
    </row>
    <row r="265" spans="1:11" x14ac:dyDescent="0.25">
      <c r="A265" s="18">
        <v>1990</v>
      </c>
      <c r="B265" s="20" t="s">
        <v>31</v>
      </c>
      <c r="C265" s="20">
        <v>18</v>
      </c>
      <c r="D265" s="18"/>
      <c r="E265" s="18"/>
      <c r="F265" s="18"/>
      <c r="G265" s="18"/>
      <c r="H265" s="18"/>
      <c r="I265" s="18"/>
      <c r="J265" s="18"/>
      <c r="K265" s="18"/>
    </row>
    <row r="266" spans="1:11" x14ac:dyDescent="0.25">
      <c r="A266" s="18">
        <v>1990</v>
      </c>
      <c r="B266" s="20" t="s">
        <v>31</v>
      </c>
      <c r="C266" s="20">
        <v>19</v>
      </c>
      <c r="D266" s="18"/>
      <c r="E266" s="18"/>
      <c r="F266" s="18"/>
      <c r="G266" s="18"/>
      <c r="H266" s="18"/>
      <c r="I266" s="18"/>
      <c r="J266" s="18"/>
      <c r="K266" s="18"/>
    </row>
    <row r="267" spans="1:11" x14ac:dyDescent="0.25">
      <c r="A267" s="18">
        <v>1990</v>
      </c>
      <c r="B267" s="20" t="s">
        <v>31</v>
      </c>
      <c r="C267" s="20">
        <v>20</v>
      </c>
      <c r="D267" s="18"/>
      <c r="E267" s="18"/>
      <c r="F267" s="18"/>
      <c r="G267" s="18"/>
      <c r="H267" s="18"/>
      <c r="I267" s="18"/>
      <c r="J267" s="18"/>
      <c r="K267" s="18"/>
    </row>
    <row r="268" spans="1:11" x14ac:dyDescent="0.25">
      <c r="A268" s="18">
        <v>1990</v>
      </c>
      <c r="B268" s="20" t="s">
        <v>31</v>
      </c>
      <c r="C268" s="20">
        <v>21</v>
      </c>
      <c r="D268" s="18"/>
      <c r="E268" s="18"/>
      <c r="F268" s="18"/>
      <c r="G268" s="18"/>
      <c r="H268" s="18"/>
      <c r="I268" s="18"/>
      <c r="J268" s="18"/>
      <c r="K268" s="18"/>
    </row>
    <row r="269" spans="1:11" x14ac:dyDescent="0.25">
      <c r="A269" s="18">
        <v>1990</v>
      </c>
      <c r="B269" s="20" t="s">
        <v>31</v>
      </c>
      <c r="C269" s="20">
        <v>22</v>
      </c>
      <c r="D269" s="18"/>
      <c r="E269" s="18"/>
      <c r="F269" s="18"/>
      <c r="G269" s="18"/>
      <c r="H269" s="18"/>
      <c r="I269" s="18"/>
      <c r="J269" s="18"/>
      <c r="K269" s="18"/>
    </row>
    <row r="270" spans="1:11" x14ac:dyDescent="0.25">
      <c r="A270" s="18">
        <v>1990</v>
      </c>
      <c r="B270" s="20" t="s">
        <v>31</v>
      </c>
      <c r="C270" s="20">
        <v>23</v>
      </c>
      <c r="D270" s="18"/>
      <c r="E270" s="18"/>
      <c r="F270" s="18"/>
      <c r="G270" s="18"/>
      <c r="H270" s="18"/>
      <c r="I270" s="18"/>
      <c r="J270" s="18"/>
      <c r="K270" s="18"/>
    </row>
    <row r="271" spans="1:11" x14ac:dyDescent="0.25">
      <c r="A271" s="18">
        <v>1990</v>
      </c>
      <c r="B271" s="20" t="s">
        <v>31</v>
      </c>
      <c r="C271" s="20">
        <v>24</v>
      </c>
      <c r="D271" s="18"/>
      <c r="E271" s="18"/>
      <c r="F271" s="18"/>
      <c r="G271" s="18"/>
      <c r="H271" s="18"/>
      <c r="I271" s="18"/>
      <c r="J271" s="18"/>
      <c r="K271" s="18"/>
    </row>
    <row r="272" spans="1:11" x14ac:dyDescent="0.25">
      <c r="A272" s="18">
        <v>1990</v>
      </c>
      <c r="B272" s="20" t="s">
        <v>31</v>
      </c>
      <c r="C272" s="20">
        <v>25</v>
      </c>
      <c r="D272" s="18"/>
      <c r="E272" s="18"/>
      <c r="F272" s="18"/>
      <c r="G272" s="18"/>
      <c r="H272" s="18"/>
      <c r="I272" s="18"/>
      <c r="J272" s="18"/>
      <c r="K272" s="18"/>
    </row>
    <row r="273" spans="1:11" x14ac:dyDescent="0.25">
      <c r="A273" s="18">
        <v>1990</v>
      </c>
      <c r="B273" s="20" t="s">
        <v>31</v>
      </c>
      <c r="C273" s="20">
        <v>26</v>
      </c>
      <c r="D273" s="18"/>
      <c r="E273" s="18"/>
      <c r="F273" s="18"/>
      <c r="G273" s="18"/>
      <c r="H273" s="18"/>
      <c r="I273" s="18"/>
      <c r="J273" s="18"/>
      <c r="K273" s="18"/>
    </row>
    <row r="274" spans="1:11" x14ac:dyDescent="0.25">
      <c r="A274" s="18">
        <v>1990</v>
      </c>
      <c r="B274" s="20" t="s">
        <v>31</v>
      </c>
      <c r="C274" s="20">
        <v>27</v>
      </c>
      <c r="D274" s="18"/>
      <c r="E274" s="18"/>
      <c r="F274" s="18"/>
      <c r="G274" s="18"/>
      <c r="H274" s="18"/>
      <c r="I274" s="18"/>
      <c r="J274" s="18"/>
      <c r="K274" s="18"/>
    </row>
    <row r="275" spans="1:11" x14ac:dyDescent="0.25">
      <c r="A275" s="18">
        <v>1990</v>
      </c>
      <c r="B275" s="20" t="s">
        <v>31</v>
      </c>
      <c r="C275" s="20">
        <v>28</v>
      </c>
      <c r="D275" s="18"/>
      <c r="E275" s="18"/>
      <c r="F275" s="18"/>
      <c r="G275" s="18"/>
      <c r="H275" s="18"/>
      <c r="I275" s="18"/>
      <c r="J275" s="18"/>
      <c r="K275" s="18"/>
    </row>
    <row r="276" spans="1:11" x14ac:dyDescent="0.25">
      <c r="A276" s="18">
        <v>1990</v>
      </c>
      <c r="B276" s="20" t="s">
        <v>31</v>
      </c>
      <c r="C276" s="20">
        <v>29</v>
      </c>
      <c r="D276" s="18"/>
      <c r="E276" s="18"/>
      <c r="F276" s="18"/>
      <c r="G276" s="18"/>
      <c r="H276" s="18"/>
      <c r="I276" s="18"/>
      <c r="J276" s="18"/>
      <c r="K276" s="18"/>
    </row>
    <row r="277" spans="1:11" x14ac:dyDescent="0.25">
      <c r="A277" s="18">
        <v>1990</v>
      </c>
      <c r="B277" s="20" t="s">
        <v>31</v>
      </c>
      <c r="C277" s="20">
        <v>30</v>
      </c>
      <c r="D277" s="18"/>
      <c r="E277" s="18"/>
      <c r="F277" s="18"/>
      <c r="G277" s="18"/>
      <c r="H277" s="18"/>
      <c r="I277" s="18"/>
      <c r="J277" s="18"/>
      <c r="K277" s="18"/>
    </row>
    <row r="278" spans="1:11" x14ac:dyDescent="0.25">
      <c r="A278" s="18">
        <v>1990</v>
      </c>
      <c r="B278" s="20" t="s">
        <v>1750</v>
      </c>
      <c r="C278" s="20">
        <v>1</v>
      </c>
      <c r="D278" s="18"/>
      <c r="E278" s="18"/>
      <c r="F278" s="18"/>
      <c r="G278" s="18"/>
      <c r="H278" s="18"/>
      <c r="I278" s="18"/>
      <c r="J278" s="18"/>
      <c r="K278" s="18"/>
    </row>
    <row r="279" spans="1:11" x14ac:dyDescent="0.25">
      <c r="A279" s="18">
        <v>1990</v>
      </c>
      <c r="B279" s="20" t="s">
        <v>1750</v>
      </c>
      <c r="C279" s="20">
        <v>2</v>
      </c>
      <c r="D279" s="18"/>
      <c r="E279" s="18"/>
      <c r="F279" s="18"/>
      <c r="G279" s="18"/>
      <c r="H279" s="18"/>
      <c r="I279" s="18"/>
      <c r="J279" s="18"/>
      <c r="K279" s="18"/>
    </row>
    <row r="280" spans="1:11" x14ac:dyDescent="0.25">
      <c r="A280" s="18">
        <v>1990</v>
      </c>
      <c r="B280" s="20" t="s">
        <v>1750</v>
      </c>
      <c r="C280" s="20">
        <v>3</v>
      </c>
      <c r="D280" s="18"/>
      <c r="E280" s="18"/>
      <c r="F280" s="18"/>
      <c r="G280" s="18"/>
      <c r="H280" s="18"/>
      <c r="I280" s="18"/>
      <c r="J280" s="18"/>
      <c r="K280" s="18"/>
    </row>
    <row r="281" spans="1:11" x14ac:dyDescent="0.25">
      <c r="A281" s="18">
        <v>1990</v>
      </c>
      <c r="B281" s="20" t="s">
        <v>1750</v>
      </c>
      <c r="C281" s="20">
        <v>4</v>
      </c>
      <c r="D281" s="18"/>
      <c r="E281" s="18"/>
      <c r="F281" s="18"/>
      <c r="G281" s="18"/>
      <c r="H281" s="18"/>
      <c r="I281" s="18"/>
      <c r="J281" s="18"/>
      <c r="K281" s="18"/>
    </row>
    <row r="282" spans="1:11" x14ac:dyDescent="0.25">
      <c r="A282" s="18">
        <v>1990</v>
      </c>
      <c r="B282" s="20" t="s">
        <v>1750</v>
      </c>
      <c r="C282" s="20">
        <v>5</v>
      </c>
      <c r="D282" s="18"/>
      <c r="E282" s="18"/>
      <c r="F282" s="18"/>
      <c r="G282" s="18"/>
      <c r="H282" s="18"/>
      <c r="I282" s="18"/>
      <c r="J282" s="18"/>
      <c r="K282" s="18"/>
    </row>
    <row r="283" spans="1:11" x14ac:dyDescent="0.25">
      <c r="A283" s="18">
        <v>1990</v>
      </c>
      <c r="B283" s="20" t="s">
        <v>1750</v>
      </c>
      <c r="C283" s="20">
        <v>6</v>
      </c>
      <c r="D283" s="18"/>
      <c r="E283" s="18"/>
      <c r="F283" s="18"/>
      <c r="G283" s="18"/>
      <c r="H283" s="18"/>
      <c r="I283" s="18"/>
      <c r="J283" s="18"/>
      <c r="K283" s="18"/>
    </row>
    <row r="284" spans="1:11" x14ac:dyDescent="0.25">
      <c r="A284" s="18">
        <v>1990</v>
      </c>
      <c r="B284" s="20" t="s">
        <v>1750</v>
      </c>
      <c r="C284" s="20">
        <v>7</v>
      </c>
      <c r="D284" s="18"/>
      <c r="E284" s="18"/>
      <c r="F284" s="18"/>
      <c r="G284" s="18"/>
      <c r="H284" s="18"/>
      <c r="I284" s="18"/>
      <c r="J284" s="18"/>
      <c r="K284" s="18"/>
    </row>
    <row r="285" spans="1:11" x14ac:dyDescent="0.25">
      <c r="A285" s="18">
        <v>1990</v>
      </c>
      <c r="B285" s="20" t="s">
        <v>1750</v>
      </c>
      <c r="C285" s="20">
        <v>8</v>
      </c>
      <c r="D285" s="18"/>
      <c r="E285" s="18"/>
      <c r="F285" s="18"/>
      <c r="G285" s="18"/>
      <c r="H285" s="18"/>
      <c r="I285" s="18"/>
      <c r="J285" s="18"/>
      <c r="K285" s="18"/>
    </row>
    <row r="286" spans="1:11" x14ac:dyDescent="0.25">
      <c r="A286" s="18">
        <v>1990</v>
      </c>
      <c r="B286" s="20" t="s">
        <v>1750</v>
      </c>
      <c r="C286" s="20">
        <v>9</v>
      </c>
      <c r="D286" s="18"/>
      <c r="E286" s="18"/>
      <c r="F286" s="18"/>
      <c r="G286" s="18"/>
      <c r="H286" s="18"/>
      <c r="I286" s="18"/>
      <c r="J286" s="18"/>
      <c r="K286" s="18"/>
    </row>
    <row r="287" spans="1:11" x14ac:dyDescent="0.25">
      <c r="A287" s="18">
        <v>1990</v>
      </c>
      <c r="B287" s="20" t="s">
        <v>1750</v>
      </c>
      <c r="C287" s="20">
        <v>10</v>
      </c>
      <c r="D287" s="18"/>
      <c r="E287" s="18"/>
      <c r="F287" s="18"/>
      <c r="G287" s="18"/>
      <c r="H287" s="18"/>
      <c r="I287" s="18"/>
      <c r="J287" s="18"/>
      <c r="K287" s="18"/>
    </row>
    <row r="288" spans="1:11" x14ac:dyDescent="0.25">
      <c r="A288" s="18">
        <v>1990</v>
      </c>
      <c r="B288" s="20" t="s">
        <v>1750</v>
      </c>
      <c r="C288" s="20">
        <v>11</v>
      </c>
      <c r="D288" s="18"/>
      <c r="E288" s="18"/>
      <c r="F288" s="18"/>
      <c r="G288" s="18"/>
      <c r="H288" s="18"/>
      <c r="I288" s="18"/>
      <c r="J288" s="18"/>
      <c r="K288" s="18"/>
    </row>
    <row r="289" spans="1:11" x14ac:dyDescent="0.25">
      <c r="A289" s="18">
        <v>1990</v>
      </c>
      <c r="B289" s="20" t="s">
        <v>1750</v>
      </c>
      <c r="C289" s="20">
        <v>12</v>
      </c>
      <c r="D289" s="18"/>
      <c r="E289" s="18"/>
      <c r="F289" s="18"/>
      <c r="G289" s="18"/>
      <c r="H289" s="18"/>
      <c r="I289" s="18"/>
      <c r="J289" s="18"/>
      <c r="K289" s="18"/>
    </row>
    <row r="290" spans="1:11" x14ac:dyDescent="0.25">
      <c r="A290" s="18">
        <v>1990</v>
      </c>
      <c r="B290" s="20" t="s">
        <v>1750</v>
      </c>
      <c r="C290" s="20">
        <v>13</v>
      </c>
      <c r="D290" s="18"/>
      <c r="E290" s="18"/>
      <c r="F290" s="18"/>
      <c r="G290" s="18"/>
      <c r="H290" s="18"/>
      <c r="I290" s="18"/>
      <c r="J290" s="18"/>
      <c r="K290" s="18"/>
    </row>
    <row r="291" spans="1:11" x14ac:dyDescent="0.25">
      <c r="A291" s="18">
        <v>1990</v>
      </c>
      <c r="B291" s="20" t="s">
        <v>1750</v>
      </c>
      <c r="C291" s="20">
        <v>14</v>
      </c>
      <c r="D291" s="18"/>
      <c r="E291" s="18"/>
      <c r="F291" s="18"/>
      <c r="G291" s="18"/>
      <c r="H291" s="18"/>
      <c r="I291" s="18"/>
      <c r="J291" s="18"/>
      <c r="K291" s="18"/>
    </row>
    <row r="292" spans="1:11" x14ac:dyDescent="0.25">
      <c r="A292" s="18">
        <v>1990</v>
      </c>
      <c r="B292" s="20" t="s">
        <v>1750</v>
      </c>
      <c r="C292" s="20">
        <v>15</v>
      </c>
      <c r="D292" s="18"/>
      <c r="E292" s="18"/>
      <c r="F292" s="18"/>
      <c r="G292" s="18"/>
      <c r="H292" s="18"/>
      <c r="I292" s="18"/>
      <c r="J292" s="18"/>
      <c r="K292" s="18"/>
    </row>
    <row r="293" spans="1:11" x14ac:dyDescent="0.25">
      <c r="A293" s="18">
        <v>1990</v>
      </c>
      <c r="B293" s="20" t="s">
        <v>1750</v>
      </c>
      <c r="C293" s="20">
        <v>16</v>
      </c>
      <c r="D293" s="18"/>
      <c r="E293" s="18"/>
      <c r="F293" s="18"/>
      <c r="G293" s="18"/>
      <c r="H293" s="18"/>
      <c r="I293" s="18"/>
      <c r="J293" s="18"/>
      <c r="K293" s="18"/>
    </row>
    <row r="294" spans="1:11" x14ac:dyDescent="0.25">
      <c r="A294" s="18">
        <v>1990</v>
      </c>
      <c r="B294" s="20" t="s">
        <v>1750</v>
      </c>
      <c r="C294" s="20">
        <v>17</v>
      </c>
      <c r="D294" s="18"/>
      <c r="E294" s="18"/>
      <c r="F294" s="18"/>
      <c r="G294" s="18"/>
      <c r="H294" s="18"/>
      <c r="I294" s="18"/>
      <c r="J294" s="18"/>
      <c r="K294" s="18"/>
    </row>
    <row r="295" spans="1:11" x14ac:dyDescent="0.25">
      <c r="A295" s="18">
        <v>1990</v>
      </c>
      <c r="B295" s="20" t="s">
        <v>1750</v>
      </c>
      <c r="C295" s="20">
        <v>18</v>
      </c>
      <c r="D295" s="18"/>
      <c r="E295" s="18"/>
      <c r="F295" s="18"/>
      <c r="G295" s="18"/>
      <c r="H295" s="18"/>
      <c r="I295" s="18"/>
      <c r="J295" s="18"/>
      <c r="K295" s="18"/>
    </row>
    <row r="296" spans="1:11" x14ac:dyDescent="0.25">
      <c r="A296" s="18">
        <v>1990</v>
      </c>
      <c r="B296" s="20" t="s">
        <v>1750</v>
      </c>
      <c r="C296" s="20">
        <v>19</v>
      </c>
      <c r="D296" s="18"/>
      <c r="E296" s="18"/>
      <c r="F296" s="18"/>
      <c r="G296" s="18"/>
      <c r="H296" s="18"/>
      <c r="I296" s="18"/>
      <c r="J296" s="18"/>
      <c r="K296" s="18"/>
    </row>
    <row r="297" spans="1:11" x14ac:dyDescent="0.25">
      <c r="A297" s="18">
        <v>1990</v>
      </c>
      <c r="B297" s="20" t="s">
        <v>1750</v>
      </c>
      <c r="C297" s="20">
        <v>20</v>
      </c>
      <c r="D297" s="18"/>
      <c r="E297" s="18"/>
      <c r="F297" s="18"/>
      <c r="G297" s="18"/>
      <c r="H297" s="18"/>
      <c r="I297" s="18"/>
      <c r="J297" s="18"/>
      <c r="K297" s="18"/>
    </row>
    <row r="298" spans="1:11" x14ac:dyDescent="0.25">
      <c r="A298" s="18">
        <v>1990</v>
      </c>
      <c r="B298" s="20" t="s">
        <v>1750</v>
      </c>
      <c r="C298" s="20">
        <v>21</v>
      </c>
      <c r="D298" s="18"/>
      <c r="E298" s="18"/>
      <c r="F298" s="18"/>
      <c r="G298" s="18"/>
      <c r="H298" s="18"/>
      <c r="I298" s="18"/>
      <c r="J298" s="18"/>
      <c r="K298" s="18"/>
    </row>
    <row r="299" spans="1:11" x14ac:dyDescent="0.25">
      <c r="A299" s="18">
        <v>1990</v>
      </c>
      <c r="B299" s="20" t="s">
        <v>1750</v>
      </c>
      <c r="C299" s="20">
        <v>22</v>
      </c>
      <c r="D299" s="18"/>
      <c r="E299" s="18"/>
      <c r="F299" s="18"/>
      <c r="G299" s="18"/>
      <c r="H299" s="18"/>
      <c r="I299" s="18"/>
      <c r="J299" s="18"/>
      <c r="K299" s="18"/>
    </row>
    <row r="300" spans="1:11" x14ac:dyDescent="0.25">
      <c r="A300" s="18">
        <v>1990</v>
      </c>
      <c r="B300" s="20" t="s">
        <v>1750</v>
      </c>
      <c r="C300" s="20">
        <v>23</v>
      </c>
      <c r="D300" s="18"/>
      <c r="E300" s="18"/>
      <c r="F300" s="18"/>
      <c r="G300" s="18"/>
      <c r="H300" s="18"/>
      <c r="I300" s="18"/>
      <c r="J300" s="18"/>
      <c r="K300" s="18"/>
    </row>
    <row r="301" spans="1:11" x14ac:dyDescent="0.25">
      <c r="A301" s="18">
        <v>1990</v>
      </c>
      <c r="B301" s="20" t="s">
        <v>1750</v>
      </c>
      <c r="C301" s="20">
        <v>24</v>
      </c>
      <c r="D301" s="18"/>
      <c r="E301" s="18"/>
      <c r="F301" s="18"/>
      <c r="G301" s="18"/>
      <c r="H301" s="18"/>
      <c r="I301" s="18"/>
      <c r="J301" s="18"/>
      <c r="K301" s="18"/>
    </row>
    <row r="302" spans="1:11" x14ac:dyDescent="0.25">
      <c r="A302" s="18">
        <v>1990</v>
      </c>
      <c r="B302" s="20" t="s">
        <v>1750</v>
      </c>
      <c r="C302" s="20">
        <v>25</v>
      </c>
      <c r="D302" s="18"/>
      <c r="E302" s="18"/>
      <c r="F302" s="18"/>
      <c r="G302" s="18"/>
      <c r="H302" s="18"/>
      <c r="I302" s="18"/>
      <c r="J302" s="18"/>
      <c r="K302" s="18"/>
    </row>
    <row r="303" spans="1:11" x14ac:dyDescent="0.25">
      <c r="A303" s="18">
        <v>1990</v>
      </c>
      <c r="B303" s="20" t="s">
        <v>1750</v>
      </c>
      <c r="C303" s="20">
        <v>26</v>
      </c>
      <c r="D303" s="18"/>
      <c r="E303" s="18"/>
      <c r="F303" s="18"/>
      <c r="G303" s="18"/>
      <c r="H303" s="18"/>
      <c r="I303" s="18"/>
      <c r="J303" s="18"/>
      <c r="K303" s="18"/>
    </row>
    <row r="304" spans="1:11" x14ac:dyDescent="0.25">
      <c r="A304" s="18">
        <v>1990</v>
      </c>
      <c r="B304" s="20" t="s">
        <v>1750</v>
      </c>
      <c r="C304" s="20">
        <v>27</v>
      </c>
      <c r="D304" s="18"/>
      <c r="E304" s="18"/>
      <c r="F304" s="18"/>
      <c r="G304" s="18"/>
      <c r="H304" s="18"/>
      <c r="I304" s="18"/>
      <c r="J304" s="18"/>
      <c r="K304" s="18"/>
    </row>
    <row r="305" spans="1:11" x14ac:dyDescent="0.25">
      <c r="A305" s="18">
        <v>1990</v>
      </c>
      <c r="B305" s="20" t="s">
        <v>1750</v>
      </c>
      <c r="C305" s="20">
        <v>28</v>
      </c>
      <c r="D305" s="18"/>
      <c r="E305" s="18"/>
      <c r="F305" s="18"/>
      <c r="G305" s="18"/>
      <c r="H305" s="18"/>
      <c r="I305" s="18"/>
      <c r="J305" s="18"/>
      <c r="K305" s="18"/>
    </row>
    <row r="306" spans="1:11" x14ac:dyDescent="0.25">
      <c r="A306" s="18">
        <v>1990</v>
      </c>
      <c r="B306" s="20" t="s">
        <v>1750</v>
      </c>
      <c r="C306" s="20">
        <v>29</v>
      </c>
      <c r="D306" s="18"/>
      <c r="E306" s="18"/>
      <c r="F306" s="18"/>
      <c r="G306" s="18"/>
      <c r="H306" s="18"/>
      <c r="I306" s="18"/>
      <c r="J306" s="18"/>
      <c r="K306" s="18"/>
    </row>
    <row r="307" spans="1:11" x14ac:dyDescent="0.25">
      <c r="A307" s="18">
        <v>1990</v>
      </c>
      <c r="B307" s="20" t="s">
        <v>1750</v>
      </c>
      <c r="C307" s="20">
        <v>30</v>
      </c>
      <c r="D307" s="18"/>
      <c r="E307" s="18"/>
      <c r="F307" s="18"/>
      <c r="G307" s="18"/>
      <c r="H307" s="18"/>
      <c r="I307" s="18"/>
      <c r="J307" s="18"/>
      <c r="K307" s="18"/>
    </row>
    <row r="308" spans="1:11" x14ac:dyDescent="0.25">
      <c r="A308" s="18">
        <v>1990</v>
      </c>
      <c r="B308" s="20" t="s">
        <v>1750</v>
      </c>
      <c r="C308" s="20">
        <v>31</v>
      </c>
      <c r="D308" s="18"/>
      <c r="E308" s="18"/>
      <c r="F308" s="18"/>
      <c r="G308" s="18"/>
      <c r="H308" s="18"/>
      <c r="I308" s="18"/>
      <c r="J308" s="18"/>
      <c r="K308" s="18"/>
    </row>
    <row r="309" spans="1:11" x14ac:dyDescent="0.25">
      <c r="A309" s="18">
        <v>1990</v>
      </c>
      <c r="B309" s="20" t="s">
        <v>32</v>
      </c>
      <c r="C309" s="20">
        <v>1</v>
      </c>
      <c r="D309" s="22" t="s">
        <v>123</v>
      </c>
      <c r="E309" s="22"/>
      <c r="F309" s="20">
        <v>3853</v>
      </c>
      <c r="G309" s="18"/>
      <c r="H309" s="18"/>
      <c r="I309" s="18"/>
      <c r="J309" s="18"/>
      <c r="K309" s="18"/>
    </row>
    <row r="310" spans="1:11" x14ac:dyDescent="0.25">
      <c r="A310" s="18">
        <v>1990</v>
      </c>
      <c r="B310" s="20" t="s">
        <v>32</v>
      </c>
      <c r="C310" s="20">
        <v>2</v>
      </c>
      <c r="D310" s="22" t="s">
        <v>124</v>
      </c>
      <c r="E310" s="22"/>
      <c r="F310" s="20">
        <v>3951</v>
      </c>
      <c r="G310" s="18"/>
      <c r="H310" s="18"/>
      <c r="I310" s="18"/>
      <c r="J310" s="18"/>
      <c r="K310" s="18"/>
    </row>
    <row r="311" spans="1:11" x14ac:dyDescent="0.25">
      <c r="A311" s="18">
        <v>1990</v>
      </c>
      <c r="B311" s="20" t="s">
        <v>32</v>
      </c>
      <c r="C311" s="20">
        <v>3</v>
      </c>
      <c r="D311" s="22" t="s">
        <v>125</v>
      </c>
      <c r="E311" s="22"/>
      <c r="F311" s="20">
        <v>4097</v>
      </c>
      <c r="G311" s="18"/>
      <c r="H311" s="18"/>
      <c r="I311" s="18"/>
      <c r="J311" s="18"/>
      <c r="K311" s="18"/>
    </row>
    <row r="312" spans="1:11" x14ac:dyDescent="0.25">
      <c r="A312" s="18">
        <v>1990</v>
      </c>
      <c r="B312" s="20" t="s">
        <v>32</v>
      </c>
      <c r="C312" s="20">
        <v>4</v>
      </c>
      <c r="D312" s="22" t="s">
        <v>126</v>
      </c>
      <c r="E312" s="22"/>
      <c r="F312" s="20">
        <v>4146</v>
      </c>
      <c r="G312" s="18"/>
      <c r="H312" s="18"/>
      <c r="I312" s="18"/>
      <c r="J312" s="18"/>
      <c r="K312" s="18"/>
    </row>
    <row r="313" spans="1:11" x14ac:dyDescent="0.25">
      <c r="A313" s="18">
        <v>1990</v>
      </c>
      <c r="B313" s="20" t="s">
        <v>32</v>
      </c>
      <c r="C313" s="20">
        <v>5</v>
      </c>
      <c r="D313" s="22" t="s">
        <v>127</v>
      </c>
      <c r="E313" s="22"/>
      <c r="F313" s="20">
        <v>4252</v>
      </c>
      <c r="G313" s="18"/>
      <c r="H313" s="18"/>
      <c r="I313" s="18"/>
      <c r="J313" s="18"/>
      <c r="K313" s="18"/>
    </row>
    <row r="314" spans="1:11" x14ac:dyDescent="0.25">
      <c r="A314" s="18">
        <v>1990</v>
      </c>
      <c r="B314" s="20" t="s">
        <v>32</v>
      </c>
      <c r="C314" s="20">
        <v>6</v>
      </c>
      <c r="D314" s="22" t="s">
        <v>127</v>
      </c>
      <c r="E314" s="22"/>
      <c r="F314" s="25">
        <v>4252</v>
      </c>
      <c r="G314" s="18"/>
      <c r="H314" s="18"/>
      <c r="I314" s="18"/>
      <c r="J314" s="18"/>
      <c r="K314" s="18"/>
    </row>
    <row r="315" spans="1:11" x14ac:dyDescent="0.25">
      <c r="A315" s="18">
        <v>1990</v>
      </c>
      <c r="B315" s="20" t="s">
        <v>32</v>
      </c>
      <c r="C315" s="20">
        <v>7</v>
      </c>
      <c r="D315" s="22" t="s">
        <v>128</v>
      </c>
      <c r="E315" s="22"/>
      <c r="F315" s="25">
        <v>4398</v>
      </c>
      <c r="G315" s="18"/>
      <c r="H315" s="18"/>
      <c r="I315" s="18"/>
      <c r="J315" s="18"/>
      <c r="K315" s="18"/>
    </row>
    <row r="316" spans="1:11" x14ac:dyDescent="0.25">
      <c r="A316" s="18">
        <v>1990</v>
      </c>
      <c r="B316" s="20" t="s">
        <v>32</v>
      </c>
      <c r="C316" s="20">
        <v>8</v>
      </c>
      <c r="D316" s="22" t="s">
        <v>129</v>
      </c>
      <c r="E316" s="22"/>
      <c r="F316" s="20">
        <v>4447</v>
      </c>
      <c r="G316" s="18"/>
      <c r="H316" s="18"/>
      <c r="I316" s="18"/>
      <c r="J316" s="18"/>
      <c r="K316" s="18"/>
    </row>
    <row r="317" spans="1:11" x14ac:dyDescent="0.25">
      <c r="A317" s="18">
        <v>1990</v>
      </c>
      <c r="B317" s="20" t="s">
        <v>32</v>
      </c>
      <c r="C317" s="20">
        <v>9</v>
      </c>
      <c r="D317" s="22" t="s">
        <v>130</v>
      </c>
      <c r="E317" s="22"/>
      <c r="F317" s="20">
        <v>4504</v>
      </c>
      <c r="G317" s="18"/>
      <c r="H317" s="18"/>
      <c r="I317" s="18"/>
      <c r="J317" s="18"/>
      <c r="K317" s="18"/>
    </row>
    <row r="318" spans="1:11" x14ac:dyDescent="0.25">
      <c r="A318" s="18">
        <v>1990</v>
      </c>
      <c r="B318" s="20" t="s">
        <v>32</v>
      </c>
      <c r="C318" s="20">
        <v>10</v>
      </c>
      <c r="D318" s="22" t="s">
        <v>130</v>
      </c>
      <c r="E318" s="22"/>
      <c r="F318" s="20">
        <v>4504</v>
      </c>
      <c r="G318" s="18"/>
      <c r="H318" s="18"/>
      <c r="I318" s="18"/>
      <c r="J318" s="18"/>
      <c r="K318" s="18"/>
    </row>
    <row r="319" spans="1:11" x14ac:dyDescent="0.25">
      <c r="A319" s="18">
        <v>1990</v>
      </c>
      <c r="B319" s="20" t="s">
        <v>32</v>
      </c>
      <c r="C319" s="20">
        <v>11</v>
      </c>
      <c r="D319" s="22" t="s">
        <v>130</v>
      </c>
      <c r="E319" s="22"/>
      <c r="F319" s="20">
        <v>4504</v>
      </c>
      <c r="G319" s="18"/>
      <c r="H319" s="18"/>
      <c r="I319" s="18"/>
      <c r="J319" s="18"/>
      <c r="K319" s="18"/>
    </row>
    <row r="320" spans="1:11" x14ac:dyDescent="0.25">
      <c r="A320" s="18">
        <v>1990</v>
      </c>
      <c r="B320" s="20" t="s">
        <v>32</v>
      </c>
      <c r="C320" s="20">
        <v>12</v>
      </c>
      <c r="D320" s="22" t="s">
        <v>130</v>
      </c>
      <c r="E320" s="22"/>
      <c r="F320" s="20">
        <v>4504</v>
      </c>
      <c r="G320" s="18"/>
      <c r="H320" s="18"/>
      <c r="I320" s="18"/>
      <c r="J320" s="18"/>
      <c r="K320" s="18"/>
    </row>
    <row r="321" spans="1:11" x14ac:dyDescent="0.25">
      <c r="A321" s="18">
        <v>1990</v>
      </c>
      <c r="B321" s="20" t="s">
        <v>32</v>
      </c>
      <c r="C321" s="20">
        <v>13</v>
      </c>
      <c r="D321" s="22" t="s">
        <v>130</v>
      </c>
      <c r="E321" s="22"/>
      <c r="F321" s="20">
        <v>4504</v>
      </c>
      <c r="G321" s="18"/>
      <c r="H321" s="18"/>
      <c r="I321" s="18"/>
      <c r="J321" s="18"/>
      <c r="K321" s="18"/>
    </row>
    <row r="322" spans="1:11" x14ac:dyDescent="0.25">
      <c r="A322" s="18">
        <v>1990</v>
      </c>
      <c r="B322" s="20" t="s">
        <v>32</v>
      </c>
      <c r="C322" s="20">
        <v>14</v>
      </c>
      <c r="D322" s="22" t="s">
        <v>130</v>
      </c>
      <c r="E322" s="22"/>
      <c r="F322" s="20">
        <v>4504</v>
      </c>
      <c r="G322" s="18"/>
      <c r="H322" s="18"/>
      <c r="I322" s="18"/>
      <c r="J322" s="18"/>
      <c r="K322" s="18"/>
    </row>
    <row r="323" spans="1:11" x14ac:dyDescent="0.25">
      <c r="A323" s="18">
        <v>1990</v>
      </c>
      <c r="B323" s="20" t="s">
        <v>32</v>
      </c>
      <c r="C323" s="20">
        <v>15</v>
      </c>
      <c r="D323" s="22" t="s">
        <v>130</v>
      </c>
      <c r="E323" s="22"/>
      <c r="F323" s="20">
        <v>4504</v>
      </c>
      <c r="G323" s="18"/>
      <c r="H323" s="18"/>
      <c r="I323" s="18"/>
      <c r="J323" s="18"/>
      <c r="K323" s="18"/>
    </row>
    <row r="324" spans="1:11" x14ac:dyDescent="0.25">
      <c r="A324" s="18">
        <v>1990</v>
      </c>
      <c r="B324" s="20" t="s">
        <v>32</v>
      </c>
      <c r="C324" s="20">
        <v>16</v>
      </c>
      <c r="D324" s="22" t="s">
        <v>130</v>
      </c>
      <c r="E324" s="22"/>
      <c r="F324" s="20">
        <v>4504</v>
      </c>
      <c r="G324" s="18"/>
      <c r="H324" s="18"/>
      <c r="I324" s="18"/>
      <c r="J324" s="18"/>
      <c r="K324" s="18"/>
    </row>
    <row r="325" spans="1:11" x14ac:dyDescent="0.25">
      <c r="A325" s="18">
        <v>1990</v>
      </c>
      <c r="B325" s="20" t="s">
        <v>32</v>
      </c>
      <c r="C325" s="20">
        <v>17</v>
      </c>
      <c r="D325" s="22" t="s">
        <v>128</v>
      </c>
      <c r="E325" s="22"/>
      <c r="F325" s="20">
        <v>4447</v>
      </c>
      <c r="G325" s="18"/>
      <c r="H325" s="18"/>
      <c r="I325" s="18"/>
      <c r="J325" s="18"/>
      <c r="K325" s="18"/>
    </row>
    <row r="326" spans="1:11" x14ac:dyDescent="0.25">
      <c r="A326" s="18">
        <v>1990</v>
      </c>
      <c r="B326" s="20" t="s">
        <v>32</v>
      </c>
      <c r="C326" s="20">
        <v>18</v>
      </c>
      <c r="D326" s="22" t="s">
        <v>128</v>
      </c>
      <c r="E326" s="22"/>
      <c r="F326" s="20">
        <v>4447</v>
      </c>
      <c r="G326" s="18"/>
      <c r="H326" s="18"/>
      <c r="I326" s="18"/>
      <c r="J326" s="18"/>
      <c r="K326" s="18"/>
    </row>
    <row r="327" spans="1:11" x14ac:dyDescent="0.25">
      <c r="A327" s="18">
        <v>1990</v>
      </c>
      <c r="B327" s="20" t="s">
        <v>32</v>
      </c>
      <c r="C327" s="20">
        <v>19</v>
      </c>
      <c r="D327" s="22" t="s">
        <v>128</v>
      </c>
      <c r="E327" s="22"/>
      <c r="F327" s="20">
        <v>4447</v>
      </c>
      <c r="G327" s="18"/>
      <c r="H327" s="18"/>
      <c r="I327" s="18"/>
      <c r="J327" s="18"/>
      <c r="K327" s="18"/>
    </row>
    <row r="328" spans="1:11" x14ac:dyDescent="0.25">
      <c r="A328" s="18">
        <v>1990</v>
      </c>
      <c r="B328" s="20" t="s">
        <v>32</v>
      </c>
      <c r="C328" s="20">
        <v>20</v>
      </c>
      <c r="D328" s="22" t="s">
        <v>131</v>
      </c>
      <c r="E328" s="22"/>
      <c r="F328" s="20">
        <v>4398</v>
      </c>
      <c r="G328" s="18"/>
      <c r="H328" s="18"/>
      <c r="I328" s="18"/>
      <c r="J328" s="18"/>
      <c r="K328" s="18"/>
    </row>
    <row r="329" spans="1:11" x14ac:dyDescent="0.25">
      <c r="A329" s="18">
        <v>1990</v>
      </c>
      <c r="B329" s="20" t="s">
        <v>32</v>
      </c>
      <c r="C329" s="20">
        <v>21</v>
      </c>
      <c r="D329" s="22" t="s">
        <v>131</v>
      </c>
      <c r="E329" s="22"/>
      <c r="F329" s="20">
        <v>4398</v>
      </c>
      <c r="G329" s="18"/>
      <c r="H329" s="18"/>
      <c r="I329" s="18"/>
      <c r="J329" s="18"/>
      <c r="K329" s="18"/>
    </row>
    <row r="330" spans="1:11" x14ac:dyDescent="0.25">
      <c r="A330" s="18">
        <v>1990</v>
      </c>
      <c r="B330" s="20" t="s">
        <v>32</v>
      </c>
      <c r="C330" s="20">
        <v>22</v>
      </c>
      <c r="D330" s="22" t="s">
        <v>132</v>
      </c>
      <c r="E330" s="22"/>
      <c r="F330" s="20">
        <v>4349</v>
      </c>
      <c r="G330" s="18"/>
      <c r="H330" s="18"/>
      <c r="I330" s="18"/>
      <c r="J330" s="18"/>
      <c r="K330" s="18"/>
    </row>
    <row r="331" spans="1:11" x14ac:dyDescent="0.25">
      <c r="A331" s="18">
        <v>1990</v>
      </c>
      <c r="B331" s="20" t="s">
        <v>32</v>
      </c>
      <c r="C331" s="20">
        <v>23</v>
      </c>
      <c r="D331" s="22" t="s">
        <v>132</v>
      </c>
      <c r="E331" s="22"/>
      <c r="F331" s="20">
        <v>4349</v>
      </c>
      <c r="G331" s="18"/>
      <c r="H331" s="18"/>
      <c r="I331" s="18"/>
      <c r="J331" s="18"/>
      <c r="K331" s="18"/>
    </row>
    <row r="332" spans="1:11" x14ac:dyDescent="0.25">
      <c r="A332" s="18">
        <v>1990</v>
      </c>
      <c r="B332" s="20" t="s">
        <v>32</v>
      </c>
      <c r="C332" s="20">
        <v>24</v>
      </c>
      <c r="D332" s="22" t="s">
        <v>132</v>
      </c>
      <c r="E332" s="22"/>
      <c r="F332" s="20">
        <v>4349</v>
      </c>
      <c r="G332" s="18"/>
      <c r="H332" s="18"/>
      <c r="I332" s="18"/>
      <c r="J332" s="18"/>
      <c r="K332" s="18"/>
    </row>
    <row r="333" spans="1:11" x14ac:dyDescent="0.25">
      <c r="A333" s="18">
        <v>1990</v>
      </c>
      <c r="B333" s="20" t="s">
        <v>32</v>
      </c>
      <c r="C333" s="20">
        <v>25</v>
      </c>
      <c r="D333" s="22" t="s">
        <v>122</v>
      </c>
      <c r="E333" s="22"/>
      <c r="F333" s="22" t="s">
        <v>122</v>
      </c>
      <c r="G333" s="18"/>
      <c r="H333" s="18"/>
      <c r="I333" s="18"/>
      <c r="J333" s="18"/>
      <c r="K333" s="18"/>
    </row>
    <row r="334" spans="1:11" x14ac:dyDescent="0.25">
      <c r="A334" s="18">
        <v>1990</v>
      </c>
      <c r="B334" s="20" t="s">
        <v>32</v>
      </c>
      <c r="C334" s="20">
        <v>26</v>
      </c>
      <c r="D334" s="22" t="s">
        <v>122</v>
      </c>
      <c r="E334" s="22"/>
      <c r="F334" s="22" t="s">
        <v>122</v>
      </c>
      <c r="G334" s="18"/>
      <c r="H334" s="18"/>
      <c r="I334" s="18"/>
      <c r="J334" s="18"/>
      <c r="K334" s="18"/>
    </row>
    <row r="335" spans="1:11" x14ac:dyDescent="0.25">
      <c r="A335" s="18">
        <v>1990</v>
      </c>
      <c r="B335" s="20" t="s">
        <v>32</v>
      </c>
      <c r="C335" s="20">
        <v>27</v>
      </c>
      <c r="D335" s="22" t="s">
        <v>122</v>
      </c>
      <c r="E335" s="22"/>
      <c r="F335" s="22" t="s">
        <v>122</v>
      </c>
      <c r="G335" s="18"/>
      <c r="H335" s="18"/>
      <c r="I335" s="18"/>
      <c r="J335" s="18"/>
      <c r="K335" s="18"/>
    </row>
    <row r="336" spans="1:11" x14ac:dyDescent="0.25">
      <c r="A336" s="18">
        <v>1990</v>
      </c>
      <c r="B336" s="20" t="s">
        <v>32</v>
      </c>
      <c r="C336" s="20">
        <v>28</v>
      </c>
      <c r="D336" s="22" t="s">
        <v>122</v>
      </c>
      <c r="E336" s="22"/>
      <c r="F336" s="22" t="s">
        <v>122</v>
      </c>
      <c r="G336" s="18"/>
      <c r="H336" s="18"/>
      <c r="I336" s="18"/>
      <c r="J336" s="18"/>
      <c r="K336" s="18"/>
    </row>
    <row r="337" spans="1:11" x14ac:dyDescent="0.25">
      <c r="A337" s="18">
        <v>1990</v>
      </c>
      <c r="B337" s="20" t="s">
        <v>32</v>
      </c>
      <c r="C337" s="20">
        <v>29</v>
      </c>
      <c r="D337" s="22" t="s">
        <v>122</v>
      </c>
      <c r="E337" s="22"/>
      <c r="F337" s="22" t="s">
        <v>122</v>
      </c>
      <c r="G337" s="18"/>
      <c r="H337" s="18"/>
      <c r="I337" s="18"/>
      <c r="J337" s="18"/>
      <c r="K337" s="18"/>
    </row>
    <row r="338" spans="1:11" x14ac:dyDescent="0.25">
      <c r="A338" s="18">
        <v>1990</v>
      </c>
      <c r="B338" s="20" t="s">
        <v>32</v>
      </c>
      <c r="C338" s="20">
        <v>30</v>
      </c>
      <c r="D338" s="22" t="s">
        <v>122</v>
      </c>
      <c r="E338" s="22"/>
      <c r="F338" s="22" t="s">
        <v>122</v>
      </c>
      <c r="G338" s="18"/>
      <c r="H338" s="18"/>
      <c r="I338" s="18"/>
      <c r="J338" s="18"/>
      <c r="K338" s="18"/>
    </row>
    <row r="339" spans="1:11" x14ac:dyDescent="0.25">
      <c r="A339" s="18">
        <v>1990</v>
      </c>
      <c r="B339" s="20" t="s">
        <v>33</v>
      </c>
      <c r="C339" s="20">
        <v>1</v>
      </c>
      <c r="D339" s="22" t="s">
        <v>122</v>
      </c>
      <c r="E339" s="22"/>
      <c r="F339" s="22" t="s">
        <v>122</v>
      </c>
      <c r="G339" s="18"/>
      <c r="H339" s="18"/>
      <c r="I339" s="18"/>
      <c r="J339" s="18"/>
      <c r="K339" s="18"/>
    </row>
    <row r="340" spans="1:11" x14ac:dyDescent="0.25">
      <c r="A340" s="18">
        <v>1990</v>
      </c>
      <c r="B340" s="20" t="s">
        <v>33</v>
      </c>
      <c r="C340" s="20">
        <v>2</v>
      </c>
      <c r="D340" s="22" t="s">
        <v>133</v>
      </c>
      <c r="E340" s="22"/>
      <c r="F340" s="22" t="s">
        <v>134</v>
      </c>
      <c r="G340" s="18"/>
      <c r="H340" s="18"/>
      <c r="I340" s="18"/>
      <c r="J340" s="18"/>
      <c r="K340" s="18"/>
    </row>
    <row r="341" spans="1:11" x14ac:dyDescent="0.25">
      <c r="A341" s="18">
        <v>1990</v>
      </c>
      <c r="B341" s="20" t="s">
        <v>33</v>
      </c>
      <c r="C341" s="20">
        <v>3</v>
      </c>
      <c r="D341" s="22" t="s">
        <v>135</v>
      </c>
      <c r="E341" s="22"/>
      <c r="F341" s="22" t="s">
        <v>136</v>
      </c>
      <c r="G341" s="18"/>
      <c r="H341" s="18"/>
      <c r="I341" s="18"/>
      <c r="J341" s="18"/>
      <c r="K341" s="18"/>
    </row>
    <row r="342" spans="1:11" x14ac:dyDescent="0.25">
      <c r="A342" s="18">
        <v>1990</v>
      </c>
      <c r="B342" s="20" t="s">
        <v>33</v>
      </c>
      <c r="C342" s="20">
        <v>4</v>
      </c>
      <c r="D342" s="22" t="s">
        <v>137</v>
      </c>
      <c r="E342" s="22"/>
      <c r="F342" s="22" t="s">
        <v>138</v>
      </c>
      <c r="G342" s="18"/>
      <c r="H342" s="18"/>
      <c r="I342" s="18"/>
      <c r="J342" s="18"/>
      <c r="K342" s="18"/>
    </row>
    <row r="343" spans="1:11" x14ac:dyDescent="0.25">
      <c r="A343" s="18">
        <v>1990</v>
      </c>
      <c r="B343" s="20" t="s">
        <v>33</v>
      </c>
      <c r="C343" s="20">
        <v>5</v>
      </c>
      <c r="D343" s="22" t="s">
        <v>137</v>
      </c>
      <c r="E343" s="22"/>
      <c r="F343" s="22" t="s">
        <v>138</v>
      </c>
      <c r="G343" s="18"/>
      <c r="H343" s="18"/>
      <c r="I343" s="18"/>
      <c r="J343" s="18"/>
      <c r="K343" s="18"/>
    </row>
    <row r="344" spans="1:11" x14ac:dyDescent="0.25">
      <c r="A344" s="18">
        <v>1990</v>
      </c>
      <c r="B344" s="20" t="s">
        <v>33</v>
      </c>
      <c r="C344" s="20">
        <v>6</v>
      </c>
      <c r="D344" s="22" t="s">
        <v>137</v>
      </c>
      <c r="E344" s="22"/>
      <c r="F344" s="22" t="s">
        <v>138</v>
      </c>
      <c r="G344" s="18"/>
      <c r="H344" s="18"/>
      <c r="I344" s="18"/>
      <c r="J344" s="18"/>
      <c r="K344" s="18"/>
    </row>
    <row r="345" spans="1:11" x14ac:dyDescent="0.25">
      <c r="A345" s="18">
        <v>1990</v>
      </c>
      <c r="B345" s="20" t="s">
        <v>33</v>
      </c>
      <c r="C345" s="20">
        <v>7</v>
      </c>
      <c r="D345" s="22" t="s">
        <v>137</v>
      </c>
      <c r="E345" s="22"/>
      <c r="F345" s="22" t="s">
        <v>138</v>
      </c>
      <c r="G345" s="18"/>
      <c r="H345" s="18"/>
      <c r="I345" s="18"/>
      <c r="J345" s="18"/>
      <c r="K345" s="18"/>
    </row>
    <row r="346" spans="1:11" x14ac:dyDescent="0.25">
      <c r="A346" s="18">
        <v>1990</v>
      </c>
      <c r="B346" s="20" t="s">
        <v>33</v>
      </c>
      <c r="C346" s="20">
        <v>8</v>
      </c>
      <c r="D346" s="22" t="s">
        <v>139</v>
      </c>
      <c r="E346" s="22"/>
      <c r="F346" s="22" t="s">
        <v>140</v>
      </c>
      <c r="G346" s="18"/>
      <c r="H346" s="18"/>
      <c r="I346" s="18"/>
      <c r="J346" s="18"/>
      <c r="K346" s="18"/>
    </row>
    <row r="347" spans="1:11" x14ac:dyDescent="0.25">
      <c r="A347" s="18">
        <v>1990</v>
      </c>
      <c r="B347" s="20" t="s">
        <v>33</v>
      </c>
      <c r="C347" s="20">
        <v>9</v>
      </c>
      <c r="D347" s="22" t="s">
        <v>139</v>
      </c>
      <c r="E347" s="22"/>
      <c r="F347" s="22" t="s">
        <v>140</v>
      </c>
      <c r="G347" s="18"/>
      <c r="H347" s="18"/>
      <c r="I347" s="18"/>
      <c r="J347" s="18"/>
      <c r="K347" s="18"/>
    </row>
    <row r="348" spans="1:11" x14ac:dyDescent="0.25">
      <c r="A348" s="18">
        <v>1990</v>
      </c>
      <c r="B348" s="20" t="s">
        <v>33</v>
      </c>
      <c r="C348" s="20">
        <v>10</v>
      </c>
      <c r="D348" s="22" t="s">
        <v>139</v>
      </c>
      <c r="E348" s="22"/>
      <c r="F348" s="22" t="s">
        <v>140</v>
      </c>
      <c r="G348" s="18"/>
      <c r="H348" s="18"/>
      <c r="I348" s="18"/>
      <c r="J348" s="18"/>
      <c r="K348" s="18"/>
    </row>
    <row r="349" spans="1:11" x14ac:dyDescent="0.25">
      <c r="A349" s="18">
        <v>1990</v>
      </c>
      <c r="B349" s="20" t="s">
        <v>33</v>
      </c>
      <c r="C349" s="20">
        <v>11</v>
      </c>
      <c r="D349" s="22" t="s">
        <v>141</v>
      </c>
      <c r="E349" s="22"/>
      <c r="F349" s="22" t="s">
        <v>142</v>
      </c>
      <c r="G349" s="18"/>
      <c r="H349" s="18"/>
      <c r="I349" s="18"/>
      <c r="J349" s="18"/>
      <c r="K349" s="18"/>
    </row>
    <row r="350" spans="1:11" x14ac:dyDescent="0.25">
      <c r="A350" s="18">
        <v>1990</v>
      </c>
      <c r="B350" s="20" t="s">
        <v>33</v>
      </c>
      <c r="C350" s="20">
        <v>12</v>
      </c>
      <c r="D350" s="22" t="s">
        <v>143</v>
      </c>
      <c r="E350" s="22"/>
      <c r="F350" s="22" t="s">
        <v>144</v>
      </c>
      <c r="G350" s="18"/>
      <c r="H350" s="18"/>
      <c r="I350" s="18"/>
      <c r="J350" s="18"/>
      <c r="K350" s="18"/>
    </row>
    <row r="351" spans="1:11" x14ac:dyDescent="0.25">
      <c r="A351" s="18">
        <v>1990</v>
      </c>
      <c r="B351" s="20" t="s">
        <v>33</v>
      </c>
      <c r="C351" s="20">
        <v>13</v>
      </c>
      <c r="D351" s="22" t="s">
        <v>143</v>
      </c>
      <c r="E351" s="22"/>
      <c r="F351" s="19" t="s">
        <v>144</v>
      </c>
      <c r="G351" s="18"/>
      <c r="H351" s="18"/>
      <c r="I351" s="18"/>
      <c r="J351" s="18"/>
      <c r="K351" s="18"/>
    </row>
    <row r="352" spans="1:11" x14ac:dyDescent="0.25">
      <c r="A352" s="18">
        <v>1990</v>
      </c>
      <c r="B352" s="20" t="s">
        <v>33</v>
      </c>
      <c r="C352" s="20">
        <v>14</v>
      </c>
      <c r="D352" s="22" t="s">
        <v>143</v>
      </c>
      <c r="E352" s="22"/>
      <c r="F352" s="19" t="s">
        <v>144</v>
      </c>
      <c r="G352" s="18"/>
      <c r="H352" s="18"/>
      <c r="I352" s="18"/>
      <c r="J352" s="18"/>
      <c r="K352" s="18"/>
    </row>
    <row r="353" spans="1:11" x14ac:dyDescent="0.25">
      <c r="A353" s="18">
        <v>1990</v>
      </c>
      <c r="B353" s="20" t="s">
        <v>33</v>
      </c>
      <c r="C353" s="20">
        <v>15</v>
      </c>
      <c r="D353" s="22" t="s">
        <v>143</v>
      </c>
      <c r="E353" s="22"/>
      <c r="F353" s="19" t="s">
        <v>144</v>
      </c>
      <c r="G353" s="18"/>
      <c r="H353" s="18"/>
      <c r="I353" s="18"/>
      <c r="J353" s="18"/>
      <c r="K353" s="18"/>
    </row>
    <row r="354" spans="1:11" x14ac:dyDescent="0.25">
      <c r="A354" s="18">
        <v>1990</v>
      </c>
      <c r="B354" s="20" t="s">
        <v>33</v>
      </c>
      <c r="C354" s="20">
        <v>16</v>
      </c>
      <c r="D354" s="22" t="s">
        <v>143</v>
      </c>
      <c r="E354" s="22"/>
      <c r="F354" s="19" t="s">
        <v>144</v>
      </c>
      <c r="G354" s="18"/>
      <c r="H354" s="18"/>
      <c r="I354" s="18"/>
      <c r="J354" s="18"/>
      <c r="K354" s="18"/>
    </row>
    <row r="355" spans="1:11" x14ac:dyDescent="0.25">
      <c r="A355" s="18">
        <v>1990</v>
      </c>
      <c r="B355" s="20" t="s">
        <v>33</v>
      </c>
      <c r="C355" s="20">
        <v>17</v>
      </c>
      <c r="D355" s="22" t="s">
        <v>143</v>
      </c>
      <c r="E355" s="22"/>
      <c r="F355" s="19" t="s">
        <v>144</v>
      </c>
      <c r="G355" s="18"/>
      <c r="H355" s="18"/>
      <c r="I355" s="18"/>
      <c r="J355" s="18"/>
      <c r="K355" s="18"/>
    </row>
    <row r="356" spans="1:11" x14ac:dyDescent="0.25">
      <c r="A356" s="18">
        <v>1990</v>
      </c>
      <c r="B356" s="20" t="s">
        <v>33</v>
      </c>
      <c r="C356" s="20">
        <v>18</v>
      </c>
      <c r="D356" s="22" t="s">
        <v>143</v>
      </c>
      <c r="E356" s="22"/>
      <c r="F356" s="19" t="s">
        <v>144</v>
      </c>
      <c r="G356" s="18"/>
      <c r="H356" s="18"/>
      <c r="I356" s="18"/>
      <c r="J356" s="18"/>
      <c r="K356" s="18"/>
    </row>
    <row r="357" spans="1:11" x14ac:dyDescent="0.25">
      <c r="A357" s="18">
        <v>1990</v>
      </c>
      <c r="B357" s="20" t="s">
        <v>33</v>
      </c>
      <c r="C357" s="20">
        <v>19</v>
      </c>
      <c r="D357" s="22" t="s">
        <v>143</v>
      </c>
      <c r="E357" s="22"/>
      <c r="F357" s="19" t="s">
        <v>144</v>
      </c>
      <c r="G357" s="18"/>
      <c r="H357" s="18"/>
      <c r="I357" s="18"/>
      <c r="J357" s="18"/>
      <c r="K357" s="18"/>
    </row>
    <row r="358" spans="1:11" x14ac:dyDescent="0.25">
      <c r="A358" s="18">
        <v>1990</v>
      </c>
      <c r="B358" s="20" t="s">
        <v>33</v>
      </c>
      <c r="C358" s="20">
        <v>20</v>
      </c>
      <c r="D358" s="22" t="s">
        <v>143</v>
      </c>
      <c r="E358" s="22"/>
      <c r="F358" s="19" t="s">
        <v>144</v>
      </c>
      <c r="G358" s="18"/>
      <c r="H358" s="18"/>
      <c r="I358" s="18"/>
      <c r="J358" s="18"/>
      <c r="K358" s="18"/>
    </row>
    <row r="359" spans="1:11" x14ac:dyDescent="0.25">
      <c r="A359" s="18">
        <v>1990</v>
      </c>
      <c r="B359" s="20" t="s">
        <v>33</v>
      </c>
      <c r="C359" s="20">
        <v>21</v>
      </c>
      <c r="D359" s="22" t="s">
        <v>143</v>
      </c>
      <c r="E359" s="22"/>
      <c r="F359" s="19" t="s">
        <v>144</v>
      </c>
      <c r="G359" s="18"/>
      <c r="H359" s="18"/>
      <c r="I359" s="18"/>
      <c r="J359" s="18"/>
      <c r="K359" s="18"/>
    </row>
    <row r="360" spans="1:11" x14ac:dyDescent="0.25">
      <c r="A360" s="18">
        <v>1990</v>
      </c>
      <c r="B360" s="20" t="s">
        <v>33</v>
      </c>
      <c r="C360" s="20">
        <v>22</v>
      </c>
      <c r="D360" s="22" t="s">
        <v>145</v>
      </c>
      <c r="E360" s="22"/>
      <c r="F360" s="19" t="s">
        <v>146</v>
      </c>
      <c r="G360" s="18"/>
      <c r="H360" s="18"/>
      <c r="I360" s="18"/>
      <c r="J360" s="18"/>
      <c r="K360" s="18"/>
    </row>
    <row r="361" spans="1:11" x14ac:dyDescent="0.25">
      <c r="A361" s="18">
        <v>1990</v>
      </c>
      <c r="B361" s="20" t="s">
        <v>33</v>
      </c>
      <c r="C361" s="20">
        <v>23</v>
      </c>
      <c r="D361" s="22" t="s">
        <v>147</v>
      </c>
      <c r="E361" s="22"/>
      <c r="F361" s="19" t="s">
        <v>148</v>
      </c>
      <c r="G361" s="18"/>
      <c r="H361" s="18"/>
      <c r="I361" s="18"/>
      <c r="J361" s="18"/>
      <c r="K361" s="18"/>
    </row>
    <row r="362" spans="1:11" x14ac:dyDescent="0.25">
      <c r="A362" s="18">
        <v>1990</v>
      </c>
      <c r="B362" s="20" t="s">
        <v>33</v>
      </c>
      <c r="C362" s="20">
        <v>24</v>
      </c>
      <c r="D362" s="22" t="s">
        <v>149</v>
      </c>
      <c r="E362" s="22"/>
      <c r="F362" s="19" t="s">
        <v>150</v>
      </c>
      <c r="G362" s="18"/>
      <c r="H362" s="18"/>
      <c r="I362" s="18"/>
      <c r="J362" s="18"/>
      <c r="K362" s="18"/>
    </row>
    <row r="363" spans="1:11" x14ac:dyDescent="0.25">
      <c r="A363" s="18">
        <v>1990</v>
      </c>
      <c r="B363" s="20" t="s">
        <v>33</v>
      </c>
      <c r="C363" s="20">
        <v>25</v>
      </c>
      <c r="D363" s="22" t="s">
        <v>151</v>
      </c>
      <c r="E363" s="22"/>
      <c r="F363" s="19" t="s">
        <v>152</v>
      </c>
      <c r="G363" s="18"/>
      <c r="H363" s="18"/>
      <c r="I363" s="18"/>
      <c r="J363" s="18"/>
      <c r="K363" s="18"/>
    </row>
    <row r="364" spans="1:11" x14ac:dyDescent="0.25">
      <c r="A364" s="18">
        <v>1990</v>
      </c>
      <c r="B364" s="20" t="s">
        <v>33</v>
      </c>
      <c r="C364" s="20">
        <v>26</v>
      </c>
      <c r="D364" s="22" t="s">
        <v>153</v>
      </c>
      <c r="E364" s="22"/>
      <c r="F364" s="19" t="s">
        <v>154</v>
      </c>
      <c r="G364" s="18"/>
      <c r="H364" s="18"/>
      <c r="I364" s="18"/>
      <c r="J364" s="18"/>
      <c r="K364" s="18"/>
    </row>
    <row r="365" spans="1:11" x14ac:dyDescent="0.25">
      <c r="A365" s="18">
        <v>1990</v>
      </c>
      <c r="B365" s="20" t="s">
        <v>33</v>
      </c>
      <c r="C365" s="20">
        <v>27</v>
      </c>
      <c r="D365" s="22" t="s">
        <v>155</v>
      </c>
      <c r="E365" s="22"/>
      <c r="F365" s="19" t="s">
        <v>156</v>
      </c>
      <c r="G365" s="18"/>
      <c r="H365" s="18"/>
      <c r="I365" s="18"/>
      <c r="J365" s="18"/>
      <c r="K365" s="18"/>
    </row>
    <row r="366" spans="1:11" x14ac:dyDescent="0.25">
      <c r="A366" s="18">
        <v>1990</v>
      </c>
      <c r="B366" s="20" t="s">
        <v>33</v>
      </c>
      <c r="C366" s="20">
        <v>28</v>
      </c>
      <c r="D366" s="22" t="s">
        <v>157</v>
      </c>
      <c r="E366" s="22"/>
      <c r="F366" s="22" t="s">
        <v>158</v>
      </c>
      <c r="G366" s="18"/>
      <c r="H366" s="18"/>
      <c r="I366" s="18"/>
      <c r="J366" s="18"/>
      <c r="K366" s="18"/>
    </row>
    <row r="367" spans="1:11" x14ac:dyDescent="0.25">
      <c r="A367" s="18">
        <v>1990</v>
      </c>
      <c r="B367" s="20" t="s">
        <v>33</v>
      </c>
      <c r="C367" s="20">
        <v>29</v>
      </c>
      <c r="D367" s="22" t="s">
        <v>159</v>
      </c>
      <c r="E367" s="22"/>
      <c r="F367" s="22" t="s">
        <v>160</v>
      </c>
      <c r="G367" s="18"/>
      <c r="H367" s="18"/>
      <c r="I367" s="18"/>
      <c r="J367" s="18"/>
      <c r="K367" s="18"/>
    </row>
    <row r="368" spans="1:11" x14ac:dyDescent="0.25">
      <c r="A368" s="18">
        <v>1990</v>
      </c>
      <c r="B368" s="20" t="s">
        <v>33</v>
      </c>
      <c r="C368" s="20">
        <v>30</v>
      </c>
      <c r="D368" s="22" t="s">
        <v>161</v>
      </c>
      <c r="E368" s="22"/>
      <c r="F368" s="22" t="s">
        <v>162</v>
      </c>
      <c r="G368" s="18"/>
      <c r="H368" s="18"/>
      <c r="I368" s="18"/>
      <c r="J368" s="18"/>
      <c r="K368" s="18"/>
    </row>
    <row r="369" spans="1:11" x14ac:dyDescent="0.25">
      <c r="A369" s="18">
        <v>1990</v>
      </c>
      <c r="B369" s="20" t="s">
        <v>33</v>
      </c>
      <c r="C369" s="20">
        <v>31</v>
      </c>
      <c r="D369" s="22" t="s">
        <v>163</v>
      </c>
      <c r="E369" s="22"/>
      <c r="F369" s="22" t="s">
        <v>164</v>
      </c>
      <c r="G369" s="18"/>
      <c r="H369" s="18"/>
      <c r="I369" s="18"/>
      <c r="J369" s="18"/>
      <c r="K369" s="18"/>
    </row>
    <row r="370" spans="1:11" x14ac:dyDescent="0.25">
      <c r="A370" s="383" t="s">
        <v>1759</v>
      </c>
      <c r="B370" s="384"/>
      <c r="C370" s="384"/>
      <c r="D370" s="384"/>
      <c r="E370" s="384"/>
      <c r="F370" s="384"/>
      <c r="G370" s="384"/>
      <c r="H370" s="384"/>
      <c r="I370" s="384"/>
      <c r="J370" s="384"/>
      <c r="K370" s="384"/>
    </row>
    <row r="371" spans="1:11" x14ac:dyDescent="0.25">
      <c r="A371" s="386" t="s">
        <v>558</v>
      </c>
      <c r="B371" s="386"/>
      <c r="C371" s="386"/>
      <c r="D371" s="386"/>
      <c r="E371" s="386"/>
      <c r="F371" s="386"/>
      <c r="G371" s="26"/>
      <c r="H371" s="26"/>
    </row>
    <row r="372" spans="1:11" x14ac:dyDescent="0.25">
      <c r="A372" s="386" t="s">
        <v>559</v>
      </c>
      <c r="B372" s="386"/>
      <c r="C372" s="386"/>
      <c r="D372" s="386"/>
      <c r="E372" s="386"/>
      <c r="F372" s="386"/>
      <c r="G372" s="26"/>
      <c r="H372" s="26"/>
    </row>
    <row r="373" spans="1:11" x14ac:dyDescent="0.25">
      <c r="A373" s="386" t="s">
        <v>560</v>
      </c>
      <c r="B373" s="386"/>
      <c r="C373" s="386"/>
      <c r="D373" s="386"/>
      <c r="E373" s="386"/>
      <c r="F373" s="386"/>
      <c r="G373" s="26"/>
      <c r="H373" s="26"/>
    </row>
  </sheetData>
  <mergeCells count="12">
    <mergeCell ref="A370:K370"/>
    <mergeCell ref="A1:K1"/>
    <mergeCell ref="A373:F373"/>
    <mergeCell ref="C2:C3"/>
    <mergeCell ref="B2:B3"/>
    <mergeCell ref="A2:A3"/>
    <mergeCell ref="A371:F371"/>
    <mergeCell ref="A372:F372"/>
    <mergeCell ref="D2:E2"/>
    <mergeCell ref="F2:G2"/>
    <mergeCell ref="H2:I2"/>
    <mergeCell ref="J2:K2"/>
  </mergeCells>
  <pageMargins left="1" right="0.75" top="0.75" bottom="0.25" header="0.3" footer="0.3"/>
  <pageSetup paperSize="9" orientation="portrait" r:id="rId1"/>
  <ignoredErrors>
    <ignoredError sqref="F4 F5:F34 F35:F62 F64:F125 F126:F153 F340:F369" numberStoredAsText="1"/>
    <ignoredError sqref="D15:D22 D93:D94 D362"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3"/>
  <sheetViews>
    <sheetView topLeftCell="A334" workbookViewId="0">
      <selection activeCell="M5" sqref="M5"/>
    </sheetView>
  </sheetViews>
  <sheetFormatPr defaultColWidth="9.140625" defaultRowHeight="15" x14ac:dyDescent="0.25"/>
  <cols>
    <col min="1" max="1" width="6.7109375" style="14" customWidth="1"/>
    <col min="2" max="2" width="11.42578125" style="14" customWidth="1"/>
    <col min="3" max="3" width="6.7109375" style="27" customWidth="1"/>
    <col min="4" max="4" width="9.140625" style="14"/>
    <col min="5" max="5" width="5.28515625" style="14" customWidth="1"/>
    <col min="6" max="6" width="10.7109375" style="14" customWidth="1"/>
    <col min="7" max="7" width="8" style="14" customWidth="1"/>
    <col min="8" max="8" width="5.85546875" style="14" customWidth="1"/>
    <col min="9" max="9" width="6.42578125" style="14" customWidth="1"/>
    <col min="10" max="10" width="5.7109375" style="14" customWidth="1"/>
    <col min="11" max="11" width="6.28515625" style="14" customWidth="1"/>
    <col min="12" max="16384" width="9.140625" style="14"/>
  </cols>
  <sheetData>
    <row r="1" spans="1:11" ht="18" x14ac:dyDescent="0.35">
      <c r="A1" s="395" t="s">
        <v>1754</v>
      </c>
      <c r="B1" s="395"/>
      <c r="C1" s="395"/>
      <c r="D1" s="395"/>
      <c r="E1" s="395"/>
      <c r="F1" s="395"/>
      <c r="G1" s="395"/>
      <c r="H1" s="395"/>
      <c r="I1" s="395"/>
      <c r="J1" s="395"/>
      <c r="K1" s="395"/>
    </row>
    <row r="2" spans="1:11" ht="30" customHeight="1" x14ac:dyDescent="0.25">
      <c r="A2" s="396" t="s">
        <v>532</v>
      </c>
      <c r="B2" s="396" t="s">
        <v>22</v>
      </c>
      <c r="C2" s="387" t="s">
        <v>0</v>
      </c>
      <c r="D2" s="397" t="s">
        <v>728</v>
      </c>
      <c r="E2" s="397"/>
      <c r="F2" s="398" t="s">
        <v>729</v>
      </c>
      <c r="G2" s="398"/>
      <c r="H2" s="399" t="s">
        <v>1746</v>
      </c>
      <c r="I2" s="399"/>
      <c r="J2" s="399" t="s">
        <v>1747</v>
      </c>
      <c r="K2" s="399"/>
    </row>
    <row r="3" spans="1:11" ht="77.25" customHeight="1" x14ac:dyDescent="0.25">
      <c r="A3" s="396"/>
      <c r="B3" s="396"/>
      <c r="C3" s="388"/>
      <c r="D3" s="15" t="s">
        <v>730</v>
      </c>
      <c r="E3" s="15" t="s">
        <v>731</v>
      </c>
      <c r="F3" s="15" t="s">
        <v>732</v>
      </c>
      <c r="G3" s="15" t="s">
        <v>733</v>
      </c>
      <c r="H3" s="16" t="s">
        <v>734</v>
      </c>
      <c r="I3" s="17" t="s">
        <v>735</v>
      </c>
      <c r="J3" s="16" t="s">
        <v>734</v>
      </c>
      <c r="K3" s="17" t="s">
        <v>735</v>
      </c>
    </row>
    <row r="4" spans="1:11" ht="13.9" x14ac:dyDescent="0.25">
      <c r="A4" s="18">
        <v>1991</v>
      </c>
      <c r="B4" s="18" t="s">
        <v>23</v>
      </c>
      <c r="C4" s="18">
        <v>1</v>
      </c>
      <c r="D4" s="19" t="s">
        <v>165</v>
      </c>
      <c r="E4" s="19"/>
      <c r="F4" s="19" t="s">
        <v>166</v>
      </c>
      <c r="G4" s="18"/>
      <c r="H4" s="18"/>
      <c r="I4" s="18"/>
      <c r="J4" s="18"/>
      <c r="K4" s="18"/>
    </row>
    <row r="5" spans="1:11" ht="13.9" x14ac:dyDescent="0.25">
      <c r="A5" s="18">
        <v>1991</v>
      </c>
      <c r="B5" s="18" t="s">
        <v>23</v>
      </c>
      <c r="C5" s="18">
        <v>2</v>
      </c>
      <c r="D5" s="19" t="s">
        <v>165</v>
      </c>
      <c r="E5" s="19"/>
      <c r="F5" s="19" t="s">
        <v>166</v>
      </c>
      <c r="G5" s="18"/>
      <c r="H5" s="18"/>
      <c r="I5" s="18"/>
      <c r="J5" s="18"/>
      <c r="K5" s="18"/>
    </row>
    <row r="6" spans="1:11" ht="13.9" x14ac:dyDescent="0.25">
      <c r="A6" s="18">
        <v>1991</v>
      </c>
      <c r="B6" s="18" t="s">
        <v>23</v>
      </c>
      <c r="C6" s="18">
        <v>3</v>
      </c>
      <c r="D6" s="19" t="s">
        <v>167</v>
      </c>
      <c r="E6" s="19"/>
      <c r="F6" s="19" t="s">
        <v>168</v>
      </c>
      <c r="G6" s="18"/>
      <c r="H6" s="18"/>
      <c r="I6" s="18"/>
      <c r="J6" s="18"/>
      <c r="K6" s="18"/>
    </row>
    <row r="7" spans="1:11" ht="13.9" x14ac:dyDescent="0.25">
      <c r="A7" s="18">
        <v>1991</v>
      </c>
      <c r="B7" s="18" t="s">
        <v>23</v>
      </c>
      <c r="C7" s="18">
        <v>4</v>
      </c>
      <c r="D7" s="19" t="s">
        <v>167</v>
      </c>
      <c r="E7" s="19"/>
      <c r="F7" s="19" t="s">
        <v>168</v>
      </c>
      <c r="G7" s="18"/>
      <c r="H7" s="18"/>
      <c r="I7" s="18"/>
      <c r="J7" s="18"/>
      <c r="K7" s="18"/>
    </row>
    <row r="8" spans="1:11" ht="13.9" x14ac:dyDescent="0.25">
      <c r="A8" s="18">
        <v>1991</v>
      </c>
      <c r="B8" s="18" t="s">
        <v>23</v>
      </c>
      <c r="C8" s="18">
        <v>5</v>
      </c>
      <c r="D8" s="19" t="s">
        <v>167</v>
      </c>
      <c r="E8" s="19"/>
      <c r="F8" s="19" t="s">
        <v>168</v>
      </c>
      <c r="G8" s="18"/>
      <c r="H8" s="18"/>
      <c r="I8" s="18"/>
      <c r="J8" s="18"/>
      <c r="K8" s="18"/>
    </row>
    <row r="9" spans="1:11" ht="13.9" x14ac:dyDescent="0.25">
      <c r="A9" s="18">
        <v>1991</v>
      </c>
      <c r="B9" s="18" t="s">
        <v>23</v>
      </c>
      <c r="C9" s="18">
        <v>6</v>
      </c>
      <c r="D9" s="19" t="s">
        <v>167</v>
      </c>
      <c r="E9" s="19"/>
      <c r="F9" s="19" t="s">
        <v>168</v>
      </c>
      <c r="G9" s="18"/>
      <c r="H9" s="18"/>
      <c r="I9" s="18"/>
      <c r="J9" s="18"/>
      <c r="K9" s="18"/>
    </row>
    <row r="10" spans="1:11" ht="13.9" x14ac:dyDescent="0.25">
      <c r="A10" s="18">
        <v>1991</v>
      </c>
      <c r="B10" s="18" t="s">
        <v>23</v>
      </c>
      <c r="C10" s="18">
        <v>7</v>
      </c>
      <c r="D10" s="19" t="s">
        <v>167</v>
      </c>
      <c r="E10" s="19"/>
      <c r="F10" s="19" t="s">
        <v>168</v>
      </c>
      <c r="G10" s="18"/>
      <c r="H10" s="18"/>
      <c r="I10" s="18"/>
      <c r="J10" s="18"/>
      <c r="K10" s="18"/>
    </row>
    <row r="11" spans="1:11" ht="13.9" x14ac:dyDescent="0.25">
      <c r="A11" s="18">
        <v>1991</v>
      </c>
      <c r="B11" s="18" t="s">
        <v>23</v>
      </c>
      <c r="C11" s="18">
        <v>8</v>
      </c>
      <c r="D11" s="19" t="s">
        <v>167</v>
      </c>
      <c r="E11" s="19"/>
      <c r="F11" s="19" t="s">
        <v>168</v>
      </c>
      <c r="G11" s="18"/>
      <c r="H11" s="18"/>
      <c r="I11" s="18"/>
      <c r="J11" s="18"/>
      <c r="K11" s="18"/>
    </row>
    <row r="12" spans="1:11" ht="13.9" x14ac:dyDescent="0.25">
      <c r="A12" s="18">
        <v>1991</v>
      </c>
      <c r="B12" s="18" t="s">
        <v>23</v>
      </c>
      <c r="C12" s="18">
        <v>9</v>
      </c>
      <c r="D12" s="19" t="s">
        <v>169</v>
      </c>
      <c r="E12" s="19"/>
      <c r="F12" s="19" t="s">
        <v>170</v>
      </c>
      <c r="G12" s="18"/>
      <c r="H12" s="18"/>
      <c r="I12" s="18"/>
      <c r="J12" s="18"/>
      <c r="K12" s="18"/>
    </row>
    <row r="13" spans="1:11" ht="13.9" x14ac:dyDescent="0.25">
      <c r="A13" s="18">
        <v>1991</v>
      </c>
      <c r="B13" s="18" t="s">
        <v>23</v>
      </c>
      <c r="C13" s="18">
        <v>10</v>
      </c>
      <c r="D13" s="19" t="s">
        <v>169</v>
      </c>
      <c r="E13" s="19"/>
      <c r="F13" s="19" t="s">
        <v>170</v>
      </c>
      <c r="G13" s="18"/>
      <c r="H13" s="18"/>
      <c r="I13" s="18"/>
      <c r="J13" s="18"/>
      <c r="K13" s="18"/>
    </row>
    <row r="14" spans="1:11" ht="13.9" x14ac:dyDescent="0.25">
      <c r="A14" s="18">
        <v>1991</v>
      </c>
      <c r="B14" s="18" t="s">
        <v>23</v>
      </c>
      <c r="C14" s="18">
        <v>11</v>
      </c>
      <c r="D14" s="19" t="s">
        <v>171</v>
      </c>
      <c r="E14" s="19"/>
      <c r="F14" s="19" t="s">
        <v>172</v>
      </c>
      <c r="G14" s="18"/>
      <c r="H14" s="18"/>
      <c r="I14" s="18"/>
      <c r="J14" s="18"/>
      <c r="K14" s="18"/>
    </row>
    <row r="15" spans="1:11" ht="13.9" x14ac:dyDescent="0.25">
      <c r="A15" s="18">
        <v>1991</v>
      </c>
      <c r="B15" s="18" t="s">
        <v>23</v>
      </c>
      <c r="C15" s="18">
        <v>12</v>
      </c>
      <c r="D15" s="19" t="s">
        <v>173</v>
      </c>
      <c r="E15" s="19"/>
      <c r="F15" s="19" t="s">
        <v>174</v>
      </c>
      <c r="G15" s="18"/>
      <c r="H15" s="18"/>
      <c r="I15" s="18"/>
      <c r="J15" s="18"/>
      <c r="K15" s="18"/>
    </row>
    <row r="16" spans="1:11" ht="13.9" x14ac:dyDescent="0.25">
      <c r="A16" s="18">
        <v>1991</v>
      </c>
      <c r="B16" s="18" t="s">
        <v>23</v>
      </c>
      <c r="C16" s="18">
        <v>13</v>
      </c>
      <c r="D16" s="19" t="s">
        <v>171</v>
      </c>
      <c r="E16" s="19"/>
      <c r="F16" s="19" t="s">
        <v>174</v>
      </c>
      <c r="G16" s="18"/>
      <c r="H16" s="18"/>
      <c r="I16" s="18"/>
      <c r="J16" s="18"/>
      <c r="K16" s="18"/>
    </row>
    <row r="17" spans="1:11" ht="13.9" x14ac:dyDescent="0.25">
      <c r="A17" s="18">
        <v>1991</v>
      </c>
      <c r="B17" s="18" t="s">
        <v>23</v>
      </c>
      <c r="C17" s="18">
        <v>14</v>
      </c>
      <c r="D17" s="19" t="s">
        <v>171</v>
      </c>
      <c r="E17" s="19"/>
      <c r="F17" s="19" t="s">
        <v>174</v>
      </c>
      <c r="G17" s="18"/>
      <c r="H17" s="18"/>
      <c r="I17" s="18"/>
      <c r="J17" s="18"/>
      <c r="K17" s="18"/>
    </row>
    <row r="18" spans="1:11" ht="13.9" x14ac:dyDescent="0.25">
      <c r="A18" s="18">
        <v>1991</v>
      </c>
      <c r="B18" s="18" t="s">
        <v>23</v>
      </c>
      <c r="C18" s="18">
        <v>15</v>
      </c>
      <c r="D18" s="19" t="s">
        <v>175</v>
      </c>
      <c r="E18" s="19"/>
      <c r="F18" s="19" t="s">
        <v>176</v>
      </c>
      <c r="G18" s="18"/>
      <c r="H18" s="18"/>
      <c r="I18" s="18"/>
      <c r="J18" s="18"/>
      <c r="K18" s="18"/>
    </row>
    <row r="19" spans="1:11" ht="13.9" x14ac:dyDescent="0.25">
      <c r="A19" s="18">
        <v>1991</v>
      </c>
      <c r="B19" s="18" t="s">
        <v>23</v>
      </c>
      <c r="C19" s="18">
        <v>16</v>
      </c>
      <c r="D19" s="19" t="s">
        <v>177</v>
      </c>
      <c r="E19" s="19"/>
      <c r="F19" s="19" t="s">
        <v>176</v>
      </c>
      <c r="G19" s="18"/>
      <c r="H19" s="18"/>
      <c r="I19" s="18"/>
      <c r="J19" s="18"/>
      <c r="K19" s="18"/>
    </row>
    <row r="20" spans="1:11" ht="13.9" x14ac:dyDescent="0.25">
      <c r="A20" s="18">
        <v>1991</v>
      </c>
      <c r="B20" s="18" t="s">
        <v>23</v>
      </c>
      <c r="C20" s="18">
        <v>17</v>
      </c>
      <c r="D20" s="19" t="s">
        <v>178</v>
      </c>
      <c r="E20" s="19"/>
      <c r="F20" s="19" t="s">
        <v>179</v>
      </c>
      <c r="G20" s="18"/>
      <c r="H20" s="18"/>
      <c r="I20" s="18"/>
      <c r="J20" s="18"/>
      <c r="K20" s="18"/>
    </row>
    <row r="21" spans="1:11" ht="13.9" x14ac:dyDescent="0.25">
      <c r="A21" s="18">
        <v>1991</v>
      </c>
      <c r="B21" s="18" t="s">
        <v>23</v>
      </c>
      <c r="C21" s="18">
        <v>18</v>
      </c>
      <c r="D21" s="19" t="s">
        <v>180</v>
      </c>
      <c r="E21" s="19"/>
      <c r="F21" s="19" t="s">
        <v>181</v>
      </c>
      <c r="G21" s="18"/>
      <c r="H21" s="18"/>
      <c r="I21" s="18"/>
      <c r="J21" s="18"/>
      <c r="K21" s="18"/>
    </row>
    <row r="22" spans="1:11" ht="13.9" x14ac:dyDescent="0.25">
      <c r="A22" s="18">
        <v>1991</v>
      </c>
      <c r="B22" s="18" t="s">
        <v>23</v>
      </c>
      <c r="C22" s="18">
        <v>19</v>
      </c>
      <c r="D22" s="19" t="s">
        <v>108</v>
      </c>
      <c r="E22" s="19"/>
      <c r="F22" s="19" t="s">
        <v>182</v>
      </c>
      <c r="G22" s="18"/>
      <c r="H22" s="18"/>
      <c r="I22" s="18"/>
      <c r="J22" s="18"/>
      <c r="K22" s="18"/>
    </row>
    <row r="23" spans="1:11" ht="13.9" x14ac:dyDescent="0.25">
      <c r="A23" s="18">
        <v>1991</v>
      </c>
      <c r="B23" s="18" t="s">
        <v>23</v>
      </c>
      <c r="C23" s="18">
        <v>20</v>
      </c>
      <c r="D23" s="19" t="s">
        <v>183</v>
      </c>
      <c r="E23" s="19"/>
      <c r="F23" s="19" t="s">
        <v>121</v>
      </c>
      <c r="G23" s="18"/>
      <c r="H23" s="18"/>
      <c r="I23" s="18"/>
      <c r="J23" s="18"/>
      <c r="K23" s="18"/>
    </row>
    <row r="24" spans="1:11" ht="13.9" x14ac:dyDescent="0.25">
      <c r="A24" s="18">
        <v>1991</v>
      </c>
      <c r="B24" s="18" t="s">
        <v>23</v>
      </c>
      <c r="C24" s="18">
        <v>21</v>
      </c>
      <c r="D24" s="19" t="s">
        <v>112</v>
      </c>
      <c r="E24" s="19"/>
      <c r="F24" s="19" t="s">
        <v>184</v>
      </c>
      <c r="G24" s="18"/>
      <c r="H24" s="18"/>
      <c r="I24" s="18"/>
      <c r="J24" s="18"/>
      <c r="K24" s="18"/>
    </row>
    <row r="25" spans="1:11" ht="13.9" x14ac:dyDescent="0.25">
      <c r="A25" s="18">
        <v>1991</v>
      </c>
      <c r="B25" s="18" t="s">
        <v>23</v>
      </c>
      <c r="C25" s="18">
        <v>22</v>
      </c>
      <c r="D25" s="19" t="s">
        <v>112</v>
      </c>
      <c r="E25" s="19"/>
      <c r="F25" s="19" t="s">
        <v>185</v>
      </c>
      <c r="G25" s="18"/>
      <c r="H25" s="18"/>
      <c r="I25" s="18"/>
      <c r="J25" s="18"/>
      <c r="K25" s="18"/>
    </row>
    <row r="26" spans="1:11" ht="13.9" x14ac:dyDescent="0.25">
      <c r="A26" s="18">
        <v>1991</v>
      </c>
      <c r="B26" s="18" t="s">
        <v>23</v>
      </c>
      <c r="C26" s="18">
        <v>23</v>
      </c>
      <c r="D26" s="19" t="s">
        <v>186</v>
      </c>
      <c r="E26" s="19"/>
      <c r="F26" s="19" t="s">
        <v>185</v>
      </c>
      <c r="G26" s="18"/>
      <c r="H26" s="18"/>
      <c r="I26" s="18"/>
      <c r="J26" s="18"/>
      <c r="K26" s="18"/>
    </row>
    <row r="27" spans="1:11" ht="13.9" x14ac:dyDescent="0.25">
      <c r="A27" s="18">
        <v>1991</v>
      </c>
      <c r="B27" s="18" t="s">
        <v>23</v>
      </c>
      <c r="C27" s="18">
        <v>24</v>
      </c>
      <c r="D27" s="19" t="s">
        <v>186</v>
      </c>
      <c r="E27" s="19"/>
      <c r="F27" s="19" t="s">
        <v>187</v>
      </c>
      <c r="G27" s="18"/>
      <c r="H27" s="18"/>
      <c r="I27" s="18"/>
      <c r="J27" s="18"/>
      <c r="K27" s="18"/>
    </row>
    <row r="28" spans="1:11" ht="13.9" x14ac:dyDescent="0.25">
      <c r="A28" s="18">
        <v>1991</v>
      </c>
      <c r="B28" s="18" t="s">
        <v>23</v>
      </c>
      <c r="C28" s="18">
        <v>25</v>
      </c>
      <c r="D28" s="19" t="s">
        <v>102</v>
      </c>
      <c r="E28" s="19"/>
      <c r="F28" s="19" t="s">
        <v>188</v>
      </c>
      <c r="G28" s="18"/>
      <c r="H28" s="18"/>
      <c r="I28" s="18"/>
      <c r="J28" s="18"/>
      <c r="K28" s="18"/>
    </row>
    <row r="29" spans="1:11" ht="13.9" x14ac:dyDescent="0.25">
      <c r="A29" s="18">
        <v>1991</v>
      </c>
      <c r="B29" s="18" t="s">
        <v>23</v>
      </c>
      <c r="C29" s="18">
        <v>26</v>
      </c>
      <c r="D29" s="19" t="s">
        <v>102</v>
      </c>
      <c r="E29" s="19"/>
      <c r="F29" s="19" t="s">
        <v>188</v>
      </c>
      <c r="G29" s="18"/>
      <c r="H29" s="18"/>
      <c r="I29" s="18"/>
      <c r="J29" s="18"/>
      <c r="K29" s="18"/>
    </row>
    <row r="30" spans="1:11" ht="13.9" x14ac:dyDescent="0.25">
      <c r="A30" s="18">
        <v>1991</v>
      </c>
      <c r="B30" s="18" t="s">
        <v>23</v>
      </c>
      <c r="C30" s="18">
        <v>27</v>
      </c>
      <c r="D30" s="19" t="s">
        <v>102</v>
      </c>
      <c r="E30" s="19"/>
      <c r="F30" s="19" t="s">
        <v>188</v>
      </c>
      <c r="G30" s="18"/>
      <c r="H30" s="18"/>
      <c r="I30" s="18"/>
      <c r="J30" s="18"/>
      <c r="K30" s="18"/>
    </row>
    <row r="31" spans="1:11" ht="13.9" x14ac:dyDescent="0.25">
      <c r="A31" s="18">
        <v>1991</v>
      </c>
      <c r="B31" s="18" t="s">
        <v>23</v>
      </c>
      <c r="C31" s="18">
        <v>28</v>
      </c>
      <c r="D31" s="19" t="s">
        <v>102</v>
      </c>
      <c r="E31" s="19"/>
      <c r="F31" s="19" t="s">
        <v>188</v>
      </c>
      <c r="G31" s="18"/>
      <c r="H31" s="18"/>
      <c r="I31" s="18"/>
      <c r="J31" s="18"/>
      <c r="K31" s="18"/>
    </row>
    <row r="32" spans="1:11" ht="13.9" x14ac:dyDescent="0.25">
      <c r="A32" s="18">
        <v>1991</v>
      </c>
      <c r="B32" s="18" t="s">
        <v>23</v>
      </c>
      <c r="C32" s="18">
        <v>29</v>
      </c>
      <c r="D32" s="19" t="s">
        <v>102</v>
      </c>
      <c r="E32" s="19"/>
      <c r="F32" s="19" t="s">
        <v>188</v>
      </c>
      <c r="G32" s="18"/>
      <c r="H32" s="18"/>
      <c r="I32" s="18"/>
      <c r="J32" s="18"/>
      <c r="K32" s="18"/>
    </row>
    <row r="33" spans="1:11" ht="13.9" x14ac:dyDescent="0.25">
      <c r="A33" s="18">
        <v>1991</v>
      </c>
      <c r="B33" s="18" t="s">
        <v>23</v>
      </c>
      <c r="C33" s="18">
        <v>30</v>
      </c>
      <c r="D33" s="19" t="s">
        <v>102</v>
      </c>
      <c r="E33" s="19"/>
      <c r="F33" s="19" t="s">
        <v>188</v>
      </c>
      <c r="G33" s="18"/>
      <c r="H33" s="18"/>
      <c r="I33" s="18"/>
      <c r="J33" s="18"/>
      <c r="K33" s="18"/>
    </row>
    <row r="34" spans="1:11" ht="13.9" x14ac:dyDescent="0.25">
      <c r="A34" s="18">
        <v>1991</v>
      </c>
      <c r="B34" s="18" t="s">
        <v>23</v>
      </c>
      <c r="C34" s="18">
        <v>31</v>
      </c>
      <c r="D34" s="19" t="s">
        <v>102</v>
      </c>
      <c r="E34" s="19"/>
      <c r="F34" s="19" t="s">
        <v>188</v>
      </c>
      <c r="G34" s="18"/>
      <c r="H34" s="18"/>
      <c r="I34" s="18"/>
      <c r="J34" s="18"/>
      <c r="K34" s="18"/>
    </row>
    <row r="35" spans="1:11" ht="13.9" x14ac:dyDescent="0.25">
      <c r="A35" s="18">
        <v>1991</v>
      </c>
      <c r="B35" s="20" t="s">
        <v>24</v>
      </c>
      <c r="C35" s="20">
        <v>1</v>
      </c>
      <c r="D35" s="19" t="s">
        <v>102</v>
      </c>
      <c r="E35" s="19"/>
      <c r="F35" s="19" t="s">
        <v>188</v>
      </c>
      <c r="G35" s="18"/>
      <c r="H35" s="18"/>
      <c r="I35" s="18"/>
      <c r="J35" s="18"/>
      <c r="K35" s="18"/>
    </row>
    <row r="36" spans="1:11" ht="13.9" x14ac:dyDescent="0.25">
      <c r="A36" s="18">
        <v>1991</v>
      </c>
      <c r="B36" s="20" t="s">
        <v>24</v>
      </c>
      <c r="C36" s="20">
        <v>2</v>
      </c>
      <c r="D36" s="19" t="s">
        <v>102</v>
      </c>
      <c r="E36" s="19"/>
      <c r="F36" s="19" t="s">
        <v>188</v>
      </c>
      <c r="G36" s="18"/>
      <c r="H36" s="18"/>
      <c r="I36" s="18"/>
      <c r="J36" s="18"/>
      <c r="K36" s="18"/>
    </row>
    <row r="37" spans="1:11" ht="13.9" x14ac:dyDescent="0.25">
      <c r="A37" s="18">
        <v>1991</v>
      </c>
      <c r="B37" s="20" t="s">
        <v>24</v>
      </c>
      <c r="C37" s="20">
        <v>3</v>
      </c>
      <c r="D37" s="19" t="s">
        <v>102</v>
      </c>
      <c r="E37" s="19"/>
      <c r="F37" s="19" t="s">
        <v>188</v>
      </c>
      <c r="G37" s="18"/>
      <c r="H37" s="18"/>
      <c r="I37" s="18"/>
      <c r="J37" s="18"/>
      <c r="K37" s="18"/>
    </row>
    <row r="38" spans="1:11" ht="13.9" x14ac:dyDescent="0.25">
      <c r="A38" s="18">
        <v>1991</v>
      </c>
      <c r="B38" s="20" t="s">
        <v>24</v>
      </c>
      <c r="C38" s="20">
        <v>4</v>
      </c>
      <c r="D38" s="19" t="s">
        <v>102</v>
      </c>
      <c r="E38" s="19"/>
      <c r="F38" s="19" t="s">
        <v>188</v>
      </c>
      <c r="G38" s="18"/>
      <c r="H38" s="18"/>
      <c r="I38" s="18"/>
      <c r="J38" s="18"/>
      <c r="K38" s="18"/>
    </row>
    <row r="39" spans="1:11" ht="13.9" x14ac:dyDescent="0.25">
      <c r="A39" s="18">
        <v>1991</v>
      </c>
      <c r="B39" s="20" t="s">
        <v>24</v>
      </c>
      <c r="C39" s="20">
        <v>5</v>
      </c>
      <c r="D39" s="19" t="s">
        <v>186</v>
      </c>
      <c r="E39" s="19"/>
      <c r="F39" s="19" t="s">
        <v>187</v>
      </c>
      <c r="G39" s="18"/>
      <c r="H39" s="18"/>
      <c r="I39" s="18"/>
      <c r="J39" s="18"/>
      <c r="K39" s="18"/>
    </row>
    <row r="40" spans="1:11" ht="13.9" x14ac:dyDescent="0.25">
      <c r="A40" s="18">
        <v>1991</v>
      </c>
      <c r="B40" s="20" t="s">
        <v>24</v>
      </c>
      <c r="C40" s="20">
        <v>6</v>
      </c>
      <c r="D40" s="19" t="s">
        <v>186</v>
      </c>
      <c r="E40" s="19"/>
      <c r="F40" s="19" t="s">
        <v>187</v>
      </c>
      <c r="G40" s="18"/>
      <c r="H40" s="18"/>
      <c r="I40" s="18"/>
      <c r="J40" s="18"/>
      <c r="K40" s="18"/>
    </row>
    <row r="41" spans="1:11" ht="13.9" x14ac:dyDescent="0.25">
      <c r="A41" s="18">
        <v>1991</v>
      </c>
      <c r="B41" s="20" t="s">
        <v>24</v>
      </c>
      <c r="C41" s="20">
        <v>7</v>
      </c>
      <c r="D41" s="19" t="s">
        <v>112</v>
      </c>
      <c r="E41" s="19"/>
      <c r="F41" s="19" t="s">
        <v>185</v>
      </c>
      <c r="G41" s="18"/>
      <c r="H41" s="18"/>
      <c r="I41" s="18"/>
      <c r="J41" s="18"/>
      <c r="K41" s="18"/>
    </row>
    <row r="42" spans="1:11" ht="13.9" x14ac:dyDescent="0.25">
      <c r="A42" s="18">
        <v>1991</v>
      </c>
      <c r="B42" s="20" t="s">
        <v>24</v>
      </c>
      <c r="C42" s="20">
        <v>8</v>
      </c>
      <c r="D42" s="19" t="s">
        <v>112</v>
      </c>
      <c r="E42" s="19"/>
      <c r="F42" s="19" t="s">
        <v>185</v>
      </c>
      <c r="G42" s="18"/>
      <c r="H42" s="18"/>
      <c r="I42" s="18"/>
      <c r="J42" s="18"/>
      <c r="K42" s="18"/>
    </row>
    <row r="43" spans="1:11" ht="13.9" x14ac:dyDescent="0.25">
      <c r="A43" s="18">
        <v>1991</v>
      </c>
      <c r="B43" s="20" t="s">
        <v>24</v>
      </c>
      <c r="C43" s="20">
        <v>9</v>
      </c>
      <c r="D43" s="19" t="s">
        <v>112</v>
      </c>
      <c r="E43" s="19"/>
      <c r="F43" s="19" t="s">
        <v>185</v>
      </c>
      <c r="G43" s="18"/>
      <c r="H43" s="18"/>
      <c r="I43" s="18"/>
      <c r="J43" s="18"/>
      <c r="K43" s="18"/>
    </row>
    <row r="44" spans="1:11" ht="13.9" x14ac:dyDescent="0.25">
      <c r="A44" s="18">
        <v>1991</v>
      </c>
      <c r="B44" s="20" t="s">
        <v>24</v>
      </c>
      <c r="C44" s="20">
        <v>10</v>
      </c>
      <c r="D44" s="19" t="s">
        <v>112</v>
      </c>
      <c r="E44" s="19"/>
      <c r="F44" s="19" t="s">
        <v>185</v>
      </c>
      <c r="G44" s="18"/>
      <c r="H44" s="18"/>
      <c r="I44" s="18"/>
      <c r="J44" s="18"/>
      <c r="K44" s="18"/>
    </row>
    <row r="45" spans="1:11" ht="13.9" x14ac:dyDescent="0.25">
      <c r="A45" s="18">
        <v>1991</v>
      </c>
      <c r="B45" s="20" t="s">
        <v>24</v>
      </c>
      <c r="C45" s="20">
        <v>11</v>
      </c>
      <c r="D45" s="19" t="s">
        <v>104</v>
      </c>
      <c r="E45" s="19"/>
      <c r="F45" s="19" t="s">
        <v>189</v>
      </c>
      <c r="G45" s="18"/>
      <c r="H45" s="18"/>
      <c r="I45" s="18"/>
      <c r="J45" s="18"/>
      <c r="K45" s="18"/>
    </row>
    <row r="46" spans="1:11" ht="13.9" x14ac:dyDescent="0.25">
      <c r="A46" s="18">
        <v>1991</v>
      </c>
      <c r="B46" s="20" t="s">
        <v>24</v>
      </c>
      <c r="C46" s="20">
        <v>12</v>
      </c>
      <c r="D46" s="19" t="s">
        <v>104</v>
      </c>
      <c r="E46" s="19"/>
      <c r="F46" s="19" t="s">
        <v>189</v>
      </c>
      <c r="G46" s="18"/>
      <c r="H46" s="18"/>
      <c r="I46" s="18"/>
      <c r="J46" s="18"/>
      <c r="K46" s="18"/>
    </row>
    <row r="47" spans="1:11" ht="13.9" x14ac:dyDescent="0.25">
      <c r="A47" s="18">
        <v>1991</v>
      </c>
      <c r="B47" s="20" t="s">
        <v>24</v>
      </c>
      <c r="C47" s="20">
        <v>13</v>
      </c>
      <c r="D47" s="19" t="s">
        <v>104</v>
      </c>
      <c r="E47" s="19"/>
      <c r="F47" s="19" t="s">
        <v>189</v>
      </c>
      <c r="G47" s="18"/>
      <c r="H47" s="18"/>
      <c r="I47" s="18"/>
      <c r="J47" s="18"/>
      <c r="K47" s="18"/>
    </row>
    <row r="48" spans="1:11" ht="13.9" x14ac:dyDescent="0.25">
      <c r="A48" s="18">
        <v>1991</v>
      </c>
      <c r="B48" s="20" t="s">
        <v>24</v>
      </c>
      <c r="C48" s="20">
        <v>14</v>
      </c>
      <c r="D48" s="19" t="s">
        <v>104</v>
      </c>
      <c r="E48" s="19"/>
      <c r="F48" s="19" t="s">
        <v>189</v>
      </c>
      <c r="G48" s="18"/>
      <c r="H48" s="18"/>
      <c r="I48" s="18"/>
      <c r="J48" s="18"/>
      <c r="K48" s="18"/>
    </row>
    <row r="49" spans="1:11" ht="13.9" x14ac:dyDescent="0.25">
      <c r="A49" s="18">
        <v>1991</v>
      </c>
      <c r="B49" s="20" t="s">
        <v>24</v>
      </c>
      <c r="C49" s="20">
        <v>15</v>
      </c>
      <c r="D49" s="19" t="s">
        <v>3</v>
      </c>
      <c r="E49" s="19"/>
      <c r="F49" s="19" t="s">
        <v>184</v>
      </c>
      <c r="G49" s="18"/>
      <c r="H49" s="18"/>
      <c r="I49" s="18"/>
      <c r="J49" s="18"/>
      <c r="K49" s="18"/>
    </row>
    <row r="50" spans="1:11" ht="13.9" x14ac:dyDescent="0.25">
      <c r="A50" s="18">
        <v>1991</v>
      </c>
      <c r="B50" s="20" t="s">
        <v>24</v>
      </c>
      <c r="C50" s="20">
        <v>16</v>
      </c>
      <c r="D50" s="19" t="s">
        <v>1</v>
      </c>
      <c r="E50" s="19"/>
      <c r="F50" s="19" t="s">
        <v>111</v>
      </c>
      <c r="G50" s="18"/>
      <c r="H50" s="18"/>
      <c r="I50" s="18"/>
      <c r="J50" s="18"/>
      <c r="K50" s="18"/>
    </row>
    <row r="51" spans="1:11" ht="13.9" x14ac:dyDescent="0.25">
      <c r="A51" s="18">
        <v>1991</v>
      </c>
      <c r="B51" s="20" t="s">
        <v>24</v>
      </c>
      <c r="C51" s="20">
        <v>17</v>
      </c>
      <c r="D51" s="19" t="s">
        <v>106</v>
      </c>
      <c r="E51" s="19"/>
      <c r="F51" s="19" t="s">
        <v>190</v>
      </c>
      <c r="G51" s="18"/>
      <c r="H51" s="18"/>
      <c r="I51" s="18"/>
      <c r="J51" s="18"/>
      <c r="K51" s="18"/>
    </row>
    <row r="52" spans="1:11" ht="13.9" x14ac:dyDescent="0.25">
      <c r="A52" s="18">
        <v>1991</v>
      </c>
      <c r="B52" s="20" t="s">
        <v>24</v>
      </c>
      <c r="C52" s="20">
        <v>18</v>
      </c>
      <c r="D52" s="19" t="s">
        <v>110</v>
      </c>
      <c r="E52" s="19"/>
      <c r="F52" s="19" t="s">
        <v>191</v>
      </c>
      <c r="G52" s="18"/>
      <c r="H52" s="18"/>
      <c r="I52" s="18"/>
      <c r="J52" s="18"/>
      <c r="K52" s="18"/>
    </row>
    <row r="53" spans="1:11" ht="13.9" x14ac:dyDescent="0.25">
      <c r="A53" s="18">
        <v>1991</v>
      </c>
      <c r="B53" s="20" t="s">
        <v>24</v>
      </c>
      <c r="C53" s="20">
        <v>19</v>
      </c>
      <c r="D53" s="19" t="s">
        <v>110</v>
      </c>
      <c r="E53" s="19"/>
      <c r="F53" s="19" t="s">
        <v>191</v>
      </c>
      <c r="G53" s="18"/>
      <c r="H53" s="18"/>
      <c r="I53" s="18"/>
      <c r="J53" s="18"/>
      <c r="K53" s="18"/>
    </row>
    <row r="54" spans="1:11" ht="13.9" x14ac:dyDescent="0.25">
      <c r="A54" s="18">
        <v>1991</v>
      </c>
      <c r="B54" s="20" t="s">
        <v>24</v>
      </c>
      <c r="C54" s="20">
        <v>20</v>
      </c>
      <c r="D54" s="19" t="s">
        <v>108</v>
      </c>
      <c r="E54" s="19"/>
      <c r="F54" s="19" t="s">
        <v>121</v>
      </c>
      <c r="G54" s="18"/>
      <c r="H54" s="18"/>
      <c r="I54" s="18"/>
      <c r="J54" s="18"/>
      <c r="K54" s="18"/>
    </row>
    <row r="55" spans="1:11" ht="13.9" x14ac:dyDescent="0.25">
      <c r="A55" s="18">
        <v>1991</v>
      </c>
      <c r="B55" s="20" t="s">
        <v>24</v>
      </c>
      <c r="C55" s="20">
        <v>21</v>
      </c>
      <c r="D55" s="19" t="s">
        <v>192</v>
      </c>
      <c r="E55" s="19"/>
      <c r="F55" s="19" t="s">
        <v>193</v>
      </c>
      <c r="G55" s="18"/>
      <c r="H55" s="18"/>
      <c r="I55" s="18"/>
      <c r="J55" s="18"/>
      <c r="K55" s="18"/>
    </row>
    <row r="56" spans="1:11" ht="13.9" x14ac:dyDescent="0.25">
      <c r="A56" s="18">
        <v>1991</v>
      </c>
      <c r="B56" s="20" t="s">
        <v>24</v>
      </c>
      <c r="C56" s="20">
        <v>22</v>
      </c>
      <c r="D56" s="19" t="s">
        <v>194</v>
      </c>
      <c r="E56" s="19"/>
      <c r="F56" s="19" t="s">
        <v>195</v>
      </c>
      <c r="G56" s="18"/>
      <c r="H56" s="18"/>
      <c r="I56" s="18"/>
      <c r="J56" s="18"/>
      <c r="K56" s="18"/>
    </row>
    <row r="57" spans="1:11" ht="13.9" x14ac:dyDescent="0.25">
      <c r="A57" s="18">
        <v>1991</v>
      </c>
      <c r="B57" s="20" t="s">
        <v>24</v>
      </c>
      <c r="C57" s="20">
        <v>23</v>
      </c>
      <c r="D57" s="19" t="s">
        <v>178</v>
      </c>
      <c r="E57" s="19"/>
      <c r="F57" s="19" t="s">
        <v>181</v>
      </c>
      <c r="G57" s="18"/>
      <c r="H57" s="18"/>
      <c r="I57" s="18"/>
      <c r="J57" s="18"/>
      <c r="K57" s="18"/>
    </row>
    <row r="58" spans="1:11" ht="13.9" x14ac:dyDescent="0.25">
      <c r="A58" s="18">
        <v>1991</v>
      </c>
      <c r="B58" s="20" t="s">
        <v>24</v>
      </c>
      <c r="C58" s="20">
        <v>24</v>
      </c>
      <c r="D58" s="19" t="s">
        <v>196</v>
      </c>
      <c r="E58" s="19"/>
      <c r="F58" s="19" t="s">
        <v>197</v>
      </c>
      <c r="G58" s="18"/>
      <c r="H58" s="18"/>
      <c r="I58" s="18"/>
      <c r="J58" s="18"/>
      <c r="K58" s="18"/>
    </row>
    <row r="59" spans="1:11" ht="13.9" x14ac:dyDescent="0.25">
      <c r="A59" s="18">
        <v>1991</v>
      </c>
      <c r="B59" s="20" t="s">
        <v>24</v>
      </c>
      <c r="C59" s="20">
        <v>25</v>
      </c>
      <c r="D59" s="19" t="s">
        <v>178</v>
      </c>
      <c r="E59" s="19"/>
      <c r="F59" s="19" t="s">
        <v>198</v>
      </c>
      <c r="G59" s="18"/>
      <c r="H59" s="18"/>
      <c r="I59" s="18"/>
      <c r="J59" s="18"/>
      <c r="K59" s="18"/>
    </row>
    <row r="60" spans="1:11" ht="13.9" x14ac:dyDescent="0.25">
      <c r="A60" s="18">
        <v>1991</v>
      </c>
      <c r="B60" s="20" t="s">
        <v>24</v>
      </c>
      <c r="C60" s="20">
        <v>26</v>
      </c>
      <c r="D60" s="19" t="s">
        <v>199</v>
      </c>
      <c r="E60" s="19"/>
      <c r="F60" s="19" t="s">
        <v>200</v>
      </c>
      <c r="G60" s="18"/>
      <c r="H60" s="18"/>
      <c r="I60" s="18"/>
      <c r="J60" s="18"/>
      <c r="K60" s="18"/>
    </row>
    <row r="61" spans="1:11" ht="13.9" x14ac:dyDescent="0.25">
      <c r="A61" s="18">
        <v>1991</v>
      </c>
      <c r="B61" s="20" t="s">
        <v>24</v>
      </c>
      <c r="C61" s="20">
        <v>27</v>
      </c>
      <c r="D61" s="19" t="s">
        <v>199</v>
      </c>
      <c r="E61" s="19"/>
      <c r="F61" s="19" t="s">
        <v>200</v>
      </c>
      <c r="G61" s="18"/>
      <c r="H61" s="18"/>
      <c r="I61" s="18"/>
      <c r="J61" s="18"/>
      <c r="K61" s="18"/>
    </row>
    <row r="62" spans="1:11" ht="13.9" x14ac:dyDescent="0.25">
      <c r="A62" s="18">
        <v>1991</v>
      </c>
      <c r="B62" s="20" t="s">
        <v>24</v>
      </c>
      <c r="C62" s="20">
        <v>28</v>
      </c>
      <c r="D62" s="19" t="s">
        <v>199</v>
      </c>
      <c r="E62" s="19"/>
      <c r="F62" s="19" t="s">
        <v>200</v>
      </c>
      <c r="G62" s="18"/>
      <c r="H62" s="18"/>
      <c r="I62" s="18"/>
      <c r="J62" s="18"/>
      <c r="K62" s="18"/>
    </row>
    <row r="63" spans="1:11" ht="13.9" x14ac:dyDescent="0.25">
      <c r="A63" s="18">
        <v>1991</v>
      </c>
      <c r="B63" s="20" t="s">
        <v>24</v>
      </c>
      <c r="C63" s="20">
        <v>29</v>
      </c>
      <c r="D63" s="18"/>
      <c r="E63" s="18"/>
      <c r="F63" s="18"/>
      <c r="G63" s="18"/>
      <c r="H63" s="18"/>
      <c r="I63" s="18"/>
      <c r="J63" s="18"/>
      <c r="K63" s="18"/>
    </row>
    <row r="64" spans="1:11" ht="13.9" x14ac:dyDescent="0.25">
      <c r="A64" s="18">
        <v>1991</v>
      </c>
      <c r="B64" s="20" t="s">
        <v>25</v>
      </c>
      <c r="C64" s="20">
        <v>1</v>
      </c>
      <c r="D64" s="19" t="s">
        <v>201</v>
      </c>
      <c r="E64" s="19"/>
      <c r="F64" s="19" t="s">
        <v>202</v>
      </c>
      <c r="G64" s="18"/>
      <c r="H64" s="18"/>
      <c r="I64" s="18"/>
      <c r="J64" s="18"/>
      <c r="K64" s="18"/>
    </row>
    <row r="65" spans="1:11" ht="13.9" x14ac:dyDescent="0.25">
      <c r="A65" s="18">
        <v>1991</v>
      </c>
      <c r="B65" s="20" t="s">
        <v>25</v>
      </c>
      <c r="C65" s="20">
        <v>2</v>
      </c>
      <c r="D65" s="19" t="s">
        <v>201</v>
      </c>
      <c r="E65" s="19"/>
      <c r="F65" s="19" t="s">
        <v>202</v>
      </c>
      <c r="G65" s="18"/>
      <c r="H65" s="18"/>
      <c r="I65" s="18"/>
      <c r="J65" s="18"/>
      <c r="K65" s="18"/>
    </row>
    <row r="66" spans="1:11" ht="13.9" x14ac:dyDescent="0.25">
      <c r="A66" s="18">
        <v>1991</v>
      </c>
      <c r="B66" s="20" t="s">
        <v>25</v>
      </c>
      <c r="C66" s="20">
        <v>3</v>
      </c>
      <c r="D66" s="19" t="s">
        <v>199</v>
      </c>
      <c r="E66" s="19"/>
      <c r="F66" s="19" t="s">
        <v>200</v>
      </c>
      <c r="G66" s="18"/>
      <c r="H66" s="18"/>
      <c r="I66" s="18"/>
      <c r="J66" s="18"/>
      <c r="K66" s="18"/>
    </row>
    <row r="67" spans="1:11" ht="13.9" x14ac:dyDescent="0.25">
      <c r="A67" s="18">
        <v>1991</v>
      </c>
      <c r="B67" s="20" t="s">
        <v>25</v>
      </c>
      <c r="C67" s="20">
        <v>4</v>
      </c>
      <c r="D67" s="19" t="s">
        <v>199</v>
      </c>
      <c r="E67" s="19"/>
      <c r="F67" s="19" t="s">
        <v>200</v>
      </c>
      <c r="G67" s="18"/>
      <c r="H67" s="18"/>
      <c r="I67" s="18"/>
      <c r="J67" s="18"/>
      <c r="K67" s="18"/>
    </row>
    <row r="68" spans="1:11" ht="13.9" x14ac:dyDescent="0.25">
      <c r="A68" s="18">
        <v>1991</v>
      </c>
      <c r="B68" s="20" t="s">
        <v>25</v>
      </c>
      <c r="C68" s="20">
        <v>5</v>
      </c>
      <c r="D68" s="19" t="s">
        <v>199</v>
      </c>
      <c r="E68" s="19"/>
      <c r="F68" s="19" t="s">
        <v>200</v>
      </c>
      <c r="G68" s="18"/>
      <c r="H68" s="18"/>
      <c r="I68" s="18"/>
      <c r="J68" s="18"/>
      <c r="K68" s="18"/>
    </row>
    <row r="69" spans="1:11" ht="13.9" x14ac:dyDescent="0.25">
      <c r="A69" s="18">
        <v>1991</v>
      </c>
      <c r="B69" s="20" t="s">
        <v>25</v>
      </c>
      <c r="C69" s="20">
        <v>6</v>
      </c>
      <c r="D69" s="19" t="s">
        <v>201</v>
      </c>
      <c r="E69" s="19"/>
      <c r="F69" s="19" t="s">
        <v>202</v>
      </c>
      <c r="G69" s="18"/>
      <c r="H69" s="18"/>
      <c r="I69" s="18"/>
      <c r="J69" s="18"/>
      <c r="K69" s="18"/>
    </row>
    <row r="70" spans="1:11" ht="13.9" x14ac:dyDescent="0.25">
      <c r="A70" s="18">
        <v>1991</v>
      </c>
      <c r="B70" s="20" t="s">
        <v>25</v>
      </c>
      <c r="C70" s="20">
        <v>7</v>
      </c>
      <c r="D70" s="19" t="s">
        <v>201</v>
      </c>
      <c r="E70" s="19"/>
      <c r="F70" s="19" t="s">
        <v>202</v>
      </c>
      <c r="G70" s="18"/>
      <c r="H70" s="18"/>
      <c r="I70" s="18"/>
      <c r="J70" s="18"/>
      <c r="K70" s="18"/>
    </row>
    <row r="71" spans="1:11" ht="13.9" x14ac:dyDescent="0.25">
      <c r="A71" s="18">
        <v>1991</v>
      </c>
      <c r="B71" s="20" t="s">
        <v>25</v>
      </c>
      <c r="C71" s="20">
        <v>8</v>
      </c>
      <c r="D71" s="19" t="s">
        <v>201</v>
      </c>
      <c r="E71" s="19"/>
      <c r="F71" s="19" t="s">
        <v>202</v>
      </c>
      <c r="G71" s="18"/>
      <c r="H71" s="18"/>
      <c r="I71" s="18"/>
      <c r="J71" s="18"/>
      <c r="K71" s="18"/>
    </row>
    <row r="72" spans="1:11" ht="13.9" x14ac:dyDescent="0.25">
      <c r="A72" s="18">
        <v>1991</v>
      </c>
      <c r="B72" s="20" t="s">
        <v>25</v>
      </c>
      <c r="C72" s="20">
        <v>9</v>
      </c>
      <c r="D72" s="19" t="s">
        <v>201</v>
      </c>
      <c r="E72" s="19"/>
      <c r="F72" s="19" t="s">
        <v>202</v>
      </c>
      <c r="G72" s="18"/>
      <c r="H72" s="18"/>
      <c r="I72" s="18"/>
      <c r="J72" s="18"/>
      <c r="K72" s="18"/>
    </row>
    <row r="73" spans="1:11" ht="13.9" x14ac:dyDescent="0.25">
      <c r="A73" s="18">
        <v>1991</v>
      </c>
      <c r="B73" s="20" t="s">
        <v>25</v>
      </c>
      <c r="C73" s="20">
        <v>10</v>
      </c>
      <c r="D73" s="19" t="s">
        <v>203</v>
      </c>
      <c r="E73" s="19"/>
      <c r="F73" s="19" t="s">
        <v>204</v>
      </c>
      <c r="G73" s="18"/>
      <c r="H73" s="18"/>
      <c r="I73" s="18"/>
      <c r="J73" s="18"/>
      <c r="K73" s="18"/>
    </row>
    <row r="74" spans="1:11" ht="13.9" x14ac:dyDescent="0.25">
      <c r="A74" s="18">
        <v>1991</v>
      </c>
      <c r="B74" s="20" t="s">
        <v>25</v>
      </c>
      <c r="C74" s="20">
        <v>11</v>
      </c>
      <c r="D74" s="19" t="s">
        <v>177</v>
      </c>
      <c r="E74" s="19"/>
      <c r="F74" s="19" t="s">
        <v>205</v>
      </c>
      <c r="G74" s="18"/>
      <c r="H74" s="18"/>
      <c r="I74" s="18"/>
      <c r="J74" s="18"/>
      <c r="K74" s="18"/>
    </row>
    <row r="75" spans="1:11" ht="13.9" x14ac:dyDescent="0.25">
      <c r="A75" s="18">
        <v>1991</v>
      </c>
      <c r="B75" s="20" t="s">
        <v>25</v>
      </c>
      <c r="C75" s="20">
        <v>12</v>
      </c>
      <c r="D75" s="19" t="s">
        <v>177</v>
      </c>
      <c r="E75" s="19"/>
      <c r="F75" s="19" t="s">
        <v>205</v>
      </c>
      <c r="G75" s="18"/>
      <c r="H75" s="18"/>
      <c r="I75" s="18"/>
      <c r="J75" s="18"/>
      <c r="K75" s="18"/>
    </row>
    <row r="76" spans="1:11" ht="13.9" x14ac:dyDescent="0.25">
      <c r="A76" s="18">
        <v>1991</v>
      </c>
      <c r="B76" s="20" t="s">
        <v>25</v>
      </c>
      <c r="C76" s="20">
        <v>13</v>
      </c>
      <c r="D76" s="19" t="s">
        <v>177</v>
      </c>
      <c r="E76" s="19"/>
      <c r="F76" s="19" t="s">
        <v>205</v>
      </c>
      <c r="G76" s="18"/>
      <c r="H76" s="18"/>
      <c r="I76" s="18"/>
      <c r="J76" s="18"/>
      <c r="K76" s="18"/>
    </row>
    <row r="77" spans="1:11" ht="13.9" x14ac:dyDescent="0.25">
      <c r="A77" s="18">
        <v>1991</v>
      </c>
      <c r="B77" s="20" t="s">
        <v>25</v>
      </c>
      <c r="C77" s="20">
        <v>14</v>
      </c>
      <c r="D77" s="19" t="s">
        <v>177</v>
      </c>
      <c r="E77" s="19"/>
      <c r="F77" s="19" t="s">
        <v>205</v>
      </c>
      <c r="G77" s="18"/>
      <c r="H77" s="18"/>
      <c r="I77" s="18"/>
      <c r="J77" s="18"/>
      <c r="K77" s="18"/>
    </row>
    <row r="78" spans="1:11" ht="13.9" x14ac:dyDescent="0.25">
      <c r="A78" s="18">
        <v>1991</v>
      </c>
      <c r="B78" s="20" t="s">
        <v>25</v>
      </c>
      <c r="C78" s="21">
        <v>15</v>
      </c>
      <c r="D78" s="22" t="s">
        <v>206</v>
      </c>
      <c r="E78" s="22"/>
      <c r="F78" s="19" t="s">
        <v>207</v>
      </c>
      <c r="G78" s="18"/>
      <c r="H78" s="18"/>
      <c r="I78" s="18"/>
      <c r="J78" s="18"/>
      <c r="K78" s="18"/>
    </row>
    <row r="79" spans="1:11" ht="13.9" x14ac:dyDescent="0.25">
      <c r="A79" s="18">
        <v>1991</v>
      </c>
      <c r="B79" s="20" t="s">
        <v>25</v>
      </c>
      <c r="C79" s="20">
        <v>16</v>
      </c>
      <c r="D79" s="22" t="s">
        <v>208</v>
      </c>
      <c r="E79" s="22"/>
      <c r="F79" s="19" t="s">
        <v>209</v>
      </c>
      <c r="G79" s="18"/>
      <c r="H79" s="18"/>
      <c r="I79" s="18"/>
      <c r="J79" s="18"/>
      <c r="K79" s="18"/>
    </row>
    <row r="80" spans="1:11" ht="13.9" x14ac:dyDescent="0.25">
      <c r="A80" s="18">
        <v>1991</v>
      </c>
      <c r="B80" s="20" t="s">
        <v>25</v>
      </c>
      <c r="C80" s="20">
        <v>17</v>
      </c>
      <c r="D80" s="22" t="s">
        <v>208</v>
      </c>
      <c r="E80" s="22"/>
      <c r="F80" s="19" t="s">
        <v>209</v>
      </c>
      <c r="G80" s="18"/>
      <c r="H80" s="18"/>
      <c r="I80" s="18"/>
      <c r="J80" s="18"/>
      <c r="K80" s="18"/>
    </row>
    <row r="81" spans="1:11" ht="13.9" x14ac:dyDescent="0.25">
      <c r="A81" s="18">
        <v>1991</v>
      </c>
      <c r="B81" s="20" t="s">
        <v>25</v>
      </c>
      <c r="C81" s="20">
        <v>18</v>
      </c>
      <c r="D81" s="22" t="s">
        <v>208</v>
      </c>
      <c r="E81" s="22"/>
      <c r="F81" s="19" t="s">
        <v>209</v>
      </c>
      <c r="G81" s="18"/>
      <c r="H81" s="18"/>
      <c r="I81" s="18"/>
      <c r="J81" s="18"/>
      <c r="K81" s="18"/>
    </row>
    <row r="82" spans="1:11" ht="13.9" x14ac:dyDescent="0.25">
      <c r="A82" s="18">
        <v>1991</v>
      </c>
      <c r="B82" s="20" t="s">
        <v>25</v>
      </c>
      <c r="C82" s="20">
        <v>19</v>
      </c>
      <c r="D82" s="22" t="s">
        <v>210</v>
      </c>
      <c r="E82" s="22"/>
      <c r="F82" s="19" t="s">
        <v>211</v>
      </c>
      <c r="G82" s="18"/>
      <c r="H82" s="18"/>
      <c r="I82" s="18"/>
      <c r="J82" s="18"/>
      <c r="K82" s="18"/>
    </row>
    <row r="83" spans="1:11" ht="13.9" x14ac:dyDescent="0.25">
      <c r="A83" s="18">
        <v>1991</v>
      </c>
      <c r="B83" s="20" t="s">
        <v>25</v>
      </c>
      <c r="C83" s="20">
        <v>20</v>
      </c>
      <c r="D83" s="22" t="s">
        <v>212</v>
      </c>
      <c r="E83" s="22"/>
      <c r="F83" s="22" t="s">
        <v>176</v>
      </c>
      <c r="G83" s="18"/>
      <c r="H83" s="18"/>
      <c r="I83" s="18"/>
      <c r="J83" s="18"/>
      <c r="K83" s="18"/>
    </row>
    <row r="84" spans="1:11" ht="13.9" x14ac:dyDescent="0.25">
      <c r="A84" s="18">
        <v>1991</v>
      </c>
      <c r="B84" s="20" t="s">
        <v>25</v>
      </c>
      <c r="C84" s="20">
        <v>21</v>
      </c>
      <c r="D84" s="22" t="s">
        <v>175</v>
      </c>
      <c r="E84" s="22"/>
      <c r="F84" s="22" t="s">
        <v>213</v>
      </c>
      <c r="G84" s="18"/>
      <c r="H84" s="18"/>
      <c r="I84" s="18"/>
      <c r="J84" s="18"/>
      <c r="K84" s="18"/>
    </row>
    <row r="85" spans="1:11" ht="13.9" x14ac:dyDescent="0.25">
      <c r="A85" s="18">
        <v>1991</v>
      </c>
      <c r="B85" s="20" t="s">
        <v>25</v>
      </c>
      <c r="C85" s="20">
        <v>22</v>
      </c>
      <c r="D85" s="22" t="s">
        <v>175</v>
      </c>
      <c r="E85" s="22"/>
      <c r="F85" s="23" t="s">
        <v>213</v>
      </c>
      <c r="G85" s="18"/>
      <c r="H85" s="18"/>
      <c r="I85" s="18"/>
      <c r="J85" s="18"/>
      <c r="K85" s="18"/>
    </row>
    <row r="86" spans="1:11" ht="13.9" x14ac:dyDescent="0.25">
      <c r="A86" s="18">
        <v>1991</v>
      </c>
      <c r="B86" s="20" t="s">
        <v>25</v>
      </c>
      <c r="C86" s="20">
        <v>23</v>
      </c>
      <c r="D86" s="22" t="s">
        <v>214</v>
      </c>
      <c r="E86" s="22"/>
      <c r="F86" s="23" t="s">
        <v>215</v>
      </c>
      <c r="G86" s="18"/>
      <c r="H86" s="18"/>
      <c r="I86" s="18"/>
      <c r="J86" s="18"/>
      <c r="K86" s="18"/>
    </row>
    <row r="87" spans="1:11" ht="13.9" x14ac:dyDescent="0.25">
      <c r="A87" s="18">
        <v>1991</v>
      </c>
      <c r="B87" s="20" t="s">
        <v>25</v>
      </c>
      <c r="C87" s="20">
        <v>24</v>
      </c>
      <c r="D87" s="22" t="s">
        <v>122</v>
      </c>
      <c r="E87" s="22"/>
      <c r="F87" s="22" t="s">
        <v>122</v>
      </c>
      <c r="G87" s="18"/>
      <c r="H87" s="18"/>
      <c r="I87" s="18"/>
      <c r="J87" s="18"/>
      <c r="K87" s="18"/>
    </row>
    <row r="88" spans="1:11" ht="13.9" x14ac:dyDescent="0.25">
      <c r="A88" s="18">
        <v>1991</v>
      </c>
      <c r="B88" s="20" t="s">
        <v>25</v>
      </c>
      <c r="C88" s="20">
        <v>25</v>
      </c>
      <c r="D88" s="22" t="s">
        <v>122</v>
      </c>
      <c r="E88" s="22"/>
      <c r="F88" s="22" t="s">
        <v>122</v>
      </c>
      <c r="G88" s="18"/>
      <c r="H88" s="18"/>
      <c r="I88" s="18"/>
      <c r="J88" s="18"/>
      <c r="K88" s="18"/>
    </row>
    <row r="89" spans="1:11" ht="13.9" x14ac:dyDescent="0.25">
      <c r="A89" s="18">
        <v>1991</v>
      </c>
      <c r="B89" s="20" t="s">
        <v>25</v>
      </c>
      <c r="C89" s="20">
        <v>26</v>
      </c>
      <c r="D89" s="22" t="s">
        <v>122</v>
      </c>
      <c r="E89" s="22"/>
      <c r="F89" s="22" t="s">
        <v>122</v>
      </c>
      <c r="G89" s="18"/>
      <c r="H89" s="18"/>
      <c r="I89" s="18"/>
      <c r="J89" s="18"/>
      <c r="K89" s="18"/>
    </row>
    <row r="90" spans="1:11" ht="13.9" x14ac:dyDescent="0.25">
      <c r="A90" s="18">
        <v>1991</v>
      </c>
      <c r="B90" s="20" t="s">
        <v>25</v>
      </c>
      <c r="C90" s="20">
        <v>27</v>
      </c>
      <c r="D90" s="22" t="s">
        <v>122</v>
      </c>
      <c r="E90" s="22"/>
      <c r="F90" s="22" t="s">
        <v>122</v>
      </c>
      <c r="G90" s="18"/>
      <c r="H90" s="18"/>
      <c r="I90" s="18"/>
      <c r="J90" s="18"/>
      <c r="K90" s="18"/>
    </row>
    <row r="91" spans="1:11" ht="13.9" x14ac:dyDescent="0.25">
      <c r="A91" s="18">
        <v>1991</v>
      </c>
      <c r="B91" s="20" t="s">
        <v>25</v>
      </c>
      <c r="C91" s="20">
        <v>28</v>
      </c>
      <c r="D91" s="22" t="s">
        <v>175</v>
      </c>
      <c r="E91" s="22"/>
      <c r="F91" s="23" t="s">
        <v>213</v>
      </c>
      <c r="G91" s="18"/>
      <c r="H91" s="18"/>
      <c r="I91" s="18"/>
      <c r="J91" s="18"/>
      <c r="K91" s="18"/>
    </row>
    <row r="92" spans="1:11" ht="13.9" x14ac:dyDescent="0.25">
      <c r="A92" s="18">
        <v>1991</v>
      </c>
      <c r="B92" s="20" t="s">
        <v>25</v>
      </c>
      <c r="C92" s="20">
        <v>29</v>
      </c>
      <c r="D92" s="22" t="s">
        <v>175</v>
      </c>
      <c r="E92" s="22"/>
      <c r="F92" s="23" t="s">
        <v>213</v>
      </c>
      <c r="G92" s="18"/>
      <c r="H92" s="18"/>
      <c r="I92" s="18"/>
      <c r="J92" s="18"/>
      <c r="K92" s="18"/>
    </row>
    <row r="93" spans="1:11" ht="13.9" x14ac:dyDescent="0.25">
      <c r="A93" s="18">
        <v>1991</v>
      </c>
      <c r="B93" s="20" t="s">
        <v>25</v>
      </c>
      <c r="C93" s="20">
        <v>30</v>
      </c>
      <c r="D93" s="22" t="s">
        <v>175</v>
      </c>
      <c r="E93" s="22"/>
      <c r="F93" s="23" t="s">
        <v>213</v>
      </c>
      <c r="G93" s="18"/>
      <c r="H93" s="18"/>
      <c r="I93" s="18"/>
      <c r="J93" s="18"/>
      <c r="K93" s="18"/>
    </row>
    <row r="94" spans="1:11" ht="13.9" x14ac:dyDescent="0.25">
      <c r="A94" s="18">
        <v>1991</v>
      </c>
      <c r="B94" s="20" t="s">
        <v>25</v>
      </c>
      <c r="C94" s="20">
        <v>31</v>
      </c>
      <c r="D94" s="22" t="s">
        <v>122</v>
      </c>
      <c r="E94" s="22"/>
      <c r="F94" s="22" t="s">
        <v>122</v>
      </c>
      <c r="G94" s="18"/>
      <c r="H94" s="18"/>
      <c r="I94" s="18"/>
      <c r="J94" s="18"/>
      <c r="K94" s="18"/>
    </row>
    <row r="95" spans="1:11" ht="13.9" x14ac:dyDescent="0.25">
      <c r="A95" s="18">
        <v>1991</v>
      </c>
      <c r="B95" s="20" t="s">
        <v>26</v>
      </c>
      <c r="C95" s="20">
        <v>1</v>
      </c>
      <c r="D95" s="22" t="s">
        <v>173</v>
      </c>
      <c r="E95" s="22"/>
      <c r="F95" s="22" t="s">
        <v>216</v>
      </c>
      <c r="G95" s="18"/>
      <c r="H95" s="18"/>
      <c r="I95" s="18"/>
      <c r="J95" s="18"/>
      <c r="K95" s="18"/>
    </row>
    <row r="96" spans="1:11" ht="13.9" x14ac:dyDescent="0.25">
      <c r="A96" s="18">
        <v>1991</v>
      </c>
      <c r="B96" s="20" t="s">
        <v>26</v>
      </c>
      <c r="C96" s="20">
        <v>2</v>
      </c>
      <c r="D96" s="22" t="s">
        <v>173</v>
      </c>
      <c r="E96" s="22"/>
      <c r="F96" s="22" t="s">
        <v>216</v>
      </c>
      <c r="G96" s="18"/>
      <c r="H96" s="18"/>
      <c r="I96" s="18"/>
      <c r="J96" s="18"/>
      <c r="K96" s="18"/>
    </row>
    <row r="97" spans="1:11" ht="13.9" x14ac:dyDescent="0.25">
      <c r="A97" s="18">
        <v>1991</v>
      </c>
      <c r="B97" s="20" t="s">
        <v>26</v>
      </c>
      <c r="C97" s="20">
        <v>3</v>
      </c>
      <c r="D97" s="22" t="s">
        <v>173</v>
      </c>
      <c r="E97" s="22"/>
      <c r="F97" s="22" t="s">
        <v>216</v>
      </c>
      <c r="G97" s="18"/>
      <c r="H97" s="18"/>
      <c r="I97" s="18"/>
      <c r="J97" s="18"/>
      <c r="K97" s="18"/>
    </row>
    <row r="98" spans="1:11" ht="13.9" x14ac:dyDescent="0.25">
      <c r="A98" s="18">
        <v>1991</v>
      </c>
      <c r="B98" s="20" t="s">
        <v>26</v>
      </c>
      <c r="C98" s="20">
        <v>4</v>
      </c>
      <c r="D98" s="22" t="s">
        <v>173</v>
      </c>
      <c r="E98" s="22"/>
      <c r="F98" s="22" t="s">
        <v>216</v>
      </c>
      <c r="G98" s="18"/>
      <c r="H98" s="18"/>
      <c r="I98" s="18"/>
      <c r="J98" s="18"/>
      <c r="K98" s="18"/>
    </row>
    <row r="99" spans="1:11" ht="13.9" x14ac:dyDescent="0.25">
      <c r="A99" s="18">
        <v>1991</v>
      </c>
      <c r="B99" s="20" t="s">
        <v>26</v>
      </c>
      <c r="C99" s="20">
        <v>5</v>
      </c>
      <c r="D99" s="22" t="s">
        <v>171</v>
      </c>
      <c r="E99" s="22"/>
      <c r="F99" s="19" t="s">
        <v>217</v>
      </c>
      <c r="G99" s="18"/>
      <c r="H99" s="18"/>
      <c r="I99" s="18"/>
      <c r="J99" s="18"/>
      <c r="K99" s="18"/>
    </row>
    <row r="100" spans="1:11" ht="13.9" x14ac:dyDescent="0.25">
      <c r="A100" s="18">
        <v>1991</v>
      </c>
      <c r="B100" s="20" t="s">
        <v>26</v>
      </c>
      <c r="C100" s="20">
        <v>6</v>
      </c>
      <c r="D100" s="22" t="s">
        <v>171</v>
      </c>
      <c r="E100" s="22"/>
      <c r="F100" s="19" t="s">
        <v>217</v>
      </c>
      <c r="G100" s="18"/>
      <c r="H100" s="18"/>
      <c r="I100" s="18"/>
      <c r="J100" s="18"/>
      <c r="K100" s="18"/>
    </row>
    <row r="101" spans="1:11" ht="13.9" x14ac:dyDescent="0.25">
      <c r="A101" s="18">
        <v>1991</v>
      </c>
      <c r="B101" s="20" t="s">
        <v>26</v>
      </c>
      <c r="C101" s="20">
        <v>7</v>
      </c>
      <c r="D101" s="22" t="s">
        <v>171</v>
      </c>
      <c r="E101" s="22"/>
      <c r="F101" s="19" t="s">
        <v>217</v>
      </c>
      <c r="G101" s="18"/>
      <c r="H101" s="18"/>
      <c r="I101" s="18"/>
      <c r="J101" s="18"/>
      <c r="K101" s="18"/>
    </row>
    <row r="102" spans="1:11" ht="13.9" x14ac:dyDescent="0.25">
      <c r="A102" s="18">
        <v>1991</v>
      </c>
      <c r="B102" s="20" t="s">
        <v>26</v>
      </c>
      <c r="C102" s="20">
        <v>8</v>
      </c>
      <c r="D102" s="22" t="s">
        <v>175</v>
      </c>
      <c r="E102" s="22"/>
      <c r="F102" s="19" t="s">
        <v>172</v>
      </c>
      <c r="G102" s="18"/>
      <c r="H102" s="18"/>
      <c r="I102" s="18"/>
      <c r="J102" s="18"/>
      <c r="K102" s="18"/>
    </row>
    <row r="103" spans="1:11" ht="13.9" x14ac:dyDescent="0.25">
      <c r="A103" s="18">
        <v>1991</v>
      </c>
      <c r="B103" s="20" t="s">
        <v>26</v>
      </c>
      <c r="C103" s="20">
        <v>9</v>
      </c>
      <c r="D103" s="22" t="s">
        <v>175</v>
      </c>
      <c r="E103" s="22"/>
      <c r="F103" s="19" t="s">
        <v>172</v>
      </c>
      <c r="G103" s="18"/>
      <c r="H103" s="18"/>
      <c r="I103" s="18"/>
      <c r="J103" s="18"/>
      <c r="K103" s="18"/>
    </row>
    <row r="104" spans="1:11" ht="13.9" x14ac:dyDescent="0.25">
      <c r="A104" s="18">
        <v>1991</v>
      </c>
      <c r="B104" s="20" t="s">
        <v>26</v>
      </c>
      <c r="C104" s="20">
        <v>10</v>
      </c>
      <c r="D104" s="22" t="s">
        <v>175</v>
      </c>
      <c r="E104" s="22"/>
      <c r="F104" s="19" t="s">
        <v>172</v>
      </c>
      <c r="G104" s="18"/>
      <c r="H104" s="18"/>
      <c r="I104" s="18"/>
      <c r="J104" s="18"/>
      <c r="K104" s="18"/>
    </row>
    <row r="105" spans="1:11" ht="13.9" x14ac:dyDescent="0.25">
      <c r="A105" s="18">
        <v>1991</v>
      </c>
      <c r="B105" s="20" t="s">
        <v>26</v>
      </c>
      <c r="C105" s="20">
        <v>11</v>
      </c>
      <c r="D105" s="22" t="s">
        <v>218</v>
      </c>
      <c r="E105" s="22"/>
      <c r="F105" s="22" t="s">
        <v>172</v>
      </c>
      <c r="G105" s="18"/>
      <c r="H105" s="18"/>
      <c r="I105" s="18"/>
      <c r="J105" s="18"/>
      <c r="K105" s="18"/>
    </row>
    <row r="106" spans="1:11" ht="13.9" x14ac:dyDescent="0.25">
      <c r="A106" s="18">
        <v>1991</v>
      </c>
      <c r="B106" s="20" t="s">
        <v>26</v>
      </c>
      <c r="C106" s="20">
        <v>12</v>
      </c>
      <c r="D106" s="22" t="s">
        <v>173</v>
      </c>
      <c r="E106" s="22"/>
      <c r="F106" s="22" t="s">
        <v>216</v>
      </c>
      <c r="G106" s="18"/>
      <c r="H106" s="18"/>
      <c r="I106" s="18"/>
      <c r="J106" s="18"/>
      <c r="K106" s="18"/>
    </row>
    <row r="107" spans="1:11" ht="13.9" x14ac:dyDescent="0.25">
      <c r="A107" s="18">
        <v>1991</v>
      </c>
      <c r="B107" s="20" t="s">
        <v>26</v>
      </c>
      <c r="C107" s="20">
        <v>13</v>
      </c>
      <c r="D107" s="22" t="s">
        <v>173</v>
      </c>
      <c r="E107" s="22"/>
      <c r="F107" s="22" t="s">
        <v>216</v>
      </c>
      <c r="G107" s="18"/>
      <c r="H107" s="18"/>
      <c r="I107" s="18"/>
      <c r="J107" s="18"/>
      <c r="K107" s="18"/>
    </row>
    <row r="108" spans="1:11" ht="13.9" x14ac:dyDescent="0.25">
      <c r="A108" s="18">
        <v>1991</v>
      </c>
      <c r="B108" s="20" t="s">
        <v>26</v>
      </c>
      <c r="C108" s="20">
        <v>14</v>
      </c>
      <c r="D108" s="22" t="s">
        <v>173</v>
      </c>
      <c r="E108" s="22"/>
      <c r="F108" s="22" t="s">
        <v>216</v>
      </c>
      <c r="G108" s="18"/>
      <c r="H108" s="18"/>
      <c r="I108" s="18"/>
      <c r="J108" s="18"/>
      <c r="K108" s="18"/>
    </row>
    <row r="109" spans="1:11" ht="13.9" x14ac:dyDescent="0.25">
      <c r="A109" s="18">
        <v>1991</v>
      </c>
      <c r="B109" s="20" t="s">
        <v>26</v>
      </c>
      <c r="C109" s="20">
        <v>15</v>
      </c>
      <c r="D109" s="22" t="s">
        <v>171</v>
      </c>
      <c r="E109" s="22"/>
      <c r="F109" s="19" t="s">
        <v>217</v>
      </c>
      <c r="G109" s="18"/>
      <c r="H109" s="18"/>
      <c r="I109" s="18"/>
      <c r="J109" s="18"/>
      <c r="K109" s="18"/>
    </row>
    <row r="110" spans="1:11" ht="13.9" x14ac:dyDescent="0.25">
      <c r="A110" s="18">
        <v>1991</v>
      </c>
      <c r="B110" s="20" t="s">
        <v>26</v>
      </c>
      <c r="C110" s="20">
        <v>16</v>
      </c>
      <c r="D110" s="22" t="s">
        <v>171</v>
      </c>
      <c r="E110" s="22"/>
      <c r="F110" s="19" t="s">
        <v>217</v>
      </c>
      <c r="G110" s="18"/>
      <c r="H110" s="18"/>
      <c r="I110" s="18"/>
      <c r="J110" s="18"/>
      <c r="K110" s="18"/>
    </row>
    <row r="111" spans="1:11" ht="13.9" x14ac:dyDescent="0.25">
      <c r="A111" s="18">
        <v>1991</v>
      </c>
      <c r="B111" s="20" t="s">
        <v>26</v>
      </c>
      <c r="C111" s="20">
        <v>17</v>
      </c>
      <c r="D111" s="22" t="s">
        <v>171</v>
      </c>
      <c r="E111" s="22"/>
      <c r="F111" s="19" t="s">
        <v>217</v>
      </c>
      <c r="G111" s="18"/>
      <c r="H111" s="18"/>
      <c r="I111" s="18"/>
      <c r="J111" s="18"/>
      <c r="K111" s="18"/>
    </row>
    <row r="112" spans="1:11" ht="13.9" x14ac:dyDescent="0.25">
      <c r="A112" s="18">
        <v>1991</v>
      </c>
      <c r="B112" s="20" t="s">
        <v>26</v>
      </c>
      <c r="C112" s="20">
        <v>18</v>
      </c>
      <c r="D112" s="22" t="s">
        <v>219</v>
      </c>
      <c r="E112" s="22"/>
      <c r="F112" s="22" t="s">
        <v>220</v>
      </c>
      <c r="G112" s="18"/>
      <c r="H112" s="18"/>
      <c r="I112" s="18"/>
      <c r="J112" s="18"/>
      <c r="K112" s="18"/>
    </row>
    <row r="113" spans="1:11" ht="13.9" x14ac:dyDescent="0.25">
      <c r="A113" s="18">
        <v>1991</v>
      </c>
      <c r="B113" s="20" t="s">
        <v>26</v>
      </c>
      <c r="C113" s="20">
        <v>19</v>
      </c>
      <c r="D113" s="22" t="s">
        <v>122</v>
      </c>
      <c r="E113" s="22"/>
      <c r="F113" s="22" t="s">
        <v>122</v>
      </c>
      <c r="G113" s="18"/>
      <c r="H113" s="18"/>
      <c r="I113" s="18"/>
      <c r="J113" s="18"/>
      <c r="K113" s="18"/>
    </row>
    <row r="114" spans="1:11" ht="13.9" x14ac:dyDescent="0.25">
      <c r="A114" s="18">
        <v>1991</v>
      </c>
      <c r="B114" s="20" t="s">
        <v>26</v>
      </c>
      <c r="C114" s="20">
        <v>20</v>
      </c>
      <c r="D114" s="22" t="s">
        <v>221</v>
      </c>
      <c r="E114" s="22"/>
      <c r="F114" s="19" t="s">
        <v>170</v>
      </c>
      <c r="G114" s="18"/>
      <c r="H114" s="18"/>
      <c r="I114" s="18"/>
      <c r="J114" s="18"/>
      <c r="K114" s="18"/>
    </row>
    <row r="115" spans="1:11" ht="13.9" x14ac:dyDescent="0.25">
      <c r="A115" s="18">
        <v>1991</v>
      </c>
      <c r="B115" s="20" t="s">
        <v>26</v>
      </c>
      <c r="C115" s="20">
        <v>21</v>
      </c>
      <c r="D115" s="22" t="s">
        <v>221</v>
      </c>
      <c r="E115" s="22"/>
      <c r="F115" s="19" t="s">
        <v>170</v>
      </c>
      <c r="G115" s="18"/>
      <c r="H115" s="18"/>
      <c r="I115" s="18"/>
      <c r="J115" s="18"/>
      <c r="K115" s="18"/>
    </row>
    <row r="116" spans="1:11" ht="13.9" x14ac:dyDescent="0.25">
      <c r="A116" s="18">
        <v>1991</v>
      </c>
      <c r="B116" s="20" t="s">
        <v>26</v>
      </c>
      <c r="C116" s="20">
        <v>22</v>
      </c>
      <c r="D116" s="22" t="s">
        <v>221</v>
      </c>
      <c r="E116" s="22"/>
      <c r="F116" s="19" t="s">
        <v>170</v>
      </c>
      <c r="G116" s="18"/>
      <c r="H116" s="18"/>
      <c r="I116" s="18"/>
      <c r="J116" s="18"/>
      <c r="K116" s="18"/>
    </row>
    <row r="117" spans="1:11" ht="13.9" x14ac:dyDescent="0.25">
      <c r="A117" s="18">
        <v>1991</v>
      </c>
      <c r="B117" s="20" t="s">
        <v>26</v>
      </c>
      <c r="C117" s="20">
        <v>23</v>
      </c>
      <c r="D117" s="22" t="s">
        <v>221</v>
      </c>
      <c r="E117" s="22"/>
      <c r="F117" s="19" t="s">
        <v>170</v>
      </c>
      <c r="G117" s="18"/>
      <c r="H117" s="18"/>
      <c r="I117" s="18"/>
      <c r="J117" s="18"/>
      <c r="K117" s="18"/>
    </row>
    <row r="118" spans="1:11" ht="13.9" x14ac:dyDescent="0.25">
      <c r="A118" s="18">
        <v>1991</v>
      </c>
      <c r="B118" s="20" t="s">
        <v>26</v>
      </c>
      <c r="C118" s="20">
        <v>24</v>
      </c>
      <c r="D118" s="22" t="s">
        <v>221</v>
      </c>
      <c r="E118" s="22"/>
      <c r="F118" s="19" t="s">
        <v>170</v>
      </c>
      <c r="G118" s="18"/>
      <c r="H118" s="18"/>
      <c r="I118" s="18"/>
      <c r="J118" s="18"/>
      <c r="K118" s="18"/>
    </row>
    <row r="119" spans="1:11" ht="13.9" x14ac:dyDescent="0.25">
      <c r="A119" s="18">
        <v>1991</v>
      </c>
      <c r="B119" s="20" t="s">
        <v>26</v>
      </c>
      <c r="C119" s="20">
        <v>25</v>
      </c>
      <c r="D119" s="22" t="s">
        <v>221</v>
      </c>
      <c r="E119" s="22"/>
      <c r="F119" s="19" t="s">
        <v>170</v>
      </c>
      <c r="G119" s="18"/>
      <c r="H119" s="18"/>
      <c r="I119" s="18"/>
      <c r="J119" s="18"/>
      <c r="K119" s="18"/>
    </row>
    <row r="120" spans="1:11" ht="13.9" x14ac:dyDescent="0.25">
      <c r="A120" s="18">
        <v>1991</v>
      </c>
      <c r="B120" s="20" t="s">
        <v>26</v>
      </c>
      <c r="C120" s="20">
        <v>26</v>
      </c>
      <c r="D120" s="22" t="s">
        <v>221</v>
      </c>
      <c r="E120" s="22"/>
      <c r="F120" s="19" t="s">
        <v>170</v>
      </c>
      <c r="G120" s="18"/>
      <c r="H120" s="18"/>
      <c r="I120" s="18"/>
      <c r="J120" s="18"/>
      <c r="K120" s="18"/>
    </row>
    <row r="121" spans="1:11" ht="13.9" x14ac:dyDescent="0.25">
      <c r="A121" s="18">
        <v>1991</v>
      </c>
      <c r="B121" s="20" t="s">
        <v>26</v>
      </c>
      <c r="C121" s="20">
        <v>27</v>
      </c>
      <c r="D121" s="22" t="s">
        <v>221</v>
      </c>
      <c r="E121" s="22"/>
      <c r="F121" s="19" t="s">
        <v>170</v>
      </c>
      <c r="G121" s="18"/>
      <c r="H121" s="18"/>
      <c r="I121" s="18"/>
      <c r="J121" s="18"/>
      <c r="K121" s="18"/>
    </row>
    <row r="122" spans="1:11" ht="13.9" x14ac:dyDescent="0.25">
      <c r="A122" s="18">
        <v>1991</v>
      </c>
      <c r="B122" s="20" t="s">
        <v>26</v>
      </c>
      <c r="C122" s="20">
        <v>28</v>
      </c>
      <c r="D122" s="22" t="s">
        <v>221</v>
      </c>
      <c r="E122" s="22"/>
      <c r="F122" s="19" t="s">
        <v>170</v>
      </c>
      <c r="G122" s="18"/>
      <c r="H122" s="18"/>
      <c r="I122" s="18"/>
      <c r="J122" s="18"/>
      <c r="K122" s="18"/>
    </row>
    <row r="123" spans="1:11" ht="13.9" x14ac:dyDescent="0.25">
      <c r="A123" s="18">
        <v>1991</v>
      </c>
      <c r="B123" s="20" t="s">
        <v>26</v>
      </c>
      <c r="C123" s="20">
        <v>29</v>
      </c>
      <c r="D123" s="22" t="s">
        <v>222</v>
      </c>
      <c r="E123" s="22"/>
      <c r="F123" s="22" t="s">
        <v>223</v>
      </c>
      <c r="G123" s="18"/>
      <c r="H123" s="18"/>
      <c r="I123" s="18"/>
      <c r="J123" s="18"/>
      <c r="K123" s="18"/>
    </row>
    <row r="124" spans="1:11" ht="13.9" x14ac:dyDescent="0.25">
      <c r="A124" s="18">
        <v>1991</v>
      </c>
      <c r="B124" s="20" t="s">
        <v>26</v>
      </c>
      <c r="C124" s="20">
        <v>30</v>
      </c>
      <c r="D124" s="22" t="s">
        <v>169</v>
      </c>
      <c r="E124" s="22"/>
      <c r="F124" s="22" t="s">
        <v>224</v>
      </c>
      <c r="G124" s="18"/>
      <c r="H124" s="18"/>
      <c r="I124" s="18"/>
      <c r="J124" s="18"/>
      <c r="K124" s="18"/>
    </row>
    <row r="125" spans="1:11" ht="13.9" x14ac:dyDescent="0.25">
      <c r="A125" s="18">
        <v>1991</v>
      </c>
      <c r="B125" s="20" t="s">
        <v>27</v>
      </c>
      <c r="C125" s="20">
        <v>1</v>
      </c>
      <c r="D125" s="22" t="s">
        <v>169</v>
      </c>
      <c r="E125" s="22"/>
      <c r="F125" s="22" t="s">
        <v>224</v>
      </c>
      <c r="G125" s="18"/>
      <c r="H125" s="18"/>
      <c r="I125" s="18"/>
      <c r="J125" s="18"/>
      <c r="K125" s="18"/>
    </row>
    <row r="126" spans="1:11" ht="13.9" x14ac:dyDescent="0.25">
      <c r="A126" s="18">
        <v>1991</v>
      </c>
      <c r="B126" s="20" t="s">
        <v>27</v>
      </c>
      <c r="C126" s="20">
        <v>2</v>
      </c>
      <c r="D126" s="22" t="s">
        <v>167</v>
      </c>
      <c r="E126" s="22"/>
      <c r="F126" s="22" t="s">
        <v>168</v>
      </c>
      <c r="G126" s="18"/>
      <c r="H126" s="18"/>
      <c r="I126" s="18"/>
      <c r="J126" s="18"/>
      <c r="K126" s="18"/>
    </row>
    <row r="127" spans="1:11" ht="13.9" x14ac:dyDescent="0.25">
      <c r="A127" s="18">
        <v>1991</v>
      </c>
      <c r="B127" s="20" t="s">
        <v>27</v>
      </c>
      <c r="C127" s="20">
        <v>3</v>
      </c>
      <c r="D127" s="22" t="s">
        <v>167</v>
      </c>
      <c r="E127" s="22"/>
      <c r="F127" s="22" t="s">
        <v>168</v>
      </c>
      <c r="G127" s="18"/>
      <c r="H127" s="18"/>
      <c r="I127" s="18"/>
      <c r="J127" s="18"/>
      <c r="K127" s="18"/>
    </row>
    <row r="128" spans="1:11" ht="13.9" x14ac:dyDescent="0.25">
      <c r="A128" s="18">
        <v>1991</v>
      </c>
      <c r="B128" s="20" t="s">
        <v>27</v>
      </c>
      <c r="C128" s="20">
        <v>4</v>
      </c>
      <c r="D128" s="22" t="s">
        <v>165</v>
      </c>
      <c r="E128" s="22"/>
      <c r="F128" s="22" t="s">
        <v>225</v>
      </c>
      <c r="G128" s="18"/>
      <c r="H128" s="18"/>
      <c r="I128" s="18"/>
      <c r="J128" s="18"/>
      <c r="K128" s="18"/>
    </row>
    <row r="129" spans="1:11" ht="13.9" x14ac:dyDescent="0.25">
      <c r="A129" s="18">
        <v>1991</v>
      </c>
      <c r="B129" s="20" t="s">
        <v>27</v>
      </c>
      <c r="C129" s="20">
        <v>5</v>
      </c>
      <c r="D129" s="22" t="s">
        <v>165</v>
      </c>
      <c r="E129" s="22"/>
      <c r="F129" s="22" t="s">
        <v>225</v>
      </c>
      <c r="G129" s="18"/>
      <c r="H129" s="18"/>
      <c r="I129" s="18"/>
      <c r="J129" s="18"/>
      <c r="K129" s="18"/>
    </row>
    <row r="130" spans="1:11" ht="13.9" x14ac:dyDescent="0.25">
      <c r="A130" s="18">
        <v>1991</v>
      </c>
      <c r="B130" s="20" t="s">
        <v>27</v>
      </c>
      <c r="C130" s="20">
        <v>6</v>
      </c>
      <c r="D130" s="22" t="s">
        <v>226</v>
      </c>
      <c r="E130" s="22"/>
      <c r="F130" s="22" t="s">
        <v>166</v>
      </c>
      <c r="G130" s="18"/>
      <c r="H130" s="18"/>
      <c r="I130" s="18"/>
      <c r="J130" s="18"/>
      <c r="K130" s="18"/>
    </row>
    <row r="131" spans="1:11" ht="13.9" x14ac:dyDescent="0.25">
      <c r="A131" s="18">
        <v>1991</v>
      </c>
      <c r="B131" s="20" t="s">
        <v>27</v>
      </c>
      <c r="C131" s="20">
        <v>7</v>
      </c>
      <c r="D131" s="22" t="s">
        <v>227</v>
      </c>
      <c r="E131" s="22"/>
      <c r="F131" s="22" t="s">
        <v>164</v>
      </c>
      <c r="G131" s="18"/>
      <c r="H131" s="18"/>
      <c r="I131" s="18"/>
      <c r="J131" s="18"/>
      <c r="K131" s="18"/>
    </row>
    <row r="132" spans="1:11" ht="13.9" x14ac:dyDescent="0.25">
      <c r="A132" s="18">
        <v>1991</v>
      </c>
      <c r="B132" s="20" t="s">
        <v>27</v>
      </c>
      <c r="C132" s="20">
        <v>8</v>
      </c>
      <c r="D132" s="22" t="s">
        <v>227</v>
      </c>
      <c r="E132" s="22"/>
      <c r="F132" s="22" t="s">
        <v>164</v>
      </c>
      <c r="G132" s="18"/>
      <c r="H132" s="18"/>
      <c r="I132" s="18"/>
      <c r="J132" s="18"/>
      <c r="K132" s="18"/>
    </row>
    <row r="133" spans="1:11" ht="13.9" x14ac:dyDescent="0.25">
      <c r="A133" s="18">
        <v>1991</v>
      </c>
      <c r="B133" s="20" t="s">
        <v>27</v>
      </c>
      <c r="C133" s="20">
        <v>9</v>
      </c>
      <c r="D133" s="22" t="s">
        <v>163</v>
      </c>
      <c r="E133" s="22"/>
      <c r="F133" s="22" t="s">
        <v>164</v>
      </c>
      <c r="G133" s="18"/>
      <c r="H133" s="18"/>
      <c r="I133" s="18"/>
      <c r="J133" s="18"/>
      <c r="K133" s="18"/>
    </row>
    <row r="134" spans="1:11" ht="13.9" x14ac:dyDescent="0.25">
      <c r="A134" s="18">
        <v>1991</v>
      </c>
      <c r="B134" s="20" t="s">
        <v>27</v>
      </c>
      <c r="C134" s="20">
        <v>10</v>
      </c>
      <c r="D134" s="22" t="s">
        <v>163</v>
      </c>
      <c r="E134" s="22"/>
      <c r="F134" s="19" t="s">
        <v>228</v>
      </c>
      <c r="G134" s="18"/>
      <c r="H134" s="18"/>
      <c r="I134" s="18"/>
      <c r="J134" s="18"/>
      <c r="K134" s="18"/>
    </row>
    <row r="135" spans="1:11" ht="13.9" x14ac:dyDescent="0.25">
      <c r="A135" s="18">
        <v>1991</v>
      </c>
      <c r="B135" s="20" t="s">
        <v>27</v>
      </c>
      <c r="C135" s="20">
        <v>11</v>
      </c>
      <c r="D135" s="22" t="s">
        <v>229</v>
      </c>
      <c r="E135" s="22"/>
      <c r="F135" s="19" t="s">
        <v>230</v>
      </c>
      <c r="G135" s="18"/>
      <c r="H135" s="18"/>
      <c r="I135" s="18"/>
      <c r="J135" s="18"/>
      <c r="K135" s="18"/>
    </row>
    <row r="136" spans="1:11" ht="13.9" x14ac:dyDescent="0.25">
      <c r="A136" s="18">
        <v>1991</v>
      </c>
      <c r="B136" s="20" t="s">
        <v>27</v>
      </c>
      <c r="C136" s="20">
        <v>12</v>
      </c>
      <c r="D136" s="22" t="s">
        <v>229</v>
      </c>
      <c r="E136" s="22"/>
      <c r="F136" s="19" t="s">
        <v>230</v>
      </c>
      <c r="G136" s="18"/>
      <c r="H136" s="18"/>
      <c r="I136" s="18"/>
      <c r="J136" s="18"/>
      <c r="K136" s="18"/>
    </row>
    <row r="137" spans="1:11" ht="13.9" x14ac:dyDescent="0.25">
      <c r="A137" s="18">
        <v>1991</v>
      </c>
      <c r="B137" s="20" t="s">
        <v>27</v>
      </c>
      <c r="C137" s="20">
        <v>13</v>
      </c>
      <c r="D137" s="22" t="s">
        <v>231</v>
      </c>
      <c r="E137" s="22"/>
      <c r="F137" s="22" t="s">
        <v>122</v>
      </c>
      <c r="G137" s="18"/>
      <c r="H137" s="18"/>
      <c r="I137" s="18"/>
      <c r="J137" s="18"/>
      <c r="K137" s="18"/>
    </row>
    <row r="138" spans="1:11" ht="13.9" x14ac:dyDescent="0.25">
      <c r="A138" s="18">
        <v>1991</v>
      </c>
      <c r="B138" s="20" t="s">
        <v>27</v>
      </c>
      <c r="C138" s="20">
        <v>14</v>
      </c>
      <c r="D138" s="22" t="s">
        <v>161</v>
      </c>
      <c r="E138" s="22"/>
      <c r="F138" s="22" t="s">
        <v>122</v>
      </c>
      <c r="G138" s="18"/>
      <c r="H138" s="18"/>
      <c r="I138" s="18"/>
      <c r="J138" s="18"/>
      <c r="K138" s="18"/>
    </row>
    <row r="139" spans="1:11" ht="13.9" x14ac:dyDescent="0.25">
      <c r="A139" s="18">
        <v>1991</v>
      </c>
      <c r="B139" s="20" t="s">
        <v>27</v>
      </c>
      <c r="C139" s="20">
        <v>15</v>
      </c>
      <c r="D139" s="22" t="s">
        <v>161</v>
      </c>
      <c r="E139" s="22"/>
      <c r="F139" s="22" t="s">
        <v>122</v>
      </c>
      <c r="G139" s="18"/>
      <c r="H139" s="18"/>
      <c r="I139" s="18"/>
      <c r="J139" s="18"/>
      <c r="K139" s="18"/>
    </row>
    <row r="140" spans="1:11" ht="13.9" x14ac:dyDescent="0.25">
      <c r="A140" s="18">
        <v>1991</v>
      </c>
      <c r="B140" s="20" t="s">
        <v>27</v>
      </c>
      <c r="C140" s="20">
        <v>16</v>
      </c>
      <c r="D140" s="22" t="s">
        <v>161</v>
      </c>
      <c r="E140" s="22"/>
      <c r="F140" s="22" t="s">
        <v>122</v>
      </c>
      <c r="G140" s="18"/>
      <c r="H140" s="18"/>
      <c r="I140" s="18"/>
      <c r="J140" s="18"/>
      <c r="K140" s="18"/>
    </row>
    <row r="141" spans="1:11" ht="13.9" x14ac:dyDescent="0.25">
      <c r="A141" s="18">
        <v>1991</v>
      </c>
      <c r="B141" s="20" t="s">
        <v>27</v>
      </c>
      <c r="C141" s="20">
        <v>17</v>
      </c>
      <c r="D141" s="22" t="s">
        <v>232</v>
      </c>
      <c r="E141" s="22"/>
      <c r="F141" s="22" t="s">
        <v>122</v>
      </c>
      <c r="G141" s="18"/>
      <c r="H141" s="18"/>
      <c r="I141" s="18"/>
      <c r="J141" s="18"/>
      <c r="K141" s="18"/>
    </row>
    <row r="142" spans="1:11" ht="13.9" x14ac:dyDescent="0.25">
      <c r="A142" s="18">
        <v>1991</v>
      </c>
      <c r="B142" s="20" t="s">
        <v>27</v>
      </c>
      <c r="C142" s="20">
        <v>18</v>
      </c>
      <c r="D142" s="22" t="s">
        <v>163</v>
      </c>
      <c r="E142" s="22"/>
      <c r="F142" s="22" t="s">
        <v>122</v>
      </c>
      <c r="G142" s="18"/>
      <c r="H142" s="18"/>
      <c r="I142" s="18"/>
      <c r="J142" s="18"/>
      <c r="K142" s="18"/>
    </row>
    <row r="143" spans="1:11" ht="13.9" x14ac:dyDescent="0.25">
      <c r="A143" s="18">
        <v>1991</v>
      </c>
      <c r="B143" s="20" t="s">
        <v>27</v>
      </c>
      <c r="C143" s="20">
        <v>19</v>
      </c>
      <c r="D143" s="22" t="s">
        <v>163</v>
      </c>
      <c r="E143" s="22"/>
      <c r="F143" s="22" t="s">
        <v>122</v>
      </c>
      <c r="G143" s="18"/>
      <c r="H143" s="18"/>
      <c r="I143" s="18"/>
      <c r="J143" s="18"/>
      <c r="K143" s="18"/>
    </row>
    <row r="144" spans="1:11" ht="13.9" x14ac:dyDescent="0.25">
      <c r="A144" s="18">
        <v>1991</v>
      </c>
      <c r="B144" s="20" t="s">
        <v>27</v>
      </c>
      <c r="C144" s="20">
        <v>20</v>
      </c>
      <c r="D144" s="22" t="s">
        <v>229</v>
      </c>
      <c r="E144" s="22"/>
      <c r="F144" s="22" t="s">
        <v>122</v>
      </c>
      <c r="G144" s="18"/>
      <c r="H144" s="18"/>
      <c r="I144" s="18"/>
      <c r="J144" s="18"/>
      <c r="K144" s="18"/>
    </row>
    <row r="145" spans="1:11" ht="13.9" x14ac:dyDescent="0.25">
      <c r="A145" s="18">
        <v>1991</v>
      </c>
      <c r="B145" s="20" t="s">
        <v>27</v>
      </c>
      <c r="C145" s="20">
        <v>21</v>
      </c>
      <c r="D145" s="22" t="s">
        <v>229</v>
      </c>
      <c r="E145" s="22"/>
      <c r="F145" s="22" t="s">
        <v>122</v>
      </c>
      <c r="G145" s="18"/>
      <c r="H145" s="18"/>
      <c r="I145" s="18"/>
      <c r="J145" s="18"/>
      <c r="K145" s="18"/>
    </row>
    <row r="146" spans="1:11" ht="13.9" x14ac:dyDescent="0.25">
      <c r="A146" s="18">
        <v>1991</v>
      </c>
      <c r="B146" s="20" t="s">
        <v>27</v>
      </c>
      <c r="C146" s="20">
        <v>22</v>
      </c>
      <c r="D146" s="22" t="s">
        <v>163</v>
      </c>
      <c r="E146" s="22"/>
      <c r="F146" s="22" t="s">
        <v>122</v>
      </c>
      <c r="G146" s="18"/>
      <c r="H146" s="18"/>
      <c r="I146" s="18"/>
      <c r="J146" s="18"/>
      <c r="K146" s="18"/>
    </row>
    <row r="147" spans="1:11" ht="13.9" x14ac:dyDescent="0.25">
      <c r="A147" s="18">
        <v>1991</v>
      </c>
      <c r="B147" s="20" t="s">
        <v>27</v>
      </c>
      <c r="C147" s="20">
        <v>23</v>
      </c>
      <c r="D147" s="22" t="s">
        <v>229</v>
      </c>
      <c r="E147" s="22"/>
      <c r="F147" s="22" t="s">
        <v>122</v>
      </c>
      <c r="G147" s="18"/>
      <c r="H147" s="18"/>
      <c r="I147" s="18"/>
      <c r="J147" s="18"/>
      <c r="K147" s="18"/>
    </row>
    <row r="148" spans="1:11" ht="13.9" x14ac:dyDescent="0.25">
      <c r="A148" s="18">
        <v>1991</v>
      </c>
      <c r="B148" s="20" t="s">
        <v>27</v>
      </c>
      <c r="C148" s="20">
        <v>24</v>
      </c>
      <c r="D148" s="22" t="s">
        <v>229</v>
      </c>
      <c r="E148" s="22"/>
      <c r="F148" s="22" t="s">
        <v>122</v>
      </c>
      <c r="G148" s="18"/>
      <c r="H148" s="18"/>
      <c r="I148" s="18"/>
      <c r="J148" s="18"/>
      <c r="K148" s="18"/>
    </row>
    <row r="149" spans="1:11" ht="13.9" x14ac:dyDescent="0.25">
      <c r="A149" s="18">
        <v>1991</v>
      </c>
      <c r="B149" s="20" t="s">
        <v>27</v>
      </c>
      <c r="C149" s="20">
        <v>25</v>
      </c>
      <c r="D149" s="22" t="s">
        <v>229</v>
      </c>
      <c r="E149" s="22"/>
      <c r="F149" s="22" t="s">
        <v>122</v>
      </c>
      <c r="G149" s="18"/>
      <c r="H149" s="18"/>
      <c r="I149" s="18"/>
      <c r="J149" s="18"/>
      <c r="K149" s="18"/>
    </row>
    <row r="150" spans="1:11" ht="13.9" x14ac:dyDescent="0.25">
      <c r="A150" s="18">
        <v>1991</v>
      </c>
      <c r="B150" s="20" t="s">
        <v>27</v>
      </c>
      <c r="C150" s="20">
        <v>26</v>
      </c>
      <c r="D150" s="22" t="s">
        <v>231</v>
      </c>
      <c r="E150" s="22"/>
      <c r="F150" s="22" t="s">
        <v>122</v>
      </c>
      <c r="G150" s="18"/>
      <c r="H150" s="18"/>
      <c r="I150" s="18"/>
      <c r="J150" s="18"/>
      <c r="K150" s="18"/>
    </row>
    <row r="151" spans="1:11" ht="13.9" x14ac:dyDescent="0.25">
      <c r="A151" s="18">
        <v>1991</v>
      </c>
      <c r="B151" s="20" t="s">
        <v>27</v>
      </c>
      <c r="C151" s="20">
        <v>27</v>
      </c>
      <c r="D151" s="22" t="s">
        <v>231</v>
      </c>
      <c r="E151" s="22"/>
      <c r="F151" s="22" t="s">
        <v>122</v>
      </c>
      <c r="G151" s="18"/>
      <c r="H151" s="18"/>
      <c r="I151" s="18"/>
      <c r="J151" s="18"/>
      <c r="K151" s="18"/>
    </row>
    <row r="152" spans="1:11" ht="13.9" x14ac:dyDescent="0.25">
      <c r="A152" s="18">
        <v>1991</v>
      </c>
      <c r="B152" s="20" t="s">
        <v>27</v>
      </c>
      <c r="C152" s="20">
        <v>28</v>
      </c>
      <c r="D152" s="22" t="s">
        <v>231</v>
      </c>
      <c r="E152" s="22"/>
      <c r="F152" s="22" t="s">
        <v>122</v>
      </c>
      <c r="G152" s="18"/>
      <c r="H152" s="18"/>
      <c r="I152" s="18"/>
      <c r="J152" s="18"/>
      <c r="K152" s="18"/>
    </row>
    <row r="153" spans="1:11" ht="13.9" x14ac:dyDescent="0.25">
      <c r="A153" s="18">
        <v>1991</v>
      </c>
      <c r="B153" s="20" t="s">
        <v>27</v>
      </c>
      <c r="C153" s="20">
        <v>29</v>
      </c>
      <c r="D153" s="22" t="s">
        <v>161</v>
      </c>
      <c r="E153" s="22"/>
      <c r="F153" s="22" t="s">
        <v>233</v>
      </c>
      <c r="G153" s="18"/>
      <c r="H153" s="18"/>
      <c r="I153" s="18"/>
      <c r="J153" s="18"/>
      <c r="K153" s="18"/>
    </row>
    <row r="154" spans="1:11" ht="13.9" x14ac:dyDescent="0.25">
      <c r="A154" s="18">
        <v>1991</v>
      </c>
      <c r="B154" s="20" t="s">
        <v>27</v>
      </c>
      <c r="C154" s="20">
        <v>30</v>
      </c>
      <c r="D154" s="22" t="s">
        <v>161</v>
      </c>
      <c r="E154" s="22"/>
      <c r="F154" s="22" t="s">
        <v>233</v>
      </c>
      <c r="G154" s="18"/>
      <c r="H154" s="18"/>
      <c r="I154" s="18"/>
      <c r="J154" s="18"/>
      <c r="K154" s="18"/>
    </row>
    <row r="155" spans="1:11" ht="13.9" x14ac:dyDescent="0.25">
      <c r="A155" s="18">
        <v>1991</v>
      </c>
      <c r="B155" s="20" t="s">
        <v>27</v>
      </c>
      <c r="C155" s="20">
        <v>31</v>
      </c>
      <c r="D155" s="22" t="s">
        <v>232</v>
      </c>
      <c r="E155" s="22"/>
      <c r="F155" s="19" t="s">
        <v>234</v>
      </c>
      <c r="G155" s="18"/>
      <c r="H155" s="18"/>
      <c r="I155" s="18"/>
      <c r="J155" s="18"/>
      <c r="K155" s="18"/>
    </row>
    <row r="156" spans="1:11" ht="13.9" x14ac:dyDescent="0.25">
      <c r="A156" s="18">
        <v>1991</v>
      </c>
      <c r="B156" s="20" t="s">
        <v>28</v>
      </c>
      <c r="C156" s="20">
        <v>1</v>
      </c>
      <c r="D156" s="22" t="s">
        <v>232</v>
      </c>
      <c r="E156" s="22"/>
      <c r="F156" s="22" t="s">
        <v>235</v>
      </c>
      <c r="G156" s="18"/>
      <c r="H156" s="18"/>
      <c r="I156" s="18"/>
      <c r="J156" s="18"/>
      <c r="K156" s="18"/>
    </row>
    <row r="157" spans="1:11" ht="13.9" x14ac:dyDescent="0.25">
      <c r="A157" s="18">
        <v>1991</v>
      </c>
      <c r="B157" s="20" t="s">
        <v>28</v>
      </c>
      <c r="C157" s="20">
        <v>2</v>
      </c>
      <c r="D157" s="22" t="s">
        <v>232</v>
      </c>
      <c r="E157" s="22"/>
      <c r="F157" s="22" t="s">
        <v>235</v>
      </c>
      <c r="G157" s="18"/>
      <c r="H157" s="18"/>
      <c r="I157" s="18"/>
      <c r="J157" s="18"/>
      <c r="K157" s="18"/>
    </row>
    <row r="158" spans="1:11" ht="13.9" x14ac:dyDescent="0.25">
      <c r="A158" s="18">
        <v>1991</v>
      </c>
      <c r="B158" s="20" t="s">
        <v>28</v>
      </c>
      <c r="C158" s="20">
        <v>3</v>
      </c>
      <c r="D158" s="22" t="s">
        <v>236</v>
      </c>
      <c r="E158" s="22"/>
      <c r="F158" s="22" t="s">
        <v>162</v>
      </c>
      <c r="G158" s="18"/>
      <c r="H158" s="18"/>
      <c r="I158" s="18"/>
      <c r="J158" s="18"/>
      <c r="K158" s="18"/>
    </row>
    <row r="159" spans="1:11" ht="13.9" x14ac:dyDescent="0.25">
      <c r="A159" s="18">
        <v>1991</v>
      </c>
      <c r="B159" s="20" t="s">
        <v>28</v>
      </c>
      <c r="C159" s="20">
        <v>4</v>
      </c>
      <c r="D159" s="22" t="s">
        <v>236</v>
      </c>
      <c r="E159" s="22"/>
      <c r="F159" s="22" t="s">
        <v>162</v>
      </c>
      <c r="G159" s="18"/>
      <c r="H159" s="18"/>
      <c r="I159" s="18"/>
      <c r="J159" s="18"/>
      <c r="K159" s="18"/>
    </row>
    <row r="160" spans="1:11" ht="13.9" x14ac:dyDescent="0.25">
      <c r="A160" s="18">
        <v>1991</v>
      </c>
      <c r="B160" s="20" t="s">
        <v>28</v>
      </c>
      <c r="C160" s="20">
        <v>5</v>
      </c>
      <c r="D160" s="22" t="s">
        <v>236</v>
      </c>
      <c r="E160" s="22"/>
      <c r="F160" s="22" t="s">
        <v>162</v>
      </c>
      <c r="G160" s="18"/>
      <c r="H160" s="18"/>
      <c r="I160" s="18"/>
      <c r="J160" s="18"/>
      <c r="K160" s="18"/>
    </row>
    <row r="161" spans="1:11" ht="13.9" x14ac:dyDescent="0.25">
      <c r="A161" s="18">
        <v>1991</v>
      </c>
      <c r="B161" s="20" t="s">
        <v>28</v>
      </c>
      <c r="C161" s="20">
        <v>6</v>
      </c>
      <c r="D161" s="22" t="s">
        <v>236</v>
      </c>
      <c r="E161" s="22"/>
      <c r="F161" s="22" t="s">
        <v>162</v>
      </c>
      <c r="G161" s="18"/>
      <c r="H161" s="18"/>
      <c r="I161" s="18"/>
      <c r="J161" s="18"/>
      <c r="K161" s="18"/>
    </row>
    <row r="162" spans="1:11" ht="13.9" x14ac:dyDescent="0.25">
      <c r="A162" s="18">
        <v>1991</v>
      </c>
      <c r="B162" s="20" t="s">
        <v>28</v>
      </c>
      <c r="C162" s="20">
        <v>7</v>
      </c>
      <c r="D162" s="22" t="s">
        <v>237</v>
      </c>
      <c r="E162" s="22"/>
      <c r="F162" s="19" t="s">
        <v>238</v>
      </c>
      <c r="G162" s="18"/>
      <c r="H162" s="18"/>
      <c r="I162" s="18"/>
      <c r="J162" s="18"/>
      <c r="K162" s="18"/>
    </row>
    <row r="163" spans="1:11" ht="13.9" x14ac:dyDescent="0.25">
      <c r="A163" s="18">
        <v>1991</v>
      </c>
      <c r="B163" s="20" t="s">
        <v>28</v>
      </c>
      <c r="C163" s="20">
        <v>8</v>
      </c>
      <c r="D163" s="22" t="s">
        <v>237</v>
      </c>
      <c r="E163" s="22"/>
      <c r="F163" s="19" t="s">
        <v>238</v>
      </c>
      <c r="G163" s="18"/>
      <c r="H163" s="18"/>
      <c r="I163" s="18"/>
      <c r="J163" s="18"/>
      <c r="K163" s="18"/>
    </row>
    <row r="164" spans="1:11" ht="13.9" x14ac:dyDescent="0.25">
      <c r="A164" s="18">
        <v>1991</v>
      </c>
      <c r="B164" s="20" t="s">
        <v>28</v>
      </c>
      <c r="C164" s="20">
        <v>9</v>
      </c>
      <c r="D164" s="22" t="s">
        <v>237</v>
      </c>
      <c r="E164" s="22"/>
      <c r="F164" s="19" t="s">
        <v>238</v>
      </c>
      <c r="G164" s="18"/>
      <c r="H164" s="18"/>
      <c r="I164" s="18"/>
      <c r="J164" s="18"/>
      <c r="K164" s="18"/>
    </row>
    <row r="165" spans="1:11" ht="13.9" x14ac:dyDescent="0.25">
      <c r="A165" s="18">
        <v>1991</v>
      </c>
      <c r="B165" s="20" t="s">
        <v>28</v>
      </c>
      <c r="C165" s="20">
        <v>10</v>
      </c>
      <c r="D165" s="22" t="s">
        <v>239</v>
      </c>
      <c r="E165" s="22"/>
      <c r="F165" s="19" t="s">
        <v>240</v>
      </c>
      <c r="G165" s="18"/>
      <c r="H165" s="18"/>
      <c r="I165" s="18"/>
      <c r="J165" s="18"/>
      <c r="K165" s="18"/>
    </row>
    <row r="166" spans="1:11" ht="13.9" x14ac:dyDescent="0.25">
      <c r="A166" s="18">
        <v>1991</v>
      </c>
      <c r="B166" s="20" t="s">
        <v>28</v>
      </c>
      <c r="C166" s="20">
        <v>11</v>
      </c>
      <c r="D166" s="22" t="s">
        <v>239</v>
      </c>
      <c r="E166" s="22"/>
      <c r="F166" s="19" t="s">
        <v>240</v>
      </c>
      <c r="G166" s="18"/>
      <c r="H166" s="18"/>
      <c r="I166" s="18"/>
      <c r="J166" s="18"/>
      <c r="K166" s="18"/>
    </row>
    <row r="167" spans="1:11" ht="13.9" x14ac:dyDescent="0.25">
      <c r="A167" s="18">
        <v>1991</v>
      </c>
      <c r="B167" s="20" t="s">
        <v>28</v>
      </c>
      <c r="C167" s="20">
        <v>12</v>
      </c>
      <c r="D167" s="22" t="s">
        <v>239</v>
      </c>
      <c r="E167" s="22"/>
      <c r="F167" s="19" t="s">
        <v>240</v>
      </c>
      <c r="G167" s="18"/>
      <c r="H167" s="18"/>
      <c r="I167" s="18"/>
      <c r="J167" s="18"/>
      <c r="K167" s="18"/>
    </row>
    <row r="168" spans="1:11" ht="13.9" x14ac:dyDescent="0.25">
      <c r="A168" s="18">
        <v>1991</v>
      </c>
      <c r="B168" s="20" t="s">
        <v>28</v>
      </c>
      <c r="C168" s="20">
        <v>13</v>
      </c>
      <c r="D168" s="22" t="s">
        <v>159</v>
      </c>
      <c r="E168" s="22"/>
      <c r="F168" s="22" t="s">
        <v>241</v>
      </c>
      <c r="G168" s="18"/>
      <c r="H168" s="18"/>
      <c r="I168" s="18"/>
      <c r="J168" s="18"/>
      <c r="K168" s="18"/>
    </row>
    <row r="169" spans="1:11" ht="13.9" x14ac:dyDescent="0.25">
      <c r="A169" s="18">
        <v>1991</v>
      </c>
      <c r="B169" s="20" t="s">
        <v>28</v>
      </c>
      <c r="C169" s="20">
        <v>14</v>
      </c>
      <c r="D169" s="22" t="s">
        <v>242</v>
      </c>
      <c r="E169" s="22"/>
      <c r="F169" s="19" t="s">
        <v>243</v>
      </c>
      <c r="G169" s="18"/>
      <c r="H169" s="18"/>
      <c r="I169" s="18"/>
      <c r="J169" s="18"/>
      <c r="K169" s="18"/>
    </row>
    <row r="170" spans="1:11" ht="13.9" x14ac:dyDescent="0.25">
      <c r="A170" s="18">
        <v>1991</v>
      </c>
      <c r="B170" s="20" t="s">
        <v>28</v>
      </c>
      <c r="C170" s="20">
        <v>15</v>
      </c>
      <c r="D170" s="22" t="s">
        <v>242</v>
      </c>
      <c r="E170" s="22"/>
      <c r="F170" s="19" t="s">
        <v>243</v>
      </c>
      <c r="G170" s="18"/>
      <c r="H170" s="18"/>
      <c r="I170" s="18"/>
      <c r="J170" s="18"/>
      <c r="K170" s="18"/>
    </row>
    <row r="171" spans="1:11" ht="13.9" x14ac:dyDescent="0.25">
      <c r="A171" s="18">
        <v>1991</v>
      </c>
      <c r="B171" s="20" t="s">
        <v>28</v>
      </c>
      <c r="C171" s="20">
        <v>16</v>
      </c>
      <c r="D171" s="22" t="s">
        <v>242</v>
      </c>
      <c r="E171" s="22"/>
      <c r="F171" s="19" t="s">
        <v>243</v>
      </c>
      <c r="G171" s="18"/>
      <c r="H171" s="18"/>
      <c r="I171" s="18"/>
      <c r="J171" s="18"/>
      <c r="K171" s="18"/>
    </row>
    <row r="172" spans="1:11" ht="13.9" x14ac:dyDescent="0.25">
      <c r="A172" s="18">
        <v>1991</v>
      </c>
      <c r="B172" s="20" t="s">
        <v>28</v>
      </c>
      <c r="C172" s="20">
        <v>17</v>
      </c>
      <c r="D172" s="22" t="s">
        <v>244</v>
      </c>
      <c r="E172" s="22"/>
      <c r="F172" s="19" t="s">
        <v>245</v>
      </c>
      <c r="G172" s="18"/>
      <c r="H172" s="18"/>
      <c r="I172" s="18"/>
      <c r="J172" s="18"/>
      <c r="K172" s="18"/>
    </row>
    <row r="173" spans="1:11" ht="13.9" x14ac:dyDescent="0.25">
      <c r="A173" s="18">
        <v>1991</v>
      </c>
      <c r="B173" s="20" t="s">
        <v>28</v>
      </c>
      <c r="C173" s="20">
        <v>18</v>
      </c>
      <c r="D173" s="22" t="s">
        <v>244</v>
      </c>
      <c r="E173" s="22"/>
      <c r="F173" s="19" t="s">
        <v>245</v>
      </c>
      <c r="G173" s="18"/>
      <c r="H173" s="18"/>
      <c r="I173" s="18"/>
      <c r="J173" s="18"/>
      <c r="K173" s="18"/>
    </row>
    <row r="174" spans="1:11" ht="13.9" x14ac:dyDescent="0.25">
      <c r="A174" s="18">
        <v>1991</v>
      </c>
      <c r="B174" s="20" t="s">
        <v>28</v>
      </c>
      <c r="C174" s="20">
        <v>19</v>
      </c>
      <c r="D174" s="22" t="s">
        <v>157</v>
      </c>
      <c r="E174" s="22"/>
      <c r="F174" s="22" t="s">
        <v>246</v>
      </c>
      <c r="G174" s="18"/>
      <c r="H174" s="18"/>
      <c r="I174" s="18"/>
      <c r="J174" s="18"/>
      <c r="K174" s="18"/>
    </row>
    <row r="175" spans="1:11" ht="13.9" x14ac:dyDescent="0.25">
      <c r="A175" s="18">
        <v>1991</v>
      </c>
      <c r="B175" s="20" t="s">
        <v>28</v>
      </c>
      <c r="C175" s="20">
        <v>20</v>
      </c>
      <c r="D175" s="22" t="s">
        <v>157</v>
      </c>
      <c r="E175" s="22"/>
      <c r="F175" s="22" t="s">
        <v>246</v>
      </c>
      <c r="G175" s="18"/>
      <c r="H175" s="18"/>
      <c r="I175" s="18"/>
      <c r="J175" s="18"/>
      <c r="K175" s="18"/>
    </row>
    <row r="176" spans="1:11" ht="13.9" x14ac:dyDescent="0.25">
      <c r="A176" s="18">
        <v>1991</v>
      </c>
      <c r="B176" s="20" t="s">
        <v>28</v>
      </c>
      <c r="C176" s="20">
        <v>21</v>
      </c>
      <c r="D176" s="22" t="s">
        <v>157</v>
      </c>
      <c r="E176" s="22"/>
      <c r="F176" s="22" t="s">
        <v>246</v>
      </c>
      <c r="G176" s="18"/>
      <c r="H176" s="18"/>
      <c r="I176" s="18"/>
      <c r="J176" s="18"/>
      <c r="K176" s="18"/>
    </row>
    <row r="177" spans="1:11" ht="13.9" x14ac:dyDescent="0.25">
      <c r="A177" s="18">
        <v>1991</v>
      </c>
      <c r="B177" s="20" t="s">
        <v>28</v>
      </c>
      <c r="C177" s="20">
        <v>22</v>
      </c>
      <c r="D177" s="22" t="s">
        <v>155</v>
      </c>
      <c r="E177" s="22"/>
      <c r="F177" s="19" t="s">
        <v>247</v>
      </c>
      <c r="G177" s="18"/>
      <c r="H177" s="18"/>
      <c r="I177" s="18"/>
      <c r="J177" s="18"/>
      <c r="K177" s="18"/>
    </row>
    <row r="178" spans="1:11" ht="13.9" x14ac:dyDescent="0.25">
      <c r="A178" s="18">
        <v>1991</v>
      </c>
      <c r="B178" s="20" t="s">
        <v>28</v>
      </c>
      <c r="C178" s="20">
        <v>23</v>
      </c>
      <c r="D178" s="22" t="s">
        <v>155</v>
      </c>
      <c r="E178" s="22"/>
      <c r="F178" s="19" t="s">
        <v>247</v>
      </c>
      <c r="G178" s="18"/>
      <c r="H178" s="18"/>
      <c r="I178" s="18"/>
      <c r="J178" s="18"/>
      <c r="K178" s="18"/>
    </row>
    <row r="179" spans="1:11" ht="13.9" x14ac:dyDescent="0.25">
      <c r="A179" s="18">
        <v>1991</v>
      </c>
      <c r="B179" s="20" t="s">
        <v>28</v>
      </c>
      <c r="C179" s="20">
        <v>24</v>
      </c>
      <c r="D179" s="22" t="s">
        <v>248</v>
      </c>
      <c r="E179" s="22"/>
      <c r="F179" s="19" t="s">
        <v>249</v>
      </c>
      <c r="G179" s="18"/>
      <c r="H179" s="18"/>
      <c r="I179" s="18"/>
      <c r="J179" s="18"/>
      <c r="K179" s="18"/>
    </row>
    <row r="180" spans="1:11" ht="13.9" x14ac:dyDescent="0.25">
      <c r="A180" s="18">
        <v>1991</v>
      </c>
      <c r="B180" s="20" t="s">
        <v>28</v>
      </c>
      <c r="C180" s="20">
        <v>25</v>
      </c>
      <c r="D180" s="22" t="s">
        <v>248</v>
      </c>
      <c r="E180" s="22"/>
      <c r="F180" s="19" t="s">
        <v>249</v>
      </c>
      <c r="G180" s="18"/>
      <c r="H180" s="18"/>
      <c r="I180" s="18"/>
      <c r="J180" s="18"/>
      <c r="K180" s="18"/>
    </row>
    <row r="181" spans="1:11" ht="13.9" x14ac:dyDescent="0.25">
      <c r="A181" s="18">
        <v>1991</v>
      </c>
      <c r="B181" s="20" t="s">
        <v>28</v>
      </c>
      <c r="C181" s="20">
        <v>26</v>
      </c>
      <c r="D181" s="22" t="s">
        <v>250</v>
      </c>
      <c r="E181" s="22"/>
      <c r="F181" s="22" t="s">
        <v>251</v>
      </c>
      <c r="G181" s="18"/>
      <c r="H181" s="18"/>
      <c r="I181" s="18"/>
      <c r="J181" s="18"/>
      <c r="K181" s="18"/>
    </row>
    <row r="182" spans="1:11" ht="13.9" x14ac:dyDescent="0.25">
      <c r="A182" s="18">
        <v>1991</v>
      </c>
      <c r="B182" s="20" t="s">
        <v>28</v>
      </c>
      <c r="C182" s="20">
        <v>27</v>
      </c>
      <c r="D182" s="22" t="s">
        <v>250</v>
      </c>
      <c r="E182" s="22"/>
      <c r="F182" s="22" t="s">
        <v>251</v>
      </c>
      <c r="G182" s="18"/>
      <c r="H182" s="18"/>
      <c r="I182" s="18"/>
      <c r="J182" s="18"/>
      <c r="K182" s="18"/>
    </row>
    <row r="183" spans="1:11" ht="13.9" x14ac:dyDescent="0.25">
      <c r="A183" s="18">
        <v>1991</v>
      </c>
      <c r="B183" s="20" t="s">
        <v>28</v>
      </c>
      <c r="C183" s="20">
        <v>28</v>
      </c>
      <c r="D183" s="22" t="s">
        <v>153</v>
      </c>
      <c r="E183" s="22"/>
      <c r="F183" s="22" t="s">
        <v>252</v>
      </c>
      <c r="G183" s="18"/>
      <c r="H183" s="18"/>
      <c r="I183" s="18"/>
      <c r="J183" s="18"/>
      <c r="K183" s="18"/>
    </row>
    <row r="184" spans="1:11" ht="13.9" x14ac:dyDescent="0.25">
      <c r="A184" s="18">
        <v>1991</v>
      </c>
      <c r="B184" s="20" t="s">
        <v>28</v>
      </c>
      <c r="C184" s="20">
        <v>29</v>
      </c>
      <c r="D184" s="22" t="s">
        <v>153</v>
      </c>
      <c r="E184" s="22"/>
      <c r="F184" s="22" t="s">
        <v>252</v>
      </c>
      <c r="G184" s="18"/>
      <c r="H184" s="18"/>
      <c r="I184" s="18"/>
      <c r="J184" s="18"/>
      <c r="K184" s="18"/>
    </row>
    <row r="185" spans="1:11" ht="13.9" x14ac:dyDescent="0.25">
      <c r="A185" s="18">
        <v>1991</v>
      </c>
      <c r="B185" s="20" t="s">
        <v>28</v>
      </c>
      <c r="C185" s="20">
        <v>30</v>
      </c>
      <c r="D185" s="22" t="s">
        <v>253</v>
      </c>
      <c r="E185" s="22"/>
      <c r="F185" s="22" t="s">
        <v>254</v>
      </c>
      <c r="G185" s="18"/>
      <c r="H185" s="18"/>
      <c r="I185" s="18"/>
      <c r="J185" s="18"/>
      <c r="K185" s="18"/>
    </row>
    <row r="186" spans="1:11" ht="13.9" x14ac:dyDescent="0.25">
      <c r="A186" s="18">
        <v>1991</v>
      </c>
      <c r="B186" s="20" t="s">
        <v>29</v>
      </c>
      <c r="C186" s="20">
        <v>1</v>
      </c>
      <c r="D186" s="22" t="s">
        <v>151</v>
      </c>
      <c r="E186" s="22"/>
      <c r="F186" s="22" t="s">
        <v>255</v>
      </c>
      <c r="G186" s="18"/>
      <c r="H186" s="18"/>
      <c r="I186" s="18"/>
      <c r="J186" s="18"/>
      <c r="K186" s="18"/>
    </row>
    <row r="187" spans="1:11" ht="13.9" x14ac:dyDescent="0.25">
      <c r="A187" s="18">
        <v>1991</v>
      </c>
      <c r="B187" s="20" t="s">
        <v>29</v>
      </c>
      <c r="C187" s="20">
        <v>2</v>
      </c>
      <c r="D187" s="22" t="s">
        <v>151</v>
      </c>
      <c r="E187" s="22"/>
      <c r="F187" s="22" t="s">
        <v>255</v>
      </c>
      <c r="G187" s="18"/>
      <c r="H187" s="18"/>
      <c r="I187" s="18"/>
      <c r="J187" s="18"/>
      <c r="K187" s="18"/>
    </row>
    <row r="188" spans="1:11" ht="13.9" x14ac:dyDescent="0.25">
      <c r="A188" s="18">
        <v>1991</v>
      </c>
      <c r="B188" s="20" t="s">
        <v>29</v>
      </c>
      <c r="C188" s="20">
        <v>3</v>
      </c>
      <c r="D188" s="22" t="s">
        <v>151</v>
      </c>
      <c r="E188" s="22"/>
      <c r="F188" s="22" t="s">
        <v>255</v>
      </c>
      <c r="G188" s="18"/>
      <c r="H188" s="18"/>
      <c r="I188" s="18"/>
      <c r="J188" s="18"/>
      <c r="K188" s="18"/>
    </row>
    <row r="189" spans="1:11" ht="13.9" x14ac:dyDescent="0.25">
      <c r="A189" s="18">
        <v>1991</v>
      </c>
      <c r="B189" s="20" t="s">
        <v>29</v>
      </c>
      <c r="C189" s="20">
        <v>4</v>
      </c>
      <c r="D189" s="22" t="s">
        <v>256</v>
      </c>
      <c r="E189" s="22"/>
      <c r="F189" s="22" t="s">
        <v>257</v>
      </c>
      <c r="G189" s="18"/>
      <c r="H189" s="18"/>
      <c r="I189" s="18"/>
      <c r="J189" s="18"/>
      <c r="K189" s="18"/>
    </row>
    <row r="190" spans="1:11" ht="13.9" x14ac:dyDescent="0.25">
      <c r="A190" s="18">
        <v>1991</v>
      </c>
      <c r="B190" s="20" t="s">
        <v>29</v>
      </c>
      <c r="C190" s="20">
        <v>5</v>
      </c>
      <c r="D190" s="22" t="s">
        <v>256</v>
      </c>
      <c r="E190" s="22"/>
      <c r="F190" s="22" t="s">
        <v>257</v>
      </c>
      <c r="G190" s="18"/>
      <c r="H190" s="18"/>
      <c r="I190" s="18"/>
      <c r="J190" s="18"/>
      <c r="K190" s="18"/>
    </row>
    <row r="191" spans="1:11" ht="13.9" x14ac:dyDescent="0.25">
      <c r="A191" s="18">
        <v>1991</v>
      </c>
      <c r="B191" s="20" t="s">
        <v>29</v>
      </c>
      <c r="C191" s="20">
        <v>6</v>
      </c>
      <c r="D191" s="22" t="s">
        <v>258</v>
      </c>
      <c r="E191" s="22"/>
      <c r="F191" s="19" t="s">
        <v>259</v>
      </c>
      <c r="G191" s="18"/>
      <c r="H191" s="18"/>
      <c r="I191" s="18"/>
      <c r="J191" s="18"/>
      <c r="K191" s="18"/>
    </row>
    <row r="192" spans="1:11" ht="13.9" x14ac:dyDescent="0.25">
      <c r="A192" s="18">
        <v>1991</v>
      </c>
      <c r="B192" s="20" t="s">
        <v>29</v>
      </c>
      <c r="C192" s="20">
        <v>7</v>
      </c>
      <c r="D192" s="22" t="s">
        <v>258</v>
      </c>
      <c r="E192" s="22"/>
      <c r="F192" s="22" t="s">
        <v>259</v>
      </c>
      <c r="G192" s="18"/>
      <c r="H192" s="18"/>
      <c r="I192" s="18"/>
      <c r="J192" s="18"/>
      <c r="K192" s="18"/>
    </row>
    <row r="193" spans="1:11" ht="13.9" x14ac:dyDescent="0.25">
      <c r="A193" s="18">
        <v>1991</v>
      </c>
      <c r="B193" s="20" t="s">
        <v>29</v>
      </c>
      <c r="C193" s="20">
        <v>8</v>
      </c>
      <c r="D193" s="22" t="s">
        <v>260</v>
      </c>
      <c r="E193" s="22"/>
      <c r="F193" s="22" t="s">
        <v>261</v>
      </c>
      <c r="G193" s="18"/>
      <c r="H193" s="18"/>
      <c r="I193" s="18"/>
      <c r="J193" s="18"/>
      <c r="K193" s="18"/>
    </row>
    <row r="194" spans="1:11" ht="13.9" x14ac:dyDescent="0.25">
      <c r="A194" s="18">
        <v>1991</v>
      </c>
      <c r="B194" s="20" t="s">
        <v>29</v>
      </c>
      <c r="C194" s="20">
        <v>9</v>
      </c>
      <c r="D194" s="22" t="s">
        <v>258</v>
      </c>
      <c r="E194" s="22"/>
      <c r="F194" s="22" t="s">
        <v>259</v>
      </c>
      <c r="G194" s="18"/>
      <c r="H194" s="18"/>
      <c r="I194" s="18"/>
      <c r="J194" s="18"/>
      <c r="K194" s="18"/>
    </row>
    <row r="195" spans="1:11" ht="13.9" x14ac:dyDescent="0.25">
      <c r="A195" s="18">
        <v>1991</v>
      </c>
      <c r="B195" s="20" t="s">
        <v>29</v>
      </c>
      <c r="C195" s="20">
        <v>10</v>
      </c>
      <c r="D195" s="22" t="s">
        <v>258</v>
      </c>
      <c r="E195" s="22"/>
      <c r="F195" s="22" t="s">
        <v>259</v>
      </c>
      <c r="G195" s="18"/>
      <c r="H195" s="18"/>
      <c r="I195" s="18"/>
      <c r="J195" s="18"/>
      <c r="K195" s="18"/>
    </row>
    <row r="196" spans="1:11" ht="13.9" x14ac:dyDescent="0.25">
      <c r="A196" s="18">
        <v>1991</v>
      </c>
      <c r="B196" s="20" t="s">
        <v>29</v>
      </c>
      <c r="C196" s="20">
        <v>11</v>
      </c>
      <c r="D196" s="22" t="s">
        <v>260</v>
      </c>
      <c r="E196" s="22"/>
      <c r="F196" s="22" t="s">
        <v>261</v>
      </c>
      <c r="G196" s="18"/>
      <c r="H196" s="18"/>
      <c r="I196" s="18"/>
      <c r="J196" s="18"/>
      <c r="K196" s="18"/>
    </row>
    <row r="197" spans="1:11" ht="13.9" x14ac:dyDescent="0.25">
      <c r="A197" s="18">
        <v>1991</v>
      </c>
      <c r="B197" s="20" t="s">
        <v>29</v>
      </c>
      <c r="C197" s="20">
        <v>12</v>
      </c>
      <c r="D197" s="22" t="s">
        <v>260</v>
      </c>
      <c r="E197" s="22"/>
      <c r="F197" s="22" t="s">
        <v>261</v>
      </c>
      <c r="G197" s="18"/>
      <c r="H197" s="18"/>
      <c r="I197" s="18"/>
      <c r="J197" s="18"/>
      <c r="K197" s="18"/>
    </row>
    <row r="198" spans="1:11" ht="13.9" x14ac:dyDescent="0.25">
      <c r="A198" s="18">
        <v>1991</v>
      </c>
      <c r="B198" s="20" t="s">
        <v>29</v>
      </c>
      <c r="C198" s="20">
        <v>13</v>
      </c>
      <c r="D198" s="22" t="s">
        <v>260</v>
      </c>
      <c r="E198" s="22"/>
      <c r="F198" s="22" t="s">
        <v>261</v>
      </c>
      <c r="G198" s="18"/>
      <c r="H198" s="18"/>
      <c r="I198" s="18"/>
      <c r="J198" s="18"/>
      <c r="K198" s="18"/>
    </row>
    <row r="199" spans="1:11" ht="13.9" x14ac:dyDescent="0.25">
      <c r="A199" s="18">
        <v>1991</v>
      </c>
      <c r="B199" s="20" t="s">
        <v>29</v>
      </c>
      <c r="C199" s="20">
        <v>14</v>
      </c>
      <c r="D199" s="22" t="s">
        <v>262</v>
      </c>
      <c r="E199" s="22"/>
      <c r="F199" s="22" t="s">
        <v>263</v>
      </c>
      <c r="G199" s="18"/>
      <c r="H199" s="18"/>
      <c r="I199" s="18"/>
      <c r="J199" s="18"/>
      <c r="K199" s="18"/>
    </row>
    <row r="200" spans="1:11" ht="13.9" x14ac:dyDescent="0.25">
      <c r="A200" s="18">
        <v>1991</v>
      </c>
      <c r="B200" s="20" t="s">
        <v>29</v>
      </c>
      <c r="C200" s="20">
        <v>15</v>
      </c>
      <c r="D200" s="22" t="s">
        <v>264</v>
      </c>
      <c r="E200" s="22"/>
      <c r="F200" s="22" t="s">
        <v>265</v>
      </c>
      <c r="G200" s="18"/>
      <c r="H200" s="18"/>
      <c r="I200" s="18"/>
      <c r="J200" s="18"/>
      <c r="K200" s="18"/>
    </row>
    <row r="201" spans="1:11" ht="13.9" x14ac:dyDescent="0.25">
      <c r="A201" s="18">
        <v>1991</v>
      </c>
      <c r="B201" s="20" t="s">
        <v>29</v>
      </c>
      <c r="C201" s="20">
        <v>16</v>
      </c>
      <c r="D201" s="22" t="s">
        <v>264</v>
      </c>
      <c r="E201" s="22"/>
      <c r="F201" s="22" t="s">
        <v>265</v>
      </c>
      <c r="G201" s="18"/>
      <c r="H201" s="18"/>
      <c r="I201" s="18"/>
      <c r="J201" s="18"/>
      <c r="K201" s="18"/>
    </row>
    <row r="202" spans="1:11" ht="13.9" x14ac:dyDescent="0.25">
      <c r="A202" s="18">
        <v>1991</v>
      </c>
      <c r="B202" s="20" t="s">
        <v>29</v>
      </c>
      <c r="C202" s="20">
        <v>17</v>
      </c>
      <c r="D202" s="22" t="s">
        <v>122</v>
      </c>
      <c r="E202" s="22"/>
      <c r="F202" s="22" t="s">
        <v>122</v>
      </c>
      <c r="G202" s="18"/>
      <c r="H202" s="18"/>
      <c r="I202" s="18"/>
      <c r="J202" s="18"/>
      <c r="K202" s="18"/>
    </row>
    <row r="203" spans="1:11" ht="13.9" x14ac:dyDescent="0.25">
      <c r="A203" s="18">
        <v>1991</v>
      </c>
      <c r="B203" s="20" t="s">
        <v>29</v>
      </c>
      <c r="C203" s="20">
        <v>18</v>
      </c>
      <c r="D203" s="22" t="s">
        <v>149</v>
      </c>
      <c r="E203" s="22"/>
      <c r="F203" s="22" t="s">
        <v>266</v>
      </c>
      <c r="G203" s="18"/>
      <c r="H203" s="18"/>
      <c r="I203" s="18"/>
      <c r="J203" s="18"/>
      <c r="K203" s="18"/>
    </row>
    <row r="204" spans="1:11" ht="13.9" x14ac:dyDescent="0.25">
      <c r="A204" s="18">
        <v>1991</v>
      </c>
      <c r="B204" s="20" t="s">
        <v>29</v>
      </c>
      <c r="C204" s="20">
        <v>19</v>
      </c>
      <c r="D204" s="22" t="s">
        <v>149</v>
      </c>
      <c r="E204" s="22"/>
      <c r="F204" s="22" t="s">
        <v>266</v>
      </c>
      <c r="G204" s="18"/>
      <c r="H204" s="18"/>
      <c r="I204" s="18"/>
      <c r="J204" s="18"/>
      <c r="K204" s="18"/>
    </row>
    <row r="205" spans="1:11" ht="13.9" x14ac:dyDescent="0.25">
      <c r="A205" s="18">
        <v>1991</v>
      </c>
      <c r="B205" s="20" t="s">
        <v>29</v>
      </c>
      <c r="C205" s="20">
        <v>20</v>
      </c>
      <c r="D205" s="22" t="s">
        <v>194</v>
      </c>
      <c r="E205" s="22"/>
      <c r="F205" s="22" t="s">
        <v>267</v>
      </c>
      <c r="G205" s="18"/>
      <c r="H205" s="18"/>
      <c r="I205" s="18"/>
      <c r="J205" s="18"/>
      <c r="K205" s="18"/>
    </row>
    <row r="206" spans="1:11" ht="13.9" x14ac:dyDescent="0.25">
      <c r="A206" s="18">
        <v>1991</v>
      </c>
      <c r="B206" s="20" t="s">
        <v>29</v>
      </c>
      <c r="C206" s="20">
        <v>21</v>
      </c>
      <c r="D206" s="22" t="s">
        <v>147</v>
      </c>
      <c r="E206" s="22"/>
      <c r="F206" s="22" t="s">
        <v>268</v>
      </c>
      <c r="G206" s="18"/>
      <c r="H206" s="18"/>
      <c r="I206" s="18"/>
      <c r="J206" s="18"/>
      <c r="K206" s="18"/>
    </row>
    <row r="207" spans="1:11" ht="13.9" x14ac:dyDescent="0.25">
      <c r="A207" s="18">
        <v>1991</v>
      </c>
      <c r="B207" s="20" t="s">
        <v>29</v>
      </c>
      <c r="C207" s="20">
        <v>22</v>
      </c>
      <c r="D207" s="22" t="s">
        <v>147</v>
      </c>
      <c r="E207" s="22"/>
      <c r="F207" s="22" t="s">
        <v>268</v>
      </c>
      <c r="G207" s="18"/>
      <c r="H207" s="18"/>
      <c r="I207" s="18"/>
      <c r="J207" s="18"/>
      <c r="K207" s="18"/>
    </row>
    <row r="208" spans="1:11" ht="13.9" x14ac:dyDescent="0.25">
      <c r="A208" s="18">
        <v>1991</v>
      </c>
      <c r="B208" s="20" t="s">
        <v>29</v>
      </c>
      <c r="C208" s="20">
        <v>23</v>
      </c>
      <c r="D208" s="22" t="s">
        <v>145</v>
      </c>
      <c r="E208" s="22"/>
      <c r="F208" s="22" t="s">
        <v>269</v>
      </c>
      <c r="G208" s="18"/>
      <c r="H208" s="18"/>
      <c r="I208" s="18"/>
      <c r="J208" s="18"/>
      <c r="K208" s="18"/>
    </row>
    <row r="209" spans="1:11" ht="13.9" x14ac:dyDescent="0.25">
      <c r="A209" s="18">
        <v>1991</v>
      </c>
      <c r="B209" s="20" t="s">
        <v>29</v>
      </c>
      <c r="C209" s="20">
        <v>24</v>
      </c>
      <c r="D209" s="22" t="s">
        <v>145</v>
      </c>
      <c r="E209" s="22"/>
      <c r="F209" s="22" t="s">
        <v>269</v>
      </c>
      <c r="G209" s="18"/>
      <c r="H209" s="18"/>
      <c r="I209" s="18"/>
      <c r="J209" s="18"/>
      <c r="K209" s="18"/>
    </row>
    <row r="210" spans="1:11" ht="13.9" x14ac:dyDescent="0.25">
      <c r="A210" s="18">
        <v>1991</v>
      </c>
      <c r="B210" s="20" t="s">
        <v>29</v>
      </c>
      <c r="C210" s="20">
        <v>25</v>
      </c>
      <c r="D210" s="22" t="s">
        <v>270</v>
      </c>
      <c r="E210" s="22"/>
      <c r="F210" s="22" t="s">
        <v>271</v>
      </c>
      <c r="G210" s="18"/>
      <c r="H210" s="18"/>
      <c r="I210" s="18"/>
      <c r="J210" s="18"/>
      <c r="K210" s="18"/>
    </row>
    <row r="211" spans="1:11" ht="13.9" x14ac:dyDescent="0.25">
      <c r="A211" s="18">
        <v>1991</v>
      </c>
      <c r="B211" s="20" t="s">
        <v>29</v>
      </c>
      <c r="C211" s="20">
        <v>26</v>
      </c>
      <c r="D211" s="22" t="s">
        <v>270</v>
      </c>
      <c r="E211" s="22"/>
      <c r="F211" s="22" t="s">
        <v>271</v>
      </c>
      <c r="G211" s="18"/>
      <c r="H211" s="18"/>
      <c r="I211" s="18"/>
      <c r="J211" s="18"/>
      <c r="K211" s="18"/>
    </row>
    <row r="212" spans="1:11" ht="13.9" x14ac:dyDescent="0.25">
      <c r="A212" s="18">
        <v>1991</v>
      </c>
      <c r="B212" s="20" t="s">
        <v>29</v>
      </c>
      <c r="C212" s="20">
        <v>27</v>
      </c>
      <c r="D212" s="22" t="s">
        <v>143</v>
      </c>
      <c r="E212" s="22"/>
      <c r="F212" s="22" t="s">
        <v>272</v>
      </c>
      <c r="G212" s="18"/>
      <c r="H212" s="18"/>
      <c r="I212" s="18"/>
      <c r="J212" s="18"/>
      <c r="K212" s="18"/>
    </row>
    <row r="213" spans="1:11" ht="13.9" x14ac:dyDescent="0.25">
      <c r="A213" s="18">
        <v>1991</v>
      </c>
      <c r="B213" s="20" t="s">
        <v>29</v>
      </c>
      <c r="C213" s="20">
        <v>28</v>
      </c>
      <c r="D213" s="22" t="s">
        <v>143</v>
      </c>
      <c r="E213" s="22"/>
      <c r="F213" s="22" t="s">
        <v>272</v>
      </c>
      <c r="G213" s="18"/>
      <c r="H213" s="18"/>
      <c r="I213" s="18"/>
      <c r="J213" s="18"/>
      <c r="K213" s="18"/>
    </row>
    <row r="214" spans="1:11" ht="13.9" x14ac:dyDescent="0.25">
      <c r="A214" s="18">
        <v>1991</v>
      </c>
      <c r="B214" s="20" t="s">
        <v>29</v>
      </c>
      <c r="C214" s="20">
        <v>29</v>
      </c>
      <c r="D214" s="22" t="s">
        <v>273</v>
      </c>
      <c r="E214" s="22"/>
      <c r="F214" s="22" t="s">
        <v>274</v>
      </c>
      <c r="G214" s="18"/>
      <c r="H214" s="18"/>
      <c r="I214" s="18"/>
      <c r="J214" s="18"/>
      <c r="K214" s="18"/>
    </row>
    <row r="215" spans="1:11" ht="13.9" x14ac:dyDescent="0.25">
      <c r="A215" s="18">
        <v>1991</v>
      </c>
      <c r="B215" s="20" t="s">
        <v>29</v>
      </c>
      <c r="C215" s="20">
        <v>30</v>
      </c>
      <c r="D215" s="22" t="s">
        <v>141</v>
      </c>
      <c r="E215" s="22"/>
      <c r="F215" s="22" t="s">
        <v>275</v>
      </c>
      <c r="G215" s="18"/>
      <c r="H215" s="18"/>
      <c r="I215" s="18"/>
      <c r="J215" s="18"/>
      <c r="K215" s="18"/>
    </row>
    <row r="216" spans="1:11" ht="13.9" x14ac:dyDescent="0.25">
      <c r="A216" s="18">
        <v>1991</v>
      </c>
      <c r="B216" s="20" t="s">
        <v>29</v>
      </c>
      <c r="C216" s="20">
        <v>31</v>
      </c>
      <c r="D216" s="22" t="s">
        <v>141</v>
      </c>
      <c r="E216" s="22"/>
      <c r="F216" s="22" t="s">
        <v>275</v>
      </c>
      <c r="G216" s="18"/>
      <c r="H216" s="18"/>
      <c r="I216" s="18"/>
      <c r="J216" s="18"/>
      <c r="K216" s="18"/>
    </row>
    <row r="217" spans="1:11" ht="13.9" x14ac:dyDescent="0.25">
      <c r="A217" s="18">
        <v>1991</v>
      </c>
      <c r="B217" s="20" t="s">
        <v>30</v>
      </c>
      <c r="C217" s="20">
        <v>1</v>
      </c>
      <c r="D217" s="22" t="s">
        <v>276</v>
      </c>
      <c r="E217" s="22"/>
      <c r="F217" s="22" t="s">
        <v>277</v>
      </c>
      <c r="G217" s="18"/>
      <c r="H217" s="18"/>
      <c r="I217" s="18"/>
      <c r="J217" s="18"/>
      <c r="K217" s="18"/>
    </row>
    <row r="218" spans="1:11" ht="13.9" x14ac:dyDescent="0.25">
      <c r="A218" s="18">
        <v>1991</v>
      </c>
      <c r="B218" s="20" t="s">
        <v>30</v>
      </c>
      <c r="C218" s="20">
        <v>2</v>
      </c>
      <c r="D218" s="22" t="s">
        <v>137</v>
      </c>
      <c r="E218" s="22"/>
      <c r="F218" s="19" t="s">
        <v>278</v>
      </c>
      <c r="G218" s="18"/>
      <c r="H218" s="18"/>
      <c r="I218" s="18"/>
      <c r="J218" s="18"/>
      <c r="K218" s="18"/>
    </row>
    <row r="219" spans="1:11" ht="13.9" x14ac:dyDescent="0.25">
      <c r="A219" s="18">
        <v>1991</v>
      </c>
      <c r="B219" s="20" t="s">
        <v>30</v>
      </c>
      <c r="C219" s="20">
        <v>3</v>
      </c>
      <c r="D219" s="22" t="s">
        <v>279</v>
      </c>
      <c r="E219" s="22"/>
      <c r="F219" s="19" t="s">
        <v>280</v>
      </c>
      <c r="G219" s="18"/>
      <c r="H219" s="18"/>
      <c r="I219" s="18"/>
      <c r="J219" s="18"/>
      <c r="K219" s="18"/>
    </row>
    <row r="220" spans="1:11" ht="13.9" x14ac:dyDescent="0.25">
      <c r="A220" s="18">
        <v>1991</v>
      </c>
      <c r="B220" s="20" t="s">
        <v>30</v>
      </c>
      <c r="C220" s="20">
        <v>4</v>
      </c>
      <c r="D220" s="22" t="s">
        <v>279</v>
      </c>
      <c r="E220" s="22"/>
      <c r="F220" s="19" t="s">
        <v>280</v>
      </c>
      <c r="G220" s="18"/>
      <c r="H220" s="18"/>
      <c r="I220" s="18"/>
      <c r="J220" s="18"/>
      <c r="K220" s="18"/>
    </row>
    <row r="221" spans="1:11" ht="13.9" x14ac:dyDescent="0.25">
      <c r="A221" s="18">
        <v>1991</v>
      </c>
      <c r="B221" s="20" t="s">
        <v>30</v>
      </c>
      <c r="C221" s="20">
        <v>5</v>
      </c>
      <c r="D221" s="22" t="s">
        <v>281</v>
      </c>
      <c r="E221" s="22"/>
      <c r="F221" s="19" t="s">
        <v>282</v>
      </c>
      <c r="G221" s="18"/>
      <c r="H221" s="18"/>
      <c r="I221" s="18"/>
      <c r="J221" s="18"/>
      <c r="K221" s="18"/>
    </row>
    <row r="222" spans="1:11" ht="13.9" x14ac:dyDescent="0.25">
      <c r="A222" s="18">
        <v>1991</v>
      </c>
      <c r="B222" s="20" t="s">
        <v>30</v>
      </c>
      <c r="C222" s="20">
        <v>6</v>
      </c>
      <c r="D222" s="22" t="s">
        <v>281</v>
      </c>
      <c r="E222" s="22"/>
      <c r="F222" s="19" t="s">
        <v>283</v>
      </c>
      <c r="G222" s="18"/>
      <c r="H222" s="18"/>
      <c r="I222" s="18"/>
      <c r="J222" s="18"/>
      <c r="K222" s="18"/>
    </row>
    <row r="223" spans="1:11" ht="13.9" x14ac:dyDescent="0.25">
      <c r="A223" s="18">
        <v>1991</v>
      </c>
      <c r="B223" s="20" t="s">
        <v>30</v>
      </c>
      <c r="C223" s="20">
        <v>7</v>
      </c>
      <c r="D223" s="22" t="s">
        <v>284</v>
      </c>
      <c r="E223" s="22"/>
      <c r="F223" s="19" t="s">
        <v>285</v>
      </c>
      <c r="G223" s="18"/>
      <c r="H223" s="18"/>
      <c r="I223" s="18"/>
      <c r="J223" s="18"/>
      <c r="K223" s="18"/>
    </row>
    <row r="224" spans="1:11" ht="13.9" x14ac:dyDescent="0.25">
      <c r="A224" s="18">
        <v>1991</v>
      </c>
      <c r="B224" s="20" t="s">
        <v>30</v>
      </c>
      <c r="C224" s="20">
        <v>8</v>
      </c>
      <c r="D224" s="22" t="s">
        <v>284</v>
      </c>
      <c r="E224" s="22"/>
      <c r="F224" s="19" t="s">
        <v>285</v>
      </c>
      <c r="G224" s="18"/>
      <c r="H224" s="18"/>
      <c r="I224" s="18"/>
      <c r="J224" s="18"/>
      <c r="K224" s="18"/>
    </row>
    <row r="225" spans="1:11" ht="13.9" x14ac:dyDescent="0.25">
      <c r="A225" s="18">
        <v>1991</v>
      </c>
      <c r="B225" s="20" t="s">
        <v>30</v>
      </c>
      <c r="C225" s="20">
        <v>9</v>
      </c>
      <c r="D225" s="22" t="s">
        <v>130</v>
      </c>
      <c r="E225" s="22"/>
      <c r="F225" s="22" t="s">
        <v>286</v>
      </c>
      <c r="G225" s="18"/>
      <c r="H225" s="18"/>
      <c r="I225" s="18"/>
      <c r="J225" s="18"/>
      <c r="K225" s="18"/>
    </row>
    <row r="226" spans="1:11" ht="13.9" x14ac:dyDescent="0.25">
      <c r="A226" s="18">
        <v>1991</v>
      </c>
      <c r="B226" s="20" t="s">
        <v>30</v>
      </c>
      <c r="C226" s="20">
        <v>10</v>
      </c>
      <c r="D226" s="22" t="s">
        <v>132</v>
      </c>
      <c r="E226" s="22"/>
      <c r="F226" s="22" t="s">
        <v>287</v>
      </c>
      <c r="G226" s="18"/>
      <c r="H226" s="18"/>
      <c r="I226" s="18"/>
      <c r="J226" s="18"/>
      <c r="K226" s="18"/>
    </row>
    <row r="227" spans="1:11" ht="13.9" x14ac:dyDescent="0.25">
      <c r="A227" s="18">
        <v>1991</v>
      </c>
      <c r="B227" s="20" t="s">
        <v>30</v>
      </c>
      <c r="C227" s="20">
        <v>11</v>
      </c>
      <c r="D227" s="22" t="s">
        <v>127</v>
      </c>
      <c r="E227" s="22"/>
      <c r="F227" s="22" t="s">
        <v>288</v>
      </c>
      <c r="G227" s="18"/>
      <c r="H227" s="18"/>
      <c r="I227" s="18"/>
      <c r="J227" s="18"/>
      <c r="K227" s="18"/>
    </row>
    <row r="228" spans="1:11" ht="13.9" x14ac:dyDescent="0.25">
      <c r="A228" s="18">
        <v>1991</v>
      </c>
      <c r="B228" s="20" t="s">
        <v>30</v>
      </c>
      <c r="C228" s="20">
        <v>12</v>
      </c>
      <c r="D228" s="22" t="s">
        <v>126</v>
      </c>
      <c r="E228" s="22"/>
      <c r="F228" s="22" t="s">
        <v>289</v>
      </c>
      <c r="G228" s="18"/>
      <c r="H228" s="18"/>
      <c r="I228" s="18"/>
      <c r="J228" s="18"/>
      <c r="K228" s="18"/>
    </row>
    <row r="229" spans="1:11" ht="13.9" x14ac:dyDescent="0.25">
      <c r="A229" s="18">
        <v>1991</v>
      </c>
      <c r="B229" s="20" t="s">
        <v>30</v>
      </c>
      <c r="C229" s="20">
        <v>13</v>
      </c>
      <c r="D229" s="22" t="s">
        <v>290</v>
      </c>
      <c r="E229" s="22"/>
      <c r="F229" s="22" t="s">
        <v>291</v>
      </c>
      <c r="G229" s="18"/>
      <c r="H229" s="18"/>
      <c r="I229" s="18"/>
      <c r="J229" s="18"/>
      <c r="K229" s="18"/>
    </row>
    <row r="230" spans="1:11" ht="13.9" x14ac:dyDescent="0.25">
      <c r="A230" s="18">
        <v>1991</v>
      </c>
      <c r="B230" s="20" t="s">
        <v>30</v>
      </c>
      <c r="C230" s="20">
        <v>14</v>
      </c>
      <c r="D230" s="22" t="s">
        <v>124</v>
      </c>
      <c r="E230" s="22"/>
      <c r="F230" s="22" t="s">
        <v>292</v>
      </c>
      <c r="G230" s="18"/>
      <c r="H230" s="18"/>
      <c r="I230" s="18"/>
      <c r="J230" s="18"/>
      <c r="K230" s="18"/>
    </row>
    <row r="231" spans="1:11" ht="13.9" x14ac:dyDescent="0.25">
      <c r="A231" s="18">
        <v>1991</v>
      </c>
      <c r="B231" s="20" t="s">
        <v>30</v>
      </c>
      <c r="C231" s="20">
        <v>15</v>
      </c>
      <c r="D231" s="22" t="s">
        <v>123</v>
      </c>
      <c r="E231" s="22"/>
      <c r="F231" s="22" t="s">
        <v>293</v>
      </c>
      <c r="G231" s="18"/>
      <c r="H231" s="18"/>
      <c r="I231" s="18"/>
      <c r="J231" s="18"/>
      <c r="K231" s="18"/>
    </row>
    <row r="232" spans="1:11" ht="13.9" x14ac:dyDescent="0.25">
      <c r="A232" s="18">
        <v>1991</v>
      </c>
      <c r="B232" s="20" t="s">
        <v>30</v>
      </c>
      <c r="C232" s="20">
        <v>16</v>
      </c>
      <c r="D232" s="22" t="s">
        <v>294</v>
      </c>
      <c r="E232" s="22"/>
      <c r="F232" s="22" t="s">
        <v>295</v>
      </c>
      <c r="G232" s="18"/>
      <c r="H232" s="18"/>
      <c r="I232" s="18"/>
      <c r="J232" s="18"/>
      <c r="K232" s="18"/>
    </row>
    <row r="233" spans="1:11" ht="13.9" x14ac:dyDescent="0.25">
      <c r="A233" s="18">
        <v>1991</v>
      </c>
      <c r="B233" s="20" t="s">
        <v>30</v>
      </c>
      <c r="C233" s="20">
        <v>17</v>
      </c>
      <c r="D233" s="22" t="s">
        <v>296</v>
      </c>
      <c r="E233" s="22"/>
      <c r="F233" s="22" t="s">
        <v>297</v>
      </c>
      <c r="G233" s="18"/>
      <c r="H233" s="18"/>
      <c r="I233" s="18"/>
      <c r="J233" s="18"/>
      <c r="K233" s="18"/>
    </row>
    <row r="234" spans="1:11" ht="13.9" x14ac:dyDescent="0.25">
      <c r="A234" s="18">
        <v>1991</v>
      </c>
      <c r="B234" s="20" t="s">
        <v>30</v>
      </c>
      <c r="C234" s="20">
        <v>18</v>
      </c>
      <c r="D234" s="22" t="s">
        <v>298</v>
      </c>
      <c r="E234" s="22"/>
      <c r="F234" s="22" t="s">
        <v>299</v>
      </c>
      <c r="G234" s="18"/>
      <c r="H234" s="18"/>
      <c r="I234" s="18"/>
      <c r="J234" s="18"/>
      <c r="K234" s="18"/>
    </row>
    <row r="235" spans="1:11" ht="13.9" x14ac:dyDescent="0.25">
      <c r="A235" s="18">
        <v>1991</v>
      </c>
      <c r="B235" s="20" t="s">
        <v>30</v>
      </c>
      <c r="C235" s="20">
        <v>19</v>
      </c>
      <c r="D235" s="22" t="s">
        <v>298</v>
      </c>
      <c r="E235" s="22"/>
      <c r="F235" s="22" t="s">
        <v>299</v>
      </c>
      <c r="G235" s="18"/>
      <c r="H235" s="18"/>
      <c r="I235" s="18"/>
      <c r="J235" s="18"/>
      <c r="K235" s="18"/>
    </row>
    <row r="236" spans="1:11" ht="13.9" x14ac:dyDescent="0.25">
      <c r="A236" s="18">
        <v>1991</v>
      </c>
      <c r="B236" s="20" t="s">
        <v>30</v>
      </c>
      <c r="C236" s="20">
        <v>20</v>
      </c>
      <c r="D236" s="22" t="s">
        <v>300</v>
      </c>
      <c r="E236" s="22"/>
      <c r="F236" s="22" t="s">
        <v>301</v>
      </c>
      <c r="G236" s="18"/>
      <c r="H236" s="18"/>
      <c r="I236" s="18"/>
      <c r="J236" s="18"/>
      <c r="K236" s="18"/>
    </row>
    <row r="237" spans="1:11" ht="13.9" x14ac:dyDescent="0.25">
      <c r="A237" s="18">
        <v>1991</v>
      </c>
      <c r="B237" s="20" t="s">
        <v>30</v>
      </c>
      <c r="C237" s="20">
        <v>21</v>
      </c>
      <c r="D237" s="22" t="s">
        <v>300</v>
      </c>
      <c r="E237" s="22"/>
      <c r="F237" s="22" t="s">
        <v>301</v>
      </c>
      <c r="G237" s="18"/>
      <c r="H237" s="18"/>
      <c r="I237" s="18"/>
      <c r="J237" s="18"/>
      <c r="K237" s="18"/>
    </row>
    <row r="238" spans="1:11" ht="13.9" x14ac:dyDescent="0.25">
      <c r="A238" s="18">
        <v>1991</v>
      </c>
      <c r="B238" s="20" t="s">
        <v>30</v>
      </c>
      <c r="C238" s="20">
        <v>22</v>
      </c>
      <c r="D238" s="22" t="s">
        <v>302</v>
      </c>
      <c r="E238" s="22"/>
      <c r="F238" s="22" t="s">
        <v>303</v>
      </c>
      <c r="G238" s="18"/>
      <c r="H238" s="18"/>
      <c r="I238" s="18"/>
      <c r="J238" s="18"/>
      <c r="K238" s="18"/>
    </row>
    <row r="239" spans="1:11" ht="13.9" x14ac:dyDescent="0.25">
      <c r="A239" s="18">
        <v>1991</v>
      </c>
      <c r="B239" s="20" t="s">
        <v>30</v>
      </c>
      <c r="C239" s="20">
        <v>23</v>
      </c>
      <c r="D239" s="22" t="s">
        <v>304</v>
      </c>
      <c r="E239" s="22"/>
      <c r="F239" s="22" t="s">
        <v>305</v>
      </c>
      <c r="G239" s="18"/>
      <c r="H239" s="18"/>
      <c r="I239" s="18"/>
      <c r="J239" s="18"/>
      <c r="K239" s="18"/>
    </row>
    <row r="240" spans="1:11" ht="13.9" x14ac:dyDescent="0.25">
      <c r="A240" s="18">
        <v>1991</v>
      </c>
      <c r="B240" s="20" t="s">
        <v>30</v>
      </c>
      <c r="C240" s="20">
        <v>24</v>
      </c>
      <c r="D240" s="22" t="s">
        <v>313</v>
      </c>
      <c r="E240" s="22"/>
      <c r="F240" s="22" t="s">
        <v>306</v>
      </c>
      <c r="G240" s="18"/>
      <c r="H240" s="18"/>
      <c r="I240" s="18"/>
      <c r="J240" s="18"/>
      <c r="K240" s="18"/>
    </row>
    <row r="241" spans="1:11" ht="13.9" x14ac:dyDescent="0.25">
      <c r="A241" s="18">
        <v>1991</v>
      </c>
      <c r="B241" s="20" t="s">
        <v>30</v>
      </c>
      <c r="C241" s="20">
        <v>25</v>
      </c>
      <c r="D241" s="22" t="s">
        <v>313</v>
      </c>
      <c r="E241" s="22"/>
      <c r="F241" s="22" t="s">
        <v>307</v>
      </c>
      <c r="G241" s="18"/>
      <c r="H241" s="18"/>
      <c r="I241" s="18"/>
      <c r="J241" s="18"/>
      <c r="K241" s="18"/>
    </row>
    <row r="242" spans="1:11" ht="13.9" x14ac:dyDescent="0.25">
      <c r="A242" s="18">
        <v>1991</v>
      </c>
      <c r="B242" s="20" t="s">
        <v>30</v>
      </c>
      <c r="C242" s="20">
        <v>26</v>
      </c>
      <c r="D242" s="22" t="s">
        <v>314</v>
      </c>
      <c r="E242" s="22"/>
      <c r="F242" s="22" t="s">
        <v>308</v>
      </c>
      <c r="G242" s="18"/>
      <c r="H242" s="18"/>
      <c r="I242" s="18"/>
      <c r="J242" s="18"/>
      <c r="K242" s="18"/>
    </row>
    <row r="243" spans="1:11" ht="13.9" x14ac:dyDescent="0.25">
      <c r="A243" s="18">
        <v>1991</v>
      </c>
      <c r="B243" s="20" t="s">
        <v>30</v>
      </c>
      <c r="C243" s="20">
        <v>27</v>
      </c>
      <c r="D243" s="22" t="s">
        <v>314</v>
      </c>
      <c r="E243" s="22"/>
      <c r="F243" s="22" t="s">
        <v>308</v>
      </c>
      <c r="G243" s="18"/>
      <c r="H243" s="18"/>
      <c r="I243" s="18"/>
      <c r="J243" s="18"/>
      <c r="K243" s="18"/>
    </row>
    <row r="244" spans="1:11" ht="13.9" x14ac:dyDescent="0.25">
      <c r="A244" s="18">
        <v>1991</v>
      </c>
      <c r="B244" s="20" t="s">
        <v>30</v>
      </c>
      <c r="C244" s="20">
        <v>28</v>
      </c>
      <c r="D244" s="22" t="s">
        <v>309</v>
      </c>
      <c r="E244" s="22"/>
      <c r="F244" s="22" t="s">
        <v>310</v>
      </c>
      <c r="G244" s="18"/>
      <c r="H244" s="18"/>
      <c r="I244" s="18"/>
      <c r="J244" s="18"/>
      <c r="K244" s="18"/>
    </row>
    <row r="245" spans="1:11" ht="13.9" x14ac:dyDescent="0.25">
      <c r="A245" s="18">
        <v>1991</v>
      </c>
      <c r="B245" s="20" t="s">
        <v>30</v>
      </c>
      <c r="C245" s="20">
        <v>29</v>
      </c>
      <c r="D245" s="22" t="s">
        <v>311</v>
      </c>
      <c r="E245" s="22"/>
      <c r="F245" s="22" t="s">
        <v>312</v>
      </c>
      <c r="G245" s="18"/>
      <c r="H245" s="18"/>
      <c r="I245" s="18"/>
      <c r="J245" s="18"/>
      <c r="K245" s="18"/>
    </row>
    <row r="246" spans="1:11" ht="13.9" x14ac:dyDescent="0.25">
      <c r="A246" s="18">
        <v>1991</v>
      </c>
      <c r="B246" s="20" t="s">
        <v>30</v>
      </c>
      <c r="C246" s="20">
        <v>30</v>
      </c>
      <c r="D246" s="22" t="s">
        <v>311</v>
      </c>
      <c r="E246" s="22"/>
      <c r="F246" s="22" t="s">
        <v>312</v>
      </c>
      <c r="G246" s="18"/>
      <c r="H246" s="18"/>
      <c r="I246" s="18"/>
      <c r="J246" s="18"/>
      <c r="K246" s="18"/>
    </row>
    <row r="247" spans="1:11" ht="13.9" x14ac:dyDescent="0.25">
      <c r="A247" s="18">
        <v>1991</v>
      </c>
      <c r="B247" s="20" t="s">
        <v>30</v>
      </c>
      <c r="C247" s="20">
        <v>31</v>
      </c>
      <c r="D247" s="22" t="s">
        <v>122</v>
      </c>
      <c r="E247" s="22"/>
      <c r="F247" s="22" t="s">
        <v>122</v>
      </c>
      <c r="G247" s="18"/>
      <c r="H247" s="18"/>
      <c r="I247" s="18"/>
      <c r="J247" s="18"/>
      <c r="K247" s="18"/>
    </row>
    <row r="248" spans="1:11" ht="13.9" x14ac:dyDescent="0.25">
      <c r="A248" s="18">
        <v>1991</v>
      </c>
      <c r="B248" s="20" t="s">
        <v>31</v>
      </c>
      <c r="C248" s="20">
        <v>1</v>
      </c>
      <c r="D248" s="22" t="s">
        <v>315</v>
      </c>
      <c r="E248" s="22"/>
      <c r="F248" s="25">
        <v>4079</v>
      </c>
      <c r="G248" s="18"/>
      <c r="H248" s="18"/>
      <c r="I248" s="18"/>
      <c r="J248" s="18"/>
      <c r="K248" s="18"/>
    </row>
    <row r="249" spans="1:11" ht="13.9" x14ac:dyDescent="0.25">
      <c r="A249" s="18">
        <v>1991</v>
      </c>
      <c r="B249" s="20" t="s">
        <v>31</v>
      </c>
      <c r="C249" s="20">
        <v>2</v>
      </c>
      <c r="D249" s="22" t="s">
        <v>315</v>
      </c>
      <c r="E249" s="22"/>
      <c r="F249" s="25">
        <v>4079</v>
      </c>
      <c r="G249" s="18"/>
      <c r="H249" s="18"/>
      <c r="I249" s="18"/>
      <c r="J249" s="18"/>
      <c r="K249" s="18"/>
    </row>
    <row r="250" spans="1:11" ht="13.9" x14ac:dyDescent="0.25">
      <c r="A250" s="18">
        <v>1991</v>
      </c>
      <c r="B250" s="20" t="s">
        <v>31</v>
      </c>
      <c r="C250" s="20">
        <v>3</v>
      </c>
      <c r="D250" s="22" t="s">
        <v>304</v>
      </c>
      <c r="E250" s="22"/>
      <c r="F250" s="25">
        <v>4199</v>
      </c>
      <c r="G250" s="18"/>
      <c r="H250" s="18"/>
      <c r="I250" s="18"/>
      <c r="J250" s="18"/>
      <c r="K250" s="18"/>
    </row>
    <row r="251" spans="1:11" ht="13.9" x14ac:dyDescent="0.25">
      <c r="A251" s="18">
        <v>1991</v>
      </c>
      <c r="B251" s="20" t="s">
        <v>31</v>
      </c>
      <c r="C251" s="20">
        <v>4</v>
      </c>
      <c r="D251" s="22" t="s">
        <v>300</v>
      </c>
      <c r="E251" s="22"/>
      <c r="F251" s="25">
        <v>4267</v>
      </c>
      <c r="G251" s="18"/>
      <c r="H251" s="18"/>
      <c r="I251" s="18"/>
      <c r="J251" s="18"/>
      <c r="K251" s="18"/>
    </row>
    <row r="252" spans="1:11" ht="13.9" x14ac:dyDescent="0.25">
      <c r="A252" s="18">
        <v>1991</v>
      </c>
      <c r="B252" s="20" t="s">
        <v>31</v>
      </c>
      <c r="C252" s="20">
        <v>5</v>
      </c>
      <c r="D252" s="22" t="s">
        <v>300</v>
      </c>
      <c r="E252" s="22"/>
      <c r="F252" s="25">
        <v>4267</v>
      </c>
      <c r="G252" s="18"/>
      <c r="H252" s="18"/>
      <c r="I252" s="18"/>
      <c r="J252" s="18"/>
      <c r="K252" s="18"/>
    </row>
    <row r="253" spans="1:11" ht="13.9" x14ac:dyDescent="0.25">
      <c r="A253" s="18">
        <v>1991</v>
      </c>
      <c r="B253" s="20" t="s">
        <v>31</v>
      </c>
      <c r="C253" s="20">
        <v>6</v>
      </c>
      <c r="D253" s="22" t="s">
        <v>300</v>
      </c>
      <c r="E253" s="22"/>
      <c r="F253" s="25">
        <v>4267</v>
      </c>
      <c r="G253" s="18"/>
      <c r="H253" s="18"/>
      <c r="I253" s="18"/>
      <c r="J253" s="18"/>
      <c r="K253" s="18"/>
    </row>
    <row r="254" spans="1:11" ht="13.9" x14ac:dyDescent="0.25">
      <c r="A254" s="18">
        <v>1991</v>
      </c>
      <c r="B254" s="20" t="s">
        <v>31</v>
      </c>
      <c r="C254" s="20">
        <v>7</v>
      </c>
      <c r="D254" s="22" t="s">
        <v>300</v>
      </c>
      <c r="E254" s="22"/>
      <c r="F254" s="25">
        <v>4267</v>
      </c>
      <c r="G254" s="18"/>
      <c r="H254" s="18"/>
      <c r="I254" s="18"/>
      <c r="J254" s="18"/>
      <c r="K254" s="18"/>
    </row>
    <row r="255" spans="1:11" ht="13.9" x14ac:dyDescent="0.25">
      <c r="A255" s="18">
        <v>1991</v>
      </c>
      <c r="B255" s="20" t="s">
        <v>31</v>
      </c>
      <c r="C255" s="20">
        <v>8</v>
      </c>
      <c r="D255" s="22" t="s">
        <v>302</v>
      </c>
      <c r="E255" s="22"/>
      <c r="F255" s="25">
        <v>4223</v>
      </c>
      <c r="G255" s="18"/>
      <c r="H255" s="18"/>
      <c r="I255" s="18"/>
      <c r="J255" s="18"/>
      <c r="K255" s="18"/>
    </row>
    <row r="256" spans="1:11" ht="13.9" x14ac:dyDescent="0.25">
      <c r="A256" s="18">
        <v>1991</v>
      </c>
      <c r="B256" s="20" t="s">
        <v>31</v>
      </c>
      <c r="C256" s="20">
        <v>9</v>
      </c>
      <c r="D256" s="22" t="s">
        <v>302</v>
      </c>
      <c r="E256" s="22"/>
      <c r="F256" s="25">
        <v>4223</v>
      </c>
      <c r="G256" s="18"/>
      <c r="H256" s="18"/>
      <c r="I256" s="18"/>
      <c r="J256" s="18"/>
      <c r="K256" s="18"/>
    </row>
    <row r="257" spans="1:11" ht="13.9" x14ac:dyDescent="0.25">
      <c r="A257" s="18">
        <v>1991</v>
      </c>
      <c r="B257" s="20" t="s">
        <v>31</v>
      </c>
      <c r="C257" s="20">
        <v>10</v>
      </c>
      <c r="D257" s="22" t="s">
        <v>304</v>
      </c>
      <c r="E257" s="22"/>
      <c r="F257" s="25">
        <v>4199</v>
      </c>
      <c r="G257" s="18"/>
      <c r="H257" s="18"/>
      <c r="I257" s="18"/>
      <c r="J257" s="18"/>
      <c r="K257" s="18"/>
    </row>
    <row r="258" spans="1:11" ht="13.9" x14ac:dyDescent="0.25">
      <c r="A258" s="18">
        <v>1991</v>
      </c>
      <c r="B258" s="20" t="s">
        <v>31</v>
      </c>
      <c r="C258" s="20">
        <v>11</v>
      </c>
      <c r="D258" s="22" t="s">
        <v>304</v>
      </c>
      <c r="E258" s="22"/>
      <c r="F258" s="25">
        <v>4199</v>
      </c>
      <c r="G258" s="18"/>
      <c r="H258" s="18"/>
      <c r="I258" s="18"/>
      <c r="J258" s="18"/>
      <c r="K258" s="18"/>
    </row>
    <row r="259" spans="1:11" ht="13.9" x14ac:dyDescent="0.25">
      <c r="A259" s="18">
        <v>1991</v>
      </c>
      <c r="B259" s="20" t="s">
        <v>31</v>
      </c>
      <c r="C259" s="20">
        <v>12</v>
      </c>
      <c r="D259" s="22" t="s">
        <v>304</v>
      </c>
      <c r="E259" s="22"/>
      <c r="F259" s="25">
        <v>4199</v>
      </c>
      <c r="G259" s="18"/>
      <c r="H259" s="18"/>
      <c r="I259" s="18"/>
      <c r="J259" s="18"/>
      <c r="K259" s="18"/>
    </row>
    <row r="260" spans="1:11" ht="13.9" x14ac:dyDescent="0.25">
      <c r="A260" s="18">
        <v>1991</v>
      </c>
      <c r="B260" s="20" t="s">
        <v>31</v>
      </c>
      <c r="C260" s="20">
        <v>13</v>
      </c>
      <c r="D260" s="22" t="s">
        <v>302</v>
      </c>
      <c r="E260" s="22"/>
      <c r="F260" s="25">
        <v>4223</v>
      </c>
      <c r="G260" s="18"/>
      <c r="H260" s="18"/>
      <c r="I260" s="18"/>
      <c r="J260" s="18"/>
      <c r="K260" s="18"/>
    </row>
    <row r="261" spans="1:11" ht="13.9" x14ac:dyDescent="0.25">
      <c r="A261" s="18">
        <v>1991</v>
      </c>
      <c r="B261" s="20" t="s">
        <v>31</v>
      </c>
      <c r="C261" s="20">
        <v>14</v>
      </c>
      <c r="D261" s="22" t="s">
        <v>302</v>
      </c>
      <c r="E261" s="22"/>
      <c r="F261" s="25">
        <v>4223</v>
      </c>
      <c r="G261" s="18"/>
      <c r="H261" s="18"/>
      <c r="I261" s="18"/>
      <c r="J261" s="18"/>
      <c r="K261" s="18"/>
    </row>
    <row r="262" spans="1:11" ht="13.9" x14ac:dyDescent="0.25">
      <c r="A262" s="18">
        <v>1991</v>
      </c>
      <c r="B262" s="20" t="s">
        <v>31</v>
      </c>
      <c r="C262" s="20">
        <v>15</v>
      </c>
      <c r="D262" s="22" t="s">
        <v>323</v>
      </c>
      <c r="E262" s="22"/>
      <c r="F262" s="25">
        <v>1785</v>
      </c>
      <c r="G262" s="18"/>
      <c r="H262" s="18"/>
      <c r="I262" s="18"/>
      <c r="J262" s="18"/>
      <c r="K262" s="18"/>
    </row>
    <row r="263" spans="1:11" ht="13.9" x14ac:dyDescent="0.25">
      <c r="A263" s="18">
        <v>1991</v>
      </c>
      <c r="B263" s="20" t="s">
        <v>31</v>
      </c>
      <c r="C263" s="20">
        <v>16</v>
      </c>
      <c r="D263" s="22" t="s">
        <v>323</v>
      </c>
      <c r="E263" s="22"/>
      <c r="F263" s="25">
        <v>1785</v>
      </c>
      <c r="G263" s="18"/>
      <c r="H263" s="18"/>
      <c r="I263" s="18"/>
      <c r="J263" s="18"/>
      <c r="K263" s="18"/>
    </row>
    <row r="264" spans="1:11" ht="13.9" x14ac:dyDescent="0.25">
      <c r="A264" s="18">
        <v>1991</v>
      </c>
      <c r="B264" s="20" t="s">
        <v>31</v>
      </c>
      <c r="C264" s="20">
        <v>17</v>
      </c>
      <c r="D264" s="22" t="s">
        <v>309</v>
      </c>
      <c r="E264" s="22"/>
      <c r="F264" s="22" t="s">
        <v>122</v>
      </c>
      <c r="G264" s="18"/>
      <c r="H264" s="18"/>
      <c r="I264" s="18"/>
      <c r="J264" s="18"/>
      <c r="K264" s="18"/>
    </row>
    <row r="265" spans="1:11" ht="13.9" x14ac:dyDescent="0.25">
      <c r="A265" s="18">
        <v>1991</v>
      </c>
      <c r="B265" s="20" t="s">
        <v>31</v>
      </c>
      <c r="C265" s="20">
        <v>18</v>
      </c>
      <c r="D265" s="22" t="s">
        <v>316</v>
      </c>
      <c r="E265" s="22"/>
      <c r="F265" s="22" t="s">
        <v>122</v>
      </c>
      <c r="G265" s="18"/>
      <c r="H265" s="18"/>
      <c r="I265" s="18"/>
      <c r="J265" s="18"/>
      <c r="K265" s="18"/>
    </row>
    <row r="266" spans="1:11" ht="13.9" x14ac:dyDescent="0.25">
      <c r="A266" s="18">
        <v>1991</v>
      </c>
      <c r="B266" s="20" t="s">
        <v>31</v>
      </c>
      <c r="C266" s="20">
        <v>19</v>
      </c>
      <c r="D266" s="22" t="s">
        <v>122</v>
      </c>
      <c r="E266" s="22"/>
      <c r="F266" s="22" t="s">
        <v>122</v>
      </c>
      <c r="G266" s="18"/>
      <c r="H266" s="18"/>
      <c r="I266" s="18"/>
      <c r="J266" s="18"/>
      <c r="K266" s="18"/>
    </row>
    <row r="267" spans="1:11" ht="13.9" x14ac:dyDescent="0.25">
      <c r="A267" s="18">
        <v>1991</v>
      </c>
      <c r="B267" s="20" t="s">
        <v>31</v>
      </c>
      <c r="C267" s="20">
        <v>20</v>
      </c>
      <c r="D267" s="22" t="s">
        <v>315</v>
      </c>
      <c r="E267" s="22"/>
      <c r="F267" s="22" t="s">
        <v>122</v>
      </c>
      <c r="G267" s="18"/>
      <c r="H267" s="18"/>
      <c r="I267" s="18"/>
      <c r="J267" s="18"/>
      <c r="K267" s="18"/>
    </row>
    <row r="268" spans="1:11" ht="13.9" x14ac:dyDescent="0.25">
      <c r="A268" s="18">
        <v>1991</v>
      </c>
      <c r="B268" s="20" t="s">
        <v>31</v>
      </c>
      <c r="C268" s="20">
        <v>21</v>
      </c>
      <c r="D268" s="22" t="s">
        <v>317</v>
      </c>
      <c r="E268" s="22"/>
      <c r="F268" s="22" t="s">
        <v>122</v>
      </c>
      <c r="G268" s="18"/>
      <c r="H268" s="18"/>
      <c r="I268" s="18"/>
      <c r="J268" s="18"/>
      <c r="K268" s="18"/>
    </row>
    <row r="269" spans="1:11" ht="13.9" x14ac:dyDescent="0.25">
      <c r="A269" s="18">
        <v>1991</v>
      </c>
      <c r="B269" s="20" t="s">
        <v>31</v>
      </c>
      <c r="C269" s="20">
        <v>22</v>
      </c>
      <c r="D269" s="22" t="s">
        <v>317</v>
      </c>
      <c r="E269" s="22"/>
      <c r="F269" s="22" t="s">
        <v>122</v>
      </c>
      <c r="G269" s="18"/>
      <c r="H269" s="18"/>
      <c r="I269" s="18"/>
      <c r="J269" s="18"/>
      <c r="K269" s="18"/>
    </row>
    <row r="270" spans="1:11" ht="13.9" x14ac:dyDescent="0.25">
      <c r="A270" s="18">
        <v>1991</v>
      </c>
      <c r="B270" s="20" t="s">
        <v>31</v>
      </c>
      <c r="C270" s="20">
        <v>23</v>
      </c>
      <c r="D270" s="22" t="s">
        <v>318</v>
      </c>
      <c r="E270" s="22"/>
      <c r="F270" s="22" t="s">
        <v>122</v>
      </c>
      <c r="G270" s="18"/>
      <c r="H270" s="18"/>
      <c r="I270" s="18"/>
      <c r="J270" s="18"/>
      <c r="K270" s="18"/>
    </row>
    <row r="271" spans="1:11" ht="13.9" x14ac:dyDescent="0.25">
      <c r="A271" s="18">
        <v>1991</v>
      </c>
      <c r="B271" s="20" t="s">
        <v>31</v>
      </c>
      <c r="C271" s="20">
        <v>24</v>
      </c>
      <c r="D271" s="22" t="s">
        <v>318</v>
      </c>
      <c r="E271" s="22"/>
      <c r="F271" s="22" t="s">
        <v>122</v>
      </c>
      <c r="G271" s="18"/>
      <c r="H271" s="18"/>
      <c r="I271" s="18"/>
      <c r="J271" s="18"/>
      <c r="K271" s="18"/>
    </row>
    <row r="272" spans="1:11" ht="13.9" x14ac:dyDescent="0.25">
      <c r="A272" s="18">
        <v>1991</v>
      </c>
      <c r="B272" s="20" t="s">
        <v>31</v>
      </c>
      <c r="C272" s="20">
        <v>25</v>
      </c>
      <c r="D272" s="22" t="s">
        <v>319</v>
      </c>
      <c r="E272" s="22"/>
      <c r="F272" s="22" t="s">
        <v>122</v>
      </c>
      <c r="G272" s="18"/>
      <c r="H272" s="18"/>
      <c r="I272" s="18"/>
      <c r="J272" s="18"/>
      <c r="K272" s="18"/>
    </row>
    <row r="273" spans="1:11" ht="13.9" x14ac:dyDescent="0.25">
      <c r="A273" s="18">
        <v>1991</v>
      </c>
      <c r="B273" s="20" t="s">
        <v>31</v>
      </c>
      <c r="C273" s="20">
        <v>26</v>
      </c>
      <c r="D273" s="22" t="s">
        <v>320</v>
      </c>
      <c r="E273" s="22"/>
      <c r="F273" s="22" t="s">
        <v>122</v>
      </c>
      <c r="G273" s="18"/>
      <c r="H273" s="18"/>
      <c r="I273" s="18"/>
      <c r="J273" s="18"/>
      <c r="K273" s="18"/>
    </row>
    <row r="274" spans="1:11" ht="13.9" x14ac:dyDescent="0.25">
      <c r="A274" s="18">
        <v>1991</v>
      </c>
      <c r="B274" s="20" t="s">
        <v>31</v>
      </c>
      <c r="C274" s="20">
        <v>27</v>
      </c>
      <c r="D274" s="22" t="s">
        <v>320</v>
      </c>
      <c r="E274" s="22"/>
      <c r="F274" s="22" t="s">
        <v>122</v>
      </c>
      <c r="G274" s="18"/>
      <c r="H274" s="18"/>
      <c r="I274" s="18"/>
      <c r="J274" s="18"/>
      <c r="K274" s="18"/>
    </row>
    <row r="275" spans="1:11" ht="13.9" x14ac:dyDescent="0.25">
      <c r="A275" s="18">
        <v>1991</v>
      </c>
      <c r="B275" s="20" t="s">
        <v>31</v>
      </c>
      <c r="C275" s="20">
        <v>28</v>
      </c>
      <c r="D275" s="22" t="s">
        <v>321</v>
      </c>
      <c r="E275" s="22"/>
      <c r="F275" s="22" t="s">
        <v>122</v>
      </c>
      <c r="G275" s="18"/>
      <c r="H275" s="18"/>
      <c r="I275" s="18"/>
      <c r="J275" s="18"/>
      <c r="K275" s="18"/>
    </row>
    <row r="276" spans="1:11" ht="13.9" x14ac:dyDescent="0.25">
      <c r="A276" s="18">
        <v>1991</v>
      </c>
      <c r="B276" s="20" t="s">
        <v>31</v>
      </c>
      <c r="C276" s="20">
        <v>29</v>
      </c>
      <c r="D276" s="22" t="s">
        <v>321</v>
      </c>
      <c r="E276" s="22"/>
      <c r="F276" s="22" t="s">
        <v>122</v>
      </c>
      <c r="G276" s="18"/>
      <c r="H276" s="18"/>
      <c r="I276" s="18"/>
      <c r="J276" s="18"/>
      <c r="K276" s="18"/>
    </row>
    <row r="277" spans="1:11" ht="13.9" x14ac:dyDescent="0.25">
      <c r="A277" s="18">
        <v>1991</v>
      </c>
      <c r="B277" s="20" t="s">
        <v>31</v>
      </c>
      <c r="C277" s="20">
        <v>30</v>
      </c>
      <c r="D277" s="22" t="s">
        <v>322</v>
      </c>
      <c r="E277" s="22"/>
      <c r="F277" s="22" t="s">
        <v>122</v>
      </c>
      <c r="G277" s="18"/>
      <c r="H277" s="18"/>
      <c r="I277" s="18"/>
      <c r="J277" s="18"/>
      <c r="K277" s="18"/>
    </row>
    <row r="278" spans="1:11" ht="13.9" x14ac:dyDescent="0.25">
      <c r="A278" s="18">
        <v>1991</v>
      </c>
      <c r="B278" s="20" t="s">
        <v>1750</v>
      </c>
      <c r="C278" s="20">
        <v>1</v>
      </c>
      <c r="D278" s="22" t="s">
        <v>321</v>
      </c>
      <c r="E278" s="22"/>
      <c r="F278" s="25">
        <v>3400</v>
      </c>
      <c r="G278" s="18"/>
      <c r="H278" s="18"/>
      <c r="I278" s="18"/>
      <c r="J278" s="18"/>
      <c r="K278" s="18"/>
    </row>
    <row r="279" spans="1:11" ht="13.9" x14ac:dyDescent="0.25">
      <c r="A279" s="18">
        <v>1991</v>
      </c>
      <c r="B279" s="20" t="s">
        <v>1750</v>
      </c>
      <c r="C279" s="20">
        <v>2</v>
      </c>
      <c r="D279" s="22" t="s">
        <v>322</v>
      </c>
      <c r="E279" s="22"/>
      <c r="F279" s="25">
        <v>3350</v>
      </c>
      <c r="G279" s="18"/>
      <c r="H279" s="18"/>
      <c r="I279" s="18"/>
      <c r="J279" s="18"/>
      <c r="K279" s="18"/>
    </row>
    <row r="280" spans="1:11" ht="13.9" x14ac:dyDescent="0.25">
      <c r="A280" s="18">
        <v>1991</v>
      </c>
      <c r="B280" s="20" t="s">
        <v>1750</v>
      </c>
      <c r="C280" s="20">
        <v>3</v>
      </c>
      <c r="D280" s="22" t="s">
        <v>322</v>
      </c>
      <c r="E280" s="22"/>
      <c r="F280" s="25">
        <v>3350</v>
      </c>
      <c r="G280" s="18"/>
      <c r="H280" s="18"/>
      <c r="I280" s="18"/>
      <c r="J280" s="18"/>
      <c r="K280" s="18"/>
    </row>
    <row r="281" spans="1:11" ht="13.9" x14ac:dyDescent="0.25">
      <c r="A281" s="18">
        <v>1991</v>
      </c>
      <c r="B281" s="20" t="s">
        <v>1750</v>
      </c>
      <c r="C281" s="20">
        <v>4</v>
      </c>
      <c r="D281" s="22" t="s">
        <v>317</v>
      </c>
      <c r="E281" s="22"/>
      <c r="F281" s="25">
        <v>3500</v>
      </c>
      <c r="G281" s="18"/>
      <c r="H281" s="18"/>
      <c r="I281" s="18"/>
      <c r="J281" s="18"/>
      <c r="K281" s="18"/>
    </row>
    <row r="282" spans="1:11" ht="13.9" x14ac:dyDescent="0.25">
      <c r="A282" s="18">
        <v>1991</v>
      </c>
      <c r="B282" s="20" t="s">
        <v>1750</v>
      </c>
      <c r="C282" s="20">
        <v>5</v>
      </c>
      <c r="D282" s="22" t="s">
        <v>317</v>
      </c>
      <c r="E282" s="22"/>
      <c r="F282" s="25">
        <v>3500</v>
      </c>
      <c r="G282" s="18"/>
      <c r="H282" s="18"/>
      <c r="I282" s="18"/>
      <c r="J282" s="18"/>
      <c r="K282" s="18"/>
    </row>
    <row r="283" spans="1:11" ht="13.9" x14ac:dyDescent="0.25">
      <c r="A283" s="18">
        <v>1991</v>
      </c>
      <c r="B283" s="20" t="s">
        <v>1750</v>
      </c>
      <c r="C283" s="20">
        <v>6</v>
      </c>
      <c r="D283" s="22" t="s">
        <v>318</v>
      </c>
      <c r="E283" s="22"/>
      <c r="F283" s="25">
        <v>3475</v>
      </c>
      <c r="G283" s="18"/>
      <c r="H283" s="18"/>
      <c r="I283" s="18"/>
      <c r="J283" s="18"/>
      <c r="K283" s="18"/>
    </row>
    <row r="284" spans="1:11" ht="13.9" x14ac:dyDescent="0.25">
      <c r="A284" s="18">
        <v>1991</v>
      </c>
      <c r="B284" s="20" t="s">
        <v>1750</v>
      </c>
      <c r="C284" s="20">
        <v>7</v>
      </c>
      <c r="D284" s="22" t="s">
        <v>318</v>
      </c>
      <c r="E284" s="22"/>
      <c r="F284" s="25">
        <v>3475</v>
      </c>
      <c r="G284" s="18"/>
      <c r="H284" s="18"/>
      <c r="I284" s="18"/>
      <c r="J284" s="18"/>
      <c r="K284" s="18"/>
    </row>
    <row r="285" spans="1:11" ht="13.9" x14ac:dyDescent="0.25">
      <c r="A285" s="18">
        <v>1991</v>
      </c>
      <c r="B285" s="20" t="s">
        <v>1750</v>
      </c>
      <c r="C285" s="20">
        <v>8</v>
      </c>
      <c r="D285" s="22" t="s">
        <v>319</v>
      </c>
      <c r="E285" s="22"/>
      <c r="F285" s="25">
        <v>3450</v>
      </c>
      <c r="G285" s="18"/>
      <c r="H285" s="18"/>
      <c r="I285" s="18"/>
      <c r="J285" s="18"/>
      <c r="K285" s="18"/>
    </row>
    <row r="286" spans="1:11" ht="13.9" x14ac:dyDescent="0.25">
      <c r="A286" s="18">
        <v>1991</v>
      </c>
      <c r="B286" s="20" t="s">
        <v>1750</v>
      </c>
      <c r="C286" s="20">
        <v>9</v>
      </c>
      <c r="D286" s="22" t="s">
        <v>319</v>
      </c>
      <c r="E286" s="22"/>
      <c r="F286" s="25">
        <v>3450</v>
      </c>
      <c r="G286" s="18"/>
      <c r="H286" s="18"/>
      <c r="I286" s="18"/>
      <c r="J286" s="18"/>
      <c r="K286" s="18"/>
    </row>
    <row r="287" spans="1:11" ht="13.9" x14ac:dyDescent="0.25">
      <c r="A287" s="18">
        <v>1991</v>
      </c>
      <c r="B287" s="20" t="s">
        <v>1750</v>
      </c>
      <c r="C287" s="20">
        <v>10</v>
      </c>
      <c r="D287" s="22" t="s">
        <v>320</v>
      </c>
      <c r="E287" s="22"/>
      <c r="F287" s="25">
        <v>3425</v>
      </c>
      <c r="G287" s="18"/>
      <c r="H287" s="18"/>
      <c r="I287" s="18"/>
      <c r="J287" s="18"/>
      <c r="K287" s="18"/>
    </row>
    <row r="288" spans="1:11" ht="13.9" x14ac:dyDescent="0.25">
      <c r="A288" s="18">
        <v>1991</v>
      </c>
      <c r="B288" s="20" t="s">
        <v>1750</v>
      </c>
      <c r="C288" s="20">
        <v>11</v>
      </c>
      <c r="D288" s="22" t="s">
        <v>320</v>
      </c>
      <c r="E288" s="22"/>
      <c r="F288" s="25">
        <v>3425</v>
      </c>
      <c r="G288" s="18"/>
      <c r="H288" s="18"/>
      <c r="I288" s="18"/>
      <c r="J288" s="18"/>
      <c r="K288" s="18"/>
    </row>
    <row r="289" spans="1:11" ht="13.9" x14ac:dyDescent="0.25">
      <c r="A289" s="18">
        <v>1991</v>
      </c>
      <c r="B289" s="20" t="s">
        <v>1750</v>
      </c>
      <c r="C289" s="20">
        <v>12</v>
      </c>
      <c r="D289" s="22" t="s">
        <v>321</v>
      </c>
      <c r="E289" s="22"/>
      <c r="F289" s="25">
        <v>3400</v>
      </c>
      <c r="G289" s="18"/>
      <c r="H289" s="18"/>
      <c r="I289" s="18"/>
      <c r="J289" s="18"/>
      <c r="K289" s="18"/>
    </row>
    <row r="290" spans="1:11" ht="13.9" x14ac:dyDescent="0.25">
      <c r="A290" s="18">
        <v>1991</v>
      </c>
      <c r="B290" s="20" t="s">
        <v>1750</v>
      </c>
      <c r="C290" s="20">
        <v>13</v>
      </c>
      <c r="D290" s="22" t="s">
        <v>321</v>
      </c>
      <c r="E290" s="22"/>
      <c r="F290" s="25">
        <v>3400</v>
      </c>
      <c r="G290" s="18"/>
      <c r="H290" s="18"/>
      <c r="I290" s="18"/>
      <c r="J290" s="18"/>
      <c r="K290" s="18"/>
    </row>
    <row r="291" spans="1:11" ht="13.9" x14ac:dyDescent="0.25">
      <c r="A291" s="18">
        <v>1991</v>
      </c>
      <c r="B291" s="20" t="s">
        <v>1750</v>
      </c>
      <c r="C291" s="20">
        <v>14</v>
      </c>
      <c r="D291" s="22" t="s">
        <v>322</v>
      </c>
      <c r="E291" s="22"/>
      <c r="F291" s="25">
        <v>3350</v>
      </c>
      <c r="G291" s="18"/>
      <c r="H291" s="18"/>
      <c r="I291" s="18"/>
      <c r="J291" s="18"/>
      <c r="K291" s="18"/>
    </row>
    <row r="292" spans="1:11" ht="13.9" x14ac:dyDescent="0.25">
      <c r="A292" s="18">
        <v>1991</v>
      </c>
      <c r="B292" s="20" t="s">
        <v>1750</v>
      </c>
      <c r="C292" s="20">
        <v>15</v>
      </c>
      <c r="D292" s="22" t="s">
        <v>322</v>
      </c>
      <c r="E292" s="22"/>
      <c r="F292" s="25">
        <v>3350</v>
      </c>
      <c r="G292" s="18"/>
      <c r="H292" s="18"/>
      <c r="I292" s="18"/>
      <c r="J292" s="18"/>
      <c r="K292" s="18"/>
    </row>
    <row r="293" spans="1:11" ht="13.9" x14ac:dyDescent="0.25">
      <c r="A293" s="18">
        <v>1991</v>
      </c>
      <c r="B293" s="20" t="s">
        <v>1750</v>
      </c>
      <c r="C293" s="20">
        <v>16</v>
      </c>
      <c r="D293" s="22" t="s">
        <v>321</v>
      </c>
      <c r="E293" s="22"/>
      <c r="F293" s="25">
        <v>3400</v>
      </c>
      <c r="G293" s="18"/>
      <c r="H293" s="18"/>
      <c r="I293" s="18"/>
      <c r="J293" s="18"/>
      <c r="K293" s="18"/>
    </row>
    <row r="294" spans="1:11" ht="13.9" x14ac:dyDescent="0.25">
      <c r="A294" s="18">
        <v>1991</v>
      </c>
      <c r="B294" s="20" t="s">
        <v>1750</v>
      </c>
      <c r="C294" s="20">
        <v>17</v>
      </c>
      <c r="D294" s="22" t="s">
        <v>320</v>
      </c>
      <c r="E294" s="22"/>
      <c r="F294" s="25">
        <v>3425</v>
      </c>
      <c r="G294" s="18"/>
      <c r="H294" s="18"/>
      <c r="I294" s="18"/>
      <c r="J294" s="18"/>
      <c r="K294" s="18"/>
    </row>
    <row r="295" spans="1:11" ht="13.9" x14ac:dyDescent="0.25">
      <c r="A295" s="18">
        <v>1991</v>
      </c>
      <c r="B295" s="20" t="s">
        <v>1750</v>
      </c>
      <c r="C295" s="20">
        <v>18</v>
      </c>
      <c r="D295" s="22" t="s">
        <v>319</v>
      </c>
      <c r="E295" s="22"/>
      <c r="F295" s="20">
        <v>3450</v>
      </c>
      <c r="G295" s="18"/>
      <c r="H295" s="18"/>
      <c r="I295" s="18"/>
      <c r="J295" s="18"/>
      <c r="K295" s="18"/>
    </row>
    <row r="296" spans="1:11" ht="13.9" x14ac:dyDescent="0.25">
      <c r="A296" s="18">
        <v>1991</v>
      </c>
      <c r="B296" s="20" t="s">
        <v>1750</v>
      </c>
      <c r="C296" s="20">
        <v>19</v>
      </c>
      <c r="D296" s="22" t="s">
        <v>318</v>
      </c>
      <c r="E296" s="22"/>
      <c r="F296" s="20">
        <v>3475</v>
      </c>
      <c r="G296" s="18"/>
      <c r="H296" s="18"/>
      <c r="I296" s="18"/>
      <c r="J296" s="18"/>
      <c r="K296" s="18"/>
    </row>
    <row r="297" spans="1:11" ht="13.9" x14ac:dyDescent="0.25">
      <c r="A297" s="18">
        <v>1991</v>
      </c>
      <c r="B297" s="20" t="s">
        <v>1750</v>
      </c>
      <c r="C297" s="20">
        <v>20</v>
      </c>
      <c r="D297" s="22" t="s">
        <v>317</v>
      </c>
      <c r="E297" s="22"/>
      <c r="F297" s="20">
        <v>3500</v>
      </c>
      <c r="G297" s="18"/>
      <c r="H297" s="18"/>
      <c r="I297" s="18"/>
      <c r="J297" s="18"/>
      <c r="K297" s="18"/>
    </row>
    <row r="298" spans="1:11" ht="13.9" x14ac:dyDescent="0.25">
      <c r="A298" s="18">
        <v>1991</v>
      </c>
      <c r="B298" s="20" t="s">
        <v>1750</v>
      </c>
      <c r="C298" s="20">
        <v>21</v>
      </c>
      <c r="D298" s="22" t="s">
        <v>315</v>
      </c>
      <c r="E298" s="22"/>
      <c r="F298" s="20">
        <v>3525</v>
      </c>
      <c r="G298" s="18"/>
      <c r="H298" s="18"/>
      <c r="I298" s="18"/>
      <c r="J298" s="18"/>
      <c r="K298" s="18"/>
    </row>
    <row r="299" spans="1:11" ht="13.9" x14ac:dyDescent="0.25">
      <c r="A299" s="18">
        <v>1991</v>
      </c>
      <c r="B299" s="20" t="s">
        <v>1750</v>
      </c>
      <c r="C299" s="20">
        <v>22</v>
      </c>
      <c r="D299" s="22" t="s">
        <v>315</v>
      </c>
      <c r="E299" s="22"/>
      <c r="F299" s="20">
        <v>3525</v>
      </c>
      <c r="G299" s="18"/>
      <c r="H299" s="18"/>
      <c r="I299" s="18"/>
      <c r="J299" s="18"/>
      <c r="K299" s="18"/>
    </row>
    <row r="300" spans="1:11" ht="13.9" x14ac:dyDescent="0.25">
      <c r="A300" s="18">
        <v>1991</v>
      </c>
      <c r="B300" s="20" t="s">
        <v>1750</v>
      </c>
      <c r="C300" s="20">
        <v>23</v>
      </c>
      <c r="D300" s="22" t="s">
        <v>296</v>
      </c>
      <c r="E300" s="22"/>
      <c r="F300" s="20">
        <v>3750</v>
      </c>
      <c r="G300" s="18"/>
      <c r="H300" s="18"/>
      <c r="I300" s="18"/>
      <c r="J300" s="18"/>
      <c r="K300" s="18"/>
    </row>
    <row r="301" spans="1:11" ht="13.9" x14ac:dyDescent="0.25">
      <c r="A301" s="18">
        <v>1991</v>
      </c>
      <c r="B301" s="20" t="s">
        <v>1750</v>
      </c>
      <c r="C301" s="20">
        <v>24</v>
      </c>
      <c r="D301" s="22" t="s">
        <v>294</v>
      </c>
      <c r="E301" s="22"/>
      <c r="F301" s="20">
        <v>3600</v>
      </c>
      <c r="G301" s="18"/>
      <c r="H301" s="18"/>
      <c r="I301" s="18"/>
      <c r="J301" s="18"/>
      <c r="K301" s="18"/>
    </row>
    <row r="302" spans="1:11" ht="13.9" x14ac:dyDescent="0.25">
      <c r="A302" s="18">
        <v>1991</v>
      </c>
      <c r="B302" s="20" t="s">
        <v>1750</v>
      </c>
      <c r="C302" s="20">
        <v>25</v>
      </c>
      <c r="D302" s="22" t="s">
        <v>153</v>
      </c>
      <c r="E302" s="22"/>
      <c r="F302" s="25">
        <v>5350</v>
      </c>
      <c r="G302" s="18"/>
      <c r="H302" s="18"/>
      <c r="I302" s="18"/>
      <c r="J302" s="18"/>
      <c r="K302" s="18"/>
    </row>
    <row r="303" spans="1:11" ht="13.9" x14ac:dyDescent="0.25">
      <c r="A303" s="18">
        <v>1991</v>
      </c>
      <c r="B303" s="20" t="s">
        <v>1750</v>
      </c>
      <c r="C303" s="20">
        <v>26</v>
      </c>
      <c r="D303" s="22" t="s">
        <v>239</v>
      </c>
      <c r="E303" s="22"/>
      <c r="F303" s="25">
        <v>5700</v>
      </c>
      <c r="G303" s="18"/>
      <c r="H303" s="18"/>
      <c r="I303" s="18"/>
      <c r="J303" s="18"/>
      <c r="K303" s="18"/>
    </row>
    <row r="304" spans="1:11" ht="13.9" x14ac:dyDescent="0.25">
      <c r="A304" s="18">
        <v>1991</v>
      </c>
      <c r="B304" s="20" t="s">
        <v>1750</v>
      </c>
      <c r="C304" s="20">
        <v>27</v>
      </c>
      <c r="D304" s="22" t="s">
        <v>236</v>
      </c>
      <c r="E304" s="22"/>
      <c r="F304" s="25">
        <v>5800</v>
      </c>
      <c r="G304" s="18"/>
      <c r="H304" s="18"/>
      <c r="I304" s="18"/>
      <c r="J304" s="18"/>
      <c r="K304" s="18"/>
    </row>
    <row r="305" spans="1:11" ht="13.9" x14ac:dyDescent="0.25">
      <c r="A305" s="18">
        <v>1991</v>
      </c>
      <c r="B305" s="20" t="s">
        <v>1750</v>
      </c>
      <c r="C305" s="20">
        <v>28</v>
      </c>
      <c r="D305" s="22" t="s">
        <v>231</v>
      </c>
      <c r="E305" s="22"/>
      <c r="F305" s="25">
        <v>5875</v>
      </c>
      <c r="G305" s="18"/>
      <c r="H305" s="18"/>
      <c r="I305" s="18"/>
      <c r="J305" s="18"/>
      <c r="K305" s="18"/>
    </row>
    <row r="306" spans="1:11" ht="13.9" x14ac:dyDescent="0.25">
      <c r="A306" s="18">
        <v>1991</v>
      </c>
      <c r="B306" s="20" t="s">
        <v>1750</v>
      </c>
      <c r="C306" s="20">
        <v>29</v>
      </c>
      <c r="D306" s="22" t="s">
        <v>163</v>
      </c>
      <c r="E306" s="22"/>
      <c r="F306" s="25">
        <v>5950</v>
      </c>
      <c r="G306" s="18"/>
      <c r="H306" s="18"/>
      <c r="I306" s="18"/>
      <c r="J306" s="18"/>
      <c r="K306" s="18"/>
    </row>
    <row r="307" spans="1:11" ht="13.9" x14ac:dyDescent="0.25">
      <c r="A307" s="18">
        <v>1991</v>
      </c>
      <c r="B307" s="20" t="s">
        <v>1750</v>
      </c>
      <c r="C307" s="20">
        <v>30</v>
      </c>
      <c r="D307" s="22" t="s">
        <v>163</v>
      </c>
      <c r="E307" s="22"/>
      <c r="F307" s="25">
        <v>5950</v>
      </c>
      <c r="G307" s="18"/>
      <c r="H307" s="18"/>
      <c r="I307" s="18"/>
      <c r="J307" s="18"/>
      <c r="K307" s="18"/>
    </row>
    <row r="308" spans="1:11" ht="13.9" x14ac:dyDescent="0.25">
      <c r="A308" s="18">
        <v>1991</v>
      </c>
      <c r="B308" s="20" t="s">
        <v>1750</v>
      </c>
      <c r="C308" s="20">
        <v>31</v>
      </c>
      <c r="D308" s="22" t="s">
        <v>163</v>
      </c>
      <c r="E308" s="22"/>
      <c r="F308" s="25">
        <v>5950</v>
      </c>
      <c r="G308" s="18"/>
      <c r="H308" s="18"/>
      <c r="I308" s="18"/>
      <c r="J308" s="18"/>
      <c r="K308" s="18"/>
    </row>
    <row r="309" spans="1:11" ht="13.9" x14ac:dyDescent="0.25">
      <c r="A309" s="18">
        <v>1991</v>
      </c>
      <c r="B309" s="20" t="s">
        <v>32</v>
      </c>
      <c r="C309" s="20">
        <v>1</v>
      </c>
      <c r="D309" s="22" t="s">
        <v>163</v>
      </c>
      <c r="E309" s="22"/>
      <c r="F309" s="20">
        <v>5950</v>
      </c>
      <c r="G309" s="18"/>
      <c r="H309" s="18"/>
      <c r="I309" s="18"/>
      <c r="J309" s="18"/>
      <c r="K309" s="18"/>
    </row>
    <row r="310" spans="1:11" ht="13.9" x14ac:dyDescent="0.25">
      <c r="A310" s="18">
        <v>1991</v>
      </c>
      <c r="B310" s="20" t="s">
        <v>32</v>
      </c>
      <c r="C310" s="20">
        <v>2</v>
      </c>
      <c r="D310" s="22" t="s">
        <v>163</v>
      </c>
      <c r="E310" s="22"/>
      <c r="F310" s="20">
        <v>5950</v>
      </c>
      <c r="G310" s="18"/>
      <c r="H310" s="18"/>
      <c r="I310" s="18"/>
      <c r="J310" s="18"/>
      <c r="K310" s="18"/>
    </row>
    <row r="311" spans="1:11" ht="13.9" x14ac:dyDescent="0.25">
      <c r="A311" s="18">
        <v>1991</v>
      </c>
      <c r="B311" s="20" t="s">
        <v>32</v>
      </c>
      <c r="C311" s="20">
        <v>3</v>
      </c>
      <c r="D311" s="22" t="s">
        <v>163</v>
      </c>
      <c r="E311" s="22"/>
      <c r="F311" s="20">
        <v>5950</v>
      </c>
      <c r="G311" s="18"/>
      <c r="H311" s="18"/>
      <c r="I311" s="18"/>
      <c r="J311" s="18"/>
      <c r="K311" s="18"/>
    </row>
    <row r="312" spans="1:11" ht="13.9" x14ac:dyDescent="0.25">
      <c r="A312" s="18">
        <v>1991</v>
      </c>
      <c r="B312" s="20" t="s">
        <v>32</v>
      </c>
      <c r="C312" s="20">
        <v>4</v>
      </c>
      <c r="D312" s="22" t="s">
        <v>169</v>
      </c>
      <c r="E312" s="22"/>
      <c r="F312" s="20">
        <v>6150</v>
      </c>
      <c r="G312" s="18"/>
      <c r="H312" s="18"/>
      <c r="I312" s="18"/>
      <c r="J312" s="18"/>
      <c r="K312" s="18"/>
    </row>
    <row r="313" spans="1:11" ht="13.9" x14ac:dyDescent="0.25">
      <c r="A313" s="18">
        <v>1991</v>
      </c>
      <c r="B313" s="20" t="s">
        <v>32</v>
      </c>
      <c r="C313" s="20">
        <v>5</v>
      </c>
      <c r="D313" s="22" t="s">
        <v>171</v>
      </c>
      <c r="E313" s="22"/>
      <c r="F313" s="20">
        <v>6250</v>
      </c>
      <c r="G313" s="18"/>
      <c r="H313" s="18"/>
      <c r="I313" s="18"/>
      <c r="J313" s="18"/>
      <c r="K313" s="18"/>
    </row>
    <row r="314" spans="1:11" ht="13.9" x14ac:dyDescent="0.25">
      <c r="A314" s="18">
        <v>1991</v>
      </c>
      <c r="B314" s="20" t="s">
        <v>32</v>
      </c>
      <c r="C314" s="20">
        <v>6</v>
      </c>
      <c r="D314" s="22" t="s">
        <v>122</v>
      </c>
      <c r="E314" s="22"/>
      <c r="F314" s="22" t="s">
        <v>122</v>
      </c>
      <c r="G314" s="18"/>
      <c r="H314" s="18"/>
      <c r="I314" s="18"/>
      <c r="J314" s="18"/>
      <c r="K314" s="18"/>
    </row>
    <row r="315" spans="1:11" ht="13.9" x14ac:dyDescent="0.25">
      <c r="A315" s="18">
        <v>1991</v>
      </c>
      <c r="B315" s="20" t="s">
        <v>32</v>
      </c>
      <c r="C315" s="20">
        <v>7</v>
      </c>
      <c r="D315" s="22" t="s">
        <v>194</v>
      </c>
      <c r="E315" s="22"/>
      <c r="F315" s="25">
        <v>6800</v>
      </c>
      <c r="G315" s="18"/>
      <c r="H315" s="18"/>
      <c r="I315" s="18"/>
      <c r="J315" s="18"/>
      <c r="K315" s="18"/>
    </row>
    <row r="316" spans="1:11" ht="13.9" x14ac:dyDescent="0.25">
      <c r="A316" s="18">
        <v>1991</v>
      </c>
      <c r="B316" s="20" t="s">
        <v>32</v>
      </c>
      <c r="C316" s="20">
        <v>8</v>
      </c>
      <c r="D316" s="22" t="s">
        <v>118</v>
      </c>
      <c r="E316" s="22"/>
      <c r="F316" s="20">
        <v>6950</v>
      </c>
      <c r="G316" s="18"/>
      <c r="H316" s="18"/>
      <c r="I316" s="18"/>
      <c r="J316" s="18"/>
      <c r="K316" s="18"/>
    </row>
    <row r="317" spans="1:11" ht="13.9" x14ac:dyDescent="0.25">
      <c r="A317" s="18">
        <v>1991</v>
      </c>
      <c r="B317" s="20" t="s">
        <v>32</v>
      </c>
      <c r="C317" s="20">
        <v>9</v>
      </c>
      <c r="D317" s="22" t="s">
        <v>108</v>
      </c>
      <c r="E317" s="22"/>
      <c r="F317" s="20">
        <v>7000</v>
      </c>
      <c r="G317" s="18"/>
      <c r="H317" s="18"/>
      <c r="I317" s="18"/>
      <c r="J317" s="18"/>
      <c r="K317" s="18"/>
    </row>
    <row r="318" spans="1:11" ht="13.9" x14ac:dyDescent="0.25">
      <c r="A318" s="18">
        <v>1991</v>
      </c>
      <c r="B318" s="20" t="s">
        <v>32</v>
      </c>
      <c r="C318" s="20">
        <v>10</v>
      </c>
      <c r="D318" s="22" t="s">
        <v>116</v>
      </c>
      <c r="E318" s="22"/>
      <c r="F318" s="20">
        <v>7050</v>
      </c>
      <c r="G318" s="18"/>
      <c r="H318" s="18"/>
      <c r="I318" s="18"/>
      <c r="J318" s="18"/>
      <c r="K318" s="18"/>
    </row>
    <row r="319" spans="1:11" ht="13.9" x14ac:dyDescent="0.25">
      <c r="A319" s="18">
        <v>1991</v>
      </c>
      <c r="B319" s="20" t="s">
        <v>32</v>
      </c>
      <c r="C319" s="20">
        <v>11</v>
      </c>
      <c r="D319" s="22" t="s">
        <v>110</v>
      </c>
      <c r="E319" s="22"/>
      <c r="F319" s="20">
        <v>7100</v>
      </c>
      <c r="G319" s="18"/>
      <c r="H319" s="18"/>
      <c r="I319" s="18"/>
      <c r="J319" s="18"/>
      <c r="K319" s="18"/>
    </row>
    <row r="320" spans="1:11" ht="13.9" x14ac:dyDescent="0.25">
      <c r="A320" s="18">
        <v>1991</v>
      </c>
      <c r="B320" s="20" t="s">
        <v>32</v>
      </c>
      <c r="C320" s="20">
        <v>12</v>
      </c>
      <c r="D320" s="22" t="s">
        <v>1</v>
      </c>
      <c r="E320" s="22"/>
      <c r="F320" s="20">
        <v>7300</v>
      </c>
      <c r="G320" s="18"/>
      <c r="H320" s="18"/>
      <c r="I320" s="18"/>
      <c r="J320" s="18"/>
      <c r="K320" s="18"/>
    </row>
    <row r="321" spans="1:11" ht="13.9" x14ac:dyDescent="0.25">
      <c r="A321" s="18">
        <v>1991</v>
      </c>
      <c r="B321" s="20" t="s">
        <v>32</v>
      </c>
      <c r="C321" s="20">
        <v>13</v>
      </c>
      <c r="D321" s="22" t="s">
        <v>3</v>
      </c>
      <c r="E321" s="22"/>
      <c r="F321" s="25">
        <v>7400</v>
      </c>
      <c r="G321" s="18"/>
      <c r="H321" s="18"/>
      <c r="I321" s="18"/>
      <c r="J321" s="18"/>
      <c r="K321" s="18"/>
    </row>
    <row r="322" spans="1:11" ht="13.9" x14ac:dyDescent="0.25">
      <c r="A322" s="18">
        <v>1991</v>
      </c>
      <c r="B322" s="20" t="s">
        <v>32</v>
      </c>
      <c r="C322" s="20">
        <v>14</v>
      </c>
      <c r="D322" s="22" t="s">
        <v>324</v>
      </c>
      <c r="E322" s="22"/>
      <c r="F322" s="25">
        <v>7425</v>
      </c>
      <c r="G322" s="18"/>
      <c r="H322" s="18"/>
      <c r="I322" s="18"/>
      <c r="J322" s="18"/>
      <c r="K322" s="18"/>
    </row>
    <row r="323" spans="1:11" ht="13.9" x14ac:dyDescent="0.25">
      <c r="A323" s="18">
        <v>1991</v>
      </c>
      <c r="B323" s="20" t="s">
        <v>32</v>
      </c>
      <c r="C323" s="20">
        <v>15</v>
      </c>
      <c r="D323" s="22" t="s">
        <v>331</v>
      </c>
      <c r="E323" s="22"/>
      <c r="F323" s="20">
        <v>7900</v>
      </c>
      <c r="G323" s="18"/>
      <c r="H323" s="18"/>
      <c r="I323" s="18"/>
      <c r="J323" s="18"/>
      <c r="K323" s="18"/>
    </row>
    <row r="324" spans="1:11" ht="13.9" x14ac:dyDescent="0.25">
      <c r="A324" s="18">
        <v>1991</v>
      </c>
      <c r="B324" s="20" t="s">
        <v>32</v>
      </c>
      <c r="C324" s="20">
        <v>16</v>
      </c>
      <c r="D324" s="22" t="s">
        <v>90</v>
      </c>
      <c r="E324" s="22"/>
      <c r="F324" s="20">
        <v>8250</v>
      </c>
      <c r="G324" s="18"/>
      <c r="H324" s="18"/>
      <c r="I324" s="18"/>
      <c r="J324" s="18"/>
      <c r="K324" s="18"/>
    </row>
    <row r="325" spans="1:11" ht="13.9" x14ac:dyDescent="0.25">
      <c r="A325" s="18">
        <v>1991</v>
      </c>
      <c r="B325" s="20" t="s">
        <v>32</v>
      </c>
      <c r="C325" s="20">
        <v>17</v>
      </c>
      <c r="D325" s="22" t="s">
        <v>86</v>
      </c>
      <c r="E325" s="22"/>
      <c r="F325" s="20">
        <v>8400</v>
      </c>
      <c r="G325" s="18"/>
      <c r="H325" s="18"/>
      <c r="I325" s="18"/>
      <c r="J325" s="18"/>
      <c r="K325" s="18"/>
    </row>
    <row r="326" spans="1:11" ht="13.9" x14ac:dyDescent="0.25">
      <c r="A326" s="18">
        <v>1991</v>
      </c>
      <c r="B326" s="20" t="s">
        <v>32</v>
      </c>
      <c r="C326" s="20">
        <v>18</v>
      </c>
      <c r="D326" s="22" t="s">
        <v>325</v>
      </c>
      <c r="E326" s="22"/>
      <c r="F326" s="20">
        <v>8500</v>
      </c>
      <c r="G326" s="18"/>
      <c r="H326" s="18"/>
      <c r="I326" s="18"/>
      <c r="J326" s="18"/>
      <c r="K326" s="18"/>
    </row>
    <row r="327" spans="1:11" ht="13.9" x14ac:dyDescent="0.25">
      <c r="A327" s="18">
        <v>1991</v>
      </c>
      <c r="B327" s="20" t="s">
        <v>32</v>
      </c>
      <c r="C327" s="20">
        <v>19</v>
      </c>
      <c r="D327" s="22" t="s">
        <v>325</v>
      </c>
      <c r="E327" s="22"/>
      <c r="F327" s="20">
        <v>8500</v>
      </c>
      <c r="G327" s="18"/>
      <c r="H327" s="18"/>
      <c r="I327" s="18"/>
      <c r="J327" s="18"/>
      <c r="K327" s="18"/>
    </row>
    <row r="328" spans="1:11" ht="13.9" x14ac:dyDescent="0.25">
      <c r="A328" s="18">
        <v>1991</v>
      </c>
      <c r="B328" s="20" t="s">
        <v>32</v>
      </c>
      <c r="C328" s="20">
        <v>20</v>
      </c>
      <c r="D328" s="22" t="s">
        <v>326</v>
      </c>
      <c r="E328" s="22"/>
      <c r="F328" s="20">
        <v>8700</v>
      </c>
      <c r="G328" s="18"/>
      <c r="H328" s="18"/>
      <c r="I328" s="18"/>
      <c r="J328" s="18"/>
      <c r="K328" s="18"/>
    </row>
    <row r="329" spans="1:11" ht="13.9" x14ac:dyDescent="0.25">
      <c r="A329" s="18">
        <v>1991</v>
      </c>
      <c r="B329" s="20" t="s">
        <v>32</v>
      </c>
      <c r="C329" s="20">
        <v>21</v>
      </c>
      <c r="D329" s="22" t="s">
        <v>122</v>
      </c>
      <c r="E329" s="22"/>
      <c r="F329" s="22" t="s">
        <v>122</v>
      </c>
      <c r="G329" s="18"/>
      <c r="H329" s="18"/>
      <c r="I329" s="18"/>
      <c r="J329" s="18"/>
      <c r="K329" s="18"/>
    </row>
    <row r="330" spans="1:11" ht="13.9" x14ac:dyDescent="0.25">
      <c r="A330" s="18">
        <v>1991</v>
      </c>
      <c r="B330" s="20" t="s">
        <v>32</v>
      </c>
      <c r="C330" s="20">
        <v>22</v>
      </c>
      <c r="D330" s="22" t="s">
        <v>68</v>
      </c>
      <c r="E330" s="22"/>
      <c r="F330" s="20">
        <v>9400</v>
      </c>
      <c r="G330" s="18"/>
      <c r="H330" s="18"/>
      <c r="I330" s="18"/>
      <c r="J330" s="18"/>
      <c r="K330" s="18"/>
    </row>
    <row r="331" spans="1:11" ht="13.9" x14ac:dyDescent="0.25">
      <c r="A331" s="18">
        <v>1991</v>
      </c>
      <c r="B331" s="20" t="s">
        <v>32</v>
      </c>
      <c r="C331" s="20">
        <v>23</v>
      </c>
      <c r="D331" s="22" t="s">
        <v>62</v>
      </c>
      <c r="E331" s="22"/>
      <c r="F331" s="20">
        <v>9600</v>
      </c>
      <c r="G331" s="18"/>
      <c r="H331" s="18"/>
      <c r="I331" s="18"/>
      <c r="J331" s="18"/>
      <c r="K331" s="18"/>
    </row>
    <row r="332" spans="1:11" ht="13.9" x14ac:dyDescent="0.25">
      <c r="A332" s="18">
        <v>1991</v>
      </c>
      <c r="B332" s="20" t="s">
        <v>32</v>
      </c>
      <c r="C332" s="20">
        <v>24</v>
      </c>
      <c r="D332" s="22" t="s">
        <v>54</v>
      </c>
      <c r="E332" s="22"/>
      <c r="F332" s="20">
        <v>9950</v>
      </c>
      <c r="G332" s="18"/>
      <c r="H332" s="18"/>
      <c r="I332" s="18"/>
      <c r="J332" s="18"/>
      <c r="K332" s="18"/>
    </row>
    <row r="333" spans="1:11" ht="13.9" x14ac:dyDescent="0.25">
      <c r="A333" s="18">
        <v>1991</v>
      </c>
      <c r="B333" s="20" t="s">
        <v>32</v>
      </c>
      <c r="C333" s="20">
        <v>25</v>
      </c>
      <c r="D333" s="22" t="s">
        <v>327</v>
      </c>
      <c r="E333" s="22"/>
      <c r="F333" s="20">
        <v>10150</v>
      </c>
      <c r="G333" s="18"/>
      <c r="H333" s="18"/>
      <c r="I333" s="18"/>
      <c r="J333" s="18"/>
      <c r="K333" s="18"/>
    </row>
    <row r="334" spans="1:11" ht="13.9" x14ac:dyDescent="0.25">
      <c r="A334" s="18">
        <v>1991</v>
      </c>
      <c r="B334" s="20" t="s">
        <v>32</v>
      </c>
      <c r="C334" s="20">
        <v>26</v>
      </c>
      <c r="D334" s="22" t="s">
        <v>330</v>
      </c>
      <c r="E334" s="22"/>
      <c r="F334" s="20">
        <v>10200</v>
      </c>
      <c r="G334" s="18"/>
      <c r="H334" s="18"/>
      <c r="I334" s="18"/>
      <c r="J334" s="18"/>
      <c r="K334" s="18"/>
    </row>
    <row r="335" spans="1:11" ht="13.9" x14ac:dyDescent="0.25">
      <c r="A335" s="18">
        <v>1991</v>
      </c>
      <c r="B335" s="20" t="s">
        <v>32</v>
      </c>
      <c r="C335" s="20">
        <v>27</v>
      </c>
      <c r="D335" s="22" t="s">
        <v>346</v>
      </c>
      <c r="E335" s="22"/>
      <c r="F335" s="20">
        <v>10250</v>
      </c>
      <c r="G335" s="18"/>
      <c r="H335" s="18"/>
      <c r="I335" s="18"/>
      <c r="J335" s="18"/>
      <c r="K335" s="18"/>
    </row>
    <row r="336" spans="1:11" ht="13.9" x14ac:dyDescent="0.25">
      <c r="A336" s="18">
        <v>1991</v>
      </c>
      <c r="B336" s="20" t="s">
        <v>32</v>
      </c>
      <c r="C336" s="20">
        <v>28</v>
      </c>
      <c r="D336" s="22" t="s">
        <v>49</v>
      </c>
      <c r="E336" s="22"/>
      <c r="F336" s="20">
        <v>10300</v>
      </c>
      <c r="G336" s="18"/>
      <c r="H336" s="18"/>
      <c r="I336" s="18"/>
      <c r="J336" s="18"/>
      <c r="K336" s="18"/>
    </row>
    <row r="337" spans="1:11" ht="13.9" x14ac:dyDescent="0.25">
      <c r="A337" s="18">
        <v>1991</v>
      </c>
      <c r="B337" s="20" t="s">
        <v>32</v>
      </c>
      <c r="C337" s="20">
        <v>29</v>
      </c>
      <c r="D337" s="22" t="s">
        <v>49</v>
      </c>
      <c r="E337" s="22"/>
      <c r="F337" s="25">
        <v>10300</v>
      </c>
      <c r="G337" s="18"/>
      <c r="H337" s="18"/>
      <c r="I337" s="18"/>
      <c r="J337" s="18"/>
      <c r="K337" s="18"/>
    </row>
    <row r="338" spans="1:11" ht="13.9" x14ac:dyDescent="0.25">
      <c r="A338" s="18">
        <v>1991</v>
      </c>
      <c r="B338" s="20" t="s">
        <v>32</v>
      </c>
      <c r="C338" s="20">
        <v>30</v>
      </c>
      <c r="D338" s="22" t="s">
        <v>329</v>
      </c>
      <c r="E338" s="22"/>
      <c r="F338" s="25">
        <v>10350</v>
      </c>
      <c r="G338" s="18"/>
      <c r="H338" s="18"/>
      <c r="I338" s="18"/>
      <c r="J338" s="18"/>
      <c r="K338" s="18"/>
    </row>
    <row r="339" spans="1:11" ht="13.9" x14ac:dyDescent="0.25">
      <c r="A339" s="18">
        <v>1991</v>
      </c>
      <c r="B339" s="20" t="s">
        <v>33</v>
      </c>
      <c r="C339" s="20">
        <v>1</v>
      </c>
      <c r="D339" s="22" t="s">
        <v>329</v>
      </c>
      <c r="E339" s="22"/>
      <c r="F339" s="25">
        <v>10350</v>
      </c>
      <c r="G339" s="18"/>
      <c r="H339" s="18"/>
      <c r="I339" s="18"/>
      <c r="J339" s="18"/>
      <c r="K339" s="18"/>
    </row>
    <row r="340" spans="1:11" ht="13.9" x14ac:dyDescent="0.25">
      <c r="A340" s="18">
        <v>1991</v>
      </c>
      <c r="B340" s="20" t="s">
        <v>33</v>
      </c>
      <c r="C340" s="20">
        <v>2</v>
      </c>
      <c r="D340" s="22" t="s">
        <v>329</v>
      </c>
      <c r="E340" s="22"/>
      <c r="F340" s="25">
        <v>10350</v>
      </c>
      <c r="G340" s="18"/>
      <c r="H340" s="18"/>
      <c r="I340" s="18"/>
      <c r="J340" s="18"/>
      <c r="K340" s="18"/>
    </row>
    <row r="341" spans="1:11" ht="13.9" x14ac:dyDescent="0.25">
      <c r="A341" s="18">
        <v>1991</v>
      </c>
      <c r="B341" s="20" t="s">
        <v>33</v>
      </c>
      <c r="C341" s="20">
        <v>3</v>
      </c>
      <c r="D341" s="22" t="s">
        <v>49</v>
      </c>
      <c r="E341" s="22"/>
      <c r="F341" s="25">
        <v>10300</v>
      </c>
      <c r="G341" s="18"/>
      <c r="H341" s="18"/>
      <c r="I341" s="18"/>
      <c r="J341" s="18"/>
      <c r="K341" s="18"/>
    </row>
    <row r="342" spans="1:11" ht="13.9" x14ac:dyDescent="0.25">
      <c r="A342" s="18">
        <v>1991</v>
      </c>
      <c r="B342" s="20" t="s">
        <v>33</v>
      </c>
      <c r="C342" s="20">
        <v>4</v>
      </c>
      <c r="D342" s="22" t="s">
        <v>328</v>
      </c>
      <c r="E342" s="22"/>
      <c r="F342" s="25">
        <v>10200</v>
      </c>
      <c r="G342" s="18"/>
      <c r="H342" s="18"/>
      <c r="I342" s="18"/>
      <c r="J342" s="18"/>
      <c r="K342" s="18"/>
    </row>
    <row r="343" spans="1:11" ht="13.9" x14ac:dyDescent="0.25">
      <c r="A343" s="18">
        <v>1991</v>
      </c>
      <c r="B343" s="20" t="s">
        <v>33</v>
      </c>
      <c r="C343" s="20">
        <v>5</v>
      </c>
      <c r="D343" s="22" t="s">
        <v>327</v>
      </c>
      <c r="E343" s="22"/>
      <c r="F343" s="25">
        <v>10150</v>
      </c>
      <c r="G343" s="18"/>
      <c r="H343" s="18"/>
      <c r="I343" s="18"/>
      <c r="J343" s="18"/>
      <c r="K343" s="18"/>
    </row>
    <row r="344" spans="1:11" ht="13.9" x14ac:dyDescent="0.25">
      <c r="A344" s="18">
        <v>1991</v>
      </c>
      <c r="B344" s="20" t="s">
        <v>33</v>
      </c>
      <c r="C344" s="20">
        <v>6</v>
      </c>
      <c r="D344" s="22" t="s">
        <v>7</v>
      </c>
      <c r="E344" s="22"/>
      <c r="F344" s="25">
        <v>10000</v>
      </c>
      <c r="G344" s="18"/>
      <c r="H344" s="18"/>
      <c r="I344" s="18"/>
      <c r="J344" s="18"/>
      <c r="K344" s="18"/>
    </row>
    <row r="345" spans="1:11" ht="13.9" x14ac:dyDescent="0.25">
      <c r="A345" s="18">
        <v>1991</v>
      </c>
      <c r="B345" s="20" t="s">
        <v>33</v>
      </c>
      <c r="C345" s="20">
        <v>7</v>
      </c>
      <c r="D345" s="22" t="s">
        <v>56</v>
      </c>
      <c r="E345" s="22"/>
      <c r="F345" s="25">
        <v>9900</v>
      </c>
      <c r="G345" s="18"/>
      <c r="H345" s="18"/>
      <c r="I345" s="18"/>
      <c r="J345" s="18"/>
      <c r="K345" s="18"/>
    </row>
    <row r="346" spans="1:11" ht="13.9" x14ac:dyDescent="0.25">
      <c r="A346" s="18">
        <v>1991</v>
      </c>
      <c r="B346" s="20" t="s">
        <v>33</v>
      </c>
      <c r="C346" s="20">
        <v>8</v>
      </c>
      <c r="D346" s="22" t="s">
        <v>58</v>
      </c>
      <c r="E346" s="22"/>
      <c r="F346" s="25">
        <v>9800</v>
      </c>
      <c r="G346" s="18"/>
      <c r="H346" s="18"/>
      <c r="I346" s="18"/>
      <c r="J346" s="18"/>
      <c r="K346" s="18"/>
    </row>
    <row r="347" spans="1:11" ht="13.9" x14ac:dyDescent="0.25">
      <c r="A347" s="18">
        <v>1991</v>
      </c>
      <c r="B347" s="20" t="s">
        <v>33</v>
      </c>
      <c r="C347" s="20">
        <v>9</v>
      </c>
      <c r="D347" s="22" t="s">
        <v>60</v>
      </c>
      <c r="E347" s="22"/>
      <c r="F347" s="25">
        <v>9700</v>
      </c>
      <c r="G347" s="18"/>
      <c r="H347" s="18"/>
      <c r="I347" s="18"/>
      <c r="J347" s="18"/>
      <c r="K347" s="18"/>
    </row>
    <row r="348" spans="1:11" ht="13.9" x14ac:dyDescent="0.25">
      <c r="A348" s="18">
        <v>1991</v>
      </c>
      <c r="B348" s="20" t="s">
        <v>33</v>
      </c>
      <c r="C348" s="20">
        <v>10</v>
      </c>
      <c r="D348" s="22" t="s">
        <v>64</v>
      </c>
      <c r="E348" s="22"/>
      <c r="F348" s="25">
        <v>9500</v>
      </c>
      <c r="G348" s="18"/>
      <c r="H348" s="18"/>
      <c r="I348" s="18"/>
      <c r="J348" s="18"/>
      <c r="K348" s="18"/>
    </row>
    <row r="349" spans="1:11" ht="13.9" x14ac:dyDescent="0.25">
      <c r="A349" s="18">
        <v>1991</v>
      </c>
      <c r="B349" s="20" t="s">
        <v>33</v>
      </c>
      <c r="C349" s="20">
        <v>11</v>
      </c>
      <c r="D349" s="22" t="s">
        <v>68</v>
      </c>
      <c r="E349" s="22"/>
      <c r="F349" s="25">
        <v>9400</v>
      </c>
      <c r="G349" s="18"/>
      <c r="H349" s="18"/>
      <c r="I349" s="18"/>
      <c r="J349" s="18"/>
      <c r="K349" s="18"/>
    </row>
    <row r="350" spans="1:11" ht="13.9" x14ac:dyDescent="0.25">
      <c r="A350" s="18">
        <v>1991</v>
      </c>
      <c r="B350" s="20" t="s">
        <v>33</v>
      </c>
      <c r="C350" s="20">
        <v>12</v>
      </c>
      <c r="D350" s="22" t="s">
        <v>68</v>
      </c>
      <c r="E350" s="22"/>
      <c r="F350" s="25">
        <v>9400</v>
      </c>
      <c r="G350" s="18"/>
      <c r="H350" s="18"/>
      <c r="I350" s="18"/>
      <c r="J350" s="18"/>
      <c r="K350" s="18"/>
    </row>
    <row r="351" spans="1:11" ht="13.9" x14ac:dyDescent="0.25">
      <c r="A351" s="18">
        <v>1991</v>
      </c>
      <c r="B351" s="20" t="s">
        <v>33</v>
      </c>
      <c r="C351" s="20">
        <v>13</v>
      </c>
      <c r="D351" s="22" t="s">
        <v>56</v>
      </c>
      <c r="E351" s="22"/>
      <c r="F351" s="20">
        <v>9900</v>
      </c>
      <c r="G351" s="18"/>
      <c r="H351" s="18"/>
      <c r="I351" s="18"/>
      <c r="J351" s="18"/>
      <c r="K351" s="18"/>
    </row>
    <row r="352" spans="1:11" ht="13.9" x14ac:dyDescent="0.25">
      <c r="A352" s="18">
        <v>1991</v>
      </c>
      <c r="B352" s="20" t="s">
        <v>33</v>
      </c>
      <c r="C352" s="20">
        <v>14</v>
      </c>
      <c r="D352" s="22" t="s">
        <v>332</v>
      </c>
      <c r="E352" s="22"/>
      <c r="F352" s="20">
        <v>12200</v>
      </c>
      <c r="G352" s="18"/>
      <c r="H352" s="18"/>
      <c r="I352" s="18"/>
      <c r="J352" s="18"/>
      <c r="K352" s="18"/>
    </row>
    <row r="353" spans="1:11" ht="13.9" x14ac:dyDescent="0.25">
      <c r="A353" s="18">
        <v>1991</v>
      </c>
      <c r="B353" s="20" t="s">
        <v>33</v>
      </c>
      <c r="C353" s="20">
        <v>15</v>
      </c>
      <c r="D353" s="22" t="s">
        <v>333</v>
      </c>
      <c r="E353" s="22"/>
      <c r="F353" s="20">
        <v>13800</v>
      </c>
      <c r="G353" s="18"/>
      <c r="H353" s="18"/>
      <c r="I353" s="18"/>
      <c r="J353" s="18"/>
      <c r="K353" s="18"/>
    </row>
    <row r="354" spans="1:11" ht="13.9" x14ac:dyDescent="0.25">
      <c r="A354" s="18">
        <v>1991</v>
      </c>
      <c r="B354" s="20" t="s">
        <v>33</v>
      </c>
      <c r="C354" s="20">
        <v>16</v>
      </c>
      <c r="D354" s="22" t="s">
        <v>334</v>
      </c>
      <c r="E354" s="22"/>
      <c r="F354" s="20">
        <v>15400</v>
      </c>
      <c r="G354" s="18"/>
      <c r="H354" s="18"/>
      <c r="I354" s="18"/>
      <c r="J354" s="18"/>
      <c r="K354" s="18"/>
    </row>
    <row r="355" spans="1:11" ht="13.9" x14ac:dyDescent="0.25">
      <c r="A355" s="18">
        <v>1991</v>
      </c>
      <c r="B355" s="20" t="s">
        <v>33</v>
      </c>
      <c r="C355" s="20">
        <v>17</v>
      </c>
      <c r="D355" s="22" t="s">
        <v>335</v>
      </c>
      <c r="E355" s="22"/>
      <c r="F355" s="20">
        <v>16400</v>
      </c>
      <c r="G355" s="18"/>
      <c r="H355" s="18"/>
      <c r="I355" s="18"/>
      <c r="J355" s="18"/>
      <c r="K355" s="18"/>
    </row>
    <row r="356" spans="1:11" ht="13.9" x14ac:dyDescent="0.25">
      <c r="A356" s="18">
        <v>1991</v>
      </c>
      <c r="B356" s="20" t="s">
        <v>33</v>
      </c>
      <c r="C356" s="20">
        <v>18</v>
      </c>
      <c r="D356" s="22" t="s">
        <v>336</v>
      </c>
      <c r="E356" s="22"/>
      <c r="F356" s="20">
        <v>16700</v>
      </c>
      <c r="G356" s="18"/>
      <c r="H356" s="18"/>
      <c r="I356" s="18"/>
      <c r="J356" s="18"/>
      <c r="K356" s="18"/>
    </row>
    <row r="357" spans="1:11" ht="13.9" x14ac:dyDescent="0.25">
      <c r="A357" s="18">
        <v>1991</v>
      </c>
      <c r="B357" s="20" t="s">
        <v>33</v>
      </c>
      <c r="C357" s="20">
        <v>19</v>
      </c>
      <c r="D357" s="22" t="s">
        <v>337</v>
      </c>
      <c r="E357" s="22"/>
      <c r="F357" s="25">
        <v>16950</v>
      </c>
      <c r="G357" s="18"/>
      <c r="H357" s="18"/>
      <c r="I357" s="18"/>
      <c r="J357" s="18"/>
      <c r="K357" s="18"/>
    </row>
    <row r="358" spans="1:11" ht="13.9" x14ac:dyDescent="0.25">
      <c r="A358" s="18">
        <v>1991</v>
      </c>
      <c r="B358" s="20" t="s">
        <v>33</v>
      </c>
      <c r="C358" s="20">
        <v>20</v>
      </c>
      <c r="D358" s="22" t="s">
        <v>338</v>
      </c>
      <c r="E358" s="22"/>
      <c r="F358" s="25">
        <v>17500</v>
      </c>
      <c r="G358" s="18"/>
      <c r="H358" s="18"/>
      <c r="I358" s="18"/>
      <c r="J358" s="18"/>
      <c r="K358" s="18"/>
    </row>
    <row r="359" spans="1:11" ht="13.9" x14ac:dyDescent="0.25">
      <c r="A359" s="18">
        <v>1991</v>
      </c>
      <c r="B359" s="20" t="s">
        <v>33</v>
      </c>
      <c r="C359" s="20">
        <v>21</v>
      </c>
      <c r="D359" s="22" t="s">
        <v>339</v>
      </c>
      <c r="E359" s="22"/>
      <c r="F359" s="25">
        <v>17800</v>
      </c>
      <c r="G359" s="18"/>
      <c r="H359" s="18"/>
      <c r="I359" s="18"/>
      <c r="J359" s="18"/>
      <c r="K359" s="18"/>
    </row>
    <row r="360" spans="1:11" ht="13.9" x14ac:dyDescent="0.25">
      <c r="A360" s="18">
        <v>1991</v>
      </c>
      <c r="B360" s="20" t="s">
        <v>33</v>
      </c>
      <c r="C360" s="20">
        <v>22</v>
      </c>
      <c r="D360" s="22" t="s">
        <v>340</v>
      </c>
      <c r="E360" s="22"/>
      <c r="F360" s="20">
        <v>18000</v>
      </c>
      <c r="G360" s="18"/>
      <c r="H360" s="18"/>
      <c r="I360" s="18"/>
      <c r="J360" s="18"/>
      <c r="K360" s="18"/>
    </row>
    <row r="361" spans="1:11" ht="13.9" x14ac:dyDescent="0.25">
      <c r="A361" s="18">
        <v>1991</v>
      </c>
      <c r="B361" s="20" t="s">
        <v>33</v>
      </c>
      <c r="C361" s="20">
        <v>23</v>
      </c>
      <c r="D361" s="22" t="s">
        <v>341</v>
      </c>
      <c r="E361" s="22"/>
      <c r="F361" s="20">
        <v>18250</v>
      </c>
      <c r="G361" s="18"/>
      <c r="H361" s="18"/>
      <c r="I361" s="18"/>
      <c r="J361" s="18"/>
      <c r="K361" s="18"/>
    </row>
    <row r="362" spans="1:11" ht="13.9" x14ac:dyDescent="0.25">
      <c r="A362" s="18">
        <v>1991</v>
      </c>
      <c r="B362" s="20" t="s">
        <v>33</v>
      </c>
      <c r="C362" s="20">
        <v>24</v>
      </c>
      <c r="D362" s="22" t="s">
        <v>341</v>
      </c>
      <c r="E362" s="22"/>
      <c r="F362" s="20">
        <v>18250</v>
      </c>
      <c r="G362" s="18"/>
      <c r="H362" s="18"/>
      <c r="I362" s="18"/>
      <c r="J362" s="18"/>
      <c r="K362" s="18"/>
    </row>
    <row r="363" spans="1:11" ht="13.9" x14ac:dyDescent="0.25">
      <c r="A363" s="18">
        <v>1991</v>
      </c>
      <c r="B363" s="20" t="s">
        <v>33</v>
      </c>
      <c r="C363" s="20">
        <v>25</v>
      </c>
      <c r="D363" s="22" t="s">
        <v>340</v>
      </c>
      <c r="E363" s="22"/>
      <c r="F363" s="20">
        <v>18000</v>
      </c>
      <c r="G363" s="18"/>
      <c r="H363" s="18"/>
      <c r="I363" s="18"/>
      <c r="J363" s="18"/>
      <c r="K363" s="18"/>
    </row>
    <row r="364" spans="1:11" ht="13.9" x14ac:dyDescent="0.25">
      <c r="A364" s="18">
        <v>1991</v>
      </c>
      <c r="B364" s="20" t="s">
        <v>33</v>
      </c>
      <c r="C364" s="20">
        <v>26</v>
      </c>
      <c r="D364" s="22" t="s">
        <v>339</v>
      </c>
      <c r="E364" s="22"/>
      <c r="F364" s="20">
        <v>17800</v>
      </c>
      <c r="G364" s="18"/>
      <c r="H364" s="18"/>
      <c r="I364" s="18"/>
      <c r="J364" s="18"/>
      <c r="K364" s="18"/>
    </row>
    <row r="365" spans="1:11" ht="13.9" x14ac:dyDescent="0.25">
      <c r="A365" s="18">
        <v>1991</v>
      </c>
      <c r="B365" s="20" t="s">
        <v>33</v>
      </c>
      <c r="C365" s="20">
        <v>27</v>
      </c>
      <c r="D365" s="22" t="s">
        <v>342</v>
      </c>
      <c r="E365" s="22"/>
      <c r="F365" s="20">
        <v>17600</v>
      </c>
      <c r="G365" s="18"/>
      <c r="H365" s="18"/>
      <c r="I365" s="18"/>
      <c r="J365" s="18"/>
      <c r="K365" s="18"/>
    </row>
    <row r="366" spans="1:11" ht="13.9" x14ac:dyDescent="0.25">
      <c r="A366" s="18">
        <v>1991</v>
      </c>
      <c r="B366" s="20" t="s">
        <v>33</v>
      </c>
      <c r="C366" s="20">
        <v>28</v>
      </c>
      <c r="D366" s="22" t="s">
        <v>342</v>
      </c>
      <c r="E366" s="22"/>
      <c r="F366" s="25">
        <v>17600</v>
      </c>
      <c r="G366" s="18"/>
      <c r="H366" s="18"/>
      <c r="I366" s="18"/>
      <c r="J366" s="18"/>
      <c r="K366" s="18"/>
    </row>
    <row r="367" spans="1:11" ht="13.9" x14ac:dyDescent="0.25">
      <c r="A367" s="18">
        <v>1991</v>
      </c>
      <c r="B367" s="20" t="s">
        <v>33</v>
      </c>
      <c r="C367" s="20">
        <v>29</v>
      </c>
      <c r="D367" s="22" t="s">
        <v>343</v>
      </c>
      <c r="E367" s="22"/>
      <c r="F367" s="25">
        <v>20450</v>
      </c>
      <c r="G367" s="18"/>
      <c r="H367" s="18"/>
      <c r="I367" s="18"/>
      <c r="J367" s="18"/>
      <c r="K367" s="18"/>
    </row>
    <row r="368" spans="1:11" ht="13.9" x14ac:dyDescent="0.25">
      <c r="A368" s="18">
        <v>1991</v>
      </c>
      <c r="B368" s="20" t="s">
        <v>33</v>
      </c>
      <c r="C368" s="20">
        <v>30</v>
      </c>
      <c r="D368" s="22" t="s">
        <v>344</v>
      </c>
      <c r="E368" s="22"/>
      <c r="F368" s="25">
        <v>22000</v>
      </c>
      <c r="G368" s="18"/>
      <c r="H368" s="18"/>
      <c r="I368" s="18"/>
      <c r="J368" s="18"/>
      <c r="K368" s="18"/>
    </row>
    <row r="369" spans="1:11" ht="13.9" x14ac:dyDescent="0.25">
      <c r="A369" s="18">
        <v>1991</v>
      </c>
      <c r="B369" s="20" t="s">
        <v>33</v>
      </c>
      <c r="C369" s="20">
        <v>31</v>
      </c>
      <c r="D369" s="22" t="s">
        <v>345</v>
      </c>
      <c r="E369" s="22"/>
      <c r="F369" s="25">
        <v>24500</v>
      </c>
      <c r="G369" s="18"/>
      <c r="H369" s="18"/>
      <c r="I369" s="18"/>
      <c r="J369" s="18"/>
      <c r="K369" s="18"/>
    </row>
    <row r="370" spans="1:11" ht="13.9" x14ac:dyDescent="0.25">
      <c r="A370" s="383" t="s">
        <v>1759</v>
      </c>
      <c r="B370" s="384"/>
      <c r="C370" s="384"/>
      <c r="D370" s="384"/>
      <c r="E370" s="384"/>
      <c r="F370" s="384"/>
      <c r="G370" s="384"/>
      <c r="H370" s="384"/>
      <c r="I370" s="384"/>
      <c r="J370" s="384"/>
      <c r="K370" s="384"/>
    </row>
    <row r="371" spans="1:11" ht="13.9" x14ac:dyDescent="0.25">
      <c r="B371" s="386" t="s">
        <v>558</v>
      </c>
      <c r="C371" s="386"/>
      <c r="D371" s="386"/>
      <c r="E371" s="386"/>
      <c r="F371" s="386"/>
      <c r="G371" s="386"/>
      <c r="H371" s="26"/>
      <c r="I371" s="26"/>
    </row>
    <row r="372" spans="1:11" ht="13.9" x14ac:dyDescent="0.25">
      <c r="B372" s="386" t="s">
        <v>559</v>
      </c>
      <c r="C372" s="386"/>
      <c r="D372" s="386"/>
      <c r="E372" s="386"/>
      <c r="F372" s="386"/>
      <c r="G372" s="386"/>
      <c r="H372" s="26"/>
      <c r="I372" s="26"/>
    </row>
    <row r="373" spans="1:11" ht="13.9" x14ac:dyDescent="0.25">
      <c r="B373" s="386" t="s">
        <v>560</v>
      </c>
      <c r="C373" s="386"/>
      <c r="D373" s="386"/>
      <c r="E373" s="386"/>
      <c r="F373" s="386"/>
      <c r="G373" s="386"/>
      <c r="H373" s="26"/>
      <c r="I373" s="26"/>
    </row>
  </sheetData>
  <mergeCells count="12">
    <mergeCell ref="A1:K1"/>
    <mergeCell ref="B372:G372"/>
    <mergeCell ref="B373:G373"/>
    <mergeCell ref="B2:B3"/>
    <mergeCell ref="C2:C3"/>
    <mergeCell ref="B371:G371"/>
    <mergeCell ref="A2:A3"/>
    <mergeCell ref="D2:E2"/>
    <mergeCell ref="F2:G2"/>
    <mergeCell ref="H2:I2"/>
    <mergeCell ref="J2:K2"/>
    <mergeCell ref="A370:K370"/>
  </mergeCells>
  <pageMargins left="1" right="0.75" top="0.75" bottom="0.25" header="0.3" footer="0.3"/>
  <pageSetup paperSize="9" orientation="portrait" r:id="rId1"/>
  <ignoredErrors>
    <ignoredError sqref="F4 F5:F34 F35:F62 F64:F94 F95:F124 F153:F216 F217:F247" numberStoredAsText="1"/>
    <ignoredError sqref="D214 D200:D204"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3"/>
  <sheetViews>
    <sheetView topLeftCell="A22" workbookViewId="0">
      <selection activeCell="H12" sqref="H12"/>
    </sheetView>
  </sheetViews>
  <sheetFormatPr defaultColWidth="9.140625" defaultRowHeight="15" x14ac:dyDescent="0.25"/>
  <cols>
    <col min="1" max="1" width="7.140625" style="14" customWidth="1"/>
    <col min="2" max="2" width="10.7109375" style="14" customWidth="1"/>
    <col min="3" max="3" width="6.28515625" style="14" customWidth="1"/>
    <col min="4" max="4" width="9.140625" style="14"/>
    <col min="5" max="5" width="6.28515625" style="14" customWidth="1"/>
    <col min="6" max="6" width="9.28515625" style="14" customWidth="1"/>
    <col min="7" max="7" width="7.28515625" style="14" customWidth="1"/>
    <col min="8" max="8" width="6.42578125" style="14" customWidth="1"/>
    <col min="9" max="9" width="5" style="14" customWidth="1"/>
    <col min="10" max="10" width="6.5703125" style="14" customWidth="1"/>
    <col min="11" max="11" width="6.42578125" style="14" customWidth="1"/>
    <col min="12" max="16384" width="9.140625" style="14"/>
  </cols>
  <sheetData>
    <row r="1" spans="1:11" ht="17.45" x14ac:dyDescent="0.3">
      <c r="A1" s="385" t="s">
        <v>1754</v>
      </c>
      <c r="B1" s="385"/>
      <c r="C1" s="385"/>
      <c r="D1" s="385"/>
      <c r="E1" s="385"/>
      <c r="F1" s="385"/>
      <c r="G1" s="385"/>
      <c r="H1" s="385"/>
      <c r="I1" s="385"/>
      <c r="J1" s="385"/>
      <c r="K1" s="385"/>
    </row>
    <row r="2" spans="1:11" ht="30" customHeight="1" x14ac:dyDescent="0.25">
      <c r="A2" s="396" t="s">
        <v>532</v>
      </c>
      <c r="B2" s="396" t="s">
        <v>22</v>
      </c>
      <c r="C2" s="387" t="s">
        <v>0</v>
      </c>
      <c r="D2" s="397" t="s">
        <v>728</v>
      </c>
      <c r="E2" s="397"/>
      <c r="F2" s="398" t="s">
        <v>729</v>
      </c>
      <c r="G2" s="398"/>
      <c r="H2" s="399" t="s">
        <v>1746</v>
      </c>
      <c r="I2" s="399"/>
      <c r="J2" s="399" t="s">
        <v>1747</v>
      </c>
      <c r="K2" s="399"/>
    </row>
    <row r="3" spans="1:11" ht="72" customHeight="1" x14ac:dyDescent="0.25">
      <c r="A3" s="396"/>
      <c r="B3" s="396"/>
      <c r="C3" s="388"/>
      <c r="D3" s="15" t="s">
        <v>1755</v>
      </c>
      <c r="E3" s="15" t="s">
        <v>1756</v>
      </c>
      <c r="F3" s="15" t="s">
        <v>732</v>
      </c>
      <c r="G3" s="15" t="s">
        <v>733</v>
      </c>
      <c r="H3" s="16" t="s">
        <v>734</v>
      </c>
      <c r="I3" s="17" t="s">
        <v>735</v>
      </c>
      <c r="J3" s="16" t="s">
        <v>734</v>
      </c>
      <c r="K3" s="17" t="s">
        <v>735</v>
      </c>
    </row>
    <row r="4" spans="1:11" ht="13.9" x14ac:dyDescent="0.25">
      <c r="A4" s="18">
        <v>1992</v>
      </c>
      <c r="B4" s="18" t="s">
        <v>23</v>
      </c>
      <c r="C4" s="18">
        <v>1</v>
      </c>
      <c r="D4" s="22" t="s">
        <v>122</v>
      </c>
      <c r="E4" s="22"/>
      <c r="F4" s="22" t="s">
        <v>122</v>
      </c>
      <c r="G4" s="18"/>
      <c r="H4" s="18"/>
      <c r="I4" s="18"/>
      <c r="J4" s="18"/>
      <c r="K4" s="18"/>
    </row>
    <row r="5" spans="1:11" ht="13.9" x14ac:dyDescent="0.25">
      <c r="A5" s="18">
        <v>1992</v>
      </c>
      <c r="B5" s="18" t="s">
        <v>23</v>
      </c>
      <c r="C5" s="18">
        <v>2</v>
      </c>
      <c r="D5" s="19" t="s">
        <v>345</v>
      </c>
      <c r="E5" s="19"/>
      <c r="F5" s="20">
        <v>24000</v>
      </c>
      <c r="G5" s="18"/>
      <c r="H5" s="18"/>
      <c r="I5" s="18"/>
      <c r="J5" s="18"/>
      <c r="K5" s="18"/>
    </row>
    <row r="6" spans="1:11" ht="13.9" x14ac:dyDescent="0.25">
      <c r="A6" s="18">
        <v>1992</v>
      </c>
      <c r="B6" s="18" t="s">
        <v>23</v>
      </c>
      <c r="C6" s="18">
        <v>3</v>
      </c>
      <c r="D6" s="19" t="s">
        <v>345</v>
      </c>
      <c r="E6" s="19"/>
      <c r="F6" s="20">
        <v>24000</v>
      </c>
      <c r="G6" s="18"/>
      <c r="H6" s="18"/>
      <c r="I6" s="18"/>
      <c r="J6" s="18"/>
      <c r="K6" s="18"/>
    </row>
    <row r="7" spans="1:11" ht="13.9" x14ac:dyDescent="0.25">
      <c r="A7" s="18">
        <v>1992</v>
      </c>
      <c r="B7" s="18" t="s">
        <v>23</v>
      </c>
      <c r="C7" s="18">
        <v>4</v>
      </c>
      <c r="D7" s="19" t="s">
        <v>345</v>
      </c>
      <c r="E7" s="19"/>
      <c r="F7" s="20">
        <v>24000</v>
      </c>
      <c r="G7" s="18"/>
      <c r="H7" s="18"/>
      <c r="I7" s="18"/>
      <c r="J7" s="18"/>
      <c r="K7" s="18"/>
    </row>
    <row r="8" spans="1:11" ht="13.9" x14ac:dyDescent="0.25">
      <c r="A8" s="18">
        <v>1992</v>
      </c>
      <c r="B8" s="18" t="s">
        <v>23</v>
      </c>
      <c r="C8" s="18">
        <v>5</v>
      </c>
      <c r="D8" s="19" t="s">
        <v>345</v>
      </c>
      <c r="E8" s="19"/>
      <c r="F8" s="20">
        <v>24000</v>
      </c>
      <c r="G8" s="18"/>
      <c r="H8" s="18"/>
      <c r="I8" s="18"/>
      <c r="J8" s="18"/>
      <c r="K8" s="18"/>
    </row>
    <row r="9" spans="1:11" ht="13.9" x14ac:dyDescent="0.25">
      <c r="A9" s="18">
        <v>1992</v>
      </c>
      <c r="B9" s="18" t="s">
        <v>23</v>
      </c>
      <c r="C9" s="18">
        <v>6</v>
      </c>
      <c r="D9" s="19" t="s">
        <v>347</v>
      </c>
      <c r="E9" s="19"/>
      <c r="F9" s="20">
        <v>24000</v>
      </c>
      <c r="G9" s="18"/>
      <c r="H9" s="18"/>
      <c r="I9" s="18"/>
      <c r="J9" s="18"/>
      <c r="K9" s="18"/>
    </row>
    <row r="10" spans="1:11" ht="13.9" x14ac:dyDescent="0.25">
      <c r="A10" s="18">
        <v>1992</v>
      </c>
      <c r="B10" s="18" t="s">
        <v>23</v>
      </c>
      <c r="C10" s="18">
        <v>7</v>
      </c>
      <c r="D10" s="19" t="s">
        <v>348</v>
      </c>
      <c r="E10" s="19"/>
      <c r="F10" s="20">
        <v>22450</v>
      </c>
      <c r="G10" s="18"/>
      <c r="H10" s="18"/>
      <c r="I10" s="18"/>
      <c r="J10" s="18"/>
      <c r="K10" s="18"/>
    </row>
    <row r="11" spans="1:11" ht="13.9" x14ac:dyDescent="0.25">
      <c r="A11" s="18">
        <v>1992</v>
      </c>
      <c r="B11" s="18" t="s">
        <v>23</v>
      </c>
      <c r="C11" s="18">
        <v>8</v>
      </c>
      <c r="D11" s="19" t="s">
        <v>349</v>
      </c>
      <c r="E11" s="19"/>
      <c r="F11" s="20">
        <v>22400</v>
      </c>
      <c r="G11" s="18"/>
      <c r="H11" s="18"/>
      <c r="I11" s="18"/>
      <c r="J11" s="18"/>
      <c r="K11" s="18"/>
    </row>
    <row r="12" spans="1:11" ht="13.9" x14ac:dyDescent="0.25">
      <c r="A12" s="18">
        <v>1992</v>
      </c>
      <c r="B12" s="18" t="s">
        <v>23</v>
      </c>
      <c r="C12" s="18">
        <v>9</v>
      </c>
      <c r="D12" s="19" t="s">
        <v>350</v>
      </c>
      <c r="E12" s="19"/>
      <c r="F12" s="20">
        <v>22375</v>
      </c>
      <c r="G12" s="18"/>
      <c r="H12" s="18"/>
      <c r="I12" s="18"/>
      <c r="J12" s="18"/>
      <c r="K12" s="18"/>
    </row>
    <row r="13" spans="1:11" ht="13.9" x14ac:dyDescent="0.25">
      <c r="A13" s="18">
        <v>1992</v>
      </c>
      <c r="B13" s="18" t="s">
        <v>23</v>
      </c>
      <c r="C13" s="18">
        <v>10</v>
      </c>
      <c r="D13" s="19" t="s">
        <v>351</v>
      </c>
      <c r="E13" s="19"/>
      <c r="F13" s="22" t="s">
        <v>122</v>
      </c>
      <c r="G13" s="18"/>
      <c r="H13" s="18"/>
      <c r="I13" s="18"/>
      <c r="J13" s="18"/>
      <c r="K13" s="18"/>
    </row>
    <row r="14" spans="1:11" ht="13.9" x14ac:dyDescent="0.25">
      <c r="A14" s="18">
        <v>1992</v>
      </c>
      <c r="B14" s="18" t="s">
        <v>23</v>
      </c>
      <c r="C14" s="18">
        <v>11</v>
      </c>
      <c r="D14" s="19" t="s">
        <v>352</v>
      </c>
      <c r="E14" s="19"/>
      <c r="F14" s="20">
        <v>22275</v>
      </c>
      <c r="G14" s="18"/>
      <c r="H14" s="18"/>
      <c r="I14" s="18"/>
      <c r="J14" s="18"/>
      <c r="K14" s="18"/>
    </row>
    <row r="15" spans="1:11" ht="13.9" x14ac:dyDescent="0.25">
      <c r="A15" s="18">
        <v>1992</v>
      </c>
      <c r="B15" s="18" t="s">
        <v>23</v>
      </c>
      <c r="C15" s="18">
        <v>12</v>
      </c>
      <c r="D15" s="19" t="s">
        <v>353</v>
      </c>
      <c r="E15" s="19"/>
      <c r="F15" s="20">
        <v>22250</v>
      </c>
      <c r="G15" s="18"/>
      <c r="H15" s="18"/>
      <c r="I15" s="18"/>
      <c r="J15" s="18"/>
      <c r="K15" s="18"/>
    </row>
    <row r="16" spans="1:11" ht="13.9" x14ac:dyDescent="0.25">
      <c r="A16" s="18">
        <v>1992</v>
      </c>
      <c r="B16" s="18" t="s">
        <v>23</v>
      </c>
      <c r="C16" s="18">
        <v>13</v>
      </c>
      <c r="D16" s="19" t="s">
        <v>344</v>
      </c>
      <c r="E16" s="19"/>
      <c r="F16" s="20">
        <v>22000</v>
      </c>
      <c r="G16" s="18"/>
      <c r="H16" s="18"/>
      <c r="I16" s="18"/>
      <c r="J16" s="18"/>
      <c r="K16" s="18"/>
    </row>
    <row r="17" spans="1:11" ht="13.9" x14ac:dyDescent="0.25">
      <c r="A17" s="18">
        <v>1992</v>
      </c>
      <c r="B17" s="18" t="s">
        <v>23</v>
      </c>
      <c r="C17" s="18">
        <v>14</v>
      </c>
      <c r="D17" s="22" t="s">
        <v>122</v>
      </c>
      <c r="E17" s="22"/>
      <c r="F17" s="22" t="s">
        <v>122</v>
      </c>
      <c r="G17" s="18"/>
      <c r="H17" s="18"/>
      <c r="I17" s="18"/>
      <c r="J17" s="18"/>
      <c r="K17" s="18"/>
    </row>
    <row r="18" spans="1:11" ht="13.9" x14ac:dyDescent="0.25">
      <c r="A18" s="18">
        <v>1992</v>
      </c>
      <c r="B18" s="18" t="s">
        <v>23</v>
      </c>
      <c r="C18" s="18">
        <v>15</v>
      </c>
      <c r="D18" s="19" t="s">
        <v>344</v>
      </c>
      <c r="E18" s="19"/>
      <c r="F18" s="20">
        <v>22000</v>
      </c>
      <c r="G18" s="18"/>
      <c r="H18" s="18"/>
      <c r="I18" s="18"/>
      <c r="J18" s="18"/>
      <c r="K18" s="18"/>
    </row>
    <row r="19" spans="1:11" ht="13.9" x14ac:dyDescent="0.25">
      <c r="A19" s="18">
        <v>1992</v>
      </c>
      <c r="B19" s="18" t="s">
        <v>23</v>
      </c>
      <c r="C19" s="18">
        <v>16</v>
      </c>
      <c r="D19" s="22" t="s">
        <v>122</v>
      </c>
      <c r="E19" s="22"/>
      <c r="F19" s="22" t="s">
        <v>122</v>
      </c>
      <c r="G19" s="18"/>
      <c r="H19" s="18"/>
      <c r="I19" s="18"/>
      <c r="J19" s="18"/>
      <c r="K19" s="18"/>
    </row>
    <row r="20" spans="1:11" ht="13.9" x14ac:dyDescent="0.25">
      <c r="A20" s="18">
        <v>1992</v>
      </c>
      <c r="B20" s="18" t="s">
        <v>23</v>
      </c>
      <c r="C20" s="18">
        <v>17</v>
      </c>
      <c r="D20" s="19" t="s">
        <v>344</v>
      </c>
      <c r="E20" s="19"/>
      <c r="F20" s="20">
        <v>22000</v>
      </c>
      <c r="G20" s="18"/>
      <c r="H20" s="18"/>
      <c r="I20" s="18"/>
      <c r="J20" s="18"/>
      <c r="K20" s="18"/>
    </row>
    <row r="21" spans="1:11" ht="13.9" x14ac:dyDescent="0.25">
      <c r="A21" s="18">
        <v>1992</v>
      </c>
      <c r="B21" s="18" t="s">
        <v>23</v>
      </c>
      <c r="C21" s="18">
        <v>18</v>
      </c>
      <c r="D21" s="19" t="s">
        <v>344</v>
      </c>
      <c r="E21" s="19"/>
      <c r="F21" s="20">
        <v>22000</v>
      </c>
      <c r="G21" s="18"/>
      <c r="H21" s="18"/>
      <c r="I21" s="18"/>
      <c r="J21" s="18"/>
      <c r="K21" s="18"/>
    </row>
    <row r="22" spans="1:11" ht="13.9" x14ac:dyDescent="0.25">
      <c r="A22" s="18">
        <v>1992</v>
      </c>
      <c r="B22" s="18" t="s">
        <v>23</v>
      </c>
      <c r="C22" s="18">
        <v>19</v>
      </c>
      <c r="D22" s="19" t="s">
        <v>344</v>
      </c>
      <c r="E22" s="19"/>
      <c r="F22" s="20">
        <v>22000</v>
      </c>
      <c r="G22" s="18"/>
      <c r="H22" s="18"/>
      <c r="I22" s="18"/>
      <c r="J22" s="18"/>
      <c r="K22" s="18"/>
    </row>
    <row r="23" spans="1:11" ht="13.9" x14ac:dyDescent="0.25">
      <c r="A23" s="18">
        <v>1992</v>
      </c>
      <c r="B23" s="18" t="s">
        <v>23</v>
      </c>
      <c r="C23" s="18">
        <v>20</v>
      </c>
      <c r="D23" s="19" t="s">
        <v>344</v>
      </c>
      <c r="E23" s="19"/>
      <c r="F23" s="20">
        <v>22000</v>
      </c>
      <c r="G23" s="18"/>
      <c r="H23" s="18"/>
      <c r="I23" s="18"/>
      <c r="J23" s="18"/>
      <c r="K23" s="18"/>
    </row>
    <row r="24" spans="1:11" ht="13.9" x14ac:dyDescent="0.25">
      <c r="A24" s="18">
        <v>1992</v>
      </c>
      <c r="B24" s="18" t="s">
        <v>23</v>
      </c>
      <c r="C24" s="18">
        <v>21</v>
      </c>
      <c r="D24" s="19" t="s">
        <v>354</v>
      </c>
      <c r="E24" s="19"/>
      <c r="F24" s="20">
        <v>21925</v>
      </c>
      <c r="G24" s="18"/>
      <c r="H24" s="18"/>
      <c r="I24" s="18"/>
      <c r="J24" s="18"/>
      <c r="K24" s="18"/>
    </row>
    <row r="25" spans="1:11" ht="13.9" x14ac:dyDescent="0.25">
      <c r="A25" s="18">
        <v>1992</v>
      </c>
      <c r="B25" s="18" t="s">
        <v>23</v>
      </c>
      <c r="C25" s="18">
        <v>22</v>
      </c>
      <c r="D25" s="19" t="s">
        <v>355</v>
      </c>
      <c r="E25" s="19"/>
      <c r="F25" s="20">
        <v>21800</v>
      </c>
      <c r="G25" s="18"/>
      <c r="H25" s="18"/>
      <c r="I25" s="18"/>
      <c r="J25" s="18"/>
      <c r="K25" s="18"/>
    </row>
    <row r="26" spans="1:11" ht="13.9" x14ac:dyDescent="0.25">
      <c r="A26" s="18">
        <v>1992</v>
      </c>
      <c r="B26" s="18" t="s">
        <v>23</v>
      </c>
      <c r="C26" s="18">
        <v>23</v>
      </c>
      <c r="D26" s="19" t="s">
        <v>356</v>
      </c>
      <c r="E26" s="19"/>
      <c r="F26" s="20">
        <v>21750</v>
      </c>
      <c r="G26" s="18"/>
      <c r="H26" s="18"/>
      <c r="I26" s="18"/>
      <c r="J26" s="18"/>
      <c r="K26" s="18"/>
    </row>
    <row r="27" spans="1:11" ht="13.9" x14ac:dyDescent="0.25">
      <c r="A27" s="18">
        <v>1992</v>
      </c>
      <c r="B27" s="18" t="s">
        <v>23</v>
      </c>
      <c r="C27" s="18">
        <v>24</v>
      </c>
      <c r="D27" s="19" t="s">
        <v>357</v>
      </c>
      <c r="E27" s="19"/>
      <c r="F27" s="20">
        <v>21500</v>
      </c>
      <c r="G27" s="18"/>
      <c r="H27" s="18"/>
      <c r="I27" s="18"/>
      <c r="J27" s="18"/>
      <c r="K27" s="18"/>
    </row>
    <row r="28" spans="1:11" ht="13.9" x14ac:dyDescent="0.25">
      <c r="A28" s="18">
        <v>1992</v>
      </c>
      <c r="B28" s="18" t="s">
        <v>23</v>
      </c>
      <c r="C28" s="18">
        <v>25</v>
      </c>
      <c r="D28" s="19" t="s">
        <v>358</v>
      </c>
      <c r="E28" s="19"/>
      <c r="F28" s="20">
        <v>21400</v>
      </c>
      <c r="G28" s="18"/>
      <c r="H28" s="18"/>
      <c r="I28" s="18"/>
      <c r="J28" s="18"/>
      <c r="K28" s="18"/>
    </row>
    <row r="29" spans="1:11" ht="13.9" x14ac:dyDescent="0.25">
      <c r="A29" s="18">
        <v>1992</v>
      </c>
      <c r="B29" s="18" t="s">
        <v>23</v>
      </c>
      <c r="C29" s="18">
        <v>26</v>
      </c>
      <c r="D29" s="19" t="s">
        <v>359</v>
      </c>
      <c r="E29" s="19"/>
      <c r="F29" s="20">
        <v>21150</v>
      </c>
      <c r="G29" s="18"/>
      <c r="H29" s="18"/>
      <c r="I29" s="18"/>
      <c r="J29" s="18"/>
      <c r="K29" s="18"/>
    </row>
    <row r="30" spans="1:11" ht="13.9" x14ac:dyDescent="0.25">
      <c r="A30" s="18">
        <v>1992</v>
      </c>
      <c r="B30" s="18" t="s">
        <v>23</v>
      </c>
      <c r="C30" s="18">
        <v>27</v>
      </c>
      <c r="D30" s="19" t="s">
        <v>360</v>
      </c>
      <c r="E30" s="19"/>
      <c r="F30" s="20">
        <v>21000</v>
      </c>
      <c r="G30" s="18"/>
      <c r="H30" s="18"/>
      <c r="I30" s="18"/>
      <c r="J30" s="18"/>
      <c r="K30" s="18"/>
    </row>
    <row r="31" spans="1:11" ht="13.9" x14ac:dyDescent="0.25">
      <c r="A31" s="18">
        <v>1992</v>
      </c>
      <c r="B31" s="18" t="s">
        <v>23</v>
      </c>
      <c r="C31" s="18">
        <v>28</v>
      </c>
      <c r="D31" s="19" t="s">
        <v>361</v>
      </c>
      <c r="E31" s="19"/>
      <c r="F31" s="20">
        <v>20650</v>
      </c>
      <c r="G31" s="18"/>
      <c r="H31" s="18"/>
      <c r="I31" s="18"/>
      <c r="J31" s="18"/>
      <c r="K31" s="18"/>
    </row>
    <row r="32" spans="1:11" ht="13.9" x14ac:dyDescent="0.25">
      <c r="A32" s="18">
        <v>1992</v>
      </c>
      <c r="B32" s="18" t="s">
        <v>23</v>
      </c>
      <c r="C32" s="18">
        <v>29</v>
      </c>
      <c r="D32" s="19" t="s">
        <v>343</v>
      </c>
      <c r="E32" s="19"/>
      <c r="F32" s="20">
        <v>20450</v>
      </c>
      <c r="G32" s="18"/>
      <c r="H32" s="18"/>
      <c r="I32" s="18"/>
      <c r="J32" s="18"/>
      <c r="K32" s="18"/>
    </row>
    <row r="33" spans="1:11" ht="13.9" x14ac:dyDescent="0.25">
      <c r="A33" s="18">
        <v>1992</v>
      </c>
      <c r="B33" s="18" t="s">
        <v>23</v>
      </c>
      <c r="C33" s="18">
        <v>30</v>
      </c>
      <c r="D33" s="19" t="s">
        <v>362</v>
      </c>
      <c r="E33" s="19"/>
      <c r="F33" s="20">
        <v>20225</v>
      </c>
      <c r="G33" s="18"/>
      <c r="H33" s="18"/>
      <c r="I33" s="18"/>
      <c r="J33" s="18"/>
      <c r="K33" s="18"/>
    </row>
    <row r="34" spans="1:11" ht="13.9" x14ac:dyDescent="0.25">
      <c r="A34" s="18">
        <v>1992</v>
      </c>
      <c r="B34" s="18" t="s">
        <v>23</v>
      </c>
      <c r="C34" s="18">
        <v>31</v>
      </c>
      <c r="D34" s="19" t="s">
        <v>363</v>
      </c>
      <c r="E34" s="19"/>
      <c r="F34" s="20">
        <v>20000</v>
      </c>
      <c r="G34" s="18"/>
      <c r="H34" s="18"/>
      <c r="I34" s="18"/>
      <c r="J34" s="18"/>
      <c r="K34" s="18"/>
    </row>
    <row r="35" spans="1:11" ht="13.9" x14ac:dyDescent="0.25">
      <c r="A35" s="18">
        <v>1992</v>
      </c>
      <c r="B35" s="20" t="s">
        <v>24</v>
      </c>
      <c r="C35" s="20">
        <v>1</v>
      </c>
      <c r="D35" s="19" t="s">
        <v>364</v>
      </c>
      <c r="E35" s="19"/>
      <c r="F35" s="20">
        <v>30000</v>
      </c>
      <c r="G35" s="18"/>
      <c r="H35" s="18"/>
      <c r="I35" s="18"/>
      <c r="J35" s="18"/>
      <c r="K35" s="18"/>
    </row>
    <row r="36" spans="1:11" ht="13.9" x14ac:dyDescent="0.25">
      <c r="A36" s="18">
        <v>1992</v>
      </c>
      <c r="B36" s="20" t="s">
        <v>24</v>
      </c>
      <c r="C36" s="20">
        <v>2</v>
      </c>
      <c r="D36" s="19" t="s">
        <v>364</v>
      </c>
      <c r="E36" s="19"/>
      <c r="F36" s="20">
        <v>30000</v>
      </c>
      <c r="G36" s="18"/>
      <c r="H36" s="18"/>
      <c r="I36" s="18"/>
      <c r="J36" s="18"/>
      <c r="K36" s="18"/>
    </row>
    <row r="37" spans="1:11" ht="13.9" x14ac:dyDescent="0.25">
      <c r="A37" s="18">
        <v>1992</v>
      </c>
      <c r="B37" s="20" t="s">
        <v>24</v>
      </c>
      <c r="C37" s="20">
        <v>3</v>
      </c>
      <c r="D37" s="19" t="s">
        <v>365</v>
      </c>
      <c r="E37" s="19"/>
      <c r="F37" s="20">
        <v>29834</v>
      </c>
      <c r="G37" s="18"/>
      <c r="H37" s="18"/>
      <c r="I37" s="18"/>
      <c r="J37" s="18"/>
      <c r="K37" s="18"/>
    </row>
    <row r="38" spans="1:11" ht="13.9" x14ac:dyDescent="0.25">
      <c r="A38" s="18">
        <v>1992</v>
      </c>
      <c r="B38" s="20" t="s">
        <v>24</v>
      </c>
      <c r="C38" s="20">
        <v>4</v>
      </c>
      <c r="D38" s="19" t="s">
        <v>365</v>
      </c>
      <c r="E38" s="19"/>
      <c r="F38" s="20">
        <v>29834</v>
      </c>
      <c r="G38" s="18"/>
      <c r="H38" s="18"/>
      <c r="I38" s="18"/>
      <c r="J38" s="18"/>
      <c r="K38" s="18"/>
    </row>
    <row r="39" spans="1:11" ht="13.9" x14ac:dyDescent="0.25">
      <c r="A39" s="18">
        <v>1992</v>
      </c>
      <c r="B39" s="20" t="s">
        <v>24</v>
      </c>
      <c r="C39" s="20">
        <v>5</v>
      </c>
      <c r="D39" s="19" t="s">
        <v>366</v>
      </c>
      <c r="E39" s="19"/>
      <c r="F39" s="20">
        <v>29667</v>
      </c>
      <c r="G39" s="18"/>
      <c r="H39" s="18"/>
      <c r="I39" s="18"/>
      <c r="J39" s="18"/>
      <c r="K39" s="18"/>
    </row>
    <row r="40" spans="1:11" ht="13.9" x14ac:dyDescent="0.25">
      <c r="A40" s="18">
        <v>1992</v>
      </c>
      <c r="B40" s="20" t="s">
        <v>24</v>
      </c>
      <c r="C40" s="20">
        <v>6</v>
      </c>
      <c r="D40" s="19" t="s">
        <v>366</v>
      </c>
      <c r="E40" s="19"/>
      <c r="F40" s="20">
        <v>29667</v>
      </c>
      <c r="G40" s="18"/>
      <c r="H40" s="18"/>
      <c r="I40" s="18"/>
      <c r="J40" s="18"/>
      <c r="K40" s="18"/>
    </row>
    <row r="41" spans="1:11" ht="13.9" x14ac:dyDescent="0.25">
      <c r="A41" s="18">
        <v>1992</v>
      </c>
      <c r="B41" s="20" t="s">
        <v>24</v>
      </c>
      <c r="C41" s="20">
        <v>7</v>
      </c>
      <c r="D41" s="19" t="s">
        <v>367</v>
      </c>
      <c r="E41" s="19"/>
      <c r="F41" s="20">
        <v>29500</v>
      </c>
      <c r="G41" s="18"/>
      <c r="H41" s="18"/>
      <c r="I41" s="18"/>
      <c r="J41" s="18"/>
      <c r="K41" s="18"/>
    </row>
    <row r="42" spans="1:11" ht="13.9" x14ac:dyDescent="0.25">
      <c r="A42" s="18">
        <v>1992</v>
      </c>
      <c r="B42" s="20" t="s">
        <v>24</v>
      </c>
      <c r="C42" s="20">
        <v>8</v>
      </c>
      <c r="D42" s="19" t="s">
        <v>367</v>
      </c>
      <c r="E42" s="19"/>
      <c r="F42" s="20">
        <v>29500</v>
      </c>
      <c r="G42" s="18"/>
      <c r="H42" s="18"/>
      <c r="I42" s="18"/>
      <c r="J42" s="18"/>
      <c r="K42" s="18"/>
    </row>
    <row r="43" spans="1:11" ht="13.9" x14ac:dyDescent="0.25">
      <c r="A43" s="18">
        <v>1992</v>
      </c>
      <c r="B43" s="20" t="s">
        <v>24</v>
      </c>
      <c r="C43" s="20">
        <v>9</v>
      </c>
      <c r="D43" s="19" t="s">
        <v>368</v>
      </c>
      <c r="E43" s="19"/>
      <c r="F43" s="20">
        <v>29334</v>
      </c>
      <c r="G43" s="18"/>
      <c r="H43" s="18"/>
      <c r="I43" s="18"/>
      <c r="J43" s="18"/>
      <c r="K43" s="18"/>
    </row>
    <row r="44" spans="1:11" ht="13.9" x14ac:dyDescent="0.25">
      <c r="A44" s="18">
        <v>1992</v>
      </c>
      <c r="B44" s="20" t="s">
        <v>24</v>
      </c>
      <c r="C44" s="20">
        <v>10</v>
      </c>
      <c r="D44" s="19" t="s">
        <v>368</v>
      </c>
      <c r="E44" s="19"/>
      <c r="F44" s="20">
        <v>29334</v>
      </c>
      <c r="G44" s="18"/>
      <c r="H44" s="18"/>
      <c r="I44" s="18"/>
      <c r="J44" s="18"/>
      <c r="K44" s="18"/>
    </row>
    <row r="45" spans="1:11" ht="13.9" x14ac:dyDescent="0.25">
      <c r="A45" s="18">
        <v>1992</v>
      </c>
      <c r="B45" s="20" t="s">
        <v>24</v>
      </c>
      <c r="C45" s="20">
        <v>11</v>
      </c>
      <c r="D45" s="19" t="s">
        <v>369</v>
      </c>
      <c r="E45" s="19"/>
      <c r="F45" s="20">
        <v>29167</v>
      </c>
      <c r="G45" s="18"/>
      <c r="H45" s="18"/>
      <c r="I45" s="18"/>
      <c r="J45" s="18"/>
      <c r="K45" s="18"/>
    </row>
    <row r="46" spans="1:11" ht="13.9" x14ac:dyDescent="0.25">
      <c r="A46" s="18">
        <v>1992</v>
      </c>
      <c r="B46" s="20" t="s">
        <v>24</v>
      </c>
      <c r="C46" s="20">
        <v>12</v>
      </c>
      <c r="D46" s="19" t="s">
        <v>369</v>
      </c>
      <c r="E46" s="19"/>
      <c r="F46" s="20">
        <v>29167</v>
      </c>
      <c r="G46" s="18"/>
      <c r="H46" s="18"/>
      <c r="I46" s="18"/>
      <c r="J46" s="18"/>
      <c r="K46" s="18"/>
    </row>
    <row r="47" spans="1:11" ht="13.9" x14ac:dyDescent="0.25">
      <c r="A47" s="18">
        <v>1992</v>
      </c>
      <c r="B47" s="20" t="s">
        <v>24</v>
      </c>
      <c r="C47" s="20">
        <v>13</v>
      </c>
      <c r="D47" s="19" t="s">
        <v>370</v>
      </c>
      <c r="E47" s="19"/>
      <c r="F47" s="20">
        <v>2900</v>
      </c>
      <c r="G47" s="18"/>
      <c r="H47" s="18"/>
      <c r="I47" s="18"/>
      <c r="J47" s="18"/>
      <c r="K47" s="18"/>
    </row>
    <row r="48" spans="1:11" ht="13.9" x14ac:dyDescent="0.25">
      <c r="A48" s="18">
        <v>1992</v>
      </c>
      <c r="B48" s="20" t="s">
        <v>24</v>
      </c>
      <c r="C48" s="20">
        <v>14</v>
      </c>
      <c r="D48" s="19" t="s">
        <v>370</v>
      </c>
      <c r="E48" s="19"/>
      <c r="F48" s="20">
        <v>2900</v>
      </c>
      <c r="G48" s="18"/>
      <c r="H48" s="18"/>
      <c r="I48" s="18"/>
      <c r="J48" s="18"/>
      <c r="K48" s="18"/>
    </row>
    <row r="49" spans="1:11" ht="13.9" x14ac:dyDescent="0.25">
      <c r="A49" s="18">
        <v>1992</v>
      </c>
      <c r="B49" s="20" t="s">
        <v>24</v>
      </c>
      <c r="C49" s="20">
        <v>15</v>
      </c>
      <c r="D49" s="19" t="s">
        <v>371</v>
      </c>
      <c r="E49" s="19"/>
      <c r="F49" s="20">
        <v>28834</v>
      </c>
      <c r="G49" s="18"/>
      <c r="H49" s="18"/>
      <c r="I49" s="18"/>
      <c r="J49" s="18"/>
      <c r="K49" s="18"/>
    </row>
    <row r="50" spans="1:11" ht="13.9" x14ac:dyDescent="0.25">
      <c r="A50" s="18">
        <v>1992</v>
      </c>
      <c r="B50" s="20" t="s">
        <v>24</v>
      </c>
      <c r="C50" s="20">
        <v>16</v>
      </c>
      <c r="D50" s="19" t="s">
        <v>371</v>
      </c>
      <c r="E50" s="19"/>
      <c r="F50" s="20">
        <v>28834</v>
      </c>
      <c r="G50" s="18"/>
      <c r="H50" s="18"/>
      <c r="I50" s="18"/>
      <c r="J50" s="18"/>
      <c r="K50" s="18"/>
    </row>
    <row r="51" spans="1:11" ht="13.9" x14ac:dyDescent="0.25">
      <c r="A51" s="18">
        <v>1992</v>
      </c>
      <c r="B51" s="20" t="s">
        <v>24</v>
      </c>
      <c r="C51" s="20">
        <v>17</v>
      </c>
      <c r="D51" s="19" t="s">
        <v>372</v>
      </c>
      <c r="E51" s="19"/>
      <c r="F51" s="20">
        <v>28667</v>
      </c>
      <c r="G51" s="18"/>
      <c r="H51" s="18"/>
      <c r="I51" s="18"/>
      <c r="J51" s="18"/>
      <c r="K51" s="18"/>
    </row>
    <row r="52" spans="1:11" ht="13.9" x14ac:dyDescent="0.25">
      <c r="A52" s="18">
        <v>1992</v>
      </c>
      <c r="B52" s="20" t="s">
        <v>24</v>
      </c>
      <c r="C52" s="20">
        <v>18</v>
      </c>
      <c r="D52" s="19" t="s">
        <v>372</v>
      </c>
      <c r="E52" s="19"/>
      <c r="F52" s="20">
        <v>28667</v>
      </c>
      <c r="G52" s="18"/>
      <c r="H52" s="18"/>
      <c r="I52" s="18"/>
      <c r="J52" s="18"/>
      <c r="K52" s="18"/>
    </row>
    <row r="53" spans="1:11" ht="13.9" x14ac:dyDescent="0.25">
      <c r="A53" s="18">
        <v>1992</v>
      </c>
      <c r="B53" s="20" t="s">
        <v>24</v>
      </c>
      <c r="C53" s="20">
        <v>19</v>
      </c>
      <c r="D53" s="19" t="s">
        <v>373</v>
      </c>
      <c r="E53" s="19"/>
      <c r="F53" s="20">
        <v>28500</v>
      </c>
      <c r="G53" s="18"/>
      <c r="H53" s="18"/>
      <c r="I53" s="18"/>
      <c r="J53" s="18"/>
      <c r="K53" s="18"/>
    </row>
    <row r="54" spans="1:11" ht="13.9" x14ac:dyDescent="0.25">
      <c r="A54" s="18">
        <v>1992</v>
      </c>
      <c r="B54" s="20" t="s">
        <v>24</v>
      </c>
      <c r="C54" s="20">
        <v>20</v>
      </c>
      <c r="D54" s="19" t="s">
        <v>373</v>
      </c>
      <c r="E54" s="19"/>
      <c r="F54" s="20">
        <v>28500</v>
      </c>
      <c r="G54" s="18"/>
      <c r="H54" s="18"/>
      <c r="I54" s="18"/>
      <c r="J54" s="18"/>
      <c r="K54" s="18"/>
    </row>
    <row r="55" spans="1:11" ht="13.9" x14ac:dyDescent="0.25">
      <c r="A55" s="18">
        <v>1992</v>
      </c>
      <c r="B55" s="20" t="s">
        <v>24</v>
      </c>
      <c r="C55" s="20">
        <v>21</v>
      </c>
      <c r="D55" s="19" t="s">
        <v>374</v>
      </c>
      <c r="E55" s="19"/>
      <c r="F55" s="20">
        <v>28334</v>
      </c>
      <c r="G55" s="18"/>
      <c r="H55" s="18"/>
      <c r="I55" s="18"/>
      <c r="J55" s="18"/>
      <c r="K55" s="18"/>
    </row>
    <row r="56" spans="1:11" ht="13.9" x14ac:dyDescent="0.25">
      <c r="A56" s="18">
        <v>1992</v>
      </c>
      <c r="B56" s="20" t="s">
        <v>24</v>
      </c>
      <c r="C56" s="20">
        <v>22</v>
      </c>
      <c r="D56" s="19" t="s">
        <v>374</v>
      </c>
      <c r="E56" s="19"/>
      <c r="F56" s="20">
        <v>28334</v>
      </c>
      <c r="G56" s="18"/>
      <c r="H56" s="18"/>
      <c r="I56" s="18"/>
      <c r="J56" s="18"/>
      <c r="K56" s="18"/>
    </row>
    <row r="57" spans="1:11" ht="13.9" x14ac:dyDescent="0.25">
      <c r="A57" s="18">
        <v>1992</v>
      </c>
      <c r="B57" s="20" t="s">
        <v>24</v>
      </c>
      <c r="C57" s="20">
        <v>23</v>
      </c>
      <c r="D57" s="19" t="s">
        <v>375</v>
      </c>
      <c r="E57" s="19"/>
      <c r="F57" s="20">
        <v>28167</v>
      </c>
      <c r="G57" s="18"/>
      <c r="H57" s="18"/>
      <c r="I57" s="18"/>
      <c r="J57" s="18"/>
      <c r="K57" s="18"/>
    </row>
    <row r="58" spans="1:11" ht="13.9" x14ac:dyDescent="0.25">
      <c r="A58" s="18">
        <v>1992</v>
      </c>
      <c r="B58" s="20" t="s">
        <v>24</v>
      </c>
      <c r="C58" s="20">
        <v>24</v>
      </c>
      <c r="D58" s="19" t="s">
        <v>375</v>
      </c>
      <c r="E58" s="19"/>
      <c r="F58" s="20">
        <v>28167</v>
      </c>
      <c r="G58" s="18"/>
      <c r="H58" s="18"/>
      <c r="I58" s="18"/>
      <c r="J58" s="18"/>
      <c r="K58" s="18"/>
    </row>
    <row r="59" spans="1:11" ht="13.9" x14ac:dyDescent="0.25">
      <c r="A59" s="18">
        <v>1992</v>
      </c>
      <c r="B59" s="20" t="s">
        <v>24</v>
      </c>
      <c r="C59" s="20">
        <v>25</v>
      </c>
      <c r="D59" s="19" t="s">
        <v>376</v>
      </c>
      <c r="E59" s="19"/>
      <c r="F59" s="20">
        <v>28000</v>
      </c>
      <c r="G59" s="18"/>
      <c r="H59" s="18"/>
      <c r="I59" s="18"/>
      <c r="J59" s="18"/>
      <c r="K59" s="18"/>
    </row>
    <row r="60" spans="1:11" ht="13.9" x14ac:dyDescent="0.25">
      <c r="A60" s="18">
        <v>1992</v>
      </c>
      <c r="B60" s="20" t="s">
        <v>24</v>
      </c>
      <c r="C60" s="20">
        <v>26</v>
      </c>
      <c r="D60" s="19" t="s">
        <v>377</v>
      </c>
      <c r="E60" s="19"/>
      <c r="F60" s="20">
        <v>27834</v>
      </c>
      <c r="G60" s="18"/>
      <c r="H60" s="18"/>
      <c r="I60" s="18"/>
      <c r="J60" s="18"/>
      <c r="K60" s="18"/>
    </row>
    <row r="61" spans="1:11" ht="13.9" x14ac:dyDescent="0.25">
      <c r="A61" s="18">
        <v>1992</v>
      </c>
      <c r="B61" s="20" t="s">
        <v>24</v>
      </c>
      <c r="C61" s="20">
        <v>27</v>
      </c>
      <c r="D61" s="19" t="s">
        <v>378</v>
      </c>
      <c r="E61" s="19"/>
      <c r="F61" s="20">
        <v>27500</v>
      </c>
      <c r="G61" s="18"/>
      <c r="H61" s="18"/>
      <c r="I61" s="18"/>
      <c r="J61" s="18"/>
      <c r="K61" s="18"/>
    </row>
    <row r="62" spans="1:11" ht="13.9" x14ac:dyDescent="0.25">
      <c r="A62" s="18">
        <v>1992</v>
      </c>
      <c r="B62" s="20" t="s">
        <v>24</v>
      </c>
      <c r="C62" s="20">
        <v>28</v>
      </c>
      <c r="D62" s="19" t="s">
        <v>379</v>
      </c>
      <c r="E62" s="19"/>
      <c r="F62" s="20">
        <v>27334</v>
      </c>
      <c r="G62" s="18"/>
      <c r="H62" s="18"/>
      <c r="I62" s="18"/>
      <c r="J62" s="18"/>
      <c r="K62" s="18"/>
    </row>
    <row r="63" spans="1:11" x14ac:dyDescent="0.25">
      <c r="A63" s="18">
        <v>1992</v>
      </c>
      <c r="B63" s="20" t="s">
        <v>24</v>
      </c>
      <c r="C63" s="20">
        <v>29</v>
      </c>
      <c r="D63" s="18"/>
      <c r="E63" s="18"/>
      <c r="F63" s="18"/>
      <c r="G63" s="18"/>
      <c r="H63" s="18"/>
      <c r="I63" s="18"/>
      <c r="J63" s="18"/>
      <c r="K63" s="18"/>
    </row>
    <row r="64" spans="1:11" x14ac:dyDescent="0.25">
      <c r="A64" s="18">
        <v>1992</v>
      </c>
      <c r="B64" s="20" t="s">
        <v>25</v>
      </c>
      <c r="C64" s="20">
        <v>1</v>
      </c>
      <c r="D64" s="19" t="s">
        <v>380</v>
      </c>
      <c r="E64" s="19"/>
      <c r="F64" s="20">
        <v>14700</v>
      </c>
      <c r="G64" s="18"/>
      <c r="H64" s="18"/>
      <c r="I64" s="18"/>
      <c r="J64" s="18"/>
      <c r="K64" s="18"/>
    </row>
    <row r="65" spans="1:11" x14ac:dyDescent="0.25">
      <c r="A65" s="18">
        <v>1992</v>
      </c>
      <c r="B65" s="20" t="s">
        <v>25</v>
      </c>
      <c r="C65" s="20">
        <v>2</v>
      </c>
      <c r="D65" s="19" t="s">
        <v>381</v>
      </c>
      <c r="E65" s="19"/>
      <c r="F65" s="20">
        <v>14450</v>
      </c>
      <c r="G65" s="18"/>
      <c r="H65" s="18"/>
      <c r="I65" s="18"/>
      <c r="J65" s="18"/>
      <c r="K65" s="18"/>
    </row>
    <row r="66" spans="1:11" x14ac:dyDescent="0.25">
      <c r="A66" s="18">
        <v>1992</v>
      </c>
      <c r="B66" s="20" t="s">
        <v>25</v>
      </c>
      <c r="C66" s="20">
        <v>3</v>
      </c>
      <c r="D66" s="19" t="s">
        <v>382</v>
      </c>
      <c r="E66" s="19"/>
      <c r="F66" s="20">
        <v>14325</v>
      </c>
      <c r="G66" s="18"/>
      <c r="H66" s="18"/>
      <c r="I66" s="18"/>
      <c r="J66" s="18"/>
      <c r="K66" s="18"/>
    </row>
    <row r="67" spans="1:11" x14ac:dyDescent="0.25">
      <c r="A67" s="18">
        <v>1992</v>
      </c>
      <c r="B67" s="20" t="s">
        <v>25</v>
      </c>
      <c r="C67" s="20">
        <v>4</v>
      </c>
      <c r="D67" s="22" t="s">
        <v>122</v>
      </c>
      <c r="E67" s="22"/>
      <c r="F67" s="22" t="s">
        <v>122</v>
      </c>
      <c r="G67" s="18"/>
      <c r="H67" s="18"/>
      <c r="I67" s="18"/>
      <c r="J67" s="18"/>
      <c r="K67" s="18"/>
    </row>
    <row r="68" spans="1:11" x14ac:dyDescent="0.25">
      <c r="A68" s="18">
        <v>1992</v>
      </c>
      <c r="B68" s="20" t="s">
        <v>25</v>
      </c>
      <c r="C68" s="20">
        <v>5</v>
      </c>
      <c r="D68" s="19" t="s">
        <v>383</v>
      </c>
      <c r="E68" s="19"/>
      <c r="F68" s="20">
        <v>13750</v>
      </c>
      <c r="G68" s="18"/>
      <c r="H68" s="18"/>
      <c r="I68" s="18"/>
      <c r="J68" s="18"/>
      <c r="K68" s="18"/>
    </row>
    <row r="69" spans="1:11" x14ac:dyDescent="0.25">
      <c r="A69" s="18">
        <v>1992</v>
      </c>
      <c r="B69" s="20" t="s">
        <v>25</v>
      </c>
      <c r="C69" s="20">
        <v>6</v>
      </c>
      <c r="D69" s="19" t="s">
        <v>384</v>
      </c>
      <c r="E69" s="19"/>
      <c r="F69" s="20">
        <v>13600</v>
      </c>
      <c r="G69" s="18"/>
      <c r="H69" s="18"/>
      <c r="I69" s="18"/>
      <c r="J69" s="18"/>
      <c r="K69" s="18"/>
    </row>
    <row r="70" spans="1:11" x14ac:dyDescent="0.25">
      <c r="A70" s="18">
        <v>1992</v>
      </c>
      <c r="B70" s="20" t="s">
        <v>25</v>
      </c>
      <c r="C70" s="20">
        <v>7</v>
      </c>
      <c r="D70" s="19" t="s">
        <v>385</v>
      </c>
      <c r="E70" s="19"/>
      <c r="F70" s="20">
        <v>13500</v>
      </c>
      <c r="G70" s="18"/>
      <c r="H70" s="18"/>
      <c r="I70" s="18"/>
      <c r="J70" s="18"/>
      <c r="K70" s="18"/>
    </row>
    <row r="71" spans="1:11" x14ac:dyDescent="0.25">
      <c r="A71" s="18">
        <v>1992</v>
      </c>
      <c r="B71" s="20" t="s">
        <v>25</v>
      </c>
      <c r="C71" s="20">
        <v>8</v>
      </c>
      <c r="D71" s="19" t="s">
        <v>386</v>
      </c>
      <c r="E71" s="19"/>
      <c r="F71" s="20">
        <v>13000</v>
      </c>
      <c r="G71" s="18"/>
      <c r="H71" s="18"/>
      <c r="I71" s="18"/>
      <c r="J71" s="18"/>
      <c r="K71" s="18"/>
    </row>
    <row r="72" spans="1:11" x14ac:dyDescent="0.25">
      <c r="A72" s="18">
        <v>1992</v>
      </c>
      <c r="B72" s="20" t="s">
        <v>25</v>
      </c>
      <c r="C72" s="20">
        <v>9</v>
      </c>
      <c r="D72" s="19" t="s">
        <v>387</v>
      </c>
      <c r="E72" s="19"/>
      <c r="F72" s="20">
        <v>12800</v>
      </c>
      <c r="G72" s="18"/>
      <c r="H72" s="18"/>
      <c r="I72" s="18"/>
      <c r="J72" s="18"/>
      <c r="K72" s="18"/>
    </row>
    <row r="73" spans="1:11" x14ac:dyDescent="0.25">
      <c r="A73" s="18">
        <v>1992</v>
      </c>
      <c r="B73" s="20" t="s">
        <v>25</v>
      </c>
      <c r="C73" s="20">
        <v>10</v>
      </c>
      <c r="D73" s="19" t="s">
        <v>388</v>
      </c>
      <c r="E73" s="19"/>
      <c r="F73" s="20">
        <v>12550</v>
      </c>
      <c r="G73" s="18"/>
      <c r="H73" s="18"/>
      <c r="I73" s="18"/>
      <c r="J73" s="18"/>
      <c r="K73" s="18"/>
    </row>
    <row r="74" spans="1:11" x14ac:dyDescent="0.25">
      <c r="A74" s="18">
        <v>1992</v>
      </c>
      <c r="B74" s="20" t="s">
        <v>25</v>
      </c>
      <c r="C74" s="20">
        <v>11</v>
      </c>
      <c r="D74" s="19" t="s">
        <v>389</v>
      </c>
      <c r="E74" s="19"/>
      <c r="F74" s="20">
        <v>12450</v>
      </c>
      <c r="G74" s="18"/>
      <c r="H74" s="18"/>
      <c r="I74" s="18"/>
      <c r="J74" s="18"/>
      <c r="K74" s="18"/>
    </row>
    <row r="75" spans="1:11" x14ac:dyDescent="0.25">
      <c r="A75" s="18">
        <v>1992</v>
      </c>
      <c r="B75" s="20" t="s">
        <v>25</v>
      </c>
      <c r="C75" s="20">
        <v>12</v>
      </c>
      <c r="D75" s="19" t="s">
        <v>390</v>
      </c>
      <c r="E75" s="19"/>
      <c r="F75" s="20">
        <v>12300</v>
      </c>
      <c r="G75" s="18"/>
      <c r="H75" s="18"/>
      <c r="I75" s="18"/>
      <c r="J75" s="18"/>
      <c r="K75" s="18"/>
    </row>
    <row r="76" spans="1:11" x14ac:dyDescent="0.25">
      <c r="A76" s="18">
        <v>1992</v>
      </c>
      <c r="B76" s="20" t="s">
        <v>25</v>
      </c>
      <c r="C76" s="20">
        <v>13</v>
      </c>
      <c r="D76" s="19" t="s">
        <v>332</v>
      </c>
      <c r="E76" s="19"/>
      <c r="F76" s="20">
        <v>12200</v>
      </c>
      <c r="G76" s="18"/>
      <c r="H76" s="18"/>
      <c r="I76" s="18"/>
      <c r="J76" s="18"/>
      <c r="K76" s="18"/>
    </row>
    <row r="77" spans="1:11" x14ac:dyDescent="0.25">
      <c r="A77" s="18">
        <v>1992</v>
      </c>
      <c r="B77" s="20" t="s">
        <v>25</v>
      </c>
      <c r="C77" s="20">
        <v>14</v>
      </c>
      <c r="D77" s="19" t="s">
        <v>391</v>
      </c>
      <c r="E77" s="19"/>
      <c r="F77" s="20">
        <v>11800</v>
      </c>
      <c r="G77" s="18"/>
      <c r="H77" s="18"/>
      <c r="I77" s="18"/>
      <c r="J77" s="18"/>
      <c r="K77" s="18"/>
    </row>
    <row r="78" spans="1:11" x14ac:dyDescent="0.25">
      <c r="A78" s="18">
        <v>1992</v>
      </c>
      <c r="B78" s="20" t="s">
        <v>25</v>
      </c>
      <c r="C78" s="21">
        <v>15</v>
      </c>
      <c r="D78" s="22" t="s">
        <v>392</v>
      </c>
      <c r="E78" s="22"/>
      <c r="F78" s="20">
        <v>11450</v>
      </c>
      <c r="G78" s="18"/>
      <c r="H78" s="18"/>
      <c r="I78" s="18"/>
      <c r="J78" s="18"/>
      <c r="K78" s="18"/>
    </row>
    <row r="79" spans="1:11" x14ac:dyDescent="0.25">
      <c r="A79" s="18">
        <v>1992</v>
      </c>
      <c r="B79" s="20" t="s">
        <v>25</v>
      </c>
      <c r="C79" s="20">
        <v>16</v>
      </c>
      <c r="D79" s="22" t="s">
        <v>392</v>
      </c>
      <c r="E79" s="22"/>
      <c r="F79" s="20">
        <v>11450</v>
      </c>
      <c r="G79" s="18"/>
      <c r="H79" s="18"/>
      <c r="I79" s="18"/>
      <c r="J79" s="18"/>
      <c r="K79" s="18"/>
    </row>
    <row r="80" spans="1:11" x14ac:dyDescent="0.25">
      <c r="A80" s="18">
        <v>1992</v>
      </c>
      <c r="B80" s="20" t="s">
        <v>25</v>
      </c>
      <c r="C80" s="20">
        <v>17</v>
      </c>
      <c r="D80" s="22" t="s">
        <v>11</v>
      </c>
      <c r="E80" s="22"/>
      <c r="F80" s="20">
        <v>11300</v>
      </c>
      <c r="G80" s="18"/>
      <c r="H80" s="18"/>
      <c r="I80" s="18"/>
      <c r="J80" s="18"/>
      <c r="K80" s="18"/>
    </row>
    <row r="81" spans="1:11" x14ac:dyDescent="0.25">
      <c r="A81" s="18">
        <v>1992</v>
      </c>
      <c r="B81" s="20" t="s">
        <v>25</v>
      </c>
      <c r="C81" s="20">
        <v>18</v>
      </c>
      <c r="D81" s="22" t="s">
        <v>40</v>
      </c>
      <c r="E81" s="22"/>
      <c r="F81" s="20">
        <v>11100</v>
      </c>
      <c r="G81" s="18"/>
      <c r="H81" s="18"/>
      <c r="I81" s="18"/>
      <c r="J81" s="18"/>
      <c r="K81" s="18"/>
    </row>
    <row r="82" spans="1:11" x14ac:dyDescent="0.25">
      <c r="A82" s="18">
        <v>1992</v>
      </c>
      <c r="B82" s="20" t="s">
        <v>25</v>
      </c>
      <c r="C82" s="20">
        <v>19</v>
      </c>
      <c r="D82" s="22" t="s">
        <v>393</v>
      </c>
      <c r="E82" s="22"/>
      <c r="F82" s="20">
        <v>10750</v>
      </c>
      <c r="G82" s="18"/>
      <c r="H82" s="18"/>
      <c r="I82" s="18"/>
      <c r="J82" s="18"/>
      <c r="K82" s="18"/>
    </row>
    <row r="83" spans="1:11" x14ac:dyDescent="0.25">
      <c r="A83" s="18">
        <v>1992</v>
      </c>
      <c r="B83" s="20" t="s">
        <v>25</v>
      </c>
      <c r="C83" s="20">
        <v>20</v>
      </c>
      <c r="D83" s="22" t="s">
        <v>9</v>
      </c>
      <c r="E83" s="22"/>
      <c r="F83" s="25">
        <v>10700</v>
      </c>
      <c r="G83" s="18"/>
      <c r="H83" s="18"/>
      <c r="I83" s="18"/>
      <c r="J83" s="18"/>
      <c r="K83" s="18"/>
    </row>
    <row r="84" spans="1:11" x14ac:dyDescent="0.25">
      <c r="A84" s="18">
        <v>1992</v>
      </c>
      <c r="B84" s="20" t="s">
        <v>25</v>
      </c>
      <c r="C84" s="20">
        <v>21</v>
      </c>
      <c r="D84" s="22" t="s">
        <v>394</v>
      </c>
      <c r="E84" s="22"/>
      <c r="F84" s="25">
        <v>10550</v>
      </c>
      <c r="G84" s="18"/>
      <c r="H84" s="18"/>
      <c r="I84" s="18"/>
      <c r="J84" s="18"/>
      <c r="K84" s="18"/>
    </row>
    <row r="85" spans="1:11" x14ac:dyDescent="0.25">
      <c r="A85" s="18">
        <v>1992</v>
      </c>
      <c r="B85" s="20" t="s">
        <v>25</v>
      </c>
      <c r="C85" s="20">
        <v>22</v>
      </c>
      <c r="D85" s="22" t="s">
        <v>395</v>
      </c>
      <c r="E85" s="22"/>
      <c r="F85" s="28">
        <v>10400</v>
      </c>
      <c r="G85" s="18"/>
      <c r="H85" s="18"/>
      <c r="I85" s="18"/>
      <c r="J85" s="18"/>
      <c r="K85" s="18"/>
    </row>
    <row r="86" spans="1:11" x14ac:dyDescent="0.25">
      <c r="A86" s="18">
        <v>1992</v>
      </c>
      <c r="B86" s="20" t="s">
        <v>25</v>
      </c>
      <c r="C86" s="20">
        <v>23</v>
      </c>
      <c r="D86" s="22" t="s">
        <v>328</v>
      </c>
      <c r="E86" s="22"/>
      <c r="F86" s="28">
        <v>10200</v>
      </c>
      <c r="G86" s="18"/>
      <c r="H86" s="18"/>
      <c r="I86" s="18"/>
      <c r="J86" s="18"/>
      <c r="K86" s="18"/>
    </row>
    <row r="87" spans="1:11" x14ac:dyDescent="0.25">
      <c r="A87" s="18">
        <v>1992</v>
      </c>
      <c r="B87" s="20" t="s">
        <v>25</v>
      </c>
      <c r="C87" s="20">
        <v>24</v>
      </c>
      <c r="D87" s="22" t="s">
        <v>396</v>
      </c>
      <c r="E87" s="22"/>
      <c r="F87" s="28">
        <v>10050</v>
      </c>
      <c r="G87" s="18"/>
      <c r="H87" s="18"/>
      <c r="I87" s="18"/>
      <c r="J87" s="18"/>
      <c r="K87" s="18"/>
    </row>
    <row r="88" spans="1:11" x14ac:dyDescent="0.25">
      <c r="A88" s="18">
        <v>1992</v>
      </c>
      <c r="B88" s="20" t="s">
        <v>25</v>
      </c>
      <c r="C88" s="20">
        <v>25</v>
      </c>
      <c r="D88" s="22" t="s">
        <v>56</v>
      </c>
      <c r="E88" s="22"/>
      <c r="F88" s="28">
        <v>9900</v>
      </c>
      <c r="G88" s="18"/>
      <c r="H88" s="18"/>
      <c r="I88" s="18"/>
      <c r="J88" s="18"/>
      <c r="K88" s="18"/>
    </row>
    <row r="89" spans="1:11" x14ac:dyDescent="0.25">
      <c r="A89" s="18">
        <v>1992</v>
      </c>
      <c r="B89" s="20" t="s">
        <v>25</v>
      </c>
      <c r="C89" s="20">
        <v>26</v>
      </c>
      <c r="D89" s="22" t="s">
        <v>58</v>
      </c>
      <c r="E89" s="22"/>
      <c r="F89" s="28">
        <v>9800</v>
      </c>
      <c r="G89" s="18"/>
      <c r="H89" s="18"/>
      <c r="I89" s="18"/>
      <c r="J89" s="18"/>
      <c r="K89" s="18"/>
    </row>
    <row r="90" spans="1:11" x14ac:dyDescent="0.25">
      <c r="A90" s="18">
        <v>1992</v>
      </c>
      <c r="B90" s="20" t="s">
        <v>25</v>
      </c>
      <c r="C90" s="20">
        <v>27</v>
      </c>
      <c r="D90" s="22" t="s">
        <v>397</v>
      </c>
      <c r="E90" s="22"/>
      <c r="F90" s="28">
        <v>9750</v>
      </c>
      <c r="G90" s="18"/>
      <c r="H90" s="18"/>
      <c r="I90" s="18"/>
      <c r="J90" s="18"/>
      <c r="K90" s="18"/>
    </row>
    <row r="91" spans="1:11" x14ac:dyDescent="0.25">
      <c r="A91" s="18">
        <v>1992</v>
      </c>
      <c r="B91" s="20" t="s">
        <v>25</v>
      </c>
      <c r="C91" s="20">
        <v>28</v>
      </c>
      <c r="D91" s="22" t="s">
        <v>60</v>
      </c>
      <c r="E91" s="22"/>
      <c r="F91" s="28">
        <v>9700</v>
      </c>
      <c r="G91" s="18"/>
      <c r="H91" s="18"/>
      <c r="I91" s="18"/>
      <c r="J91" s="18"/>
      <c r="K91" s="18"/>
    </row>
    <row r="92" spans="1:11" x14ac:dyDescent="0.25">
      <c r="A92" s="18">
        <v>1992</v>
      </c>
      <c r="B92" s="20" t="s">
        <v>25</v>
      </c>
      <c r="C92" s="20">
        <v>29</v>
      </c>
      <c r="D92" s="22" t="s">
        <v>64</v>
      </c>
      <c r="E92" s="22"/>
      <c r="F92" s="25">
        <v>9500</v>
      </c>
      <c r="G92" s="18"/>
      <c r="H92" s="18"/>
      <c r="I92" s="18"/>
      <c r="J92" s="18"/>
      <c r="K92" s="18"/>
    </row>
    <row r="93" spans="1:11" x14ac:dyDescent="0.25">
      <c r="A93" s="18">
        <v>1992</v>
      </c>
      <c r="B93" s="20" t="s">
        <v>25</v>
      </c>
      <c r="C93" s="20">
        <v>30</v>
      </c>
      <c r="D93" s="22" t="s">
        <v>70</v>
      </c>
      <c r="E93" s="22"/>
      <c r="F93" s="25">
        <v>9300</v>
      </c>
      <c r="G93" s="18"/>
      <c r="H93" s="18"/>
      <c r="I93" s="18"/>
      <c r="J93" s="18"/>
      <c r="K93" s="18"/>
    </row>
    <row r="94" spans="1:11" x14ac:dyDescent="0.25">
      <c r="A94" s="18">
        <v>1992</v>
      </c>
      <c r="B94" s="20" t="s">
        <v>25</v>
      </c>
      <c r="C94" s="20">
        <v>31</v>
      </c>
      <c r="D94" s="22" t="s">
        <v>72</v>
      </c>
      <c r="E94" s="22"/>
      <c r="F94" s="25">
        <v>9200</v>
      </c>
      <c r="G94" s="18"/>
      <c r="H94" s="18"/>
      <c r="I94" s="18"/>
      <c r="J94" s="18"/>
      <c r="K94" s="18"/>
    </row>
    <row r="95" spans="1:11" x14ac:dyDescent="0.25">
      <c r="A95" s="18">
        <v>1992</v>
      </c>
      <c r="B95" s="20" t="s">
        <v>26</v>
      </c>
      <c r="C95" s="20">
        <v>1</v>
      </c>
      <c r="D95" s="22" t="s">
        <v>398</v>
      </c>
      <c r="E95" s="22"/>
      <c r="F95" s="25">
        <v>9050</v>
      </c>
      <c r="G95" s="18"/>
      <c r="H95" s="18"/>
      <c r="I95" s="18"/>
      <c r="J95" s="18"/>
      <c r="K95" s="18"/>
    </row>
    <row r="96" spans="1:11" x14ac:dyDescent="0.25">
      <c r="A96" s="18">
        <v>1992</v>
      </c>
      <c r="B96" s="20" t="s">
        <v>26</v>
      </c>
      <c r="C96" s="20">
        <v>2</v>
      </c>
      <c r="D96" s="22" t="s">
        <v>5</v>
      </c>
      <c r="E96" s="22"/>
      <c r="F96" s="25">
        <v>8900</v>
      </c>
      <c r="G96" s="18"/>
      <c r="H96" s="18"/>
      <c r="I96" s="18"/>
      <c r="J96" s="18"/>
      <c r="K96" s="18"/>
    </row>
    <row r="97" spans="1:11" x14ac:dyDescent="0.25">
      <c r="A97" s="18">
        <v>1992</v>
      </c>
      <c r="B97" s="20" t="s">
        <v>26</v>
      </c>
      <c r="C97" s="20">
        <v>3</v>
      </c>
      <c r="D97" s="22" t="s">
        <v>326</v>
      </c>
      <c r="E97" s="22"/>
      <c r="F97" s="25">
        <v>8700</v>
      </c>
      <c r="G97" s="18"/>
      <c r="H97" s="18"/>
      <c r="I97" s="18"/>
      <c r="J97" s="18"/>
      <c r="K97" s="18"/>
    </row>
    <row r="98" spans="1:11" x14ac:dyDescent="0.25">
      <c r="A98" s="18">
        <v>1992</v>
      </c>
      <c r="B98" s="20" t="s">
        <v>26</v>
      </c>
      <c r="C98" s="20">
        <v>4</v>
      </c>
      <c r="D98" s="22" t="s">
        <v>326</v>
      </c>
      <c r="E98" s="22"/>
      <c r="F98" s="25">
        <v>8700</v>
      </c>
      <c r="G98" s="18"/>
      <c r="H98" s="18"/>
      <c r="I98" s="18"/>
      <c r="J98" s="18"/>
      <c r="K98" s="18"/>
    </row>
    <row r="99" spans="1:11" x14ac:dyDescent="0.25">
      <c r="A99" s="18">
        <v>1992</v>
      </c>
      <c r="B99" s="20" t="s">
        <v>26</v>
      </c>
      <c r="C99" s="20">
        <v>5</v>
      </c>
      <c r="D99" s="22" t="s">
        <v>325</v>
      </c>
      <c r="E99" s="22"/>
      <c r="F99" s="20">
        <v>8500</v>
      </c>
      <c r="G99" s="18"/>
      <c r="H99" s="18"/>
      <c r="I99" s="18"/>
      <c r="J99" s="18"/>
      <c r="K99" s="18"/>
    </row>
    <row r="100" spans="1:11" x14ac:dyDescent="0.25">
      <c r="A100" s="18">
        <v>1992</v>
      </c>
      <c r="B100" s="20" t="s">
        <v>26</v>
      </c>
      <c r="C100" s="20">
        <v>6</v>
      </c>
      <c r="D100" s="22" t="s">
        <v>86</v>
      </c>
      <c r="E100" s="22"/>
      <c r="F100" s="20">
        <v>8400</v>
      </c>
      <c r="G100" s="18"/>
      <c r="H100" s="18"/>
      <c r="I100" s="18"/>
      <c r="J100" s="18"/>
      <c r="K100" s="18"/>
    </row>
    <row r="101" spans="1:11" x14ac:dyDescent="0.25">
      <c r="A101" s="18">
        <v>1992</v>
      </c>
      <c r="B101" s="20" t="s">
        <v>26</v>
      </c>
      <c r="C101" s="20">
        <v>7</v>
      </c>
      <c r="D101" s="22" t="s">
        <v>86</v>
      </c>
      <c r="E101" s="22"/>
      <c r="F101" s="20">
        <v>8400</v>
      </c>
      <c r="G101" s="18"/>
      <c r="H101" s="18"/>
      <c r="I101" s="18"/>
      <c r="J101" s="18"/>
      <c r="K101" s="18"/>
    </row>
    <row r="102" spans="1:11" x14ac:dyDescent="0.25">
      <c r="A102" s="18">
        <v>1992</v>
      </c>
      <c r="B102" s="20" t="s">
        <v>26</v>
      </c>
      <c r="C102" s="20">
        <v>8</v>
      </c>
      <c r="D102" s="22" t="s">
        <v>86</v>
      </c>
      <c r="E102" s="22"/>
      <c r="F102" s="20">
        <v>8400</v>
      </c>
      <c r="G102" s="18"/>
      <c r="H102" s="18"/>
      <c r="I102" s="18"/>
      <c r="J102" s="18"/>
      <c r="K102" s="18"/>
    </row>
    <row r="103" spans="1:11" x14ac:dyDescent="0.25">
      <c r="A103" s="18">
        <v>1992</v>
      </c>
      <c r="B103" s="20" t="s">
        <v>26</v>
      </c>
      <c r="C103" s="20">
        <v>9</v>
      </c>
      <c r="D103" s="22" t="s">
        <v>86</v>
      </c>
      <c r="E103" s="22"/>
      <c r="F103" s="20">
        <v>8400</v>
      </c>
      <c r="G103" s="18"/>
      <c r="H103" s="18"/>
      <c r="I103" s="18"/>
      <c r="J103" s="18"/>
      <c r="K103" s="18"/>
    </row>
    <row r="104" spans="1:11" x14ac:dyDescent="0.25">
      <c r="A104" s="18">
        <v>1992</v>
      </c>
      <c r="B104" s="20" t="s">
        <v>26</v>
      </c>
      <c r="C104" s="20">
        <v>10</v>
      </c>
      <c r="D104" s="22" t="s">
        <v>86</v>
      </c>
      <c r="E104" s="22"/>
      <c r="F104" s="20">
        <v>8400</v>
      </c>
      <c r="G104" s="18"/>
      <c r="H104" s="18"/>
      <c r="I104" s="18"/>
      <c r="J104" s="18"/>
      <c r="K104" s="18"/>
    </row>
    <row r="105" spans="1:11" x14ac:dyDescent="0.25">
      <c r="A105" s="18">
        <v>1992</v>
      </c>
      <c r="B105" s="20" t="s">
        <v>26</v>
      </c>
      <c r="C105" s="20">
        <v>11</v>
      </c>
      <c r="D105" s="22" t="s">
        <v>86</v>
      </c>
      <c r="E105" s="22"/>
      <c r="F105" s="20">
        <v>8400</v>
      </c>
      <c r="G105" s="18"/>
      <c r="H105" s="18"/>
      <c r="I105" s="18"/>
      <c r="J105" s="18"/>
      <c r="K105" s="18"/>
    </row>
    <row r="106" spans="1:11" x14ac:dyDescent="0.25">
      <c r="A106" s="18">
        <v>1992</v>
      </c>
      <c r="B106" s="20" t="s">
        <v>26</v>
      </c>
      <c r="C106" s="20">
        <v>12</v>
      </c>
      <c r="D106" s="22" t="s">
        <v>122</v>
      </c>
      <c r="E106" s="22"/>
      <c r="F106" s="22" t="s">
        <v>122</v>
      </c>
      <c r="G106" s="18"/>
      <c r="H106" s="18"/>
      <c r="I106" s="18"/>
      <c r="J106" s="18"/>
      <c r="K106" s="18"/>
    </row>
    <row r="107" spans="1:11" x14ac:dyDescent="0.25">
      <c r="A107" s="18">
        <v>1992</v>
      </c>
      <c r="B107" s="20" t="s">
        <v>26</v>
      </c>
      <c r="C107" s="20">
        <v>13</v>
      </c>
      <c r="D107" s="22" t="s">
        <v>122</v>
      </c>
      <c r="E107" s="22"/>
      <c r="F107" s="22" t="s">
        <v>122</v>
      </c>
      <c r="G107" s="18"/>
      <c r="H107" s="18"/>
      <c r="I107" s="18"/>
      <c r="J107" s="18"/>
      <c r="K107" s="18"/>
    </row>
    <row r="108" spans="1:11" x14ac:dyDescent="0.25">
      <c r="A108" s="18">
        <v>1992</v>
      </c>
      <c r="B108" s="20" t="s">
        <v>26</v>
      </c>
      <c r="C108" s="20">
        <v>14</v>
      </c>
      <c r="D108" s="22" t="s">
        <v>122</v>
      </c>
      <c r="E108" s="22"/>
      <c r="F108" s="22" t="s">
        <v>122</v>
      </c>
      <c r="G108" s="18"/>
      <c r="H108" s="18"/>
      <c r="I108" s="18"/>
      <c r="J108" s="18"/>
      <c r="K108" s="18"/>
    </row>
    <row r="109" spans="1:11" x14ac:dyDescent="0.25">
      <c r="A109" s="18">
        <v>1992</v>
      </c>
      <c r="B109" s="20" t="s">
        <v>26</v>
      </c>
      <c r="C109" s="20">
        <v>15</v>
      </c>
      <c r="D109" s="22" t="s">
        <v>399</v>
      </c>
      <c r="E109" s="22"/>
      <c r="F109" s="25">
        <v>8350</v>
      </c>
      <c r="G109" s="18"/>
      <c r="H109" s="18"/>
      <c r="I109" s="18"/>
      <c r="J109" s="18"/>
      <c r="K109" s="18"/>
    </row>
    <row r="110" spans="1:11" x14ac:dyDescent="0.25">
      <c r="A110" s="18">
        <v>1992</v>
      </c>
      <c r="B110" s="20" t="s">
        <v>26</v>
      </c>
      <c r="C110" s="20">
        <v>16</v>
      </c>
      <c r="D110" s="22" t="s">
        <v>399</v>
      </c>
      <c r="E110" s="22"/>
      <c r="F110" s="25">
        <v>8350</v>
      </c>
      <c r="G110" s="18"/>
      <c r="H110" s="18"/>
      <c r="I110" s="18"/>
      <c r="J110" s="18"/>
      <c r="K110" s="18"/>
    </row>
    <row r="111" spans="1:11" x14ac:dyDescent="0.25">
      <c r="A111" s="18">
        <v>1992</v>
      </c>
      <c r="B111" s="20" t="s">
        <v>26</v>
      </c>
      <c r="C111" s="20">
        <v>17</v>
      </c>
      <c r="D111" s="22" t="s">
        <v>399</v>
      </c>
      <c r="E111" s="22"/>
      <c r="F111" s="25">
        <v>8350</v>
      </c>
      <c r="G111" s="18"/>
      <c r="H111" s="18"/>
      <c r="I111" s="18"/>
      <c r="J111" s="18"/>
      <c r="K111" s="18"/>
    </row>
    <row r="112" spans="1:11" x14ac:dyDescent="0.25">
      <c r="A112" s="18">
        <v>1992</v>
      </c>
      <c r="B112" s="20" t="s">
        <v>26</v>
      </c>
      <c r="C112" s="20">
        <v>18</v>
      </c>
      <c r="D112" s="22" t="s">
        <v>122</v>
      </c>
      <c r="E112" s="22"/>
      <c r="F112" s="22" t="s">
        <v>122</v>
      </c>
      <c r="G112" s="18"/>
      <c r="H112" s="18"/>
      <c r="I112" s="18"/>
      <c r="J112" s="18"/>
      <c r="K112" s="18"/>
    </row>
    <row r="113" spans="1:11" x14ac:dyDescent="0.25">
      <c r="A113" s="18">
        <v>1992</v>
      </c>
      <c r="B113" s="20" t="s">
        <v>26</v>
      </c>
      <c r="C113" s="20">
        <v>19</v>
      </c>
      <c r="D113" s="22" t="s">
        <v>122</v>
      </c>
      <c r="E113" s="22"/>
      <c r="F113" s="22" t="s">
        <v>122</v>
      </c>
      <c r="G113" s="18"/>
      <c r="H113" s="18"/>
      <c r="I113" s="18"/>
      <c r="J113" s="18"/>
      <c r="K113" s="18"/>
    </row>
    <row r="114" spans="1:11" x14ac:dyDescent="0.25">
      <c r="A114" s="18">
        <v>1992</v>
      </c>
      <c r="B114" s="20" t="s">
        <v>26</v>
      </c>
      <c r="C114" s="20">
        <v>20</v>
      </c>
      <c r="D114" s="22" t="s">
        <v>86</v>
      </c>
      <c r="E114" s="22"/>
      <c r="F114" s="20">
        <v>8400</v>
      </c>
      <c r="G114" s="18"/>
      <c r="H114" s="18"/>
      <c r="I114" s="18"/>
      <c r="J114" s="18"/>
      <c r="K114" s="18"/>
    </row>
    <row r="115" spans="1:11" x14ac:dyDescent="0.25">
      <c r="A115" s="18">
        <v>1992</v>
      </c>
      <c r="B115" s="20" t="s">
        <v>26</v>
      </c>
      <c r="C115" s="20">
        <v>21</v>
      </c>
      <c r="D115" s="22" t="s">
        <v>122</v>
      </c>
      <c r="E115" s="22"/>
      <c r="F115" s="22" t="s">
        <v>122</v>
      </c>
      <c r="G115" s="18"/>
      <c r="H115" s="18"/>
      <c r="I115" s="18"/>
      <c r="J115" s="18"/>
      <c r="K115" s="18"/>
    </row>
    <row r="116" spans="1:11" x14ac:dyDescent="0.25">
      <c r="A116" s="18">
        <v>1992</v>
      </c>
      <c r="B116" s="20" t="s">
        <v>26</v>
      </c>
      <c r="C116" s="20">
        <v>22</v>
      </c>
      <c r="D116" s="22" t="s">
        <v>122</v>
      </c>
      <c r="E116" s="22"/>
      <c r="F116" s="22" t="s">
        <v>122</v>
      </c>
      <c r="G116" s="18"/>
      <c r="H116" s="18"/>
      <c r="I116" s="18"/>
      <c r="J116" s="18"/>
      <c r="K116" s="18"/>
    </row>
    <row r="117" spans="1:11" x14ac:dyDescent="0.25">
      <c r="A117" s="18">
        <v>1992</v>
      </c>
      <c r="B117" s="20" t="s">
        <v>26</v>
      </c>
      <c r="C117" s="20">
        <v>23</v>
      </c>
      <c r="D117" s="22" t="s">
        <v>86</v>
      </c>
      <c r="E117" s="22"/>
      <c r="F117" s="20">
        <v>8400</v>
      </c>
      <c r="G117" s="18"/>
      <c r="H117" s="18"/>
      <c r="I117" s="18"/>
      <c r="J117" s="18"/>
      <c r="K117" s="18"/>
    </row>
    <row r="118" spans="1:11" x14ac:dyDescent="0.25">
      <c r="A118" s="18">
        <v>1992</v>
      </c>
      <c r="B118" s="20" t="s">
        <v>26</v>
      </c>
      <c r="C118" s="20">
        <v>24</v>
      </c>
      <c r="D118" s="22" t="s">
        <v>86</v>
      </c>
      <c r="E118" s="22"/>
      <c r="F118" s="20">
        <v>8400</v>
      </c>
      <c r="G118" s="18"/>
      <c r="H118" s="18"/>
      <c r="I118" s="18"/>
      <c r="J118" s="18"/>
      <c r="K118" s="18"/>
    </row>
    <row r="119" spans="1:11" x14ac:dyDescent="0.25">
      <c r="A119" s="18">
        <v>1992</v>
      </c>
      <c r="B119" s="20" t="s">
        <v>26</v>
      </c>
      <c r="C119" s="20">
        <v>25</v>
      </c>
      <c r="D119" s="22" t="s">
        <v>326</v>
      </c>
      <c r="E119" s="22"/>
      <c r="F119" s="25">
        <v>8700</v>
      </c>
      <c r="G119" s="18"/>
      <c r="H119" s="18"/>
      <c r="I119" s="18"/>
      <c r="J119" s="18"/>
      <c r="K119" s="18"/>
    </row>
    <row r="120" spans="1:11" x14ac:dyDescent="0.25">
      <c r="A120" s="18">
        <v>1992</v>
      </c>
      <c r="B120" s="20" t="s">
        <v>26</v>
      </c>
      <c r="C120" s="20">
        <v>26</v>
      </c>
      <c r="D120" s="22" t="s">
        <v>82</v>
      </c>
      <c r="E120" s="22"/>
      <c r="F120" s="25">
        <v>8800</v>
      </c>
      <c r="G120" s="18"/>
      <c r="H120" s="18"/>
      <c r="I120" s="18"/>
      <c r="J120" s="18"/>
      <c r="K120" s="18"/>
    </row>
    <row r="121" spans="1:11" x14ac:dyDescent="0.25">
      <c r="A121" s="18">
        <v>1992</v>
      </c>
      <c r="B121" s="20" t="s">
        <v>26</v>
      </c>
      <c r="C121" s="20">
        <v>27</v>
      </c>
      <c r="D121" s="22" t="s">
        <v>400</v>
      </c>
      <c r="E121" s="22"/>
      <c r="F121" s="25">
        <v>8850</v>
      </c>
      <c r="G121" s="18"/>
      <c r="H121" s="18"/>
      <c r="I121" s="18"/>
      <c r="J121" s="18"/>
      <c r="K121" s="18"/>
    </row>
    <row r="122" spans="1:11" x14ac:dyDescent="0.25">
      <c r="A122" s="18">
        <v>1992</v>
      </c>
      <c r="B122" s="20" t="s">
        <v>26</v>
      </c>
      <c r="C122" s="20">
        <v>28</v>
      </c>
      <c r="D122" s="22" t="s">
        <v>400</v>
      </c>
      <c r="E122" s="22"/>
      <c r="F122" s="25">
        <v>8850</v>
      </c>
      <c r="G122" s="18"/>
      <c r="H122" s="18"/>
      <c r="I122" s="18"/>
      <c r="J122" s="18"/>
      <c r="K122" s="18"/>
    </row>
    <row r="123" spans="1:11" x14ac:dyDescent="0.25">
      <c r="A123" s="18">
        <v>1992</v>
      </c>
      <c r="B123" s="20" t="s">
        <v>26</v>
      </c>
      <c r="C123" s="20">
        <v>29</v>
      </c>
      <c r="D123" s="22" t="s">
        <v>400</v>
      </c>
      <c r="E123" s="22"/>
      <c r="F123" s="25">
        <v>8850</v>
      </c>
      <c r="G123" s="18"/>
      <c r="H123" s="18"/>
      <c r="I123" s="18"/>
      <c r="J123" s="18"/>
      <c r="K123" s="18"/>
    </row>
    <row r="124" spans="1:11" x14ac:dyDescent="0.25">
      <c r="A124" s="18">
        <v>1992</v>
      </c>
      <c r="B124" s="20" t="s">
        <v>26</v>
      </c>
      <c r="C124" s="20">
        <v>30</v>
      </c>
      <c r="D124" s="22" t="s">
        <v>400</v>
      </c>
      <c r="E124" s="22"/>
      <c r="F124" s="25">
        <v>8850</v>
      </c>
      <c r="G124" s="18"/>
      <c r="H124" s="18"/>
      <c r="I124" s="18"/>
      <c r="J124" s="18"/>
      <c r="K124" s="18"/>
    </row>
    <row r="125" spans="1:11" x14ac:dyDescent="0.25">
      <c r="A125" s="18">
        <v>1992</v>
      </c>
      <c r="B125" s="20" t="s">
        <v>27</v>
      </c>
      <c r="C125" s="20">
        <v>1</v>
      </c>
      <c r="D125" s="22" t="s">
        <v>400</v>
      </c>
      <c r="E125" s="22"/>
      <c r="F125" s="25">
        <v>8850</v>
      </c>
      <c r="G125" s="18"/>
      <c r="H125" s="18"/>
      <c r="I125" s="18"/>
      <c r="J125" s="18"/>
      <c r="K125" s="18"/>
    </row>
    <row r="126" spans="1:11" x14ac:dyDescent="0.25">
      <c r="A126" s="18">
        <v>1992</v>
      </c>
      <c r="B126" s="20" t="s">
        <v>27</v>
      </c>
      <c r="C126" s="20">
        <v>2</v>
      </c>
      <c r="D126" s="22" t="s">
        <v>400</v>
      </c>
      <c r="E126" s="22"/>
      <c r="F126" s="25">
        <v>8850</v>
      </c>
      <c r="G126" s="18"/>
      <c r="H126" s="18"/>
      <c r="I126" s="18"/>
      <c r="J126" s="18"/>
      <c r="K126" s="18"/>
    </row>
    <row r="127" spans="1:11" x14ac:dyDescent="0.25">
      <c r="A127" s="18">
        <v>1992</v>
      </c>
      <c r="B127" s="20" t="s">
        <v>27</v>
      </c>
      <c r="C127" s="20">
        <v>3</v>
      </c>
      <c r="D127" s="22" t="s">
        <v>400</v>
      </c>
      <c r="E127" s="22"/>
      <c r="F127" s="25">
        <v>8850</v>
      </c>
      <c r="G127" s="18"/>
      <c r="H127" s="18"/>
      <c r="I127" s="18"/>
      <c r="J127" s="18"/>
      <c r="K127" s="18"/>
    </row>
    <row r="128" spans="1:11" x14ac:dyDescent="0.25">
      <c r="A128" s="18">
        <v>1992</v>
      </c>
      <c r="B128" s="20" t="s">
        <v>27</v>
      </c>
      <c r="C128" s="20">
        <v>4</v>
      </c>
      <c r="D128" s="22" t="s">
        <v>400</v>
      </c>
      <c r="E128" s="22"/>
      <c r="F128" s="25">
        <v>8850</v>
      </c>
      <c r="G128" s="18"/>
      <c r="H128" s="18"/>
      <c r="I128" s="18"/>
      <c r="J128" s="18"/>
      <c r="K128" s="18"/>
    </row>
    <row r="129" spans="1:11" x14ac:dyDescent="0.25">
      <c r="A129" s="18">
        <v>1992</v>
      </c>
      <c r="B129" s="20" t="s">
        <v>27</v>
      </c>
      <c r="C129" s="20">
        <v>5</v>
      </c>
      <c r="D129" s="22" t="s">
        <v>400</v>
      </c>
      <c r="E129" s="22"/>
      <c r="F129" s="25">
        <v>8850</v>
      </c>
      <c r="G129" s="18"/>
      <c r="H129" s="18"/>
      <c r="I129" s="18"/>
      <c r="J129" s="18"/>
      <c r="K129" s="18"/>
    </row>
    <row r="130" spans="1:11" x14ac:dyDescent="0.25">
      <c r="A130" s="18">
        <v>1992</v>
      </c>
      <c r="B130" s="20" t="s">
        <v>27</v>
      </c>
      <c r="C130" s="20">
        <v>6</v>
      </c>
      <c r="D130" s="22" t="s">
        <v>400</v>
      </c>
      <c r="E130" s="22"/>
      <c r="F130" s="25">
        <v>8850</v>
      </c>
      <c r="G130" s="18"/>
      <c r="H130" s="18"/>
      <c r="I130" s="18"/>
      <c r="J130" s="18"/>
      <c r="K130" s="18"/>
    </row>
    <row r="131" spans="1:11" x14ac:dyDescent="0.25">
      <c r="A131" s="18">
        <v>1992</v>
      </c>
      <c r="B131" s="20" t="s">
        <v>27</v>
      </c>
      <c r="C131" s="20">
        <v>7</v>
      </c>
      <c r="D131" s="22" t="s">
        <v>400</v>
      </c>
      <c r="E131" s="22"/>
      <c r="F131" s="25">
        <v>8850</v>
      </c>
      <c r="G131" s="18"/>
      <c r="H131" s="18"/>
      <c r="I131" s="18"/>
      <c r="J131" s="18"/>
      <c r="K131" s="18"/>
    </row>
    <row r="132" spans="1:11" x14ac:dyDescent="0.25">
      <c r="A132" s="18">
        <v>1992</v>
      </c>
      <c r="B132" s="20" t="s">
        <v>27</v>
      </c>
      <c r="C132" s="20">
        <v>8</v>
      </c>
      <c r="D132" s="22" t="s">
        <v>400</v>
      </c>
      <c r="E132" s="22"/>
      <c r="F132" s="25">
        <v>8850</v>
      </c>
      <c r="G132" s="18"/>
      <c r="H132" s="18"/>
      <c r="I132" s="18"/>
      <c r="J132" s="18"/>
      <c r="K132" s="18"/>
    </row>
    <row r="133" spans="1:11" x14ac:dyDescent="0.25">
      <c r="A133" s="18">
        <v>1992</v>
      </c>
      <c r="B133" s="20" t="s">
        <v>27</v>
      </c>
      <c r="C133" s="20">
        <v>9</v>
      </c>
      <c r="D133" s="22" t="s">
        <v>400</v>
      </c>
      <c r="E133" s="22"/>
      <c r="F133" s="25">
        <v>8850</v>
      </c>
      <c r="G133" s="18"/>
      <c r="H133" s="18"/>
      <c r="I133" s="18"/>
      <c r="J133" s="18"/>
      <c r="K133" s="18"/>
    </row>
    <row r="134" spans="1:11" x14ac:dyDescent="0.25">
      <c r="A134" s="18">
        <v>1992</v>
      </c>
      <c r="B134" s="20" t="s">
        <v>27</v>
      </c>
      <c r="C134" s="20">
        <v>10</v>
      </c>
      <c r="D134" s="22" t="s">
        <v>122</v>
      </c>
      <c r="E134" s="22"/>
      <c r="F134" s="22" t="s">
        <v>122</v>
      </c>
      <c r="G134" s="18"/>
      <c r="H134" s="18"/>
      <c r="I134" s="18"/>
      <c r="J134" s="18"/>
      <c r="K134" s="18"/>
    </row>
    <row r="135" spans="1:11" x14ac:dyDescent="0.25">
      <c r="A135" s="18">
        <v>1992</v>
      </c>
      <c r="B135" s="20" t="s">
        <v>27</v>
      </c>
      <c r="C135" s="20">
        <v>11</v>
      </c>
      <c r="D135" s="22" t="s">
        <v>122</v>
      </c>
      <c r="E135" s="22"/>
      <c r="F135" s="22" t="s">
        <v>122</v>
      </c>
      <c r="G135" s="18"/>
      <c r="H135" s="18"/>
      <c r="I135" s="18"/>
      <c r="J135" s="18"/>
      <c r="K135" s="18"/>
    </row>
    <row r="136" spans="1:11" x14ac:dyDescent="0.25">
      <c r="A136" s="18">
        <v>1992</v>
      </c>
      <c r="B136" s="20" t="s">
        <v>27</v>
      </c>
      <c r="C136" s="20">
        <v>12</v>
      </c>
      <c r="D136" s="22" t="s">
        <v>78</v>
      </c>
      <c r="E136" s="22"/>
      <c r="F136" s="20">
        <v>8950</v>
      </c>
      <c r="G136" s="18"/>
      <c r="H136" s="18"/>
      <c r="I136" s="18"/>
      <c r="J136" s="18"/>
      <c r="K136" s="18"/>
    </row>
    <row r="137" spans="1:11" x14ac:dyDescent="0.25">
      <c r="A137" s="18">
        <v>1992</v>
      </c>
      <c r="B137" s="20" t="s">
        <v>27</v>
      </c>
      <c r="C137" s="20">
        <v>13</v>
      </c>
      <c r="D137" s="22" t="s">
        <v>122</v>
      </c>
      <c r="E137" s="22"/>
      <c r="F137" s="22" t="s">
        <v>122</v>
      </c>
      <c r="G137" s="18"/>
      <c r="H137" s="18"/>
      <c r="I137" s="18"/>
      <c r="J137" s="18"/>
      <c r="K137" s="18"/>
    </row>
    <row r="138" spans="1:11" x14ac:dyDescent="0.25">
      <c r="A138" s="18">
        <v>1992</v>
      </c>
      <c r="B138" s="20" t="s">
        <v>27</v>
      </c>
      <c r="C138" s="20">
        <v>14</v>
      </c>
      <c r="D138" s="22" t="s">
        <v>72</v>
      </c>
      <c r="E138" s="22"/>
      <c r="F138" s="20">
        <v>9200</v>
      </c>
      <c r="G138" s="18"/>
      <c r="H138" s="18"/>
      <c r="I138" s="18"/>
      <c r="J138" s="18"/>
      <c r="K138" s="18"/>
    </row>
    <row r="139" spans="1:11" x14ac:dyDescent="0.25">
      <c r="A139" s="18">
        <v>1992</v>
      </c>
      <c r="B139" s="20" t="s">
        <v>27</v>
      </c>
      <c r="C139" s="20">
        <v>15</v>
      </c>
      <c r="D139" s="22" t="s">
        <v>68</v>
      </c>
      <c r="E139" s="22"/>
      <c r="F139" s="20">
        <v>9400</v>
      </c>
      <c r="G139" s="18"/>
      <c r="H139" s="18"/>
      <c r="I139" s="18"/>
      <c r="J139" s="18"/>
      <c r="K139" s="18"/>
    </row>
    <row r="140" spans="1:11" x14ac:dyDescent="0.25">
      <c r="A140" s="18">
        <v>1992</v>
      </c>
      <c r="B140" s="20" t="s">
        <v>27</v>
      </c>
      <c r="C140" s="20">
        <v>16</v>
      </c>
      <c r="D140" s="22" t="s">
        <v>66</v>
      </c>
      <c r="E140" s="22"/>
      <c r="F140" s="20">
        <v>9450</v>
      </c>
      <c r="G140" s="18"/>
      <c r="H140" s="18"/>
      <c r="I140" s="18"/>
      <c r="J140" s="18"/>
      <c r="K140" s="18"/>
    </row>
    <row r="141" spans="1:11" x14ac:dyDescent="0.25">
      <c r="A141" s="18">
        <v>1992</v>
      </c>
      <c r="B141" s="20" t="s">
        <v>27</v>
      </c>
      <c r="C141" s="20">
        <v>17</v>
      </c>
      <c r="D141" s="22" t="s">
        <v>64</v>
      </c>
      <c r="E141" s="22"/>
      <c r="F141" s="20">
        <v>9500</v>
      </c>
      <c r="G141" s="18"/>
      <c r="H141" s="18"/>
      <c r="I141" s="18"/>
      <c r="J141" s="18"/>
      <c r="K141" s="18"/>
    </row>
    <row r="142" spans="1:11" x14ac:dyDescent="0.25">
      <c r="A142" s="18">
        <v>1992</v>
      </c>
      <c r="B142" s="20" t="s">
        <v>27</v>
      </c>
      <c r="C142" s="20">
        <v>18</v>
      </c>
      <c r="D142" s="22" t="s">
        <v>64</v>
      </c>
      <c r="E142" s="22"/>
      <c r="F142" s="20">
        <v>9500</v>
      </c>
      <c r="G142" s="18"/>
      <c r="H142" s="18"/>
      <c r="I142" s="18"/>
      <c r="J142" s="18"/>
      <c r="K142" s="18"/>
    </row>
    <row r="143" spans="1:11" x14ac:dyDescent="0.25">
      <c r="A143" s="18">
        <v>1992</v>
      </c>
      <c r="B143" s="20" t="s">
        <v>27</v>
      </c>
      <c r="C143" s="20">
        <v>19</v>
      </c>
      <c r="D143" s="22" t="s">
        <v>64</v>
      </c>
      <c r="E143" s="22"/>
      <c r="F143" s="20">
        <v>9500</v>
      </c>
      <c r="G143" s="18"/>
      <c r="H143" s="18"/>
      <c r="I143" s="18"/>
      <c r="J143" s="18"/>
      <c r="K143" s="18"/>
    </row>
    <row r="144" spans="1:11" x14ac:dyDescent="0.25">
      <c r="A144" s="18">
        <v>1992</v>
      </c>
      <c r="B144" s="20" t="s">
        <v>27</v>
      </c>
      <c r="C144" s="20">
        <v>20</v>
      </c>
      <c r="D144" s="22" t="s">
        <v>62</v>
      </c>
      <c r="E144" s="22"/>
      <c r="F144" s="20">
        <v>9600</v>
      </c>
      <c r="G144" s="18"/>
      <c r="H144" s="18"/>
      <c r="I144" s="18"/>
      <c r="J144" s="18"/>
      <c r="K144" s="18"/>
    </row>
    <row r="145" spans="1:11" x14ac:dyDescent="0.25">
      <c r="A145" s="18">
        <v>1992</v>
      </c>
      <c r="B145" s="20" t="s">
        <v>27</v>
      </c>
      <c r="C145" s="20">
        <v>21</v>
      </c>
      <c r="D145" s="22" t="s">
        <v>62</v>
      </c>
      <c r="E145" s="22"/>
      <c r="F145" s="25">
        <v>9600</v>
      </c>
      <c r="G145" s="18"/>
      <c r="H145" s="18"/>
      <c r="I145" s="18"/>
      <c r="J145" s="18"/>
      <c r="K145" s="18"/>
    </row>
    <row r="146" spans="1:11" x14ac:dyDescent="0.25">
      <c r="A146" s="18">
        <v>1992</v>
      </c>
      <c r="B146" s="20" t="s">
        <v>27</v>
      </c>
      <c r="C146" s="20">
        <v>22</v>
      </c>
      <c r="D146" s="22" t="s">
        <v>122</v>
      </c>
      <c r="E146" s="22"/>
      <c r="F146" s="22" t="s">
        <v>122</v>
      </c>
      <c r="G146" s="18"/>
      <c r="H146" s="18"/>
      <c r="I146" s="18"/>
      <c r="J146" s="18"/>
      <c r="K146" s="18"/>
    </row>
    <row r="147" spans="1:11" x14ac:dyDescent="0.25">
      <c r="A147" s="18">
        <v>1992</v>
      </c>
      <c r="B147" s="20" t="s">
        <v>27</v>
      </c>
      <c r="C147" s="20">
        <v>23</v>
      </c>
      <c r="D147" s="22" t="s">
        <v>62</v>
      </c>
      <c r="E147" s="22"/>
      <c r="F147" s="25">
        <v>9600</v>
      </c>
      <c r="G147" s="18"/>
      <c r="H147" s="18"/>
      <c r="I147" s="18"/>
      <c r="J147" s="18"/>
      <c r="K147" s="18"/>
    </row>
    <row r="148" spans="1:11" x14ac:dyDescent="0.25">
      <c r="A148" s="18">
        <v>1992</v>
      </c>
      <c r="B148" s="20" t="s">
        <v>27</v>
      </c>
      <c r="C148" s="20">
        <v>24</v>
      </c>
      <c r="D148" s="22" t="s">
        <v>62</v>
      </c>
      <c r="E148" s="22"/>
      <c r="F148" s="20">
        <v>9600</v>
      </c>
      <c r="G148" s="18"/>
      <c r="H148" s="18"/>
      <c r="I148" s="18"/>
      <c r="J148" s="18"/>
      <c r="K148" s="18"/>
    </row>
    <row r="149" spans="1:11" x14ac:dyDescent="0.25">
      <c r="A149" s="18">
        <v>1992</v>
      </c>
      <c r="B149" s="20" t="s">
        <v>27</v>
      </c>
      <c r="C149" s="20">
        <v>25</v>
      </c>
      <c r="D149" s="22" t="s">
        <v>401</v>
      </c>
      <c r="E149" s="22"/>
      <c r="F149" s="20">
        <v>9550</v>
      </c>
      <c r="G149" s="18"/>
      <c r="H149" s="18"/>
      <c r="I149" s="18"/>
      <c r="J149" s="18"/>
      <c r="K149" s="18"/>
    </row>
    <row r="150" spans="1:11" x14ac:dyDescent="0.25">
      <c r="A150" s="18">
        <v>1992</v>
      </c>
      <c r="B150" s="20" t="s">
        <v>27</v>
      </c>
      <c r="C150" s="20">
        <v>26</v>
      </c>
      <c r="D150" s="22" t="s">
        <v>401</v>
      </c>
      <c r="E150" s="22"/>
      <c r="F150" s="25">
        <v>9550</v>
      </c>
      <c r="G150" s="18"/>
      <c r="H150" s="18"/>
      <c r="I150" s="18"/>
      <c r="J150" s="18"/>
      <c r="K150" s="18"/>
    </row>
    <row r="151" spans="1:11" x14ac:dyDescent="0.25">
      <c r="A151" s="18">
        <v>1992</v>
      </c>
      <c r="B151" s="20" t="s">
        <v>27</v>
      </c>
      <c r="C151" s="20">
        <v>27</v>
      </c>
      <c r="D151" s="22" t="s">
        <v>64</v>
      </c>
      <c r="E151" s="22"/>
      <c r="F151" s="25">
        <v>9500</v>
      </c>
      <c r="G151" s="18"/>
      <c r="H151" s="18"/>
      <c r="I151" s="18"/>
      <c r="J151" s="18"/>
      <c r="K151" s="18"/>
    </row>
    <row r="152" spans="1:11" x14ac:dyDescent="0.25">
      <c r="A152" s="18">
        <v>1992</v>
      </c>
      <c r="B152" s="20" t="s">
        <v>27</v>
      </c>
      <c r="C152" s="20">
        <v>28</v>
      </c>
      <c r="D152" s="22" t="s">
        <v>64</v>
      </c>
      <c r="E152" s="22"/>
      <c r="F152" s="25">
        <v>9500</v>
      </c>
      <c r="G152" s="18"/>
      <c r="H152" s="18"/>
      <c r="I152" s="18"/>
      <c r="J152" s="18"/>
      <c r="K152" s="18"/>
    </row>
    <row r="153" spans="1:11" x14ac:dyDescent="0.25">
      <c r="A153" s="18">
        <v>1992</v>
      </c>
      <c r="B153" s="20" t="s">
        <v>27</v>
      </c>
      <c r="C153" s="20">
        <v>29</v>
      </c>
      <c r="D153" s="22" t="s">
        <v>66</v>
      </c>
      <c r="E153" s="22"/>
      <c r="F153" s="25">
        <v>9450</v>
      </c>
      <c r="G153" s="18"/>
      <c r="H153" s="18"/>
      <c r="I153" s="18"/>
      <c r="J153" s="18"/>
      <c r="K153" s="18"/>
    </row>
    <row r="154" spans="1:11" x14ac:dyDescent="0.25">
      <c r="A154" s="18">
        <v>1992</v>
      </c>
      <c r="B154" s="20" t="s">
        <v>27</v>
      </c>
      <c r="C154" s="20">
        <v>30</v>
      </c>
      <c r="D154" s="22" t="s">
        <v>402</v>
      </c>
      <c r="E154" s="22"/>
      <c r="F154" s="25">
        <v>9350</v>
      </c>
      <c r="G154" s="18"/>
      <c r="H154" s="18"/>
      <c r="I154" s="18"/>
      <c r="J154" s="18"/>
      <c r="K154" s="18"/>
    </row>
    <row r="155" spans="1:11" x14ac:dyDescent="0.25">
      <c r="A155" s="18">
        <v>1992</v>
      </c>
      <c r="B155" s="20" t="s">
        <v>27</v>
      </c>
      <c r="C155" s="20">
        <v>31</v>
      </c>
      <c r="D155" s="22" t="s">
        <v>70</v>
      </c>
      <c r="E155" s="22"/>
      <c r="F155" s="20">
        <v>9300</v>
      </c>
      <c r="G155" s="18"/>
      <c r="H155" s="18"/>
      <c r="I155" s="18"/>
      <c r="J155" s="18"/>
      <c r="K155" s="18"/>
    </row>
    <row r="156" spans="1:11" x14ac:dyDescent="0.25">
      <c r="A156" s="18">
        <v>1992</v>
      </c>
      <c r="B156" s="20" t="s">
        <v>28</v>
      </c>
      <c r="C156" s="20">
        <v>1</v>
      </c>
      <c r="D156" s="22" t="s">
        <v>72</v>
      </c>
      <c r="E156" s="22"/>
      <c r="F156" s="25">
        <v>9200</v>
      </c>
      <c r="G156" s="18"/>
      <c r="H156" s="18"/>
      <c r="I156" s="18"/>
      <c r="J156" s="18"/>
      <c r="K156" s="18"/>
    </row>
    <row r="157" spans="1:11" x14ac:dyDescent="0.25">
      <c r="A157" s="18">
        <v>1992</v>
      </c>
      <c r="B157" s="20" t="s">
        <v>28</v>
      </c>
      <c r="C157" s="20">
        <v>2</v>
      </c>
      <c r="D157" s="22" t="s">
        <v>76</v>
      </c>
      <c r="E157" s="22"/>
      <c r="F157" s="25">
        <v>9100</v>
      </c>
      <c r="G157" s="18"/>
      <c r="H157" s="18"/>
      <c r="I157" s="18"/>
      <c r="J157" s="18"/>
      <c r="K157" s="18"/>
    </row>
    <row r="158" spans="1:11" x14ac:dyDescent="0.25">
      <c r="A158" s="18">
        <v>1992</v>
      </c>
      <c r="B158" s="20" t="s">
        <v>28</v>
      </c>
      <c r="C158" s="20">
        <v>3</v>
      </c>
      <c r="D158" s="22" t="s">
        <v>78</v>
      </c>
      <c r="E158" s="22"/>
      <c r="F158" s="25">
        <v>8950</v>
      </c>
      <c r="G158" s="18"/>
      <c r="H158" s="18"/>
      <c r="I158" s="18"/>
      <c r="J158" s="18"/>
      <c r="K158" s="18"/>
    </row>
    <row r="159" spans="1:11" x14ac:dyDescent="0.25">
      <c r="A159" s="18">
        <v>1992</v>
      </c>
      <c r="B159" s="20" t="s">
        <v>28</v>
      </c>
      <c r="C159" s="20">
        <v>4</v>
      </c>
      <c r="D159" s="22" t="s">
        <v>82</v>
      </c>
      <c r="E159" s="22"/>
      <c r="F159" s="25">
        <v>8800</v>
      </c>
      <c r="G159" s="18"/>
      <c r="H159" s="18"/>
      <c r="I159" s="18"/>
      <c r="J159" s="18"/>
      <c r="K159" s="18"/>
    </row>
    <row r="160" spans="1:11" x14ac:dyDescent="0.25">
      <c r="A160" s="18">
        <v>1992</v>
      </c>
      <c r="B160" s="20" t="s">
        <v>28</v>
      </c>
      <c r="C160" s="20">
        <v>5</v>
      </c>
      <c r="D160" s="22" t="s">
        <v>403</v>
      </c>
      <c r="E160" s="22"/>
      <c r="F160" s="25">
        <v>8600</v>
      </c>
      <c r="G160" s="18"/>
      <c r="H160" s="18"/>
      <c r="I160" s="18"/>
      <c r="J160" s="18"/>
      <c r="K160" s="18"/>
    </row>
    <row r="161" spans="1:11" x14ac:dyDescent="0.25">
      <c r="A161" s="18">
        <v>1992</v>
      </c>
      <c r="B161" s="20" t="s">
        <v>28</v>
      </c>
      <c r="C161" s="20">
        <v>6</v>
      </c>
      <c r="D161" s="22" t="s">
        <v>5</v>
      </c>
      <c r="E161" s="22"/>
      <c r="F161" s="25">
        <v>8900</v>
      </c>
      <c r="G161" s="18"/>
      <c r="H161" s="18"/>
      <c r="I161" s="18"/>
      <c r="J161" s="18"/>
      <c r="K161" s="18"/>
    </row>
    <row r="162" spans="1:11" x14ac:dyDescent="0.25">
      <c r="A162" s="18">
        <v>1992</v>
      </c>
      <c r="B162" s="20" t="s">
        <v>28</v>
      </c>
      <c r="C162" s="20">
        <v>7</v>
      </c>
      <c r="D162" s="22" t="s">
        <v>400</v>
      </c>
      <c r="E162" s="22"/>
      <c r="F162" s="20">
        <v>8850</v>
      </c>
      <c r="G162" s="18"/>
      <c r="H162" s="18"/>
      <c r="I162" s="18"/>
      <c r="J162" s="18"/>
      <c r="K162" s="18"/>
    </row>
    <row r="163" spans="1:11" x14ac:dyDescent="0.25">
      <c r="A163" s="18">
        <v>1992</v>
      </c>
      <c r="B163" s="20" t="s">
        <v>28</v>
      </c>
      <c r="C163" s="20">
        <v>8</v>
      </c>
      <c r="D163" s="22" t="s">
        <v>404</v>
      </c>
      <c r="E163" s="22"/>
      <c r="F163" s="20">
        <v>8750</v>
      </c>
      <c r="G163" s="18"/>
      <c r="H163" s="18"/>
      <c r="I163" s="18"/>
      <c r="J163" s="18"/>
      <c r="K163" s="18"/>
    </row>
    <row r="164" spans="1:11" x14ac:dyDescent="0.25">
      <c r="A164" s="18">
        <v>1992</v>
      </c>
      <c r="B164" s="20" t="s">
        <v>28</v>
      </c>
      <c r="C164" s="20">
        <v>9</v>
      </c>
      <c r="D164" s="22" t="s">
        <v>84</v>
      </c>
      <c r="E164" s="22"/>
      <c r="F164" s="20">
        <v>8550</v>
      </c>
      <c r="G164" s="18"/>
      <c r="H164" s="18"/>
      <c r="I164" s="18"/>
      <c r="J164" s="18"/>
      <c r="K164" s="18"/>
    </row>
    <row r="165" spans="1:11" x14ac:dyDescent="0.25">
      <c r="A165" s="18">
        <v>1992</v>
      </c>
      <c r="B165" s="20" t="s">
        <v>28</v>
      </c>
      <c r="C165" s="20">
        <v>10</v>
      </c>
      <c r="D165" s="22" t="s">
        <v>122</v>
      </c>
      <c r="E165" s="22"/>
      <c r="F165" s="22" t="s">
        <v>122</v>
      </c>
      <c r="G165" s="18"/>
      <c r="H165" s="18"/>
      <c r="I165" s="18"/>
      <c r="J165" s="18"/>
      <c r="K165" s="18"/>
    </row>
    <row r="166" spans="1:11" x14ac:dyDescent="0.25">
      <c r="A166" s="18">
        <v>1992</v>
      </c>
      <c r="B166" s="20" t="s">
        <v>28</v>
      </c>
      <c r="C166" s="20">
        <v>11</v>
      </c>
      <c r="D166" s="22" t="s">
        <v>399</v>
      </c>
      <c r="E166" s="22"/>
      <c r="F166" s="20">
        <v>8350</v>
      </c>
      <c r="G166" s="18"/>
      <c r="H166" s="18"/>
      <c r="I166" s="18"/>
      <c r="J166" s="18"/>
      <c r="K166" s="18"/>
    </row>
    <row r="167" spans="1:11" x14ac:dyDescent="0.25">
      <c r="A167" s="18">
        <v>1992</v>
      </c>
      <c r="B167" s="20" t="s">
        <v>28</v>
      </c>
      <c r="C167" s="20">
        <v>12</v>
      </c>
      <c r="D167" s="22" t="s">
        <v>405</v>
      </c>
      <c r="E167" s="22"/>
      <c r="F167" s="18">
        <v>6150</v>
      </c>
      <c r="G167" s="18"/>
      <c r="H167" s="18"/>
      <c r="I167" s="18"/>
      <c r="J167" s="18"/>
      <c r="K167" s="18"/>
    </row>
    <row r="168" spans="1:11" x14ac:dyDescent="0.25">
      <c r="A168" s="18">
        <v>1992</v>
      </c>
      <c r="B168" s="20" t="s">
        <v>28</v>
      </c>
      <c r="C168" s="20">
        <v>13</v>
      </c>
      <c r="D168" s="22" t="s">
        <v>96</v>
      </c>
      <c r="E168" s="22"/>
      <c r="F168" s="25">
        <v>8000</v>
      </c>
      <c r="G168" s="18"/>
      <c r="H168" s="18"/>
      <c r="I168" s="18"/>
      <c r="J168" s="18"/>
      <c r="K168" s="18"/>
    </row>
    <row r="169" spans="1:11" x14ac:dyDescent="0.25">
      <c r="A169" s="18">
        <v>1992</v>
      </c>
      <c r="B169" s="20" t="s">
        <v>28</v>
      </c>
      <c r="C169" s="20">
        <v>14</v>
      </c>
      <c r="D169" s="22" t="s">
        <v>406</v>
      </c>
      <c r="E169" s="22"/>
      <c r="F169" s="20">
        <v>7850</v>
      </c>
      <c r="G169" s="18"/>
      <c r="H169" s="18"/>
      <c r="I169" s="18"/>
      <c r="J169" s="18"/>
      <c r="K169" s="18"/>
    </row>
    <row r="170" spans="1:11" x14ac:dyDescent="0.25">
      <c r="A170" s="18">
        <v>1992</v>
      </c>
      <c r="B170" s="20" t="s">
        <v>28</v>
      </c>
      <c r="C170" s="20">
        <v>15</v>
      </c>
      <c r="D170" s="22" t="s">
        <v>100</v>
      </c>
      <c r="E170" s="22"/>
      <c r="F170" s="20">
        <v>7700</v>
      </c>
      <c r="G170" s="18"/>
      <c r="H170" s="18"/>
      <c r="I170" s="18"/>
      <c r="J170" s="18"/>
      <c r="K170" s="18"/>
    </row>
    <row r="171" spans="1:11" x14ac:dyDescent="0.25">
      <c r="A171" s="18">
        <v>1992</v>
      </c>
      <c r="B171" s="20" t="s">
        <v>28</v>
      </c>
      <c r="C171" s="20">
        <v>16</v>
      </c>
      <c r="D171" s="22" t="s">
        <v>407</v>
      </c>
      <c r="E171" s="22"/>
      <c r="F171" s="20">
        <v>7550</v>
      </c>
      <c r="G171" s="18"/>
      <c r="H171" s="18"/>
      <c r="I171" s="18"/>
      <c r="J171" s="18"/>
      <c r="K171" s="18"/>
    </row>
    <row r="172" spans="1:11" x14ac:dyDescent="0.25">
      <c r="A172" s="18">
        <v>1992</v>
      </c>
      <c r="B172" s="20" t="s">
        <v>28</v>
      </c>
      <c r="C172" s="20">
        <v>17</v>
      </c>
      <c r="D172" s="22" t="s">
        <v>112</v>
      </c>
      <c r="E172" s="22"/>
      <c r="F172" s="20">
        <v>7500</v>
      </c>
      <c r="G172" s="18"/>
      <c r="H172" s="18"/>
      <c r="I172" s="18"/>
      <c r="J172" s="18"/>
      <c r="K172" s="18"/>
    </row>
    <row r="173" spans="1:11" x14ac:dyDescent="0.25">
      <c r="A173" s="18">
        <v>1992</v>
      </c>
      <c r="B173" s="20" t="s">
        <v>28</v>
      </c>
      <c r="C173" s="20">
        <v>18</v>
      </c>
      <c r="D173" s="22" t="s">
        <v>114</v>
      </c>
      <c r="E173" s="22"/>
      <c r="F173" s="20">
        <v>7475</v>
      </c>
      <c r="G173" s="18"/>
      <c r="H173" s="18"/>
      <c r="I173" s="18"/>
      <c r="J173" s="18"/>
      <c r="K173" s="18"/>
    </row>
    <row r="174" spans="1:11" x14ac:dyDescent="0.25">
      <c r="A174" s="18">
        <v>1992</v>
      </c>
      <c r="B174" s="20" t="s">
        <v>28</v>
      </c>
      <c r="C174" s="20">
        <v>19</v>
      </c>
      <c r="D174" s="22" t="s">
        <v>114</v>
      </c>
      <c r="E174" s="22"/>
      <c r="F174" s="20">
        <v>7475</v>
      </c>
      <c r="G174" s="18"/>
      <c r="H174" s="18"/>
      <c r="I174" s="18"/>
      <c r="J174" s="18"/>
      <c r="K174" s="18"/>
    </row>
    <row r="175" spans="1:11" x14ac:dyDescent="0.25">
      <c r="A175" s="18">
        <v>1992</v>
      </c>
      <c r="B175" s="20" t="s">
        <v>28</v>
      </c>
      <c r="C175" s="20">
        <v>20</v>
      </c>
      <c r="D175" s="22" t="s">
        <v>114</v>
      </c>
      <c r="E175" s="22"/>
      <c r="F175" s="20">
        <v>7475</v>
      </c>
      <c r="G175" s="18"/>
      <c r="H175" s="18"/>
      <c r="I175" s="18"/>
      <c r="J175" s="18"/>
      <c r="K175" s="18"/>
    </row>
    <row r="176" spans="1:11" x14ac:dyDescent="0.25">
      <c r="A176" s="18">
        <v>1992</v>
      </c>
      <c r="B176" s="20" t="s">
        <v>28</v>
      </c>
      <c r="C176" s="20">
        <v>21</v>
      </c>
      <c r="D176" s="22" t="s">
        <v>114</v>
      </c>
      <c r="E176" s="22"/>
      <c r="F176" s="20">
        <v>7475</v>
      </c>
      <c r="G176" s="18"/>
      <c r="H176" s="18"/>
      <c r="I176" s="18"/>
      <c r="J176" s="18"/>
      <c r="K176" s="18"/>
    </row>
    <row r="177" spans="1:11" x14ac:dyDescent="0.25">
      <c r="A177" s="18">
        <v>1992</v>
      </c>
      <c r="B177" s="20" t="s">
        <v>28</v>
      </c>
      <c r="C177" s="20">
        <v>22</v>
      </c>
      <c r="D177" s="22" t="s">
        <v>114</v>
      </c>
      <c r="E177" s="22"/>
      <c r="F177" s="20">
        <v>7475</v>
      </c>
      <c r="G177" s="18"/>
      <c r="H177" s="18"/>
      <c r="I177" s="18"/>
      <c r="J177" s="18"/>
      <c r="K177" s="18"/>
    </row>
    <row r="178" spans="1:11" x14ac:dyDescent="0.25">
      <c r="A178" s="18">
        <v>1992</v>
      </c>
      <c r="B178" s="20" t="s">
        <v>28</v>
      </c>
      <c r="C178" s="20">
        <v>23</v>
      </c>
      <c r="D178" s="22" t="s">
        <v>114</v>
      </c>
      <c r="E178" s="22"/>
      <c r="F178" s="20">
        <v>7475</v>
      </c>
      <c r="G178" s="18"/>
      <c r="H178" s="18"/>
      <c r="I178" s="18"/>
      <c r="J178" s="18"/>
      <c r="K178" s="18"/>
    </row>
    <row r="179" spans="1:11" x14ac:dyDescent="0.25">
      <c r="A179" s="18">
        <v>1992</v>
      </c>
      <c r="B179" s="20" t="s">
        <v>28</v>
      </c>
      <c r="C179" s="20">
        <v>24</v>
      </c>
      <c r="D179" s="22" t="s">
        <v>324</v>
      </c>
      <c r="E179" s="22"/>
      <c r="F179" s="20">
        <v>7425</v>
      </c>
      <c r="G179" s="18"/>
      <c r="H179" s="18"/>
      <c r="I179" s="18"/>
      <c r="J179" s="18"/>
      <c r="K179" s="18"/>
    </row>
    <row r="180" spans="1:11" x14ac:dyDescent="0.25">
      <c r="A180" s="18">
        <v>1992</v>
      </c>
      <c r="B180" s="20" t="s">
        <v>28</v>
      </c>
      <c r="C180" s="20">
        <v>25</v>
      </c>
      <c r="D180" s="22" t="s">
        <v>408</v>
      </c>
      <c r="E180" s="22"/>
      <c r="F180" s="25">
        <v>7250</v>
      </c>
      <c r="G180" s="18"/>
      <c r="H180" s="18"/>
      <c r="I180" s="18"/>
      <c r="J180" s="18"/>
      <c r="K180" s="18"/>
    </row>
    <row r="181" spans="1:11" x14ac:dyDescent="0.25">
      <c r="A181" s="18">
        <v>1992</v>
      </c>
      <c r="B181" s="20" t="s">
        <v>28</v>
      </c>
      <c r="C181" s="20">
        <v>26</v>
      </c>
      <c r="D181" s="22" t="s">
        <v>409</v>
      </c>
      <c r="E181" s="22"/>
      <c r="F181" s="25">
        <v>7150</v>
      </c>
      <c r="G181" s="18"/>
      <c r="H181" s="18"/>
      <c r="I181" s="18"/>
      <c r="J181" s="18"/>
      <c r="K181" s="18"/>
    </row>
    <row r="182" spans="1:11" x14ac:dyDescent="0.25">
      <c r="A182" s="18">
        <v>1992</v>
      </c>
      <c r="B182" s="20" t="s">
        <v>28</v>
      </c>
      <c r="C182" s="20">
        <v>27</v>
      </c>
      <c r="D182" s="22" t="s">
        <v>108</v>
      </c>
      <c r="E182" s="22"/>
      <c r="F182" s="25">
        <v>7000</v>
      </c>
      <c r="G182" s="18"/>
      <c r="H182" s="18"/>
      <c r="I182" s="18"/>
      <c r="J182" s="18"/>
      <c r="K182" s="18"/>
    </row>
    <row r="183" spans="1:11" x14ac:dyDescent="0.25">
      <c r="A183" s="18">
        <v>1992</v>
      </c>
      <c r="B183" s="20" t="s">
        <v>28</v>
      </c>
      <c r="C183" s="20">
        <v>28</v>
      </c>
      <c r="D183" s="22" t="s">
        <v>108</v>
      </c>
      <c r="E183" s="22"/>
      <c r="F183" s="25">
        <v>7000</v>
      </c>
      <c r="G183" s="18"/>
      <c r="H183" s="18"/>
      <c r="I183" s="18"/>
      <c r="J183" s="18"/>
      <c r="K183" s="18"/>
    </row>
    <row r="184" spans="1:11" x14ac:dyDescent="0.25">
      <c r="A184" s="18">
        <v>1992</v>
      </c>
      <c r="B184" s="20" t="s">
        <v>28</v>
      </c>
      <c r="C184" s="20">
        <v>29</v>
      </c>
      <c r="D184" s="22" t="s">
        <v>108</v>
      </c>
      <c r="E184" s="22"/>
      <c r="F184" s="25">
        <v>7000</v>
      </c>
      <c r="G184" s="18"/>
      <c r="H184" s="18"/>
      <c r="I184" s="18"/>
      <c r="J184" s="18"/>
      <c r="K184" s="18"/>
    </row>
    <row r="185" spans="1:11" x14ac:dyDescent="0.25">
      <c r="A185" s="18">
        <v>1992</v>
      </c>
      <c r="B185" s="20" t="s">
        <v>28</v>
      </c>
      <c r="C185" s="20">
        <v>30</v>
      </c>
      <c r="D185" s="22" t="s">
        <v>410</v>
      </c>
      <c r="E185" s="22"/>
      <c r="F185" s="25">
        <v>6975</v>
      </c>
      <c r="G185" s="18"/>
      <c r="H185" s="18"/>
      <c r="I185" s="18"/>
      <c r="J185" s="18"/>
      <c r="K185" s="18"/>
    </row>
    <row r="186" spans="1:11" x14ac:dyDescent="0.25">
      <c r="A186" s="18">
        <v>1992</v>
      </c>
      <c r="B186" s="20" t="s">
        <v>29</v>
      </c>
      <c r="C186" s="20">
        <v>1</v>
      </c>
      <c r="D186" s="22" t="s">
        <v>410</v>
      </c>
      <c r="E186" s="22"/>
      <c r="F186" s="25">
        <v>6975</v>
      </c>
      <c r="G186" s="18"/>
      <c r="H186" s="18"/>
      <c r="I186" s="18"/>
      <c r="J186" s="18"/>
      <c r="K186" s="18"/>
    </row>
    <row r="187" spans="1:11" x14ac:dyDescent="0.25">
      <c r="A187" s="18">
        <v>1992</v>
      </c>
      <c r="B187" s="20" t="s">
        <v>29</v>
      </c>
      <c r="C187" s="20">
        <v>2</v>
      </c>
      <c r="D187" s="22" t="s">
        <v>192</v>
      </c>
      <c r="E187" s="22"/>
      <c r="F187" s="25">
        <v>6900</v>
      </c>
      <c r="G187" s="18"/>
      <c r="H187" s="18"/>
      <c r="I187" s="18"/>
      <c r="J187" s="18"/>
      <c r="K187" s="18"/>
    </row>
    <row r="188" spans="1:11" x14ac:dyDescent="0.25">
      <c r="A188" s="18">
        <v>1992</v>
      </c>
      <c r="B188" s="20" t="s">
        <v>29</v>
      </c>
      <c r="C188" s="20">
        <v>3</v>
      </c>
      <c r="D188" s="22" t="s">
        <v>178</v>
      </c>
      <c r="E188" s="22"/>
      <c r="F188" s="25">
        <v>6750</v>
      </c>
      <c r="G188" s="18"/>
      <c r="H188" s="18"/>
      <c r="I188" s="18"/>
      <c r="J188" s="18"/>
      <c r="K188" s="18"/>
    </row>
    <row r="189" spans="1:11" x14ac:dyDescent="0.25">
      <c r="A189" s="18">
        <v>1992</v>
      </c>
      <c r="B189" s="20" t="s">
        <v>29</v>
      </c>
      <c r="C189" s="20">
        <v>4</v>
      </c>
      <c r="D189" s="22" t="s">
        <v>411</v>
      </c>
      <c r="E189" s="22"/>
      <c r="F189" s="25">
        <v>6475</v>
      </c>
      <c r="G189" s="18"/>
      <c r="H189" s="18"/>
      <c r="I189" s="18"/>
      <c r="J189" s="18"/>
      <c r="K189" s="18"/>
    </row>
    <row r="190" spans="1:11" x14ac:dyDescent="0.25">
      <c r="A190" s="18">
        <v>1992</v>
      </c>
      <c r="B190" s="20" t="s">
        <v>29</v>
      </c>
      <c r="C190" s="20">
        <v>5</v>
      </c>
      <c r="D190" s="22" t="s">
        <v>412</v>
      </c>
      <c r="E190" s="22"/>
      <c r="F190" s="25">
        <v>6425</v>
      </c>
      <c r="G190" s="18"/>
      <c r="H190" s="18"/>
      <c r="I190" s="18"/>
      <c r="J190" s="18"/>
      <c r="K190" s="18"/>
    </row>
    <row r="191" spans="1:11" x14ac:dyDescent="0.25">
      <c r="A191" s="18">
        <v>1992</v>
      </c>
      <c r="B191" s="20" t="s">
        <v>29</v>
      </c>
      <c r="C191" s="20">
        <v>6</v>
      </c>
      <c r="D191" s="22" t="s">
        <v>412</v>
      </c>
      <c r="E191" s="22"/>
      <c r="F191" s="20">
        <v>6425</v>
      </c>
      <c r="G191" s="18"/>
      <c r="H191" s="18"/>
      <c r="I191" s="18"/>
      <c r="J191" s="18"/>
      <c r="K191" s="18"/>
    </row>
    <row r="192" spans="1:11" x14ac:dyDescent="0.25">
      <c r="A192" s="18">
        <v>1992</v>
      </c>
      <c r="B192" s="20" t="s">
        <v>29</v>
      </c>
      <c r="C192" s="20">
        <v>7</v>
      </c>
      <c r="D192" s="22" t="s">
        <v>411</v>
      </c>
      <c r="E192" s="22"/>
      <c r="F192" s="25">
        <v>6475</v>
      </c>
      <c r="G192" s="18"/>
      <c r="H192" s="18"/>
      <c r="I192" s="18"/>
      <c r="J192" s="18"/>
      <c r="K192" s="18"/>
    </row>
    <row r="193" spans="1:11" x14ac:dyDescent="0.25">
      <c r="A193" s="18">
        <v>1992</v>
      </c>
      <c r="B193" s="20" t="s">
        <v>29</v>
      </c>
      <c r="C193" s="20">
        <v>8</v>
      </c>
      <c r="D193" s="22" t="s">
        <v>411</v>
      </c>
      <c r="E193" s="22"/>
      <c r="F193" s="25">
        <v>6475</v>
      </c>
      <c r="G193" s="18"/>
      <c r="H193" s="18"/>
      <c r="I193" s="18"/>
      <c r="J193" s="18"/>
      <c r="K193" s="18"/>
    </row>
    <row r="194" spans="1:11" x14ac:dyDescent="0.25">
      <c r="A194" s="18">
        <v>1992</v>
      </c>
      <c r="B194" s="20" t="s">
        <v>29</v>
      </c>
      <c r="C194" s="20">
        <v>9</v>
      </c>
      <c r="D194" s="22" t="s">
        <v>177</v>
      </c>
      <c r="E194" s="22"/>
      <c r="F194" s="25">
        <v>6500</v>
      </c>
      <c r="G194" s="18"/>
      <c r="H194" s="18"/>
      <c r="I194" s="18"/>
      <c r="J194" s="18"/>
      <c r="K194" s="18"/>
    </row>
    <row r="195" spans="1:11" x14ac:dyDescent="0.25">
      <c r="A195" s="18">
        <v>1992</v>
      </c>
      <c r="B195" s="20" t="s">
        <v>29</v>
      </c>
      <c r="C195" s="20">
        <v>10</v>
      </c>
      <c r="D195" s="22" t="s">
        <v>177</v>
      </c>
      <c r="E195" s="22"/>
      <c r="F195" s="25">
        <v>6500</v>
      </c>
      <c r="G195" s="18"/>
      <c r="H195" s="18"/>
      <c r="I195" s="18"/>
      <c r="J195" s="18"/>
      <c r="K195" s="18"/>
    </row>
    <row r="196" spans="1:11" x14ac:dyDescent="0.25">
      <c r="A196" s="18">
        <v>1992</v>
      </c>
      <c r="B196" s="20" t="s">
        <v>29</v>
      </c>
      <c r="C196" s="20">
        <v>11</v>
      </c>
      <c r="D196" s="22" t="s">
        <v>411</v>
      </c>
      <c r="E196" s="22"/>
      <c r="F196" s="25">
        <v>6475</v>
      </c>
      <c r="G196" s="18"/>
      <c r="H196" s="18"/>
      <c r="I196" s="18"/>
      <c r="J196" s="18"/>
      <c r="K196" s="18"/>
    </row>
    <row r="197" spans="1:11" x14ac:dyDescent="0.25">
      <c r="A197" s="18">
        <v>1992</v>
      </c>
      <c r="B197" s="20" t="s">
        <v>29</v>
      </c>
      <c r="C197" s="20">
        <v>12</v>
      </c>
      <c r="D197" s="22" t="s">
        <v>208</v>
      </c>
      <c r="E197" s="22"/>
      <c r="F197" s="25">
        <v>6450</v>
      </c>
      <c r="G197" s="18"/>
      <c r="H197" s="18"/>
      <c r="I197" s="18"/>
      <c r="J197" s="18"/>
      <c r="K197" s="18"/>
    </row>
    <row r="198" spans="1:11" x14ac:dyDescent="0.25">
      <c r="A198" s="18">
        <v>1992</v>
      </c>
      <c r="B198" s="20" t="s">
        <v>29</v>
      </c>
      <c r="C198" s="20">
        <v>13</v>
      </c>
      <c r="D198" s="22" t="s">
        <v>412</v>
      </c>
      <c r="E198" s="22"/>
      <c r="F198" s="20">
        <v>6425</v>
      </c>
      <c r="G198" s="18"/>
      <c r="H198" s="18"/>
      <c r="I198" s="18"/>
      <c r="J198" s="18"/>
      <c r="K198" s="18"/>
    </row>
    <row r="199" spans="1:11" x14ac:dyDescent="0.25">
      <c r="A199" s="18">
        <v>1992</v>
      </c>
      <c r="B199" s="20" t="s">
        <v>29</v>
      </c>
      <c r="C199" s="20">
        <v>14</v>
      </c>
      <c r="D199" s="22" t="s">
        <v>175</v>
      </c>
      <c r="E199" s="22"/>
      <c r="F199" s="25">
        <v>6300</v>
      </c>
      <c r="G199" s="18"/>
      <c r="H199" s="18"/>
      <c r="I199" s="18"/>
      <c r="J199" s="18"/>
      <c r="K199" s="18"/>
    </row>
    <row r="200" spans="1:11" x14ac:dyDescent="0.25">
      <c r="A200" s="18">
        <v>1992</v>
      </c>
      <c r="B200" s="20" t="s">
        <v>29</v>
      </c>
      <c r="C200" s="20">
        <v>15</v>
      </c>
      <c r="D200" s="22" t="s">
        <v>219</v>
      </c>
      <c r="E200" s="22"/>
      <c r="F200" s="25">
        <v>6225</v>
      </c>
      <c r="G200" s="18"/>
      <c r="H200" s="18"/>
      <c r="I200" s="18"/>
      <c r="J200" s="18"/>
      <c r="K200" s="18"/>
    </row>
    <row r="201" spans="1:11" x14ac:dyDescent="0.25">
      <c r="A201" s="18">
        <v>1992</v>
      </c>
      <c r="B201" s="20" t="s">
        <v>29</v>
      </c>
      <c r="C201" s="20">
        <v>16</v>
      </c>
      <c r="D201" s="22" t="s">
        <v>169</v>
      </c>
      <c r="E201" s="22"/>
      <c r="F201" s="20">
        <v>6150</v>
      </c>
      <c r="G201" s="18"/>
      <c r="H201" s="18"/>
      <c r="I201" s="18"/>
      <c r="J201" s="18"/>
      <c r="K201" s="18"/>
    </row>
    <row r="202" spans="1:11" x14ac:dyDescent="0.25">
      <c r="A202" s="18">
        <v>1992</v>
      </c>
      <c r="B202" s="20" t="s">
        <v>29</v>
      </c>
      <c r="C202" s="20">
        <v>17</v>
      </c>
      <c r="D202" s="22" t="s">
        <v>227</v>
      </c>
      <c r="E202" s="22"/>
      <c r="F202" s="25">
        <v>6000</v>
      </c>
      <c r="G202" s="18"/>
      <c r="H202" s="18"/>
      <c r="I202" s="18"/>
      <c r="J202" s="18"/>
      <c r="K202" s="18"/>
    </row>
    <row r="203" spans="1:11" x14ac:dyDescent="0.25">
      <c r="A203" s="18">
        <v>1992</v>
      </c>
      <c r="B203" s="20" t="s">
        <v>29</v>
      </c>
      <c r="C203" s="20">
        <v>18</v>
      </c>
      <c r="D203" s="22" t="s">
        <v>161</v>
      </c>
      <c r="E203" s="22"/>
      <c r="F203" s="25">
        <v>5850</v>
      </c>
      <c r="G203" s="18"/>
      <c r="H203" s="18"/>
      <c r="I203" s="18"/>
      <c r="J203" s="18"/>
      <c r="K203" s="18"/>
    </row>
    <row r="204" spans="1:11" x14ac:dyDescent="0.25">
      <c r="A204" s="18">
        <v>1992</v>
      </c>
      <c r="B204" s="20" t="s">
        <v>29</v>
      </c>
      <c r="C204" s="20">
        <v>19</v>
      </c>
      <c r="D204" s="22" t="s">
        <v>161</v>
      </c>
      <c r="E204" s="22"/>
      <c r="F204" s="25">
        <v>5850</v>
      </c>
      <c r="G204" s="18"/>
      <c r="H204" s="18"/>
      <c r="I204" s="18"/>
      <c r="J204" s="18"/>
      <c r="K204" s="18"/>
    </row>
    <row r="205" spans="1:11" x14ac:dyDescent="0.25">
      <c r="A205" s="18">
        <v>1992</v>
      </c>
      <c r="B205" s="20" t="s">
        <v>29</v>
      </c>
      <c r="C205" s="20">
        <v>20</v>
      </c>
      <c r="D205" s="22" t="s">
        <v>161</v>
      </c>
      <c r="E205" s="22"/>
      <c r="F205" s="25">
        <v>5850</v>
      </c>
      <c r="G205" s="18"/>
      <c r="H205" s="18"/>
      <c r="I205" s="18"/>
      <c r="J205" s="18"/>
      <c r="K205" s="18"/>
    </row>
    <row r="206" spans="1:11" x14ac:dyDescent="0.25">
      <c r="A206" s="18">
        <v>1992</v>
      </c>
      <c r="B206" s="20" t="s">
        <v>29</v>
      </c>
      <c r="C206" s="20">
        <v>21</v>
      </c>
      <c r="D206" s="22" t="s">
        <v>161</v>
      </c>
      <c r="E206" s="22"/>
      <c r="F206" s="25">
        <v>5850</v>
      </c>
      <c r="G206" s="18"/>
      <c r="H206" s="18"/>
      <c r="I206" s="18"/>
      <c r="J206" s="18"/>
      <c r="K206" s="18"/>
    </row>
    <row r="207" spans="1:11" x14ac:dyDescent="0.25">
      <c r="A207" s="18">
        <v>1992</v>
      </c>
      <c r="B207" s="20" t="s">
        <v>29</v>
      </c>
      <c r="C207" s="20">
        <v>22</v>
      </c>
      <c r="D207" s="22" t="s">
        <v>232</v>
      </c>
      <c r="E207" s="22"/>
      <c r="F207" s="25">
        <v>5825</v>
      </c>
      <c r="G207" s="18"/>
      <c r="H207" s="18"/>
      <c r="I207" s="18"/>
      <c r="J207" s="18"/>
      <c r="K207" s="18"/>
    </row>
    <row r="208" spans="1:11" x14ac:dyDescent="0.25">
      <c r="A208" s="18">
        <v>1992</v>
      </c>
      <c r="B208" s="20" t="s">
        <v>29</v>
      </c>
      <c r="C208" s="20">
        <v>23</v>
      </c>
      <c r="D208" s="22" t="s">
        <v>232</v>
      </c>
      <c r="E208" s="22"/>
      <c r="F208" s="25">
        <v>5825</v>
      </c>
      <c r="G208" s="18"/>
      <c r="H208" s="18"/>
      <c r="I208" s="18"/>
      <c r="J208" s="18"/>
      <c r="K208" s="18"/>
    </row>
    <row r="209" spans="1:11" x14ac:dyDescent="0.25">
      <c r="A209" s="18">
        <v>1992</v>
      </c>
      <c r="B209" s="20" t="s">
        <v>29</v>
      </c>
      <c r="C209" s="20">
        <v>24</v>
      </c>
      <c r="D209" s="22" t="s">
        <v>237</v>
      </c>
      <c r="E209" s="22"/>
      <c r="F209" s="25">
        <v>5750</v>
      </c>
      <c r="G209" s="18"/>
      <c r="H209" s="18"/>
      <c r="I209" s="18"/>
      <c r="J209" s="18"/>
      <c r="K209" s="18"/>
    </row>
    <row r="210" spans="1:11" x14ac:dyDescent="0.25">
      <c r="A210" s="18">
        <v>1992</v>
      </c>
      <c r="B210" s="20" t="s">
        <v>29</v>
      </c>
      <c r="C210" s="20">
        <v>25</v>
      </c>
      <c r="D210" s="22" t="s">
        <v>159</v>
      </c>
      <c r="E210" s="22"/>
      <c r="F210" s="25">
        <v>5650</v>
      </c>
      <c r="G210" s="18"/>
      <c r="H210" s="18"/>
      <c r="I210" s="18"/>
      <c r="J210" s="18"/>
      <c r="K210" s="18"/>
    </row>
    <row r="211" spans="1:11" x14ac:dyDescent="0.25">
      <c r="A211" s="18">
        <v>1992</v>
      </c>
      <c r="B211" s="20" t="s">
        <v>29</v>
      </c>
      <c r="C211" s="20">
        <v>26</v>
      </c>
      <c r="D211" s="22" t="s">
        <v>122</v>
      </c>
      <c r="E211" s="22"/>
      <c r="F211" s="22" t="s">
        <v>122</v>
      </c>
      <c r="G211" s="18"/>
      <c r="H211" s="18"/>
      <c r="I211" s="18"/>
      <c r="J211" s="18"/>
      <c r="K211" s="18"/>
    </row>
    <row r="212" spans="1:11" x14ac:dyDescent="0.25">
      <c r="A212" s="18">
        <v>1992</v>
      </c>
      <c r="B212" s="20" t="s">
        <v>29</v>
      </c>
      <c r="C212" s="20">
        <v>27</v>
      </c>
      <c r="D212" s="22" t="s">
        <v>122</v>
      </c>
      <c r="E212" s="22"/>
      <c r="F212" s="22" t="s">
        <v>122</v>
      </c>
      <c r="G212" s="18"/>
      <c r="H212" s="18"/>
      <c r="I212" s="18"/>
      <c r="J212" s="18"/>
      <c r="K212" s="18"/>
    </row>
    <row r="213" spans="1:11" x14ac:dyDescent="0.25">
      <c r="A213" s="18">
        <v>1992</v>
      </c>
      <c r="B213" s="20" t="s">
        <v>29</v>
      </c>
      <c r="C213" s="20">
        <v>28</v>
      </c>
      <c r="D213" s="22" t="s">
        <v>122</v>
      </c>
      <c r="E213" s="22"/>
      <c r="F213" s="22" t="s">
        <v>122</v>
      </c>
      <c r="G213" s="18"/>
      <c r="H213" s="18"/>
      <c r="I213" s="18"/>
      <c r="J213" s="18"/>
      <c r="K213" s="18"/>
    </row>
    <row r="214" spans="1:11" x14ac:dyDescent="0.25">
      <c r="A214" s="18">
        <v>1992</v>
      </c>
      <c r="B214" s="20" t="s">
        <v>29</v>
      </c>
      <c r="C214" s="20">
        <v>29</v>
      </c>
      <c r="D214" s="22" t="s">
        <v>122</v>
      </c>
      <c r="E214" s="22"/>
      <c r="F214" s="22" t="s">
        <v>122</v>
      </c>
      <c r="G214" s="18"/>
      <c r="H214" s="18"/>
      <c r="I214" s="18"/>
      <c r="J214" s="18"/>
      <c r="K214" s="18"/>
    </row>
    <row r="215" spans="1:11" x14ac:dyDescent="0.25">
      <c r="A215" s="18">
        <v>1992</v>
      </c>
      <c r="B215" s="20" t="s">
        <v>29</v>
      </c>
      <c r="C215" s="20">
        <v>30</v>
      </c>
      <c r="D215" s="22" t="s">
        <v>122</v>
      </c>
      <c r="E215" s="22"/>
      <c r="F215" s="22" t="s">
        <v>122</v>
      </c>
      <c r="G215" s="18"/>
      <c r="H215" s="18"/>
      <c r="I215" s="18"/>
      <c r="J215" s="18"/>
      <c r="K215" s="18"/>
    </row>
    <row r="216" spans="1:11" x14ac:dyDescent="0.25">
      <c r="A216" s="18">
        <v>1992</v>
      </c>
      <c r="B216" s="20" t="s">
        <v>29</v>
      </c>
      <c r="C216" s="20">
        <v>31</v>
      </c>
      <c r="D216" s="22" t="s">
        <v>122</v>
      </c>
      <c r="E216" s="22"/>
      <c r="F216" s="22" t="s">
        <v>122</v>
      </c>
      <c r="G216" s="18"/>
      <c r="H216" s="18"/>
      <c r="I216" s="18"/>
      <c r="J216" s="18"/>
      <c r="K216" s="18"/>
    </row>
    <row r="217" spans="1:11" x14ac:dyDescent="0.25">
      <c r="A217" s="18">
        <v>1992</v>
      </c>
      <c r="B217" s="20" t="s">
        <v>30</v>
      </c>
      <c r="C217" s="20">
        <v>1</v>
      </c>
      <c r="D217" s="29" t="s">
        <v>122</v>
      </c>
      <c r="E217" s="29"/>
      <c r="F217" s="29" t="s">
        <v>122</v>
      </c>
      <c r="G217" s="18"/>
      <c r="H217" s="18"/>
      <c r="I217" s="18"/>
      <c r="J217" s="18"/>
      <c r="K217" s="18"/>
    </row>
    <row r="218" spans="1:11" x14ac:dyDescent="0.25">
      <c r="A218" s="18">
        <v>1992</v>
      </c>
      <c r="B218" s="20" t="s">
        <v>30</v>
      </c>
      <c r="C218" s="20">
        <v>2</v>
      </c>
      <c r="D218" s="29" t="s">
        <v>122</v>
      </c>
      <c r="E218" s="29"/>
      <c r="F218" s="29" t="s">
        <v>122</v>
      </c>
      <c r="G218" s="18"/>
      <c r="H218" s="18"/>
      <c r="I218" s="18"/>
      <c r="J218" s="18"/>
      <c r="K218" s="18"/>
    </row>
    <row r="219" spans="1:11" x14ac:dyDescent="0.25">
      <c r="A219" s="18">
        <v>1992</v>
      </c>
      <c r="B219" s="20" t="s">
        <v>30</v>
      </c>
      <c r="C219" s="20">
        <v>3</v>
      </c>
      <c r="D219" s="29" t="s">
        <v>122</v>
      </c>
      <c r="E219" s="29"/>
      <c r="F219" s="29" t="s">
        <v>122</v>
      </c>
      <c r="G219" s="18"/>
      <c r="H219" s="18"/>
      <c r="I219" s="18"/>
      <c r="J219" s="18"/>
      <c r="K219" s="18"/>
    </row>
    <row r="220" spans="1:11" x14ac:dyDescent="0.25">
      <c r="A220" s="18">
        <v>1992</v>
      </c>
      <c r="B220" s="20" t="s">
        <v>30</v>
      </c>
      <c r="C220" s="20">
        <v>4</v>
      </c>
      <c r="D220" s="29" t="s">
        <v>122</v>
      </c>
      <c r="E220" s="29"/>
      <c r="F220" s="29" t="s">
        <v>122</v>
      </c>
      <c r="G220" s="18"/>
      <c r="H220" s="18"/>
      <c r="I220" s="18"/>
      <c r="J220" s="18"/>
      <c r="K220" s="18"/>
    </row>
    <row r="221" spans="1:11" x14ac:dyDescent="0.25">
      <c r="A221" s="18">
        <v>1992</v>
      </c>
      <c r="B221" s="20" t="s">
        <v>30</v>
      </c>
      <c r="C221" s="20">
        <v>5</v>
      </c>
      <c r="D221" s="29" t="s">
        <v>122</v>
      </c>
      <c r="E221" s="29"/>
      <c r="F221" s="29" t="s">
        <v>122</v>
      </c>
      <c r="G221" s="18"/>
      <c r="H221" s="18"/>
      <c r="I221" s="18"/>
      <c r="J221" s="18"/>
      <c r="K221" s="18"/>
    </row>
    <row r="222" spans="1:11" x14ac:dyDescent="0.25">
      <c r="A222" s="18">
        <v>1992</v>
      </c>
      <c r="B222" s="20" t="s">
        <v>30</v>
      </c>
      <c r="C222" s="20">
        <v>6</v>
      </c>
      <c r="D222" s="29" t="s">
        <v>420</v>
      </c>
      <c r="E222" s="29"/>
      <c r="F222" s="30">
        <v>2700</v>
      </c>
      <c r="G222" s="18"/>
      <c r="H222" s="18"/>
      <c r="I222" s="18"/>
      <c r="J222" s="18"/>
      <c r="K222" s="18"/>
    </row>
    <row r="223" spans="1:11" x14ac:dyDescent="0.25">
      <c r="A223" s="18">
        <v>1992</v>
      </c>
      <c r="B223" s="20" t="s">
        <v>30</v>
      </c>
      <c r="C223" s="20">
        <v>7</v>
      </c>
      <c r="D223" s="29" t="s">
        <v>122</v>
      </c>
      <c r="E223" s="29"/>
      <c r="F223" s="29" t="s">
        <v>122</v>
      </c>
      <c r="G223" s="18"/>
      <c r="H223" s="18"/>
      <c r="I223" s="18"/>
      <c r="J223" s="18"/>
      <c r="K223" s="18"/>
    </row>
    <row r="224" spans="1:11" x14ac:dyDescent="0.25">
      <c r="A224" s="18">
        <v>1992</v>
      </c>
      <c r="B224" s="20" t="s">
        <v>30</v>
      </c>
      <c r="C224" s="20">
        <v>8</v>
      </c>
      <c r="D224" s="29" t="s">
        <v>122</v>
      </c>
      <c r="E224" s="29"/>
      <c r="F224" s="29" t="s">
        <v>122</v>
      </c>
      <c r="G224" s="18"/>
      <c r="H224" s="18"/>
      <c r="I224" s="18"/>
      <c r="J224" s="18"/>
      <c r="K224" s="18"/>
    </row>
    <row r="225" spans="1:11" x14ac:dyDescent="0.25">
      <c r="A225" s="18">
        <v>1992</v>
      </c>
      <c r="B225" s="20" t="s">
        <v>30</v>
      </c>
      <c r="C225" s="20">
        <v>9</v>
      </c>
      <c r="D225" s="29" t="s">
        <v>122</v>
      </c>
      <c r="E225" s="29"/>
      <c r="F225" s="29" t="s">
        <v>122</v>
      </c>
      <c r="G225" s="18"/>
      <c r="H225" s="18"/>
      <c r="I225" s="18"/>
      <c r="J225" s="18"/>
      <c r="K225" s="18"/>
    </row>
    <row r="226" spans="1:11" x14ac:dyDescent="0.25">
      <c r="A226" s="18">
        <v>1992</v>
      </c>
      <c r="B226" s="20" t="s">
        <v>30</v>
      </c>
      <c r="C226" s="20">
        <v>10</v>
      </c>
      <c r="D226" s="29" t="s">
        <v>122</v>
      </c>
      <c r="E226" s="29"/>
      <c r="F226" s="29" t="s">
        <v>122</v>
      </c>
      <c r="G226" s="18"/>
      <c r="H226" s="18"/>
      <c r="I226" s="18"/>
      <c r="J226" s="18"/>
      <c r="K226" s="18"/>
    </row>
    <row r="227" spans="1:11" x14ac:dyDescent="0.25">
      <c r="A227" s="18">
        <v>1992</v>
      </c>
      <c r="B227" s="20" t="s">
        <v>30</v>
      </c>
      <c r="C227" s="20">
        <v>11</v>
      </c>
      <c r="D227" s="29" t="s">
        <v>122</v>
      </c>
      <c r="E227" s="29"/>
      <c r="F227" s="29" t="s">
        <v>122</v>
      </c>
      <c r="G227" s="18"/>
      <c r="H227" s="18"/>
      <c r="I227" s="18"/>
      <c r="J227" s="18"/>
      <c r="K227" s="18"/>
    </row>
    <row r="228" spans="1:11" x14ac:dyDescent="0.25">
      <c r="A228" s="18">
        <v>1992</v>
      </c>
      <c r="B228" s="20" t="s">
        <v>30</v>
      </c>
      <c r="C228" s="20">
        <v>12</v>
      </c>
      <c r="D228" s="29" t="s">
        <v>122</v>
      </c>
      <c r="E228" s="29"/>
      <c r="F228" s="29" t="s">
        <v>122</v>
      </c>
      <c r="G228" s="18"/>
      <c r="H228" s="18"/>
      <c r="I228" s="18"/>
      <c r="J228" s="18"/>
      <c r="K228" s="18"/>
    </row>
    <row r="229" spans="1:11" x14ac:dyDescent="0.25">
      <c r="A229" s="18">
        <v>1992</v>
      </c>
      <c r="B229" s="20" t="s">
        <v>30</v>
      </c>
      <c r="C229" s="20">
        <v>13</v>
      </c>
      <c r="D229" s="29" t="s">
        <v>122</v>
      </c>
      <c r="E229" s="29"/>
      <c r="F229" s="29" t="s">
        <v>122</v>
      </c>
      <c r="G229" s="18"/>
      <c r="H229" s="18"/>
      <c r="I229" s="18"/>
      <c r="J229" s="18"/>
      <c r="K229" s="18"/>
    </row>
    <row r="230" spans="1:11" x14ac:dyDescent="0.25">
      <c r="A230" s="18">
        <v>1992</v>
      </c>
      <c r="B230" s="20" t="s">
        <v>30</v>
      </c>
      <c r="C230" s="20">
        <v>14</v>
      </c>
      <c r="D230" s="29" t="s">
        <v>122</v>
      </c>
      <c r="E230" s="29"/>
      <c r="F230" s="29" t="s">
        <v>122</v>
      </c>
      <c r="G230" s="18"/>
      <c r="H230" s="18"/>
      <c r="I230" s="18"/>
      <c r="J230" s="18"/>
      <c r="K230" s="18"/>
    </row>
    <row r="231" spans="1:11" x14ac:dyDescent="0.25">
      <c r="A231" s="18">
        <v>1992</v>
      </c>
      <c r="B231" s="20" t="s">
        <v>30</v>
      </c>
      <c r="C231" s="20">
        <v>15</v>
      </c>
      <c r="D231" s="29" t="s">
        <v>122</v>
      </c>
      <c r="E231" s="29"/>
      <c r="F231" s="29" t="s">
        <v>122</v>
      </c>
      <c r="G231" s="18"/>
      <c r="H231" s="18"/>
      <c r="I231" s="18"/>
      <c r="J231" s="18"/>
      <c r="K231" s="18"/>
    </row>
    <row r="232" spans="1:11" x14ac:dyDescent="0.25">
      <c r="A232" s="18">
        <v>1992</v>
      </c>
      <c r="B232" s="20" t="s">
        <v>30</v>
      </c>
      <c r="C232" s="20">
        <v>16</v>
      </c>
      <c r="D232" s="29" t="s">
        <v>420</v>
      </c>
      <c r="E232" s="29"/>
      <c r="F232" s="30">
        <v>2700</v>
      </c>
      <c r="G232" s="18"/>
      <c r="H232" s="18"/>
      <c r="I232" s="18"/>
      <c r="J232" s="18"/>
      <c r="K232" s="18"/>
    </row>
    <row r="233" spans="1:11" x14ac:dyDescent="0.25">
      <c r="A233" s="18">
        <v>1992</v>
      </c>
      <c r="B233" s="20" t="s">
        <v>30</v>
      </c>
      <c r="C233" s="20">
        <v>17</v>
      </c>
      <c r="D233" s="29" t="s">
        <v>420</v>
      </c>
      <c r="E233" s="29"/>
      <c r="F233" s="30">
        <v>2700</v>
      </c>
      <c r="G233" s="18"/>
      <c r="H233" s="18"/>
      <c r="I233" s="18"/>
      <c r="J233" s="18"/>
      <c r="K233" s="18"/>
    </row>
    <row r="234" spans="1:11" x14ac:dyDescent="0.25">
      <c r="A234" s="18">
        <v>1992</v>
      </c>
      <c r="B234" s="20" t="s">
        <v>30</v>
      </c>
      <c r="C234" s="20">
        <v>18</v>
      </c>
      <c r="D234" s="29" t="s">
        <v>420</v>
      </c>
      <c r="E234" s="29"/>
      <c r="F234" s="30">
        <v>2700</v>
      </c>
      <c r="G234" s="18"/>
      <c r="H234" s="18"/>
      <c r="I234" s="18"/>
      <c r="J234" s="18"/>
      <c r="K234" s="18"/>
    </row>
    <row r="235" spans="1:11" x14ac:dyDescent="0.25">
      <c r="A235" s="18">
        <v>1992</v>
      </c>
      <c r="B235" s="20" t="s">
        <v>30</v>
      </c>
      <c r="C235" s="20">
        <v>19</v>
      </c>
      <c r="D235" s="29" t="s">
        <v>420</v>
      </c>
      <c r="E235" s="29"/>
      <c r="F235" s="30">
        <v>2700</v>
      </c>
      <c r="G235" s="18"/>
      <c r="H235" s="18"/>
      <c r="I235" s="18"/>
      <c r="J235" s="18"/>
      <c r="K235" s="18"/>
    </row>
    <row r="236" spans="1:11" x14ac:dyDescent="0.25">
      <c r="A236" s="18">
        <v>1992</v>
      </c>
      <c r="B236" s="20" t="s">
        <v>30</v>
      </c>
      <c r="C236" s="20">
        <v>20</v>
      </c>
      <c r="D236" s="29" t="s">
        <v>420</v>
      </c>
      <c r="E236" s="29"/>
      <c r="F236" s="30">
        <v>2700</v>
      </c>
      <c r="G236" s="18"/>
      <c r="H236" s="18"/>
      <c r="I236" s="18"/>
      <c r="J236" s="18"/>
      <c r="K236" s="18"/>
    </row>
    <row r="237" spans="1:11" x14ac:dyDescent="0.25">
      <c r="A237" s="18">
        <v>1992</v>
      </c>
      <c r="B237" s="20" t="s">
        <v>30</v>
      </c>
      <c r="C237" s="20">
        <v>21</v>
      </c>
      <c r="D237" s="29" t="s">
        <v>420</v>
      </c>
      <c r="E237" s="29"/>
      <c r="F237" s="30">
        <v>2700</v>
      </c>
      <c r="G237" s="18"/>
      <c r="H237" s="18"/>
      <c r="I237" s="18"/>
      <c r="J237" s="18"/>
      <c r="K237" s="18"/>
    </row>
    <row r="238" spans="1:11" x14ac:dyDescent="0.25">
      <c r="A238" s="18">
        <v>1992</v>
      </c>
      <c r="B238" s="20" t="s">
        <v>30</v>
      </c>
      <c r="C238" s="20">
        <v>22</v>
      </c>
      <c r="D238" s="29" t="s">
        <v>420</v>
      </c>
      <c r="E238" s="29"/>
      <c r="F238" s="30">
        <v>2700</v>
      </c>
      <c r="G238" s="18"/>
      <c r="H238" s="18"/>
      <c r="I238" s="18"/>
      <c r="J238" s="18"/>
      <c r="K238" s="18"/>
    </row>
    <row r="239" spans="1:11" x14ac:dyDescent="0.25">
      <c r="A239" s="18">
        <v>1992</v>
      </c>
      <c r="B239" s="20" t="s">
        <v>30</v>
      </c>
      <c r="C239" s="20">
        <v>23</v>
      </c>
      <c r="D239" s="29" t="s">
        <v>420</v>
      </c>
      <c r="E239" s="29"/>
      <c r="F239" s="30">
        <v>2700</v>
      </c>
      <c r="G239" s="18"/>
      <c r="H239" s="18"/>
      <c r="I239" s="18"/>
      <c r="J239" s="18"/>
      <c r="K239" s="18"/>
    </row>
    <row r="240" spans="1:11" x14ac:dyDescent="0.25">
      <c r="A240" s="18">
        <v>1992</v>
      </c>
      <c r="B240" s="20" t="s">
        <v>30</v>
      </c>
      <c r="C240" s="20">
        <v>24</v>
      </c>
      <c r="D240" s="29" t="s">
        <v>420</v>
      </c>
      <c r="E240" s="29"/>
      <c r="F240" s="30">
        <v>2700</v>
      </c>
      <c r="G240" s="18"/>
      <c r="H240" s="18"/>
      <c r="I240" s="18"/>
      <c r="J240" s="18"/>
      <c r="K240" s="18"/>
    </row>
    <row r="241" spans="1:11" x14ac:dyDescent="0.25">
      <c r="A241" s="18">
        <v>1992</v>
      </c>
      <c r="B241" s="20" t="s">
        <v>30</v>
      </c>
      <c r="C241" s="20">
        <v>25</v>
      </c>
      <c r="D241" s="29" t="s">
        <v>420</v>
      </c>
      <c r="E241" s="29"/>
      <c r="F241" s="30">
        <v>2700</v>
      </c>
      <c r="G241" s="18"/>
      <c r="H241" s="18"/>
      <c r="I241" s="18"/>
      <c r="J241" s="18"/>
      <c r="K241" s="18"/>
    </row>
    <row r="242" spans="1:11" x14ac:dyDescent="0.25">
      <c r="A242" s="18">
        <v>1992</v>
      </c>
      <c r="B242" s="20" t="s">
        <v>30</v>
      </c>
      <c r="C242" s="20">
        <v>26</v>
      </c>
      <c r="D242" s="29" t="s">
        <v>420</v>
      </c>
      <c r="E242" s="29"/>
      <c r="F242" s="30">
        <v>2700</v>
      </c>
      <c r="G242" s="18"/>
      <c r="H242" s="18"/>
      <c r="I242" s="18"/>
      <c r="J242" s="18"/>
      <c r="K242" s="18"/>
    </row>
    <row r="243" spans="1:11" x14ac:dyDescent="0.25">
      <c r="A243" s="18">
        <v>1992</v>
      </c>
      <c r="B243" s="20" t="s">
        <v>30</v>
      </c>
      <c r="C243" s="20">
        <v>27</v>
      </c>
      <c r="D243" s="29" t="s">
        <v>420</v>
      </c>
      <c r="E243" s="29"/>
      <c r="F243" s="30">
        <v>2700</v>
      </c>
      <c r="G243" s="18"/>
      <c r="H243" s="18"/>
      <c r="I243" s="18"/>
      <c r="J243" s="18"/>
      <c r="K243" s="18"/>
    </row>
    <row r="244" spans="1:11" x14ac:dyDescent="0.25">
      <c r="A244" s="18">
        <v>1992</v>
      </c>
      <c r="B244" s="20" t="s">
        <v>30</v>
      </c>
      <c r="C244" s="20">
        <v>28</v>
      </c>
      <c r="D244" s="29" t="s">
        <v>420</v>
      </c>
      <c r="E244" s="29"/>
      <c r="F244" s="30">
        <v>2700</v>
      </c>
      <c r="G244" s="18"/>
      <c r="H244" s="18"/>
      <c r="I244" s="18"/>
      <c r="J244" s="18"/>
      <c r="K244" s="18"/>
    </row>
    <row r="245" spans="1:11" x14ac:dyDescent="0.25">
      <c r="A245" s="18">
        <v>1992</v>
      </c>
      <c r="B245" s="20" t="s">
        <v>30</v>
      </c>
      <c r="C245" s="20">
        <v>29</v>
      </c>
      <c r="D245" s="29" t="s">
        <v>420</v>
      </c>
      <c r="E245" s="29"/>
      <c r="F245" s="30">
        <v>2700</v>
      </c>
      <c r="G245" s="18"/>
      <c r="H245" s="18"/>
      <c r="I245" s="18"/>
      <c r="J245" s="18"/>
      <c r="K245" s="18"/>
    </row>
    <row r="246" spans="1:11" x14ac:dyDescent="0.25">
      <c r="A246" s="18">
        <v>1992</v>
      </c>
      <c r="B246" s="20" t="s">
        <v>30</v>
      </c>
      <c r="C246" s="20">
        <v>30</v>
      </c>
      <c r="D246" s="29" t="s">
        <v>420</v>
      </c>
      <c r="E246" s="29"/>
      <c r="F246" s="30">
        <v>2700</v>
      </c>
      <c r="G246" s="18"/>
      <c r="H246" s="18"/>
      <c r="I246" s="18"/>
      <c r="J246" s="18"/>
      <c r="K246" s="18"/>
    </row>
    <row r="247" spans="1:11" x14ac:dyDescent="0.25">
      <c r="A247" s="18">
        <v>1992</v>
      </c>
      <c r="B247" s="20" t="s">
        <v>30</v>
      </c>
      <c r="C247" s="20">
        <v>31</v>
      </c>
      <c r="D247" s="29" t="s">
        <v>420</v>
      </c>
      <c r="E247" s="29"/>
      <c r="F247" s="30">
        <v>2700</v>
      </c>
      <c r="G247" s="18"/>
      <c r="H247" s="18"/>
      <c r="I247" s="18"/>
      <c r="J247" s="18"/>
      <c r="K247" s="18"/>
    </row>
    <row r="248" spans="1:11" x14ac:dyDescent="0.25">
      <c r="A248" s="18">
        <v>1992</v>
      </c>
      <c r="B248" s="20" t="s">
        <v>31</v>
      </c>
      <c r="C248" s="20">
        <v>1</v>
      </c>
      <c r="D248" s="22"/>
      <c r="E248" s="22"/>
      <c r="F248" s="25"/>
      <c r="G248" s="18"/>
      <c r="H248" s="18"/>
      <c r="I248" s="18"/>
      <c r="J248" s="18"/>
      <c r="K248" s="18"/>
    </row>
    <row r="249" spans="1:11" x14ac:dyDescent="0.25">
      <c r="A249" s="18">
        <v>1992</v>
      </c>
      <c r="B249" s="20" t="s">
        <v>31</v>
      </c>
      <c r="C249" s="20">
        <v>2</v>
      </c>
      <c r="D249" s="22"/>
      <c r="E249" s="22"/>
      <c r="F249" s="25"/>
      <c r="G249" s="18"/>
      <c r="H249" s="18"/>
      <c r="I249" s="18"/>
      <c r="J249" s="18"/>
      <c r="K249" s="18"/>
    </row>
    <row r="250" spans="1:11" x14ac:dyDescent="0.25">
      <c r="A250" s="18">
        <v>1992</v>
      </c>
      <c r="B250" s="20" t="s">
        <v>31</v>
      </c>
      <c r="C250" s="20">
        <v>3</v>
      </c>
      <c r="D250" s="22"/>
      <c r="E250" s="22"/>
      <c r="F250" s="25"/>
      <c r="G250" s="18"/>
      <c r="H250" s="18"/>
      <c r="I250" s="18"/>
      <c r="J250" s="18"/>
      <c r="K250" s="18"/>
    </row>
    <row r="251" spans="1:11" x14ac:dyDescent="0.25">
      <c r="A251" s="18">
        <v>1992</v>
      </c>
      <c r="B251" s="20" t="s">
        <v>31</v>
      </c>
      <c r="C251" s="20">
        <v>4</v>
      </c>
      <c r="D251" s="22"/>
      <c r="E251" s="22"/>
      <c r="F251" s="25"/>
      <c r="G251" s="18"/>
      <c r="H251" s="18"/>
      <c r="I251" s="18"/>
      <c r="J251" s="18"/>
      <c r="K251" s="18"/>
    </row>
    <row r="252" spans="1:11" x14ac:dyDescent="0.25">
      <c r="A252" s="18">
        <v>1992</v>
      </c>
      <c r="B252" s="20" t="s">
        <v>31</v>
      </c>
      <c r="C252" s="20">
        <v>5</v>
      </c>
      <c r="D252" s="22"/>
      <c r="E252" s="22"/>
      <c r="F252" s="25"/>
      <c r="G252" s="18"/>
      <c r="H252" s="18"/>
      <c r="I252" s="18"/>
      <c r="J252" s="18"/>
      <c r="K252" s="18"/>
    </row>
    <row r="253" spans="1:11" x14ac:dyDescent="0.25">
      <c r="A253" s="18">
        <v>1992</v>
      </c>
      <c r="B253" s="20" t="s">
        <v>31</v>
      </c>
      <c r="C253" s="20">
        <v>6</v>
      </c>
      <c r="D253" s="22"/>
      <c r="E253" s="22"/>
      <c r="F253" s="25"/>
      <c r="G253" s="18"/>
      <c r="H253" s="18"/>
      <c r="I253" s="18"/>
      <c r="J253" s="18"/>
      <c r="K253" s="18"/>
    </row>
    <row r="254" spans="1:11" x14ac:dyDescent="0.25">
      <c r="A254" s="18">
        <v>1992</v>
      </c>
      <c r="B254" s="20" t="s">
        <v>31</v>
      </c>
      <c r="C254" s="20">
        <v>7</v>
      </c>
      <c r="D254" s="22"/>
      <c r="E254" s="22"/>
      <c r="F254" s="25"/>
      <c r="G254" s="18"/>
      <c r="H254" s="18"/>
      <c r="I254" s="18"/>
      <c r="J254" s="18"/>
      <c r="K254" s="18"/>
    </row>
    <row r="255" spans="1:11" x14ac:dyDescent="0.25">
      <c r="A255" s="18">
        <v>1992</v>
      </c>
      <c r="B255" s="20" t="s">
        <v>31</v>
      </c>
      <c r="C255" s="20">
        <v>8</v>
      </c>
      <c r="D255" s="22"/>
      <c r="E255" s="22"/>
      <c r="F255" s="25"/>
      <c r="G255" s="18"/>
      <c r="H255" s="18"/>
      <c r="I255" s="18"/>
      <c r="J255" s="18"/>
      <c r="K255" s="18"/>
    </row>
    <row r="256" spans="1:11" x14ac:dyDescent="0.25">
      <c r="A256" s="18">
        <v>1992</v>
      </c>
      <c r="B256" s="20" t="s">
        <v>31</v>
      </c>
      <c r="C256" s="20">
        <v>9</v>
      </c>
      <c r="D256" s="22"/>
      <c r="E256" s="22"/>
      <c r="F256" s="25"/>
      <c r="G256" s="18"/>
      <c r="H256" s="18"/>
      <c r="I256" s="18"/>
      <c r="J256" s="18"/>
      <c r="K256" s="18"/>
    </row>
    <row r="257" spans="1:11" x14ac:dyDescent="0.25">
      <c r="A257" s="18">
        <v>1992</v>
      </c>
      <c r="B257" s="20" t="s">
        <v>31</v>
      </c>
      <c r="C257" s="20">
        <v>10</v>
      </c>
      <c r="D257" s="22"/>
      <c r="E257" s="22"/>
      <c r="F257" s="25"/>
      <c r="G257" s="18"/>
      <c r="H257" s="18"/>
      <c r="I257" s="18"/>
      <c r="J257" s="18"/>
      <c r="K257" s="18"/>
    </row>
    <row r="258" spans="1:11" x14ac:dyDescent="0.25">
      <c r="A258" s="18">
        <v>1992</v>
      </c>
      <c r="B258" s="20" t="s">
        <v>31</v>
      </c>
      <c r="C258" s="20">
        <v>11</v>
      </c>
      <c r="D258" s="22"/>
      <c r="E258" s="22"/>
      <c r="F258" s="25"/>
      <c r="G258" s="18"/>
      <c r="H258" s="18"/>
      <c r="I258" s="18"/>
      <c r="J258" s="18"/>
      <c r="K258" s="18"/>
    </row>
    <row r="259" spans="1:11" x14ac:dyDescent="0.25">
      <c r="A259" s="18">
        <v>1992</v>
      </c>
      <c r="B259" s="20" t="s">
        <v>31</v>
      </c>
      <c r="C259" s="20">
        <v>12</v>
      </c>
      <c r="D259" s="22"/>
      <c r="E259" s="22"/>
      <c r="F259" s="25"/>
      <c r="G259" s="18"/>
      <c r="H259" s="18"/>
      <c r="I259" s="18"/>
      <c r="J259" s="18"/>
      <c r="K259" s="18"/>
    </row>
    <row r="260" spans="1:11" x14ac:dyDescent="0.25">
      <c r="A260" s="18">
        <v>1992</v>
      </c>
      <c r="B260" s="20" t="s">
        <v>31</v>
      </c>
      <c r="C260" s="20">
        <v>13</v>
      </c>
      <c r="D260" s="22"/>
      <c r="E260" s="22"/>
      <c r="F260" s="25"/>
      <c r="G260" s="18"/>
      <c r="H260" s="18"/>
      <c r="I260" s="18"/>
      <c r="J260" s="18"/>
      <c r="K260" s="18"/>
    </row>
    <row r="261" spans="1:11" x14ac:dyDescent="0.25">
      <c r="A261" s="18">
        <v>1992</v>
      </c>
      <c r="B261" s="20" t="s">
        <v>31</v>
      </c>
      <c r="C261" s="20">
        <v>14</v>
      </c>
      <c r="D261" s="22"/>
      <c r="E261" s="22"/>
      <c r="F261" s="25"/>
      <c r="G261" s="18"/>
      <c r="H261" s="18"/>
      <c r="I261" s="18"/>
      <c r="J261" s="18"/>
      <c r="K261" s="18"/>
    </row>
    <row r="262" spans="1:11" x14ac:dyDescent="0.25">
      <c r="A262" s="18">
        <v>1992</v>
      </c>
      <c r="B262" s="20" t="s">
        <v>31</v>
      </c>
      <c r="C262" s="20">
        <v>15</v>
      </c>
      <c r="D262" s="22"/>
      <c r="E262" s="22"/>
      <c r="F262" s="25"/>
      <c r="G262" s="18"/>
      <c r="H262" s="18"/>
      <c r="I262" s="18"/>
      <c r="J262" s="18"/>
      <c r="K262" s="18"/>
    </row>
    <row r="263" spans="1:11" x14ac:dyDescent="0.25">
      <c r="A263" s="18">
        <v>1992</v>
      </c>
      <c r="B263" s="20" t="s">
        <v>31</v>
      </c>
      <c r="C263" s="20">
        <v>16</v>
      </c>
      <c r="D263" s="22"/>
      <c r="E263" s="22"/>
      <c r="F263" s="25"/>
      <c r="G263" s="18"/>
      <c r="H263" s="18"/>
      <c r="I263" s="18"/>
      <c r="J263" s="18"/>
      <c r="K263" s="18"/>
    </row>
    <row r="264" spans="1:11" x14ac:dyDescent="0.25">
      <c r="A264" s="18">
        <v>1992</v>
      </c>
      <c r="B264" s="20" t="s">
        <v>31</v>
      </c>
      <c r="C264" s="20">
        <v>17</v>
      </c>
      <c r="D264" s="22"/>
      <c r="E264" s="22"/>
      <c r="F264" s="22"/>
      <c r="G264" s="18"/>
      <c r="H264" s="18"/>
      <c r="I264" s="18"/>
      <c r="J264" s="18"/>
      <c r="K264" s="18"/>
    </row>
    <row r="265" spans="1:11" x14ac:dyDescent="0.25">
      <c r="A265" s="18">
        <v>1992</v>
      </c>
      <c r="B265" s="20" t="s">
        <v>31</v>
      </c>
      <c r="C265" s="20">
        <v>18</v>
      </c>
      <c r="D265" s="22"/>
      <c r="E265" s="22"/>
      <c r="F265" s="22"/>
      <c r="G265" s="18"/>
      <c r="H265" s="18"/>
      <c r="I265" s="18"/>
      <c r="J265" s="18"/>
      <c r="K265" s="18"/>
    </row>
    <row r="266" spans="1:11" x14ac:dyDescent="0.25">
      <c r="A266" s="18">
        <v>1992</v>
      </c>
      <c r="B266" s="20" t="s">
        <v>31</v>
      </c>
      <c r="C266" s="20">
        <v>19</v>
      </c>
      <c r="D266" s="22"/>
      <c r="E266" s="22"/>
      <c r="F266" s="22"/>
      <c r="G266" s="18"/>
      <c r="H266" s="18"/>
      <c r="I266" s="18"/>
      <c r="J266" s="18"/>
      <c r="K266" s="18"/>
    </row>
    <row r="267" spans="1:11" x14ac:dyDescent="0.25">
      <c r="A267" s="18">
        <v>1992</v>
      </c>
      <c r="B267" s="20" t="s">
        <v>31</v>
      </c>
      <c r="C267" s="20">
        <v>20</v>
      </c>
      <c r="D267" s="22"/>
      <c r="E267" s="22"/>
      <c r="F267" s="22"/>
      <c r="G267" s="18"/>
      <c r="H267" s="18"/>
      <c r="I267" s="18"/>
      <c r="J267" s="18"/>
      <c r="K267" s="18"/>
    </row>
    <row r="268" spans="1:11" x14ac:dyDescent="0.25">
      <c r="A268" s="18">
        <v>1992</v>
      </c>
      <c r="B268" s="20" t="s">
        <v>31</v>
      </c>
      <c r="C268" s="20">
        <v>21</v>
      </c>
      <c r="D268" s="22"/>
      <c r="E268" s="22"/>
      <c r="F268" s="22"/>
      <c r="G268" s="18"/>
      <c r="H268" s="18"/>
      <c r="I268" s="18"/>
      <c r="J268" s="18"/>
      <c r="K268" s="18"/>
    </row>
    <row r="269" spans="1:11" x14ac:dyDescent="0.25">
      <c r="A269" s="18">
        <v>1992</v>
      </c>
      <c r="B269" s="20" t="s">
        <v>31</v>
      </c>
      <c r="C269" s="20">
        <v>22</v>
      </c>
      <c r="D269" s="22"/>
      <c r="E269" s="22"/>
      <c r="F269" s="22"/>
      <c r="G269" s="18"/>
      <c r="H269" s="18"/>
      <c r="I269" s="18"/>
      <c r="J269" s="18"/>
      <c r="K269" s="18"/>
    </row>
    <row r="270" spans="1:11" x14ac:dyDescent="0.25">
      <c r="A270" s="18">
        <v>1992</v>
      </c>
      <c r="B270" s="20" t="s">
        <v>31</v>
      </c>
      <c r="C270" s="20">
        <v>23</v>
      </c>
      <c r="D270" s="22"/>
      <c r="E270" s="22"/>
      <c r="F270" s="22"/>
      <c r="G270" s="18"/>
      <c r="H270" s="18"/>
      <c r="I270" s="18"/>
      <c r="J270" s="18"/>
      <c r="K270" s="18"/>
    </row>
    <row r="271" spans="1:11" x14ac:dyDescent="0.25">
      <c r="A271" s="18">
        <v>1992</v>
      </c>
      <c r="B271" s="20" t="s">
        <v>31</v>
      </c>
      <c r="C271" s="20">
        <v>24</v>
      </c>
      <c r="D271" s="22"/>
      <c r="E271" s="22"/>
      <c r="F271" s="22"/>
      <c r="G271" s="18"/>
      <c r="H271" s="18"/>
      <c r="I271" s="18"/>
      <c r="J271" s="18"/>
      <c r="K271" s="18"/>
    </row>
    <row r="272" spans="1:11" x14ac:dyDescent="0.25">
      <c r="A272" s="18">
        <v>1992</v>
      </c>
      <c r="B272" s="20" t="s">
        <v>31</v>
      </c>
      <c r="C272" s="20">
        <v>25</v>
      </c>
      <c r="D272" s="22"/>
      <c r="E272" s="22"/>
      <c r="F272" s="22"/>
      <c r="G272" s="18"/>
      <c r="H272" s="18"/>
      <c r="I272" s="18"/>
      <c r="J272" s="18"/>
      <c r="K272" s="18"/>
    </row>
    <row r="273" spans="1:11" x14ac:dyDescent="0.25">
      <c r="A273" s="18">
        <v>1992</v>
      </c>
      <c r="B273" s="20" t="s">
        <v>31</v>
      </c>
      <c r="C273" s="20">
        <v>26</v>
      </c>
      <c r="D273" s="22"/>
      <c r="E273" s="22"/>
      <c r="F273" s="22"/>
      <c r="G273" s="18"/>
      <c r="H273" s="18"/>
      <c r="I273" s="18"/>
      <c r="J273" s="18"/>
      <c r="K273" s="18"/>
    </row>
    <row r="274" spans="1:11" x14ac:dyDescent="0.25">
      <c r="A274" s="18">
        <v>1992</v>
      </c>
      <c r="B274" s="20" t="s">
        <v>31</v>
      </c>
      <c r="C274" s="20">
        <v>27</v>
      </c>
      <c r="D274" s="22"/>
      <c r="E274" s="22"/>
      <c r="F274" s="22"/>
      <c r="G274" s="18"/>
      <c r="H274" s="18"/>
      <c r="I274" s="18"/>
      <c r="J274" s="18"/>
      <c r="K274" s="18"/>
    </row>
    <row r="275" spans="1:11" x14ac:dyDescent="0.25">
      <c r="A275" s="18">
        <v>1992</v>
      </c>
      <c r="B275" s="20" t="s">
        <v>31</v>
      </c>
      <c r="C275" s="20">
        <v>28</v>
      </c>
      <c r="D275" s="22"/>
      <c r="E275" s="22"/>
      <c r="F275" s="22"/>
      <c r="G275" s="18"/>
      <c r="H275" s="18"/>
      <c r="I275" s="18"/>
      <c r="J275" s="18"/>
      <c r="K275" s="18"/>
    </row>
    <row r="276" spans="1:11" x14ac:dyDescent="0.25">
      <c r="A276" s="18">
        <v>1992</v>
      </c>
      <c r="B276" s="20" t="s">
        <v>31</v>
      </c>
      <c r="C276" s="20">
        <v>29</v>
      </c>
      <c r="D276" s="22"/>
      <c r="E276" s="22"/>
      <c r="F276" s="22"/>
      <c r="G276" s="18"/>
      <c r="H276" s="18"/>
      <c r="I276" s="18"/>
      <c r="J276" s="18"/>
      <c r="K276" s="18"/>
    </row>
    <row r="277" spans="1:11" x14ac:dyDescent="0.25">
      <c r="A277" s="18">
        <v>1992</v>
      </c>
      <c r="B277" s="20" t="s">
        <v>31</v>
      </c>
      <c r="C277" s="20">
        <v>30</v>
      </c>
      <c r="D277" s="22"/>
      <c r="E277" s="22"/>
      <c r="F277" s="22"/>
      <c r="G277" s="18"/>
      <c r="H277" s="18"/>
      <c r="I277" s="18"/>
      <c r="J277" s="18"/>
      <c r="K277" s="18"/>
    </row>
    <row r="278" spans="1:11" x14ac:dyDescent="0.25">
      <c r="A278" s="18">
        <v>1992</v>
      </c>
      <c r="B278" s="20" t="s">
        <v>1750</v>
      </c>
      <c r="C278" s="20">
        <v>1</v>
      </c>
      <c r="D278" s="22"/>
      <c r="E278" s="22"/>
      <c r="F278" s="25"/>
      <c r="G278" s="18"/>
      <c r="H278" s="18"/>
      <c r="I278" s="18"/>
      <c r="J278" s="18"/>
      <c r="K278" s="18"/>
    </row>
    <row r="279" spans="1:11" x14ac:dyDescent="0.25">
      <c r="A279" s="18">
        <v>1992</v>
      </c>
      <c r="B279" s="20" t="s">
        <v>1750</v>
      </c>
      <c r="C279" s="20">
        <v>2</v>
      </c>
      <c r="D279" s="22"/>
      <c r="E279" s="22"/>
      <c r="F279" s="25"/>
      <c r="G279" s="18"/>
      <c r="H279" s="18"/>
      <c r="I279" s="18"/>
      <c r="J279" s="18"/>
      <c r="K279" s="18"/>
    </row>
    <row r="280" spans="1:11" x14ac:dyDescent="0.25">
      <c r="A280" s="18">
        <v>1992</v>
      </c>
      <c r="B280" s="20" t="s">
        <v>1750</v>
      </c>
      <c r="C280" s="20">
        <v>3</v>
      </c>
      <c r="D280" s="22"/>
      <c r="E280" s="22"/>
      <c r="F280" s="25"/>
      <c r="G280" s="18"/>
      <c r="H280" s="18"/>
      <c r="I280" s="18"/>
      <c r="J280" s="18"/>
      <c r="K280" s="18"/>
    </row>
    <row r="281" spans="1:11" x14ac:dyDescent="0.25">
      <c r="A281" s="18">
        <v>1992</v>
      </c>
      <c r="B281" s="20" t="s">
        <v>1750</v>
      </c>
      <c r="C281" s="20">
        <v>4</v>
      </c>
      <c r="D281" s="22"/>
      <c r="E281" s="22"/>
      <c r="F281" s="25"/>
      <c r="G281" s="18"/>
      <c r="H281" s="18"/>
      <c r="I281" s="18"/>
      <c r="J281" s="18"/>
      <c r="K281" s="18"/>
    </row>
    <row r="282" spans="1:11" x14ac:dyDescent="0.25">
      <c r="A282" s="18">
        <v>1992</v>
      </c>
      <c r="B282" s="20" t="s">
        <v>1750</v>
      </c>
      <c r="C282" s="20">
        <v>5</v>
      </c>
      <c r="D282" s="22"/>
      <c r="E282" s="22"/>
      <c r="F282" s="25"/>
      <c r="G282" s="18"/>
      <c r="H282" s="18"/>
      <c r="I282" s="18"/>
      <c r="J282" s="18"/>
      <c r="K282" s="18"/>
    </row>
    <row r="283" spans="1:11" x14ac:dyDescent="0.25">
      <c r="A283" s="18">
        <v>1992</v>
      </c>
      <c r="B283" s="20" t="s">
        <v>1750</v>
      </c>
      <c r="C283" s="20">
        <v>6</v>
      </c>
      <c r="D283" s="22"/>
      <c r="E283" s="22"/>
      <c r="F283" s="25"/>
      <c r="G283" s="18"/>
      <c r="H283" s="18"/>
      <c r="I283" s="18"/>
      <c r="J283" s="18"/>
      <c r="K283" s="18"/>
    </row>
    <row r="284" spans="1:11" x14ac:dyDescent="0.25">
      <c r="A284" s="18">
        <v>1992</v>
      </c>
      <c r="B284" s="20" t="s">
        <v>1750</v>
      </c>
      <c r="C284" s="20">
        <v>7</v>
      </c>
      <c r="D284" s="22"/>
      <c r="E284" s="22"/>
      <c r="F284" s="25"/>
      <c r="G284" s="18"/>
      <c r="H284" s="18"/>
      <c r="I284" s="18"/>
      <c r="J284" s="18"/>
      <c r="K284" s="18"/>
    </row>
    <row r="285" spans="1:11" x14ac:dyDescent="0.25">
      <c r="A285" s="18">
        <v>1992</v>
      </c>
      <c r="B285" s="20" t="s">
        <v>1750</v>
      </c>
      <c r="C285" s="20">
        <v>8</v>
      </c>
      <c r="D285" s="22"/>
      <c r="E285" s="22"/>
      <c r="F285" s="25"/>
      <c r="G285" s="18"/>
      <c r="H285" s="18"/>
      <c r="I285" s="18"/>
      <c r="J285" s="18"/>
      <c r="K285" s="18"/>
    </row>
    <row r="286" spans="1:11" x14ac:dyDescent="0.25">
      <c r="A286" s="18">
        <v>1992</v>
      </c>
      <c r="B286" s="20" t="s">
        <v>1750</v>
      </c>
      <c r="C286" s="20">
        <v>9</v>
      </c>
      <c r="D286" s="22"/>
      <c r="E286" s="22"/>
      <c r="F286" s="25"/>
      <c r="G286" s="18"/>
      <c r="H286" s="18"/>
      <c r="I286" s="18"/>
      <c r="J286" s="18"/>
      <c r="K286" s="18"/>
    </row>
    <row r="287" spans="1:11" x14ac:dyDescent="0.25">
      <c r="A287" s="18">
        <v>1992</v>
      </c>
      <c r="B287" s="20" t="s">
        <v>1750</v>
      </c>
      <c r="C287" s="20">
        <v>10</v>
      </c>
      <c r="D287" s="22"/>
      <c r="E287" s="22"/>
      <c r="F287" s="25"/>
      <c r="G287" s="18"/>
      <c r="H287" s="18"/>
      <c r="I287" s="18"/>
      <c r="J287" s="18"/>
      <c r="K287" s="18"/>
    </row>
    <row r="288" spans="1:11" x14ac:dyDescent="0.25">
      <c r="A288" s="18">
        <v>1992</v>
      </c>
      <c r="B288" s="20" t="s">
        <v>1750</v>
      </c>
      <c r="C288" s="20">
        <v>11</v>
      </c>
      <c r="D288" s="22"/>
      <c r="E288" s="22"/>
      <c r="F288" s="25"/>
      <c r="G288" s="18"/>
      <c r="H288" s="18"/>
      <c r="I288" s="18"/>
      <c r="J288" s="18"/>
      <c r="K288" s="18"/>
    </row>
    <row r="289" spans="1:11" x14ac:dyDescent="0.25">
      <c r="A289" s="18">
        <v>1992</v>
      </c>
      <c r="B289" s="20" t="s">
        <v>1750</v>
      </c>
      <c r="C289" s="20">
        <v>12</v>
      </c>
      <c r="D289" s="22"/>
      <c r="E289" s="22"/>
      <c r="F289" s="25"/>
      <c r="G289" s="18"/>
      <c r="H289" s="18"/>
      <c r="I289" s="18"/>
      <c r="J289" s="18"/>
      <c r="K289" s="18"/>
    </row>
    <row r="290" spans="1:11" x14ac:dyDescent="0.25">
      <c r="A290" s="18">
        <v>1992</v>
      </c>
      <c r="B290" s="20" t="s">
        <v>1750</v>
      </c>
      <c r="C290" s="20">
        <v>13</v>
      </c>
      <c r="D290" s="22"/>
      <c r="E290" s="22"/>
      <c r="F290" s="25"/>
      <c r="G290" s="18"/>
      <c r="H290" s="18"/>
      <c r="I290" s="18"/>
      <c r="J290" s="18"/>
      <c r="K290" s="18"/>
    </row>
    <row r="291" spans="1:11" x14ac:dyDescent="0.25">
      <c r="A291" s="18">
        <v>1992</v>
      </c>
      <c r="B291" s="20" t="s">
        <v>1750</v>
      </c>
      <c r="C291" s="20">
        <v>14</v>
      </c>
      <c r="D291" s="22"/>
      <c r="E291" s="22"/>
      <c r="F291" s="25"/>
      <c r="G291" s="18"/>
      <c r="H291" s="18"/>
      <c r="I291" s="18"/>
      <c r="J291" s="18"/>
      <c r="K291" s="18"/>
    </row>
    <row r="292" spans="1:11" x14ac:dyDescent="0.25">
      <c r="A292" s="18">
        <v>1992</v>
      </c>
      <c r="B292" s="20" t="s">
        <v>1750</v>
      </c>
      <c r="C292" s="20">
        <v>15</v>
      </c>
      <c r="D292" s="22"/>
      <c r="E292" s="22"/>
      <c r="F292" s="25"/>
      <c r="G292" s="18"/>
      <c r="H292" s="18"/>
      <c r="I292" s="18"/>
      <c r="J292" s="18"/>
      <c r="K292" s="18"/>
    </row>
    <row r="293" spans="1:11" x14ac:dyDescent="0.25">
      <c r="A293" s="18">
        <v>1992</v>
      </c>
      <c r="B293" s="20" t="s">
        <v>1750</v>
      </c>
      <c r="C293" s="20">
        <v>16</v>
      </c>
      <c r="D293" s="22"/>
      <c r="E293" s="22"/>
      <c r="F293" s="25"/>
      <c r="G293" s="18"/>
      <c r="H293" s="18"/>
      <c r="I293" s="18"/>
      <c r="J293" s="18"/>
      <c r="K293" s="18"/>
    </row>
    <row r="294" spans="1:11" x14ac:dyDescent="0.25">
      <c r="A294" s="18">
        <v>1992</v>
      </c>
      <c r="B294" s="20" t="s">
        <v>1750</v>
      </c>
      <c r="C294" s="20">
        <v>17</v>
      </c>
      <c r="D294" s="22"/>
      <c r="E294" s="22"/>
      <c r="F294" s="25"/>
      <c r="G294" s="18"/>
      <c r="H294" s="18"/>
      <c r="I294" s="18"/>
      <c r="J294" s="18"/>
      <c r="K294" s="18"/>
    </row>
    <row r="295" spans="1:11" x14ac:dyDescent="0.25">
      <c r="A295" s="18">
        <v>1992</v>
      </c>
      <c r="B295" s="20" t="s">
        <v>1750</v>
      </c>
      <c r="C295" s="20">
        <v>18</v>
      </c>
      <c r="D295" s="22"/>
      <c r="E295" s="22"/>
      <c r="F295" s="20"/>
      <c r="G295" s="18"/>
      <c r="H295" s="18"/>
      <c r="I295" s="18"/>
      <c r="J295" s="18"/>
      <c r="K295" s="18"/>
    </row>
    <row r="296" spans="1:11" x14ac:dyDescent="0.25">
      <c r="A296" s="18">
        <v>1992</v>
      </c>
      <c r="B296" s="20" t="s">
        <v>1750</v>
      </c>
      <c r="C296" s="20">
        <v>19</v>
      </c>
      <c r="D296" s="22"/>
      <c r="E296" s="22"/>
      <c r="F296" s="20"/>
      <c r="G296" s="18"/>
      <c r="H296" s="18"/>
      <c r="I296" s="18"/>
      <c r="J296" s="18"/>
      <c r="K296" s="18"/>
    </row>
    <row r="297" spans="1:11" x14ac:dyDescent="0.25">
      <c r="A297" s="18">
        <v>1992</v>
      </c>
      <c r="B297" s="20" t="s">
        <v>1750</v>
      </c>
      <c r="C297" s="20">
        <v>20</v>
      </c>
      <c r="D297" s="22"/>
      <c r="E297" s="22"/>
      <c r="F297" s="20"/>
      <c r="G297" s="18"/>
      <c r="H297" s="18"/>
      <c r="I297" s="18"/>
      <c r="J297" s="18"/>
      <c r="K297" s="18"/>
    </row>
    <row r="298" spans="1:11" x14ac:dyDescent="0.25">
      <c r="A298" s="18">
        <v>1992</v>
      </c>
      <c r="B298" s="20" t="s">
        <v>1750</v>
      </c>
      <c r="C298" s="20">
        <v>21</v>
      </c>
      <c r="D298" s="22"/>
      <c r="E298" s="22"/>
      <c r="F298" s="20"/>
      <c r="G298" s="18"/>
      <c r="H298" s="18"/>
      <c r="I298" s="18"/>
      <c r="J298" s="18"/>
      <c r="K298" s="18"/>
    </row>
    <row r="299" spans="1:11" x14ac:dyDescent="0.25">
      <c r="A299" s="18">
        <v>1992</v>
      </c>
      <c r="B299" s="20" t="s">
        <v>1750</v>
      </c>
      <c r="C299" s="20">
        <v>22</v>
      </c>
      <c r="D299" s="22"/>
      <c r="E299" s="22"/>
      <c r="F299" s="20"/>
      <c r="G299" s="18"/>
      <c r="H299" s="18"/>
      <c r="I299" s="18"/>
      <c r="J299" s="18"/>
      <c r="K299" s="18"/>
    </row>
    <row r="300" spans="1:11" x14ac:dyDescent="0.25">
      <c r="A300" s="18">
        <v>1992</v>
      </c>
      <c r="B300" s="20" t="s">
        <v>1750</v>
      </c>
      <c r="C300" s="20">
        <v>23</v>
      </c>
      <c r="D300" s="22"/>
      <c r="E300" s="22"/>
      <c r="F300" s="20"/>
      <c r="G300" s="18"/>
      <c r="H300" s="18"/>
      <c r="I300" s="18"/>
      <c r="J300" s="18"/>
      <c r="K300" s="18"/>
    </row>
    <row r="301" spans="1:11" x14ac:dyDescent="0.25">
      <c r="A301" s="18">
        <v>1992</v>
      </c>
      <c r="B301" s="20" t="s">
        <v>1750</v>
      </c>
      <c r="C301" s="20">
        <v>24</v>
      </c>
      <c r="D301" s="22"/>
      <c r="E301" s="22"/>
      <c r="F301" s="20"/>
      <c r="G301" s="18"/>
      <c r="H301" s="18"/>
      <c r="I301" s="18"/>
      <c r="J301" s="18"/>
      <c r="K301" s="18"/>
    </row>
    <row r="302" spans="1:11" x14ac:dyDescent="0.25">
      <c r="A302" s="18">
        <v>1992</v>
      </c>
      <c r="B302" s="20" t="s">
        <v>1750</v>
      </c>
      <c r="C302" s="20">
        <v>25</v>
      </c>
      <c r="D302" s="22"/>
      <c r="E302" s="22"/>
      <c r="F302" s="25"/>
      <c r="G302" s="18"/>
      <c r="H302" s="18"/>
      <c r="I302" s="18"/>
      <c r="J302" s="18"/>
      <c r="K302" s="18"/>
    </row>
    <row r="303" spans="1:11" x14ac:dyDescent="0.25">
      <c r="A303" s="18">
        <v>1992</v>
      </c>
      <c r="B303" s="20" t="s">
        <v>1750</v>
      </c>
      <c r="C303" s="20">
        <v>26</v>
      </c>
      <c r="D303" s="22"/>
      <c r="E303" s="22"/>
      <c r="F303" s="25"/>
      <c r="G303" s="18"/>
      <c r="H303" s="18"/>
      <c r="I303" s="18"/>
      <c r="J303" s="18"/>
      <c r="K303" s="18"/>
    </row>
    <row r="304" spans="1:11" x14ac:dyDescent="0.25">
      <c r="A304" s="18">
        <v>1992</v>
      </c>
      <c r="B304" s="20" t="s">
        <v>1750</v>
      </c>
      <c r="C304" s="20">
        <v>27</v>
      </c>
      <c r="D304" s="22"/>
      <c r="E304" s="22"/>
      <c r="F304" s="25"/>
      <c r="G304" s="18"/>
      <c r="H304" s="18"/>
      <c r="I304" s="18"/>
      <c r="J304" s="18"/>
      <c r="K304" s="18"/>
    </row>
    <row r="305" spans="1:11" x14ac:dyDescent="0.25">
      <c r="A305" s="18">
        <v>1992</v>
      </c>
      <c r="B305" s="20" t="s">
        <v>1750</v>
      </c>
      <c r="C305" s="20">
        <v>28</v>
      </c>
      <c r="D305" s="22"/>
      <c r="E305" s="22"/>
      <c r="F305" s="25"/>
      <c r="G305" s="18"/>
      <c r="H305" s="18"/>
      <c r="I305" s="18"/>
      <c r="J305" s="18"/>
      <c r="K305" s="18"/>
    </row>
    <row r="306" spans="1:11" x14ac:dyDescent="0.25">
      <c r="A306" s="18">
        <v>1992</v>
      </c>
      <c r="B306" s="20" t="s">
        <v>1750</v>
      </c>
      <c r="C306" s="20">
        <v>29</v>
      </c>
      <c r="D306" s="22"/>
      <c r="E306" s="22"/>
      <c r="F306" s="25"/>
      <c r="G306" s="18"/>
      <c r="H306" s="18"/>
      <c r="I306" s="18"/>
      <c r="J306" s="18"/>
      <c r="K306" s="18"/>
    </row>
    <row r="307" spans="1:11" x14ac:dyDescent="0.25">
      <c r="A307" s="18">
        <v>1992</v>
      </c>
      <c r="B307" s="20" t="s">
        <v>1750</v>
      </c>
      <c r="C307" s="20">
        <v>30</v>
      </c>
      <c r="D307" s="22"/>
      <c r="E307" s="22"/>
      <c r="F307" s="25"/>
      <c r="G307" s="18"/>
      <c r="H307" s="18"/>
      <c r="I307" s="18"/>
      <c r="J307" s="18"/>
      <c r="K307" s="18"/>
    </row>
    <row r="308" spans="1:11" x14ac:dyDescent="0.25">
      <c r="A308" s="18">
        <v>1992</v>
      </c>
      <c r="B308" s="20" t="s">
        <v>1750</v>
      </c>
      <c r="C308" s="20">
        <v>31</v>
      </c>
      <c r="D308" s="22"/>
      <c r="E308" s="22"/>
      <c r="F308" s="25"/>
      <c r="G308" s="18"/>
      <c r="H308" s="18"/>
      <c r="I308" s="18"/>
      <c r="J308" s="18"/>
      <c r="K308" s="18"/>
    </row>
    <row r="309" spans="1:11" x14ac:dyDescent="0.25">
      <c r="A309" s="18">
        <v>1992</v>
      </c>
      <c r="B309" s="20" t="s">
        <v>32</v>
      </c>
      <c r="C309" s="20">
        <v>1</v>
      </c>
      <c r="D309" s="22" t="s">
        <v>418</v>
      </c>
      <c r="E309" s="22"/>
      <c r="F309" s="20">
        <v>2700</v>
      </c>
      <c r="G309" s="18"/>
      <c r="H309" s="18"/>
      <c r="I309" s="18"/>
      <c r="J309" s="18"/>
      <c r="K309" s="18"/>
    </row>
    <row r="310" spans="1:11" x14ac:dyDescent="0.25">
      <c r="A310" s="18">
        <v>1992</v>
      </c>
      <c r="B310" s="20" t="s">
        <v>32</v>
      </c>
      <c r="C310" s="20">
        <v>2</v>
      </c>
      <c r="D310" s="22" t="s">
        <v>418</v>
      </c>
      <c r="E310" s="22"/>
      <c r="F310" s="20">
        <v>2700</v>
      </c>
      <c r="G310" s="18"/>
      <c r="H310" s="18"/>
      <c r="I310" s="18"/>
      <c r="J310" s="18"/>
      <c r="K310" s="18"/>
    </row>
    <row r="311" spans="1:11" x14ac:dyDescent="0.25">
      <c r="A311" s="18">
        <v>1992</v>
      </c>
      <c r="B311" s="20" t="s">
        <v>32</v>
      </c>
      <c r="C311" s="20">
        <v>3</v>
      </c>
      <c r="D311" s="22" t="s">
        <v>418</v>
      </c>
      <c r="E311" s="22"/>
      <c r="F311" s="20">
        <v>2700</v>
      </c>
      <c r="G311" s="18"/>
      <c r="H311" s="18"/>
      <c r="I311" s="18"/>
      <c r="J311" s="18"/>
      <c r="K311" s="18"/>
    </row>
    <row r="312" spans="1:11" x14ac:dyDescent="0.25">
      <c r="A312" s="18">
        <v>1992</v>
      </c>
      <c r="B312" s="20" t="s">
        <v>32</v>
      </c>
      <c r="C312" s="20">
        <v>4</v>
      </c>
      <c r="D312" s="22" t="s">
        <v>418</v>
      </c>
      <c r="E312" s="22"/>
      <c r="F312" s="20">
        <v>2700</v>
      </c>
      <c r="G312" s="18"/>
      <c r="H312" s="18"/>
      <c r="I312" s="18"/>
      <c r="J312" s="18"/>
      <c r="K312" s="18"/>
    </row>
    <row r="313" spans="1:11" x14ac:dyDescent="0.25">
      <c r="A313" s="18">
        <v>1992</v>
      </c>
      <c r="B313" s="20" t="s">
        <v>32</v>
      </c>
      <c r="C313" s="20">
        <v>5</v>
      </c>
      <c r="D313" s="22" t="s">
        <v>413</v>
      </c>
      <c r="E313" s="22"/>
      <c r="F313" s="20">
        <v>2800</v>
      </c>
      <c r="G313" s="18"/>
      <c r="H313" s="18"/>
      <c r="I313" s="18"/>
      <c r="J313" s="18"/>
      <c r="K313" s="18"/>
    </row>
    <row r="314" spans="1:11" x14ac:dyDescent="0.25">
      <c r="A314" s="18">
        <v>1992</v>
      </c>
      <c r="B314" s="20" t="s">
        <v>32</v>
      </c>
      <c r="C314" s="20">
        <v>6</v>
      </c>
      <c r="D314" s="22" t="s">
        <v>414</v>
      </c>
      <c r="E314" s="22"/>
      <c r="F314" s="25">
        <v>2900</v>
      </c>
      <c r="G314" s="18"/>
      <c r="H314" s="18"/>
      <c r="I314" s="18"/>
      <c r="J314" s="18"/>
      <c r="K314" s="18"/>
    </row>
    <row r="315" spans="1:11" x14ac:dyDescent="0.25">
      <c r="A315" s="18">
        <v>1992</v>
      </c>
      <c r="B315" s="20" t="s">
        <v>32</v>
      </c>
      <c r="C315" s="20">
        <v>7</v>
      </c>
      <c r="D315" s="22" t="s">
        <v>414</v>
      </c>
      <c r="E315" s="22"/>
      <c r="F315" s="25">
        <v>2900</v>
      </c>
      <c r="G315" s="18"/>
      <c r="H315" s="18"/>
      <c r="I315" s="18"/>
      <c r="J315" s="18"/>
      <c r="K315" s="18"/>
    </row>
    <row r="316" spans="1:11" x14ac:dyDescent="0.25">
      <c r="A316" s="18">
        <v>1992</v>
      </c>
      <c r="B316" s="20" t="s">
        <v>32</v>
      </c>
      <c r="C316" s="20">
        <v>8</v>
      </c>
      <c r="D316" s="22" t="s">
        <v>414</v>
      </c>
      <c r="E316" s="22"/>
      <c r="F316" s="25">
        <v>2900</v>
      </c>
      <c r="G316" s="18"/>
      <c r="H316" s="18"/>
      <c r="I316" s="18"/>
      <c r="J316" s="18"/>
      <c r="K316" s="18"/>
    </row>
    <row r="317" spans="1:11" x14ac:dyDescent="0.25">
      <c r="A317" s="18">
        <v>1992</v>
      </c>
      <c r="B317" s="20" t="s">
        <v>32</v>
      </c>
      <c r="C317" s="20">
        <v>9</v>
      </c>
      <c r="D317" s="22" t="s">
        <v>414</v>
      </c>
      <c r="E317" s="22"/>
      <c r="F317" s="25">
        <v>2900</v>
      </c>
      <c r="G317" s="18"/>
      <c r="H317" s="18"/>
      <c r="I317" s="18"/>
      <c r="J317" s="18"/>
      <c r="K317" s="18"/>
    </row>
    <row r="318" spans="1:11" x14ac:dyDescent="0.25">
      <c r="A318" s="18">
        <v>1992</v>
      </c>
      <c r="B318" s="20" t="s">
        <v>32</v>
      </c>
      <c r="C318" s="20">
        <v>10</v>
      </c>
      <c r="D318" s="22" t="s">
        <v>415</v>
      </c>
      <c r="E318" s="22"/>
      <c r="F318" s="20">
        <v>3000</v>
      </c>
      <c r="G318" s="18"/>
      <c r="H318" s="18"/>
      <c r="I318" s="18"/>
      <c r="J318" s="18"/>
      <c r="K318" s="18"/>
    </row>
    <row r="319" spans="1:11" x14ac:dyDescent="0.25">
      <c r="A319" s="18">
        <v>1992</v>
      </c>
      <c r="B319" s="20" t="s">
        <v>32</v>
      </c>
      <c r="C319" s="20">
        <v>11</v>
      </c>
      <c r="D319" s="22" t="s">
        <v>122</v>
      </c>
      <c r="E319" s="22"/>
      <c r="F319" s="22" t="s">
        <v>122</v>
      </c>
      <c r="G319" s="18"/>
      <c r="H319" s="18"/>
      <c r="I319" s="18"/>
      <c r="J319" s="18"/>
      <c r="K319" s="18"/>
    </row>
    <row r="320" spans="1:11" x14ac:dyDescent="0.25">
      <c r="A320" s="18">
        <v>1992</v>
      </c>
      <c r="B320" s="20" t="s">
        <v>32</v>
      </c>
      <c r="C320" s="20">
        <v>12</v>
      </c>
      <c r="D320" s="22" t="s">
        <v>416</v>
      </c>
      <c r="E320" s="22"/>
      <c r="F320" s="20">
        <v>3100</v>
      </c>
      <c r="G320" s="18"/>
      <c r="H320" s="18"/>
      <c r="I320" s="18"/>
      <c r="J320" s="18"/>
      <c r="K320" s="18"/>
    </row>
    <row r="321" spans="1:11" x14ac:dyDescent="0.25">
      <c r="A321" s="18">
        <v>1992</v>
      </c>
      <c r="B321" s="20" t="s">
        <v>32</v>
      </c>
      <c r="C321" s="20">
        <v>13</v>
      </c>
      <c r="D321" s="22" t="s">
        <v>417</v>
      </c>
      <c r="E321" s="22"/>
      <c r="F321" s="25">
        <v>3250</v>
      </c>
      <c r="G321" s="18"/>
      <c r="H321" s="18"/>
      <c r="I321" s="18"/>
      <c r="J321" s="18"/>
      <c r="K321" s="18"/>
    </row>
    <row r="322" spans="1:11" x14ac:dyDescent="0.25">
      <c r="A322" s="18">
        <v>1992</v>
      </c>
      <c r="B322" s="20" t="s">
        <v>32</v>
      </c>
      <c r="C322" s="20">
        <v>14</v>
      </c>
      <c r="D322" s="22" t="s">
        <v>417</v>
      </c>
      <c r="E322" s="22"/>
      <c r="F322" s="25">
        <v>3250</v>
      </c>
      <c r="G322" s="18"/>
      <c r="H322" s="18"/>
      <c r="I322" s="18"/>
      <c r="J322" s="18"/>
      <c r="K322" s="18"/>
    </row>
    <row r="323" spans="1:11" x14ac:dyDescent="0.25">
      <c r="A323" s="18">
        <v>1992</v>
      </c>
      <c r="B323" s="20" t="s">
        <v>32</v>
      </c>
      <c r="C323" s="20">
        <v>15</v>
      </c>
      <c r="D323" s="22" t="s">
        <v>417</v>
      </c>
      <c r="E323" s="22"/>
      <c r="F323" s="25">
        <v>3250</v>
      </c>
      <c r="G323" s="18"/>
      <c r="H323" s="18"/>
      <c r="I323" s="18"/>
      <c r="J323" s="18"/>
      <c r="K323" s="18"/>
    </row>
    <row r="324" spans="1:11" x14ac:dyDescent="0.25">
      <c r="A324" s="18">
        <v>1992</v>
      </c>
      <c r="B324" s="20" t="s">
        <v>32</v>
      </c>
      <c r="C324" s="20">
        <v>16</v>
      </c>
      <c r="D324" s="22" t="s">
        <v>417</v>
      </c>
      <c r="E324" s="22"/>
      <c r="F324" s="25">
        <v>3250</v>
      </c>
      <c r="G324" s="18"/>
      <c r="H324" s="18"/>
      <c r="I324" s="18"/>
      <c r="J324" s="18"/>
      <c r="K324" s="18"/>
    </row>
    <row r="325" spans="1:11" x14ac:dyDescent="0.25">
      <c r="A325" s="18">
        <v>1992</v>
      </c>
      <c r="B325" s="20" t="s">
        <v>32</v>
      </c>
      <c r="C325" s="20">
        <v>17</v>
      </c>
      <c r="D325" s="22" t="s">
        <v>321</v>
      </c>
      <c r="E325" s="22"/>
      <c r="F325" s="20">
        <v>3400</v>
      </c>
      <c r="G325" s="18"/>
      <c r="H325" s="18"/>
      <c r="I325" s="18"/>
      <c r="J325" s="18"/>
      <c r="K325" s="18"/>
    </row>
    <row r="326" spans="1:11" x14ac:dyDescent="0.25">
      <c r="A326" s="18">
        <v>1992</v>
      </c>
      <c r="B326" s="20" t="s">
        <v>32</v>
      </c>
      <c r="C326" s="20">
        <v>18</v>
      </c>
      <c r="D326" s="22" t="s">
        <v>319</v>
      </c>
      <c r="E326" s="22"/>
      <c r="F326" s="20">
        <v>3450</v>
      </c>
      <c r="G326" s="18"/>
      <c r="H326" s="18"/>
      <c r="I326" s="18"/>
      <c r="J326" s="18"/>
      <c r="K326" s="18"/>
    </row>
    <row r="327" spans="1:11" x14ac:dyDescent="0.25">
      <c r="A327" s="18">
        <v>1992</v>
      </c>
      <c r="B327" s="20" t="s">
        <v>32</v>
      </c>
      <c r="C327" s="20">
        <v>19</v>
      </c>
      <c r="D327" s="22" t="s">
        <v>319</v>
      </c>
      <c r="E327" s="22"/>
      <c r="F327" s="20">
        <v>3450</v>
      </c>
      <c r="G327" s="18"/>
      <c r="H327" s="18"/>
      <c r="I327" s="18"/>
      <c r="J327" s="18"/>
      <c r="K327" s="18"/>
    </row>
    <row r="328" spans="1:11" x14ac:dyDescent="0.25">
      <c r="A328" s="18">
        <v>1992</v>
      </c>
      <c r="B328" s="20" t="s">
        <v>32</v>
      </c>
      <c r="C328" s="20">
        <v>20</v>
      </c>
      <c r="D328" s="22" t="s">
        <v>319</v>
      </c>
      <c r="E328" s="22"/>
      <c r="F328" s="20">
        <v>3450</v>
      </c>
      <c r="G328" s="18"/>
      <c r="H328" s="18"/>
      <c r="I328" s="18"/>
      <c r="J328" s="18"/>
      <c r="K328" s="18"/>
    </row>
    <row r="329" spans="1:11" x14ac:dyDescent="0.25">
      <c r="A329" s="18">
        <v>1992</v>
      </c>
      <c r="B329" s="20" t="s">
        <v>32</v>
      </c>
      <c r="C329" s="20">
        <v>21</v>
      </c>
      <c r="D329" s="22" t="s">
        <v>319</v>
      </c>
      <c r="E329" s="22"/>
      <c r="F329" s="20">
        <v>3450</v>
      </c>
      <c r="G329" s="18"/>
      <c r="H329" s="18"/>
      <c r="I329" s="18"/>
      <c r="J329" s="18"/>
      <c r="K329" s="18"/>
    </row>
    <row r="330" spans="1:11" x14ac:dyDescent="0.25">
      <c r="A330" s="18">
        <v>1992</v>
      </c>
      <c r="B330" s="20" t="s">
        <v>32</v>
      </c>
      <c r="C330" s="20">
        <v>22</v>
      </c>
      <c r="D330" s="22" t="s">
        <v>319</v>
      </c>
      <c r="E330" s="22"/>
      <c r="F330" s="20">
        <v>3450</v>
      </c>
      <c r="G330" s="18"/>
      <c r="H330" s="18"/>
      <c r="I330" s="18"/>
      <c r="J330" s="18"/>
      <c r="K330" s="18"/>
    </row>
    <row r="331" spans="1:11" x14ac:dyDescent="0.25">
      <c r="A331" s="18">
        <v>1992</v>
      </c>
      <c r="B331" s="20" t="s">
        <v>32</v>
      </c>
      <c r="C331" s="20">
        <v>23</v>
      </c>
      <c r="D331" s="22" t="s">
        <v>319</v>
      </c>
      <c r="E331" s="22"/>
      <c r="F331" s="20">
        <v>3450</v>
      </c>
      <c r="G331" s="18"/>
      <c r="H331" s="18"/>
      <c r="I331" s="18"/>
      <c r="J331" s="18"/>
      <c r="K331" s="18"/>
    </row>
    <row r="332" spans="1:11" x14ac:dyDescent="0.25">
      <c r="A332" s="18">
        <v>1992</v>
      </c>
      <c r="B332" s="20" t="s">
        <v>32</v>
      </c>
      <c r="C332" s="20">
        <v>24</v>
      </c>
      <c r="D332" s="22" t="s">
        <v>319</v>
      </c>
      <c r="E332" s="22"/>
      <c r="F332" s="20">
        <v>3450</v>
      </c>
      <c r="G332" s="18"/>
      <c r="H332" s="18"/>
      <c r="I332" s="18"/>
      <c r="J332" s="18"/>
      <c r="K332" s="18"/>
    </row>
    <row r="333" spans="1:11" x14ac:dyDescent="0.25">
      <c r="A333" s="18">
        <v>1992</v>
      </c>
      <c r="B333" s="20" t="s">
        <v>32</v>
      </c>
      <c r="C333" s="20">
        <v>25</v>
      </c>
      <c r="D333" s="22" t="s">
        <v>122</v>
      </c>
      <c r="E333" s="22"/>
      <c r="F333" s="22" t="s">
        <v>122</v>
      </c>
      <c r="G333" s="18"/>
      <c r="H333" s="18"/>
      <c r="I333" s="18"/>
      <c r="J333" s="18"/>
      <c r="K333" s="18"/>
    </row>
    <row r="334" spans="1:11" x14ac:dyDescent="0.25">
      <c r="A334" s="18">
        <v>1992</v>
      </c>
      <c r="B334" s="20" t="s">
        <v>32</v>
      </c>
      <c r="C334" s="20">
        <v>26</v>
      </c>
      <c r="D334" s="22" t="s">
        <v>319</v>
      </c>
      <c r="E334" s="22"/>
      <c r="F334" s="20">
        <v>3450</v>
      </c>
      <c r="G334" s="18"/>
      <c r="H334" s="18"/>
      <c r="I334" s="18"/>
      <c r="J334" s="18"/>
      <c r="K334" s="18"/>
    </row>
    <row r="335" spans="1:11" x14ac:dyDescent="0.25">
      <c r="A335" s="18">
        <v>1992</v>
      </c>
      <c r="B335" s="20" t="s">
        <v>32</v>
      </c>
      <c r="C335" s="20">
        <v>27</v>
      </c>
      <c r="D335" s="22" t="s">
        <v>319</v>
      </c>
      <c r="E335" s="22"/>
      <c r="F335" s="20">
        <v>3450</v>
      </c>
      <c r="G335" s="18"/>
      <c r="H335" s="18"/>
      <c r="I335" s="18"/>
      <c r="J335" s="18"/>
      <c r="K335" s="18"/>
    </row>
    <row r="336" spans="1:11" x14ac:dyDescent="0.25">
      <c r="A336" s="18">
        <v>1992</v>
      </c>
      <c r="B336" s="20" t="s">
        <v>32</v>
      </c>
      <c r="C336" s="20">
        <v>28</v>
      </c>
      <c r="D336" s="22" t="s">
        <v>311</v>
      </c>
      <c r="E336" s="22"/>
      <c r="F336" s="20">
        <v>3550</v>
      </c>
      <c r="G336" s="18"/>
      <c r="H336" s="18"/>
      <c r="I336" s="18"/>
      <c r="J336" s="18"/>
      <c r="K336" s="18"/>
    </row>
    <row r="337" spans="1:11" x14ac:dyDescent="0.25">
      <c r="A337" s="18">
        <v>1992</v>
      </c>
      <c r="B337" s="20" t="s">
        <v>32</v>
      </c>
      <c r="C337" s="20">
        <v>29</v>
      </c>
      <c r="D337" s="22" t="s">
        <v>300</v>
      </c>
      <c r="E337" s="22"/>
      <c r="F337" s="25">
        <v>3700</v>
      </c>
      <c r="G337" s="18"/>
      <c r="H337" s="18"/>
      <c r="I337" s="18"/>
      <c r="J337" s="18"/>
      <c r="K337" s="18"/>
    </row>
    <row r="338" spans="1:11" x14ac:dyDescent="0.25">
      <c r="A338" s="18">
        <v>1992</v>
      </c>
      <c r="B338" s="20" t="s">
        <v>32</v>
      </c>
      <c r="C338" s="20">
        <v>30</v>
      </c>
      <c r="D338" s="22" t="s">
        <v>294</v>
      </c>
      <c r="E338" s="22"/>
      <c r="F338" s="25">
        <v>3600</v>
      </c>
      <c r="G338" s="18"/>
      <c r="H338" s="18"/>
      <c r="I338" s="18"/>
      <c r="J338" s="18"/>
      <c r="K338" s="18"/>
    </row>
    <row r="339" spans="1:11" x14ac:dyDescent="0.25">
      <c r="A339" s="18">
        <v>1992</v>
      </c>
      <c r="B339" s="20" t="s">
        <v>33</v>
      </c>
      <c r="C339" s="20">
        <v>1</v>
      </c>
      <c r="D339" s="22" t="s">
        <v>290</v>
      </c>
      <c r="E339" s="22"/>
      <c r="F339" s="25">
        <v>4100</v>
      </c>
      <c r="G339" s="18"/>
      <c r="H339" s="18"/>
      <c r="I339" s="18"/>
      <c r="J339" s="18"/>
      <c r="K339" s="18"/>
    </row>
    <row r="340" spans="1:11" x14ac:dyDescent="0.25">
      <c r="A340" s="18">
        <v>1992</v>
      </c>
      <c r="B340" s="20" t="s">
        <v>33</v>
      </c>
      <c r="C340" s="20">
        <v>2</v>
      </c>
      <c r="D340" s="22" t="s">
        <v>135</v>
      </c>
      <c r="E340" s="22"/>
      <c r="F340" s="25">
        <v>4600</v>
      </c>
      <c r="G340" s="18"/>
      <c r="H340" s="18"/>
      <c r="I340" s="18"/>
      <c r="J340" s="18"/>
      <c r="K340" s="18"/>
    </row>
    <row r="341" spans="1:11" x14ac:dyDescent="0.25">
      <c r="A341" s="18">
        <v>1992</v>
      </c>
      <c r="B341" s="20" t="s">
        <v>33</v>
      </c>
      <c r="C341" s="20">
        <v>3</v>
      </c>
      <c r="D341" s="22" t="s">
        <v>145</v>
      </c>
      <c r="E341" s="22"/>
      <c r="F341" s="25">
        <v>5050</v>
      </c>
      <c r="G341" s="18"/>
      <c r="H341" s="18"/>
      <c r="I341" s="18"/>
      <c r="J341" s="18"/>
      <c r="K341" s="18"/>
    </row>
    <row r="342" spans="1:11" x14ac:dyDescent="0.25">
      <c r="A342" s="18">
        <v>1992</v>
      </c>
      <c r="B342" s="20" t="s">
        <v>33</v>
      </c>
      <c r="C342" s="20">
        <v>4</v>
      </c>
      <c r="D342" s="22" t="s">
        <v>419</v>
      </c>
      <c r="E342" s="22"/>
      <c r="F342" s="25">
        <v>5150</v>
      </c>
      <c r="G342" s="18"/>
      <c r="H342" s="18"/>
      <c r="I342" s="18"/>
      <c r="J342" s="18"/>
      <c r="K342" s="18"/>
    </row>
    <row r="343" spans="1:11" x14ac:dyDescent="0.25">
      <c r="A343" s="18">
        <v>1992</v>
      </c>
      <c r="B343" s="20" t="s">
        <v>33</v>
      </c>
      <c r="C343" s="20">
        <v>5</v>
      </c>
      <c r="D343" s="22" t="s">
        <v>262</v>
      </c>
      <c r="E343" s="22"/>
      <c r="F343" s="25">
        <v>5200</v>
      </c>
      <c r="G343" s="18"/>
      <c r="H343" s="18"/>
      <c r="I343" s="18"/>
      <c r="J343" s="18"/>
      <c r="K343" s="18"/>
    </row>
    <row r="344" spans="1:11" x14ac:dyDescent="0.25">
      <c r="A344" s="18">
        <v>1992</v>
      </c>
      <c r="B344" s="20" t="s">
        <v>33</v>
      </c>
      <c r="C344" s="20">
        <v>6</v>
      </c>
      <c r="D344" s="22" t="s">
        <v>262</v>
      </c>
      <c r="E344" s="22"/>
      <c r="F344" s="25">
        <v>5200</v>
      </c>
      <c r="G344" s="18"/>
      <c r="H344" s="18"/>
      <c r="I344" s="18"/>
      <c r="J344" s="18"/>
      <c r="K344" s="18"/>
    </row>
    <row r="345" spans="1:11" x14ac:dyDescent="0.25">
      <c r="A345" s="18">
        <v>1992</v>
      </c>
      <c r="B345" s="20" t="s">
        <v>33</v>
      </c>
      <c r="C345" s="20">
        <v>7</v>
      </c>
      <c r="D345" s="22" t="s">
        <v>262</v>
      </c>
      <c r="E345" s="22"/>
      <c r="F345" s="25">
        <v>5200</v>
      </c>
      <c r="G345" s="18"/>
      <c r="H345" s="18"/>
      <c r="I345" s="18"/>
      <c r="J345" s="18"/>
      <c r="K345" s="18"/>
    </row>
    <row r="346" spans="1:11" x14ac:dyDescent="0.25">
      <c r="A346" s="18">
        <v>1992</v>
      </c>
      <c r="B346" s="20" t="s">
        <v>33</v>
      </c>
      <c r="C346" s="20">
        <v>8</v>
      </c>
      <c r="D346" s="22" t="s">
        <v>262</v>
      </c>
      <c r="E346" s="22"/>
      <c r="F346" s="25">
        <v>5200</v>
      </c>
      <c r="G346" s="18"/>
      <c r="H346" s="18"/>
      <c r="I346" s="18"/>
      <c r="J346" s="18"/>
      <c r="K346" s="18"/>
    </row>
    <row r="347" spans="1:11" x14ac:dyDescent="0.25">
      <c r="A347" s="18">
        <v>1992</v>
      </c>
      <c r="B347" s="20" t="s">
        <v>33</v>
      </c>
      <c r="C347" s="20">
        <v>9</v>
      </c>
      <c r="D347" s="22" t="s">
        <v>262</v>
      </c>
      <c r="E347" s="22"/>
      <c r="F347" s="25">
        <v>5200</v>
      </c>
      <c r="G347" s="18"/>
      <c r="H347" s="18"/>
      <c r="I347" s="18"/>
      <c r="J347" s="18"/>
      <c r="K347" s="18"/>
    </row>
    <row r="348" spans="1:11" x14ac:dyDescent="0.25">
      <c r="A348" s="18">
        <v>1992</v>
      </c>
      <c r="B348" s="20" t="s">
        <v>33</v>
      </c>
      <c r="C348" s="20">
        <v>10</v>
      </c>
      <c r="D348" s="22" t="s">
        <v>262</v>
      </c>
      <c r="E348" s="22"/>
      <c r="F348" s="25">
        <v>5200</v>
      </c>
      <c r="G348" s="18"/>
      <c r="H348" s="18"/>
      <c r="I348" s="18"/>
      <c r="J348" s="18"/>
      <c r="K348" s="18"/>
    </row>
    <row r="349" spans="1:11" x14ac:dyDescent="0.25">
      <c r="A349" s="18">
        <v>1992</v>
      </c>
      <c r="B349" s="20" t="s">
        <v>33</v>
      </c>
      <c r="C349" s="20">
        <v>11</v>
      </c>
      <c r="D349" s="22" t="s">
        <v>262</v>
      </c>
      <c r="E349" s="22"/>
      <c r="F349" s="25">
        <v>5200</v>
      </c>
      <c r="G349" s="18"/>
      <c r="H349" s="18"/>
      <c r="I349" s="18"/>
      <c r="J349" s="18"/>
      <c r="K349" s="18"/>
    </row>
    <row r="350" spans="1:11" x14ac:dyDescent="0.25">
      <c r="A350" s="18">
        <v>1992</v>
      </c>
      <c r="B350" s="20" t="s">
        <v>33</v>
      </c>
      <c r="C350" s="20">
        <v>12</v>
      </c>
      <c r="D350" s="22" t="s">
        <v>262</v>
      </c>
      <c r="E350" s="22"/>
      <c r="F350" s="25">
        <v>5200</v>
      </c>
      <c r="G350" s="18"/>
      <c r="H350" s="18"/>
      <c r="I350" s="18"/>
      <c r="J350" s="18"/>
      <c r="K350" s="18"/>
    </row>
    <row r="351" spans="1:11" x14ac:dyDescent="0.25">
      <c r="A351" s="18">
        <v>1992</v>
      </c>
      <c r="B351" s="20" t="s">
        <v>33</v>
      </c>
      <c r="C351" s="20">
        <v>13</v>
      </c>
      <c r="D351" s="22" t="s">
        <v>262</v>
      </c>
      <c r="E351" s="22"/>
      <c r="F351" s="25">
        <v>5200</v>
      </c>
      <c r="G351" s="18"/>
      <c r="H351" s="18"/>
      <c r="I351" s="18"/>
      <c r="J351" s="18"/>
      <c r="K351" s="18"/>
    </row>
    <row r="352" spans="1:11" x14ac:dyDescent="0.25">
      <c r="A352" s="18">
        <v>1992</v>
      </c>
      <c r="B352" s="20" t="s">
        <v>33</v>
      </c>
      <c r="C352" s="20">
        <v>14</v>
      </c>
      <c r="D352" s="22" t="s">
        <v>262</v>
      </c>
      <c r="E352" s="22"/>
      <c r="F352" s="25">
        <v>5200</v>
      </c>
      <c r="G352" s="18"/>
      <c r="H352" s="18"/>
      <c r="I352" s="18"/>
      <c r="J352" s="18"/>
      <c r="K352" s="18"/>
    </row>
    <row r="353" spans="1:11" x14ac:dyDescent="0.25">
      <c r="A353" s="18">
        <v>1992</v>
      </c>
      <c r="B353" s="20" t="s">
        <v>33</v>
      </c>
      <c r="C353" s="20">
        <v>15</v>
      </c>
      <c r="D353" s="22" t="s">
        <v>262</v>
      </c>
      <c r="E353" s="22"/>
      <c r="F353" s="25">
        <v>5200</v>
      </c>
      <c r="G353" s="18"/>
      <c r="H353" s="18"/>
      <c r="I353" s="18"/>
      <c r="J353" s="18"/>
      <c r="K353" s="18"/>
    </row>
    <row r="354" spans="1:11" x14ac:dyDescent="0.25">
      <c r="A354" s="18">
        <v>1992</v>
      </c>
      <c r="B354" s="20" t="s">
        <v>33</v>
      </c>
      <c r="C354" s="20">
        <v>16</v>
      </c>
      <c r="D354" s="22" t="s">
        <v>151</v>
      </c>
      <c r="E354" s="22"/>
      <c r="F354" s="20">
        <v>5300</v>
      </c>
      <c r="G354" s="18"/>
      <c r="H354" s="18"/>
      <c r="I354" s="18"/>
      <c r="J354" s="18"/>
      <c r="K354" s="18"/>
    </row>
    <row r="355" spans="1:11" x14ac:dyDescent="0.25">
      <c r="A355" s="18">
        <v>1992</v>
      </c>
      <c r="B355" s="20" t="s">
        <v>33</v>
      </c>
      <c r="C355" s="20">
        <v>17</v>
      </c>
      <c r="D355" s="22" t="s">
        <v>161</v>
      </c>
      <c r="E355" s="22"/>
      <c r="F355" s="20">
        <v>5850</v>
      </c>
      <c r="G355" s="18"/>
      <c r="H355" s="18"/>
      <c r="I355" s="18"/>
      <c r="J355" s="18"/>
      <c r="K355" s="18"/>
    </row>
    <row r="356" spans="1:11" x14ac:dyDescent="0.25">
      <c r="A356" s="18">
        <v>1992</v>
      </c>
      <c r="B356" s="20" t="s">
        <v>33</v>
      </c>
      <c r="C356" s="20">
        <v>18</v>
      </c>
      <c r="D356" s="22" t="s">
        <v>102</v>
      </c>
      <c r="E356" s="22"/>
      <c r="F356" s="20">
        <v>7600</v>
      </c>
      <c r="G356" s="18"/>
      <c r="H356" s="18"/>
      <c r="I356" s="18"/>
      <c r="J356" s="18"/>
      <c r="K356" s="18"/>
    </row>
    <row r="357" spans="1:11" x14ac:dyDescent="0.25">
      <c r="A357" s="18">
        <v>1992</v>
      </c>
      <c r="B357" s="20" t="s">
        <v>33</v>
      </c>
      <c r="C357" s="20">
        <v>19</v>
      </c>
      <c r="D357" s="22" t="s">
        <v>5</v>
      </c>
      <c r="E357" s="22"/>
      <c r="F357" s="25">
        <v>8900</v>
      </c>
      <c r="G357" s="18"/>
      <c r="H357" s="18"/>
      <c r="I357" s="18"/>
      <c r="J357" s="18"/>
      <c r="K357" s="18"/>
    </row>
    <row r="358" spans="1:11" x14ac:dyDescent="0.25">
      <c r="A358" s="18">
        <v>1992</v>
      </c>
      <c r="B358" s="20" t="s">
        <v>33</v>
      </c>
      <c r="C358" s="20">
        <v>20</v>
      </c>
      <c r="D358" s="22" t="s">
        <v>64</v>
      </c>
      <c r="E358" s="22"/>
      <c r="F358" s="25">
        <v>9500</v>
      </c>
      <c r="G358" s="18"/>
      <c r="H358" s="18"/>
      <c r="I358" s="18"/>
      <c r="J358" s="18"/>
      <c r="K358" s="18"/>
    </row>
    <row r="359" spans="1:11" x14ac:dyDescent="0.25">
      <c r="A359" s="18">
        <v>1992</v>
      </c>
      <c r="B359" s="20" t="s">
        <v>33</v>
      </c>
      <c r="C359" s="20">
        <v>21</v>
      </c>
      <c r="D359" s="22" t="s">
        <v>62</v>
      </c>
      <c r="E359" s="22"/>
      <c r="F359" s="25">
        <v>9600</v>
      </c>
      <c r="G359" s="18"/>
      <c r="H359" s="18"/>
      <c r="I359" s="18"/>
      <c r="J359" s="18"/>
      <c r="K359" s="18"/>
    </row>
    <row r="360" spans="1:11" x14ac:dyDescent="0.25">
      <c r="A360" s="18">
        <v>1992</v>
      </c>
      <c r="B360" s="20" t="s">
        <v>33</v>
      </c>
      <c r="C360" s="20">
        <v>22</v>
      </c>
      <c r="D360" s="22" t="s">
        <v>60</v>
      </c>
      <c r="E360" s="22"/>
      <c r="F360" s="20">
        <v>8700</v>
      </c>
      <c r="G360" s="18"/>
      <c r="H360" s="18"/>
      <c r="I360" s="18"/>
      <c r="J360" s="18"/>
      <c r="K360" s="18"/>
    </row>
    <row r="361" spans="1:11" x14ac:dyDescent="0.25">
      <c r="A361" s="18">
        <v>1992</v>
      </c>
      <c r="B361" s="20" t="s">
        <v>33</v>
      </c>
      <c r="C361" s="20">
        <v>23</v>
      </c>
      <c r="D361" s="22" t="s">
        <v>58</v>
      </c>
      <c r="E361" s="22"/>
      <c r="F361" s="20">
        <v>9800</v>
      </c>
      <c r="G361" s="18"/>
      <c r="H361" s="18"/>
      <c r="I361" s="18"/>
      <c r="J361" s="18"/>
      <c r="K361" s="18"/>
    </row>
    <row r="362" spans="1:11" x14ac:dyDescent="0.25">
      <c r="A362" s="18">
        <v>1992</v>
      </c>
      <c r="B362" s="20" t="s">
        <v>33</v>
      </c>
      <c r="C362" s="20">
        <v>24</v>
      </c>
      <c r="D362" s="22" t="s">
        <v>58</v>
      </c>
      <c r="E362" s="22"/>
      <c r="F362" s="20">
        <v>9800</v>
      </c>
      <c r="G362" s="18"/>
      <c r="H362" s="18"/>
      <c r="I362" s="18"/>
      <c r="J362" s="18"/>
      <c r="K362" s="18"/>
    </row>
    <row r="363" spans="1:11" x14ac:dyDescent="0.25">
      <c r="A363" s="18">
        <v>1992</v>
      </c>
      <c r="B363" s="20" t="s">
        <v>33</v>
      </c>
      <c r="C363" s="20">
        <v>25</v>
      </c>
      <c r="D363" s="22" t="s">
        <v>58</v>
      </c>
      <c r="E363" s="22"/>
      <c r="F363" s="20">
        <v>9800</v>
      </c>
      <c r="G363" s="18"/>
      <c r="H363" s="18"/>
      <c r="I363" s="18"/>
      <c r="J363" s="18"/>
      <c r="K363" s="18"/>
    </row>
    <row r="364" spans="1:11" x14ac:dyDescent="0.25">
      <c r="A364" s="18">
        <v>1992</v>
      </c>
      <c r="B364" s="20" t="s">
        <v>33</v>
      </c>
      <c r="C364" s="20">
        <v>26</v>
      </c>
      <c r="D364" s="22" t="s">
        <v>58</v>
      </c>
      <c r="E364" s="22"/>
      <c r="F364" s="20">
        <v>9800</v>
      </c>
      <c r="G364" s="18"/>
      <c r="H364" s="18"/>
      <c r="I364" s="18"/>
      <c r="J364" s="18"/>
      <c r="K364" s="18"/>
    </row>
    <row r="365" spans="1:11" x14ac:dyDescent="0.25">
      <c r="A365" s="18">
        <v>1992</v>
      </c>
      <c r="B365" s="20" t="s">
        <v>33</v>
      </c>
      <c r="C365" s="20">
        <v>27</v>
      </c>
      <c r="D365" s="22" t="s">
        <v>58</v>
      </c>
      <c r="E365" s="22"/>
      <c r="F365" s="20">
        <v>9800</v>
      </c>
      <c r="G365" s="18"/>
      <c r="H365" s="18"/>
      <c r="I365" s="18"/>
      <c r="J365" s="18"/>
      <c r="K365" s="18"/>
    </row>
    <row r="366" spans="1:11" x14ac:dyDescent="0.25">
      <c r="A366" s="18">
        <v>1992</v>
      </c>
      <c r="B366" s="20" t="s">
        <v>33</v>
      </c>
      <c r="C366" s="20">
        <v>28</v>
      </c>
      <c r="D366" s="22" t="s">
        <v>58</v>
      </c>
      <c r="E366" s="22"/>
      <c r="F366" s="20">
        <v>9800</v>
      </c>
      <c r="G366" s="18"/>
      <c r="H366" s="18"/>
      <c r="I366" s="18"/>
      <c r="J366" s="18"/>
      <c r="K366" s="18"/>
    </row>
    <row r="367" spans="1:11" x14ac:dyDescent="0.25">
      <c r="A367" s="18">
        <v>1992</v>
      </c>
      <c r="B367" s="20" t="s">
        <v>33</v>
      </c>
      <c r="C367" s="20">
        <v>29</v>
      </c>
      <c r="D367" s="22" t="s">
        <v>58</v>
      </c>
      <c r="E367" s="22"/>
      <c r="F367" s="20">
        <v>9800</v>
      </c>
      <c r="G367" s="18"/>
      <c r="H367" s="18"/>
      <c r="I367" s="18"/>
      <c r="J367" s="18"/>
      <c r="K367" s="18"/>
    </row>
    <row r="368" spans="1:11" x14ac:dyDescent="0.25">
      <c r="A368" s="18">
        <v>1992</v>
      </c>
      <c r="B368" s="20" t="s">
        <v>33</v>
      </c>
      <c r="C368" s="20">
        <v>30</v>
      </c>
      <c r="D368" s="22" t="s">
        <v>56</v>
      </c>
      <c r="E368" s="22"/>
      <c r="F368" s="25">
        <v>9900</v>
      </c>
      <c r="G368" s="18"/>
      <c r="H368" s="18"/>
      <c r="I368" s="18"/>
      <c r="J368" s="18"/>
      <c r="K368" s="18"/>
    </row>
    <row r="369" spans="1:11" x14ac:dyDescent="0.25">
      <c r="A369" s="18">
        <v>1992</v>
      </c>
      <c r="B369" s="20" t="s">
        <v>33</v>
      </c>
      <c r="C369" s="20">
        <v>31</v>
      </c>
      <c r="D369" s="22" t="s">
        <v>56</v>
      </c>
      <c r="E369" s="22"/>
      <c r="F369" s="25">
        <v>9900</v>
      </c>
      <c r="G369" s="18"/>
      <c r="H369" s="18"/>
      <c r="I369" s="18"/>
      <c r="J369" s="18"/>
      <c r="K369" s="18"/>
    </row>
    <row r="370" spans="1:11" x14ac:dyDescent="0.25">
      <c r="A370" s="383" t="s">
        <v>1759</v>
      </c>
      <c r="B370" s="384"/>
      <c r="C370" s="384"/>
      <c r="D370" s="384"/>
      <c r="E370" s="384"/>
      <c r="F370" s="384"/>
      <c r="G370" s="384"/>
      <c r="H370" s="384"/>
      <c r="I370" s="384"/>
      <c r="J370" s="384"/>
      <c r="K370" s="384"/>
    </row>
    <row r="371" spans="1:11" x14ac:dyDescent="0.25">
      <c r="B371" s="386" t="s">
        <v>558</v>
      </c>
      <c r="C371" s="386"/>
      <c r="D371" s="386"/>
      <c r="E371" s="386"/>
      <c r="F371" s="386"/>
      <c r="G371" s="386"/>
      <c r="H371" s="26"/>
      <c r="I371" s="26"/>
    </row>
    <row r="372" spans="1:11" x14ac:dyDescent="0.25">
      <c r="B372" s="386" t="s">
        <v>559</v>
      </c>
      <c r="C372" s="386"/>
      <c r="D372" s="386"/>
      <c r="E372" s="386"/>
      <c r="F372" s="386"/>
      <c r="G372" s="386"/>
      <c r="H372" s="26"/>
      <c r="I372" s="26"/>
    </row>
    <row r="373" spans="1:11" x14ac:dyDescent="0.25">
      <c r="B373" s="386" t="s">
        <v>560</v>
      </c>
      <c r="C373" s="386"/>
      <c r="D373" s="386"/>
      <c r="E373" s="386"/>
      <c r="F373" s="386"/>
      <c r="G373" s="386"/>
      <c r="H373" s="26"/>
      <c r="I373" s="26"/>
    </row>
  </sheetData>
  <mergeCells count="12">
    <mergeCell ref="A1:K1"/>
    <mergeCell ref="B372:G372"/>
    <mergeCell ref="B373:G373"/>
    <mergeCell ref="B2:B3"/>
    <mergeCell ref="C2:C3"/>
    <mergeCell ref="B371:G371"/>
    <mergeCell ref="A2:A3"/>
    <mergeCell ref="D2:E2"/>
    <mergeCell ref="F2:G2"/>
    <mergeCell ref="H2:I2"/>
    <mergeCell ref="J2:K2"/>
    <mergeCell ref="A370:K370"/>
  </mergeCells>
  <pageMargins left="1" right="0.75" top="0.75" bottom="0.2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ySplit="3" topLeftCell="A49" activePane="bottomLeft" state="frozen"/>
      <selection pane="bottomLeft" activeCell="L9" sqref="L9"/>
    </sheetView>
  </sheetViews>
  <sheetFormatPr defaultColWidth="9.140625" defaultRowHeight="15" x14ac:dyDescent="0.25"/>
  <cols>
    <col min="1" max="1" width="7.85546875" style="14" customWidth="1"/>
    <col min="2" max="2" width="11.85546875" style="14" customWidth="1"/>
    <col min="3" max="3" width="5.5703125" style="45" customWidth="1"/>
    <col min="4" max="4" width="9.140625" style="46"/>
    <col min="5" max="5" width="6.42578125" style="14" customWidth="1"/>
    <col min="6" max="6" width="6.85546875" style="14" customWidth="1"/>
    <col min="7" max="7" width="8.28515625" style="37" customWidth="1"/>
    <col min="8" max="8" width="5.5703125" style="14" customWidth="1"/>
    <col min="9" max="9" width="6.5703125" style="14" customWidth="1"/>
    <col min="10" max="10" width="6.42578125" style="37" customWidth="1"/>
    <col min="11" max="11" width="7" style="14" customWidth="1"/>
    <col min="12" max="16384" width="9.140625" style="14"/>
  </cols>
  <sheetData>
    <row r="1" spans="1:11" ht="18" x14ac:dyDescent="0.35">
      <c r="A1" s="395" t="s">
        <v>1754</v>
      </c>
      <c r="B1" s="395"/>
      <c r="C1" s="395"/>
      <c r="D1" s="395"/>
      <c r="E1" s="395"/>
      <c r="F1" s="395"/>
      <c r="G1" s="395"/>
      <c r="H1" s="395"/>
      <c r="I1" s="395"/>
      <c r="J1" s="395"/>
      <c r="K1" s="395"/>
    </row>
    <row r="2" spans="1:11" ht="30" customHeight="1" x14ac:dyDescent="0.25">
      <c r="A2" s="396" t="s">
        <v>532</v>
      </c>
      <c r="B2" s="396" t="s">
        <v>22</v>
      </c>
      <c r="C2" s="400" t="s">
        <v>0</v>
      </c>
      <c r="D2" s="397" t="s">
        <v>728</v>
      </c>
      <c r="E2" s="397"/>
      <c r="F2" s="398" t="s">
        <v>729</v>
      </c>
      <c r="G2" s="398"/>
      <c r="H2" s="399" t="s">
        <v>1746</v>
      </c>
      <c r="I2" s="399"/>
      <c r="J2" s="399" t="s">
        <v>1747</v>
      </c>
      <c r="K2" s="399"/>
    </row>
    <row r="3" spans="1:11" ht="93.75" customHeight="1" x14ac:dyDescent="0.25">
      <c r="A3" s="396"/>
      <c r="B3" s="396"/>
      <c r="C3" s="400"/>
      <c r="D3" s="31" t="s">
        <v>730</v>
      </c>
      <c r="E3" s="15" t="s">
        <v>731</v>
      </c>
      <c r="F3" s="15" t="s">
        <v>732</v>
      </c>
      <c r="G3" s="32" t="s">
        <v>733</v>
      </c>
      <c r="H3" s="16" t="s">
        <v>764</v>
      </c>
      <c r="I3" s="17" t="s">
        <v>735</v>
      </c>
      <c r="J3" s="33" t="s">
        <v>734</v>
      </c>
      <c r="K3" s="17" t="s">
        <v>735</v>
      </c>
    </row>
    <row r="4" spans="1:11" ht="13.9" x14ac:dyDescent="0.25">
      <c r="A4" s="34">
        <v>1993</v>
      </c>
      <c r="B4" s="34" t="s">
        <v>23</v>
      </c>
      <c r="C4" s="18">
        <v>1</v>
      </c>
      <c r="D4" s="35" t="s">
        <v>56</v>
      </c>
      <c r="E4" s="36">
        <v>2.66</v>
      </c>
      <c r="F4" s="36">
        <v>9900</v>
      </c>
      <c r="G4" s="47">
        <v>12.17</v>
      </c>
      <c r="H4" s="34">
        <v>0</v>
      </c>
      <c r="I4" s="34">
        <v>0</v>
      </c>
      <c r="J4" s="47">
        <v>0</v>
      </c>
      <c r="K4" s="34">
        <v>0</v>
      </c>
    </row>
    <row r="5" spans="1:11" ht="13.9" x14ac:dyDescent="0.25">
      <c r="A5" s="34">
        <v>1993</v>
      </c>
      <c r="B5" s="34" t="s">
        <v>23</v>
      </c>
      <c r="C5" s="18">
        <v>2</v>
      </c>
      <c r="D5" s="35" t="s">
        <v>56</v>
      </c>
      <c r="E5" s="36">
        <v>2.66</v>
      </c>
      <c r="F5" s="36">
        <v>9900</v>
      </c>
      <c r="G5" s="47">
        <v>12.17</v>
      </c>
      <c r="H5" s="34">
        <v>0</v>
      </c>
      <c r="I5" s="34">
        <v>0</v>
      </c>
      <c r="J5" s="47">
        <v>0</v>
      </c>
      <c r="K5" s="34">
        <v>0</v>
      </c>
    </row>
    <row r="6" spans="1:11" ht="13.9" x14ac:dyDescent="0.25">
      <c r="A6" s="34">
        <v>1993</v>
      </c>
      <c r="B6" s="34" t="s">
        <v>23</v>
      </c>
      <c r="C6" s="18">
        <v>3</v>
      </c>
      <c r="D6" s="35" t="s">
        <v>56</v>
      </c>
      <c r="E6" s="36">
        <v>2.66</v>
      </c>
      <c r="F6" s="36">
        <v>9900</v>
      </c>
      <c r="G6" s="47">
        <v>12.17</v>
      </c>
      <c r="H6" s="34">
        <v>0</v>
      </c>
      <c r="I6" s="34">
        <v>0</v>
      </c>
      <c r="J6" s="47">
        <v>0</v>
      </c>
      <c r="K6" s="34">
        <v>0</v>
      </c>
    </row>
    <row r="7" spans="1:11" ht="13.9" x14ac:dyDescent="0.25">
      <c r="A7" s="34">
        <v>1993</v>
      </c>
      <c r="B7" s="34" t="s">
        <v>23</v>
      </c>
      <c r="C7" s="18">
        <v>4</v>
      </c>
      <c r="D7" s="35" t="s">
        <v>56</v>
      </c>
      <c r="E7" s="36">
        <v>2.66</v>
      </c>
      <c r="F7" s="36">
        <v>9900</v>
      </c>
      <c r="G7" s="47">
        <v>12.17</v>
      </c>
      <c r="H7" s="34">
        <v>0</v>
      </c>
      <c r="I7" s="34">
        <v>0</v>
      </c>
      <c r="J7" s="47">
        <v>0</v>
      </c>
      <c r="K7" s="34">
        <v>0</v>
      </c>
    </row>
    <row r="8" spans="1:11" ht="13.9" x14ac:dyDescent="0.25">
      <c r="A8" s="34">
        <v>1993</v>
      </c>
      <c r="B8" s="34" t="s">
        <v>23</v>
      </c>
      <c r="C8" s="18">
        <v>5</v>
      </c>
      <c r="D8" s="35" t="s">
        <v>56</v>
      </c>
      <c r="E8" s="36">
        <v>2.66</v>
      </c>
      <c r="F8" s="36">
        <v>9900</v>
      </c>
      <c r="G8" s="47">
        <v>12.17</v>
      </c>
      <c r="H8" s="34">
        <v>0</v>
      </c>
      <c r="I8" s="34">
        <v>0</v>
      </c>
      <c r="J8" s="47">
        <v>0</v>
      </c>
      <c r="K8" s="34">
        <v>0</v>
      </c>
    </row>
    <row r="9" spans="1:11" ht="13.9" x14ac:dyDescent="0.25">
      <c r="A9" s="34">
        <v>1993</v>
      </c>
      <c r="B9" s="34" t="s">
        <v>23</v>
      </c>
      <c r="C9" s="18">
        <v>6</v>
      </c>
      <c r="D9" s="35" t="s">
        <v>56</v>
      </c>
      <c r="E9" s="36">
        <v>2.66</v>
      </c>
      <c r="F9" s="36">
        <v>9900</v>
      </c>
      <c r="G9" s="47">
        <v>12.17</v>
      </c>
      <c r="H9" s="34">
        <v>0</v>
      </c>
      <c r="I9" s="34">
        <v>0</v>
      </c>
      <c r="J9" s="47">
        <v>0</v>
      </c>
      <c r="K9" s="34">
        <v>0</v>
      </c>
    </row>
    <row r="10" spans="1:11" ht="13.9" x14ac:dyDescent="0.25">
      <c r="A10" s="34">
        <v>1993</v>
      </c>
      <c r="B10" s="34" t="s">
        <v>23</v>
      </c>
      <c r="C10" s="18">
        <v>7</v>
      </c>
      <c r="D10" s="35" t="s">
        <v>56</v>
      </c>
      <c r="E10" s="36">
        <v>2.66</v>
      </c>
      <c r="F10" s="36">
        <v>9900</v>
      </c>
      <c r="G10" s="47">
        <v>12.17</v>
      </c>
      <c r="H10" s="34">
        <v>0</v>
      </c>
      <c r="I10" s="34">
        <v>0</v>
      </c>
      <c r="J10" s="47">
        <v>0</v>
      </c>
      <c r="K10" s="34">
        <v>0</v>
      </c>
    </row>
    <row r="11" spans="1:11" ht="13.9" x14ac:dyDescent="0.25">
      <c r="A11" s="34">
        <v>1993</v>
      </c>
      <c r="B11" s="34" t="s">
        <v>23</v>
      </c>
      <c r="C11" s="18">
        <v>8</v>
      </c>
      <c r="D11" s="35" t="s">
        <v>56</v>
      </c>
      <c r="E11" s="36">
        <v>2.66</v>
      </c>
      <c r="F11" s="36">
        <v>9900</v>
      </c>
      <c r="G11" s="47">
        <v>12.17</v>
      </c>
      <c r="H11" s="34">
        <v>0</v>
      </c>
      <c r="I11" s="34">
        <v>0</v>
      </c>
      <c r="J11" s="47">
        <v>0</v>
      </c>
      <c r="K11" s="34">
        <v>0</v>
      </c>
    </row>
    <row r="12" spans="1:11" ht="13.9" x14ac:dyDescent="0.25">
      <c r="A12" s="34">
        <v>1993</v>
      </c>
      <c r="B12" s="34" t="s">
        <v>23</v>
      </c>
      <c r="C12" s="18">
        <v>9</v>
      </c>
      <c r="D12" s="35" t="s">
        <v>56</v>
      </c>
      <c r="E12" s="36">
        <v>2.66</v>
      </c>
      <c r="F12" s="36">
        <v>9900</v>
      </c>
      <c r="G12" s="47">
        <v>12.17</v>
      </c>
      <c r="H12" s="34">
        <v>0</v>
      </c>
      <c r="I12" s="34">
        <v>0</v>
      </c>
      <c r="J12" s="47">
        <v>0</v>
      </c>
      <c r="K12" s="34">
        <v>0</v>
      </c>
    </row>
    <row r="13" spans="1:11" ht="13.9" x14ac:dyDescent="0.25">
      <c r="A13" s="34">
        <v>1993</v>
      </c>
      <c r="B13" s="34" t="s">
        <v>23</v>
      </c>
      <c r="C13" s="18">
        <v>10</v>
      </c>
      <c r="D13" s="35" t="s">
        <v>56</v>
      </c>
      <c r="E13" s="36">
        <v>2.66</v>
      </c>
      <c r="F13" s="36">
        <v>9900</v>
      </c>
      <c r="G13" s="47">
        <v>12.17</v>
      </c>
      <c r="H13" s="34">
        <v>6</v>
      </c>
      <c r="I13" s="34">
        <v>0</v>
      </c>
      <c r="J13" s="47">
        <v>8</v>
      </c>
      <c r="K13" s="34">
        <v>0</v>
      </c>
    </row>
    <row r="14" spans="1:11" ht="13.9" x14ac:dyDescent="0.25">
      <c r="A14" s="34">
        <v>1993</v>
      </c>
      <c r="B14" s="34" t="s">
        <v>23</v>
      </c>
      <c r="C14" s="18">
        <v>11</v>
      </c>
      <c r="D14" s="35" t="s">
        <v>60</v>
      </c>
      <c r="E14" s="35" t="s">
        <v>1035</v>
      </c>
      <c r="F14" s="36">
        <v>9700</v>
      </c>
      <c r="G14" s="47">
        <v>11.93</v>
      </c>
      <c r="H14" s="34">
        <v>6</v>
      </c>
      <c r="I14" s="34">
        <v>0</v>
      </c>
      <c r="J14" s="47">
        <v>8</v>
      </c>
      <c r="K14" s="34">
        <v>0</v>
      </c>
    </row>
    <row r="15" spans="1:11" ht="13.9" x14ac:dyDescent="0.25">
      <c r="A15" s="34">
        <v>1993</v>
      </c>
      <c r="B15" s="34" t="s">
        <v>23</v>
      </c>
      <c r="C15" s="18">
        <v>12</v>
      </c>
      <c r="D15" s="35" t="s">
        <v>62</v>
      </c>
      <c r="E15" s="35" t="s">
        <v>896</v>
      </c>
      <c r="F15" s="36">
        <v>9600</v>
      </c>
      <c r="G15" s="47">
        <v>11.81</v>
      </c>
      <c r="H15" s="34">
        <v>9</v>
      </c>
      <c r="I15" s="34">
        <v>0</v>
      </c>
      <c r="J15" s="47">
        <v>11</v>
      </c>
      <c r="K15" s="34">
        <v>0</v>
      </c>
    </row>
    <row r="16" spans="1:11" ht="13.9" x14ac:dyDescent="0.25">
      <c r="A16" s="34">
        <v>1993</v>
      </c>
      <c r="B16" s="34" t="s">
        <v>23</v>
      </c>
      <c r="C16" s="18">
        <v>13</v>
      </c>
      <c r="D16" s="38" t="s">
        <v>64</v>
      </c>
      <c r="E16" s="38" t="s">
        <v>1036</v>
      </c>
      <c r="F16" s="38" t="s">
        <v>1043</v>
      </c>
      <c r="G16" s="47">
        <v>11.68</v>
      </c>
      <c r="H16" s="34">
        <v>9</v>
      </c>
      <c r="I16" s="34">
        <v>0</v>
      </c>
      <c r="J16" s="47">
        <v>11</v>
      </c>
      <c r="K16" s="34">
        <v>0</v>
      </c>
    </row>
    <row r="17" spans="1:11" ht="13.9" x14ac:dyDescent="0.25">
      <c r="A17" s="34">
        <v>1993</v>
      </c>
      <c r="B17" s="34" t="s">
        <v>23</v>
      </c>
      <c r="C17" s="18">
        <v>14</v>
      </c>
      <c r="D17" s="35" t="s">
        <v>68</v>
      </c>
      <c r="E17" s="35" t="s">
        <v>1037</v>
      </c>
      <c r="F17" s="36">
        <v>9400</v>
      </c>
      <c r="G17" s="47">
        <v>11.56</v>
      </c>
      <c r="H17" s="34">
        <v>9</v>
      </c>
      <c r="I17" s="34">
        <v>0</v>
      </c>
      <c r="J17" s="47">
        <v>8</v>
      </c>
      <c r="K17" s="34">
        <v>0</v>
      </c>
    </row>
    <row r="18" spans="1:11" ht="13.9" x14ac:dyDescent="0.25">
      <c r="A18" s="34">
        <v>1993</v>
      </c>
      <c r="B18" s="34" t="s">
        <v>23</v>
      </c>
      <c r="C18" s="18">
        <v>15</v>
      </c>
      <c r="D18" s="35" t="s">
        <v>70</v>
      </c>
      <c r="E18" s="35" t="s">
        <v>899</v>
      </c>
      <c r="F18" s="36">
        <v>9300</v>
      </c>
      <c r="G18" s="47">
        <v>11.44</v>
      </c>
      <c r="H18" s="34">
        <v>9</v>
      </c>
      <c r="I18" s="34">
        <v>0</v>
      </c>
      <c r="J18" s="47">
        <v>6</v>
      </c>
      <c r="K18" s="34">
        <v>0</v>
      </c>
    </row>
    <row r="19" spans="1:11" ht="13.9" x14ac:dyDescent="0.25">
      <c r="A19" s="34">
        <v>1993</v>
      </c>
      <c r="B19" s="34" t="s">
        <v>23</v>
      </c>
      <c r="C19" s="18">
        <v>16</v>
      </c>
      <c r="D19" s="35" t="s">
        <v>72</v>
      </c>
      <c r="E19" s="35" t="s">
        <v>1038</v>
      </c>
      <c r="F19" s="36">
        <v>9200</v>
      </c>
      <c r="G19" s="47">
        <v>11.31</v>
      </c>
      <c r="H19" s="34">
        <v>9</v>
      </c>
      <c r="I19" s="34">
        <v>0</v>
      </c>
      <c r="J19" s="47">
        <v>6</v>
      </c>
      <c r="K19" s="34">
        <v>0</v>
      </c>
    </row>
    <row r="20" spans="1:11" ht="13.9" x14ac:dyDescent="0.25">
      <c r="A20" s="34">
        <v>1993</v>
      </c>
      <c r="B20" s="34" t="s">
        <v>23</v>
      </c>
      <c r="C20" s="18">
        <v>17</v>
      </c>
      <c r="D20" s="35" t="s">
        <v>80</v>
      </c>
      <c r="E20" s="35" t="s">
        <v>1039</v>
      </c>
      <c r="F20" s="36">
        <v>9000</v>
      </c>
      <c r="G20" s="47">
        <v>11.07</v>
      </c>
      <c r="H20" s="34">
        <v>9</v>
      </c>
      <c r="I20" s="34">
        <v>0</v>
      </c>
      <c r="J20" s="47">
        <v>8</v>
      </c>
      <c r="K20" s="34">
        <v>0</v>
      </c>
    </row>
    <row r="21" spans="1:11" ht="13.9" x14ac:dyDescent="0.25">
      <c r="A21" s="34">
        <v>1993</v>
      </c>
      <c r="B21" s="34" t="s">
        <v>23</v>
      </c>
      <c r="C21" s="18">
        <v>18</v>
      </c>
      <c r="D21" s="35" t="s">
        <v>5</v>
      </c>
      <c r="E21" s="35" t="s">
        <v>1040</v>
      </c>
      <c r="F21" s="36">
        <v>8900</v>
      </c>
      <c r="G21" s="47">
        <v>10.95</v>
      </c>
      <c r="H21" s="34">
        <v>6</v>
      </c>
      <c r="I21" s="34">
        <v>0</v>
      </c>
      <c r="J21" s="47">
        <v>7</v>
      </c>
      <c r="K21" s="34">
        <v>0</v>
      </c>
    </row>
    <row r="22" spans="1:11" ht="13.9" x14ac:dyDescent="0.25">
      <c r="A22" s="34">
        <v>1993</v>
      </c>
      <c r="B22" s="34" t="s">
        <v>23</v>
      </c>
      <c r="C22" s="18">
        <v>19</v>
      </c>
      <c r="D22" s="35" t="s">
        <v>82</v>
      </c>
      <c r="E22" s="35" t="s">
        <v>903</v>
      </c>
      <c r="F22" s="36">
        <v>8800</v>
      </c>
      <c r="G22" s="47">
        <v>10.82</v>
      </c>
      <c r="H22" s="34">
        <v>6</v>
      </c>
      <c r="I22" s="34">
        <v>0</v>
      </c>
      <c r="J22" s="47">
        <v>7</v>
      </c>
      <c r="K22" s="34">
        <v>0</v>
      </c>
    </row>
    <row r="23" spans="1:11" ht="13.9" x14ac:dyDescent="0.25">
      <c r="A23" s="34">
        <v>1993</v>
      </c>
      <c r="B23" s="34" t="s">
        <v>23</v>
      </c>
      <c r="C23" s="18">
        <v>20</v>
      </c>
      <c r="D23" s="35" t="s">
        <v>326</v>
      </c>
      <c r="E23" s="35" t="s">
        <v>904</v>
      </c>
      <c r="F23" s="36">
        <v>8700</v>
      </c>
      <c r="G23" s="47" t="s">
        <v>905</v>
      </c>
      <c r="H23" s="34">
        <v>0</v>
      </c>
      <c r="I23" s="34">
        <v>0</v>
      </c>
      <c r="J23" s="47">
        <v>0</v>
      </c>
      <c r="K23" s="34">
        <v>0</v>
      </c>
    </row>
    <row r="24" spans="1:11" ht="13.9" x14ac:dyDescent="0.25">
      <c r="A24" s="34">
        <v>1993</v>
      </c>
      <c r="B24" s="34" t="s">
        <v>23</v>
      </c>
      <c r="C24" s="18">
        <v>21</v>
      </c>
      <c r="D24" s="35" t="s">
        <v>326</v>
      </c>
      <c r="E24" s="35" t="s">
        <v>904</v>
      </c>
      <c r="F24" s="36">
        <v>8700</v>
      </c>
      <c r="G24" s="47" t="s">
        <v>905</v>
      </c>
      <c r="H24" s="34">
        <v>0</v>
      </c>
      <c r="I24" s="34">
        <v>0</v>
      </c>
      <c r="J24" s="47">
        <v>6</v>
      </c>
      <c r="K24" s="34">
        <v>0</v>
      </c>
    </row>
    <row r="25" spans="1:11" ht="13.9" x14ac:dyDescent="0.25">
      <c r="A25" s="34">
        <v>1993</v>
      </c>
      <c r="B25" s="34" t="s">
        <v>23</v>
      </c>
      <c r="C25" s="18">
        <v>22</v>
      </c>
      <c r="D25" s="35" t="s">
        <v>403</v>
      </c>
      <c r="E25" s="35" t="s">
        <v>1041</v>
      </c>
      <c r="F25" s="36">
        <v>8600</v>
      </c>
      <c r="G25" s="47">
        <v>10.58</v>
      </c>
      <c r="H25" s="34">
        <v>0</v>
      </c>
      <c r="I25" s="34">
        <v>0</v>
      </c>
      <c r="J25" s="47">
        <v>9</v>
      </c>
      <c r="K25" s="34">
        <v>0</v>
      </c>
    </row>
    <row r="26" spans="1:11" ht="13.9" x14ac:dyDescent="0.25">
      <c r="A26" s="34">
        <v>1993</v>
      </c>
      <c r="B26" s="34" t="s">
        <v>23</v>
      </c>
      <c r="C26" s="18">
        <v>23</v>
      </c>
      <c r="D26" s="35" t="s">
        <v>403</v>
      </c>
      <c r="E26" s="35" t="s">
        <v>1041</v>
      </c>
      <c r="F26" s="36">
        <v>8600</v>
      </c>
      <c r="G26" s="47">
        <v>10.58</v>
      </c>
      <c r="H26" s="34">
        <v>0</v>
      </c>
      <c r="I26" s="34">
        <v>0</v>
      </c>
      <c r="J26" s="47">
        <v>7</v>
      </c>
      <c r="K26" s="34">
        <v>0</v>
      </c>
    </row>
    <row r="27" spans="1:11" ht="13.9" x14ac:dyDescent="0.25">
      <c r="A27" s="34">
        <v>1993</v>
      </c>
      <c r="B27" s="34" t="s">
        <v>23</v>
      </c>
      <c r="C27" s="18">
        <v>24</v>
      </c>
      <c r="D27" s="35" t="s">
        <v>325</v>
      </c>
      <c r="E27" s="35" t="s">
        <v>907</v>
      </c>
      <c r="F27" s="36">
        <v>8500</v>
      </c>
      <c r="G27" s="47">
        <v>10.45</v>
      </c>
      <c r="H27" s="34">
        <v>0</v>
      </c>
      <c r="I27" s="34">
        <v>0</v>
      </c>
      <c r="J27" s="47">
        <v>7</v>
      </c>
      <c r="K27" s="34">
        <v>0</v>
      </c>
    </row>
    <row r="28" spans="1:11" ht="13.9" x14ac:dyDescent="0.25">
      <c r="A28" s="34">
        <v>1993</v>
      </c>
      <c r="B28" s="34" t="s">
        <v>23</v>
      </c>
      <c r="C28" s="18">
        <v>25</v>
      </c>
      <c r="D28" s="35" t="s">
        <v>325</v>
      </c>
      <c r="E28" s="36">
        <v>2.31</v>
      </c>
      <c r="F28" s="36">
        <v>8500</v>
      </c>
      <c r="G28" s="47">
        <v>10.45</v>
      </c>
      <c r="H28" s="34">
        <v>0</v>
      </c>
      <c r="I28" s="34">
        <v>0</v>
      </c>
      <c r="J28" s="47">
        <v>0</v>
      </c>
      <c r="K28" s="34">
        <v>0</v>
      </c>
    </row>
    <row r="29" spans="1:11" ht="13.9" x14ac:dyDescent="0.25">
      <c r="A29" s="34">
        <v>1993</v>
      </c>
      <c r="B29" s="34" t="s">
        <v>23</v>
      </c>
      <c r="C29" s="18">
        <v>26</v>
      </c>
      <c r="D29" s="35" t="s">
        <v>325</v>
      </c>
      <c r="E29" s="36">
        <v>2.31</v>
      </c>
      <c r="F29" s="36">
        <v>8500</v>
      </c>
      <c r="G29" s="47">
        <v>10.45</v>
      </c>
      <c r="H29" s="34">
        <v>0</v>
      </c>
      <c r="I29" s="34">
        <v>0</v>
      </c>
      <c r="J29" s="47">
        <v>0</v>
      </c>
      <c r="K29" s="34">
        <v>0</v>
      </c>
    </row>
    <row r="30" spans="1:11" ht="13.9" x14ac:dyDescent="0.25">
      <c r="A30" s="34">
        <v>1993</v>
      </c>
      <c r="B30" s="34" t="s">
        <v>23</v>
      </c>
      <c r="C30" s="18">
        <v>27</v>
      </c>
      <c r="D30" s="35" t="s">
        <v>325</v>
      </c>
      <c r="E30" s="36">
        <v>2.31</v>
      </c>
      <c r="F30" s="36">
        <v>8500</v>
      </c>
      <c r="G30" s="47">
        <v>10.45</v>
      </c>
      <c r="H30" s="34">
        <v>0</v>
      </c>
      <c r="I30" s="34">
        <v>0</v>
      </c>
      <c r="J30" s="47">
        <v>0</v>
      </c>
      <c r="K30" s="34">
        <v>0</v>
      </c>
    </row>
    <row r="31" spans="1:11" ht="13.9" x14ac:dyDescent="0.25">
      <c r="A31" s="34">
        <v>1993</v>
      </c>
      <c r="B31" s="34" t="s">
        <v>23</v>
      </c>
      <c r="C31" s="18">
        <v>28</v>
      </c>
      <c r="D31" s="35" t="s">
        <v>325</v>
      </c>
      <c r="E31" s="36">
        <v>2.31</v>
      </c>
      <c r="F31" s="36">
        <v>8500</v>
      </c>
      <c r="G31" s="47">
        <v>10.45</v>
      </c>
      <c r="H31" s="34">
        <v>0</v>
      </c>
      <c r="I31" s="34">
        <v>0</v>
      </c>
      <c r="J31" s="47">
        <v>0</v>
      </c>
      <c r="K31" s="34">
        <v>0</v>
      </c>
    </row>
    <row r="32" spans="1:11" ht="13.9" x14ac:dyDescent="0.25">
      <c r="A32" s="34">
        <v>1993</v>
      </c>
      <c r="B32" s="34" t="s">
        <v>23</v>
      </c>
      <c r="C32" s="18">
        <v>29</v>
      </c>
      <c r="D32" s="35" t="s">
        <v>325</v>
      </c>
      <c r="E32" s="36">
        <v>2.31</v>
      </c>
      <c r="F32" s="36">
        <v>8500</v>
      </c>
      <c r="G32" s="47">
        <v>10.45</v>
      </c>
      <c r="H32" s="34">
        <v>9</v>
      </c>
      <c r="I32" s="34">
        <v>0</v>
      </c>
      <c r="J32" s="47">
        <v>0</v>
      </c>
      <c r="K32" s="34">
        <v>0</v>
      </c>
    </row>
    <row r="33" spans="1:11" ht="13.9" x14ac:dyDescent="0.25">
      <c r="A33" s="34">
        <v>1993</v>
      </c>
      <c r="B33" s="34" t="s">
        <v>23</v>
      </c>
      <c r="C33" s="18">
        <v>30</v>
      </c>
      <c r="D33" s="35" t="s">
        <v>421</v>
      </c>
      <c r="E33" s="35" t="s">
        <v>1042</v>
      </c>
      <c r="F33" s="36">
        <v>8450</v>
      </c>
      <c r="G33" s="47">
        <v>10.39</v>
      </c>
      <c r="H33" s="34">
        <v>9</v>
      </c>
      <c r="I33" s="34">
        <v>0</v>
      </c>
      <c r="J33" s="47">
        <v>0</v>
      </c>
      <c r="K33" s="34">
        <v>0</v>
      </c>
    </row>
    <row r="34" spans="1:11" ht="13.9" x14ac:dyDescent="0.25">
      <c r="A34" s="34">
        <v>1993</v>
      </c>
      <c r="B34" s="34" t="s">
        <v>23</v>
      </c>
      <c r="C34" s="18">
        <v>31</v>
      </c>
      <c r="D34" s="35" t="s">
        <v>86</v>
      </c>
      <c r="E34" s="36">
        <v>2.2799999999999998</v>
      </c>
      <c r="F34" s="36">
        <v>8400</v>
      </c>
      <c r="G34" s="47">
        <v>10.33</v>
      </c>
      <c r="H34" s="34">
        <v>9</v>
      </c>
      <c r="I34" s="34">
        <v>0</v>
      </c>
      <c r="J34" s="47">
        <v>0</v>
      </c>
      <c r="K34" s="34">
        <v>0</v>
      </c>
    </row>
    <row r="35" spans="1:11" ht="13.9" x14ac:dyDescent="0.25">
      <c r="A35" s="34">
        <v>1993</v>
      </c>
      <c r="B35" s="20" t="s">
        <v>24</v>
      </c>
      <c r="C35" s="20">
        <v>1</v>
      </c>
      <c r="D35" s="35" t="s">
        <v>88</v>
      </c>
      <c r="E35" s="35" t="s">
        <v>1044</v>
      </c>
      <c r="F35" s="36">
        <v>8300</v>
      </c>
      <c r="G35" s="47">
        <v>10.210000000000001</v>
      </c>
      <c r="H35" s="34">
        <v>9</v>
      </c>
      <c r="I35" s="34">
        <v>0</v>
      </c>
      <c r="J35" s="47" t="s">
        <v>765</v>
      </c>
      <c r="K35" s="34">
        <v>0</v>
      </c>
    </row>
    <row r="36" spans="1:11" ht="13.9" x14ac:dyDescent="0.25">
      <c r="A36" s="34">
        <v>1993</v>
      </c>
      <c r="B36" s="20" t="s">
        <v>24</v>
      </c>
      <c r="C36" s="20">
        <v>2</v>
      </c>
      <c r="D36" s="35" t="s">
        <v>90</v>
      </c>
      <c r="E36" s="35" t="s">
        <v>756</v>
      </c>
      <c r="F36" s="36">
        <v>8250</v>
      </c>
      <c r="G36" s="47">
        <v>10.14</v>
      </c>
      <c r="H36" s="34">
        <v>9</v>
      </c>
      <c r="I36" s="34">
        <v>0</v>
      </c>
      <c r="J36" s="47" t="s">
        <v>765</v>
      </c>
      <c r="K36" s="34">
        <v>0</v>
      </c>
    </row>
    <row r="37" spans="1:11" ht="13.9" x14ac:dyDescent="0.25">
      <c r="A37" s="34">
        <v>1993</v>
      </c>
      <c r="B37" s="20" t="s">
        <v>24</v>
      </c>
      <c r="C37" s="20">
        <v>3</v>
      </c>
      <c r="D37" s="35" t="s">
        <v>92</v>
      </c>
      <c r="E37" s="35" t="s">
        <v>1045</v>
      </c>
      <c r="F37" s="36">
        <v>8200</v>
      </c>
      <c r="G37" s="47">
        <v>10.08</v>
      </c>
      <c r="H37" s="34">
        <v>9</v>
      </c>
      <c r="I37" s="34">
        <v>0</v>
      </c>
      <c r="J37" s="47" t="s">
        <v>765</v>
      </c>
      <c r="K37" s="34">
        <v>0</v>
      </c>
    </row>
    <row r="38" spans="1:11" ht="13.9" x14ac:dyDescent="0.25">
      <c r="A38" s="34">
        <v>1993</v>
      </c>
      <c r="B38" s="20" t="s">
        <v>24</v>
      </c>
      <c r="C38" s="20">
        <v>4</v>
      </c>
      <c r="D38" s="35" t="s">
        <v>94</v>
      </c>
      <c r="E38" s="35" t="s">
        <v>915</v>
      </c>
      <c r="F38" s="36">
        <v>8100</v>
      </c>
      <c r="G38" s="47">
        <v>9.9600000000000009</v>
      </c>
      <c r="H38" s="34">
        <v>8</v>
      </c>
      <c r="I38" s="34">
        <v>0</v>
      </c>
      <c r="J38" s="47" t="s">
        <v>765</v>
      </c>
      <c r="K38" s="34">
        <v>0</v>
      </c>
    </row>
    <row r="39" spans="1:11" ht="13.9" x14ac:dyDescent="0.25">
      <c r="A39" s="34">
        <v>1993</v>
      </c>
      <c r="B39" s="20" t="s">
        <v>24</v>
      </c>
      <c r="C39" s="20">
        <v>5</v>
      </c>
      <c r="D39" s="35" t="s">
        <v>98</v>
      </c>
      <c r="E39" s="35" t="s">
        <v>755</v>
      </c>
      <c r="F39" s="36">
        <v>7900</v>
      </c>
      <c r="G39" s="47">
        <v>9.7100000000000009</v>
      </c>
      <c r="H39" s="34">
        <v>8</v>
      </c>
      <c r="I39" s="34">
        <v>0</v>
      </c>
      <c r="J39" s="47" t="s">
        <v>1060</v>
      </c>
      <c r="K39" s="34">
        <v>0</v>
      </c>
    </row>
    <row r="40" spans="1:11" ht="13.9" x14ac:dyDescent="0.25">
      <c r="A40" s="34">
        <v>1993</v>
      </c>
      <c r="B40" s="20" t="s">
        <v>24</v>
      </c>
      <c r="C40" s="20">
        <v>6</v>
      </c>
      <c r="D40" s="35" t="s">
        <v>102</v>
      </c>
      <c r="E40" s="35" t="s">
        <v>1046</v>
      </c>
      <c r="F40" s="36">
        <v>7600</v>
      </c>
      <c r="G40" s="47">
        <v>9.35</v>
      </c>
      <c r="H40" s="34">
        <v>8</v>
      </c>
      <c r="I40" s="34">
        <v>0</v>
      </c>
      <c r="J40" s="48">
        <v>8</v>
      </c>
      <c r="K40" s="34">
        <v>0</v>
      </c>
    </row>
    <row r="41" spans="1:11" ht="13.9" x14ac:dyDescent="0.25">
      <c r="A41" s="34">
        <v>1993</v>
      </c>
      <c r="B41" s="20" t="s">
        <v>24</v>
      </c>
      <c r="C41" s="20">
        <v>7</v>
      </c>
      <c r="D41" s="35" t="s">
        <v>112</v>
      </c>
      <c r="E41" s="35" t="s">
        <v>753</v>
      </c>
      <c r="F41" s="36">
        <v>7500</v>
      </c>
      <c r="G41" s="47">
        <v>9.2200000000000006</v>
      </c>
      <c r="H41" s="34">
        <v>8</v>
      </c>
      <c r="I41" s="34">
        <v>0</v>
      </c>
      <c r="J41" s="48">
        <v>8</v>
      </c>
      <c r="K41" s="34">
        <v>0</v>
      </c>
    </row>
    <row r="42" spans="1:11" ht="13.9" x14ac:dyDescent="0.25">
      <c r="A42" s="34">
        <v>1993</v>
      </c>
      <c r="B42" s="20" t="s">
        <v>24</v>
      </c>
      <c r="C42" s="20">
        <v>8</v>
      </c>
      <c r="D42" s="35" t="s">
        <v>104</v>
      </c>
      <c r="E42" s="35" t="s">
        <v>1047</v>
      </c>
      <c r="F42" s="36">
        <v>7400</v>
      </c>
      <c r="G42" s="47">
        <v>9.16</v>
      </c>
      <c r="H42" s="34">
        <v>8</v>
      </c>
      <c r="I42" s="34">
        <v>0</v>
      </c>
      <c r="J42" s="48">
        <v>8</v>
      </c>
      <c r="K42" s="34">
        <v>0</v>
      </c>
    </row>
    <row r="43" spans="1:11" ht="13.9" x14ac:dyDescent="0.25">
      <c r="A43" s="34">
        <v>1993</v>
      </c>
      <c r="B43" s="20" t="s">
        <v>24</v>
      </c>
      <c r="C43" s="20">
        <v>9</v>
      </c>
      <c r="D43" s="35" t="s">
        <v>1</v>
      </c>
      <c r="E43" s="35" t="s">
        <v>752</v>
      </c>
      <c r="F43" s="36">
        <v>300</v>
      </c>
      <c r="G43" s="47">
        <v>8.98</v>
      </c>
      <c r="H43" s="34">
        <v>8</v>
      </c>
      <c r="I43" s="34">
        <v>0</v>
      </c>
      <c r="J43" s="48">
        <v>8</v>
      </c>
      <c r="K43" s="34">
        <v>0</v>
      </c>
    </row>
    <row r="44" spans="1:11" ht="13.9" x14ac:dyDescent="0.25">
      <c r="A44" s="34">
        <v>1993</v>
      </c>
      <c r="B44" s="20" t="s">
        <v>24</v>
      </c>
      <c r="C44" s="20">
        <v>10</v>
      </c>
      <c r="D44" s="35" t="s">
        <v>106</v>
      </c>
      <c r="E44" s="35" t="s">
        <v>1048</v>
      </c>
      <c r="F44" s="36">
        <v>7200</v>
      </c>
      <c r="G44" s="47">
        <v>8.85</v>
      </c>
      <c r="H44" s="34">
        <v>8</v>
      </c>
      <c r="I44" s="34">
        <v>0</v>
      </c>
      <c r="J44" s="48">
        <v>8</v>
      </c>
      <c r="K44" s="34">
        <v>0</v>
      </c>
    </row>
    <row r="45" spans="1:11" ht="13.9" x14ac:dyDescent="0.25">
      <c r="A45" s="34">
        <v>1993</v>
      </c>
      <c r="B45" s="20" t="s">
        <v>24</v>
      </c>
      <c r="C45" s="20">
        <v>11</v>
      </c>
      <c r="D45" s="35" t="s">
        <v>110</v>
      </c>
      <c r="E45" s="35" t="s">
        <v>1049</v>
      </c>
      <c r="F45" s="36">
        <v>7100</v>
      </c>
      <c r="G45" s="47">
        <v>8.73</v>
      </c>
      <c r="H45" s="34">
        <v>8</v>
      </c>
      <c r="I45" s="34">
        <v>0</v>
      </c>
      <c r="J45" s="48">
        <v>8</v>
      </c>
      <c r="K45" s="34">
        <v>0</v>
      </c>
    </row>
    <row r="46" spans="1:11" ht="13.9" x14ac:dyDescent="0.25">
      <c r="A46" s="34">
        <v>1993</v>
      </c>
      <c r="B46" s="20" t="s">
        <v>24</v>
      </c>
      <c r="C46" s="20">
        <v>12</v>
      </c>
      <c r="D46" s="35" t="s">
        <v>108</v>
      </c>
      <c r="E46" s="35" t="s">
        <v>922</v>
      </c>
      <c r="F46" s="36">
        <v>7000</v>
      </c>
      <c r="G46" s="47">
        <v>8.61</v>
      </c>
      <c r="H46" s="34">
        <v>8</v>
      </c>
      <c r="I46" s="34">
        <v>0</v>
      </c>
      <c r="J46" s="48">
        <v>8</v>
      </c>
      <c r="K46" s="34">
        <v>0</v>
      </c>
    </row>
    <row r="47" spans="1:11" ht="13.9" x14ac:dyDescent="0.25">
      <c r="A47" s="34">
        <v>1993</v>
      </c>
      <c r="B47" s="20" t="s">
        <v>24</v>
      </c>
      <c r="C47" s="20">
        <v>13</v>
      </c>
      <c r="D47" s="35" t="s">
        <v>108</v>
      </c>
      <c r="E47" s="35" t="s">
        <v>922</v>
      </c>
      <c r="F47" s="36">
        <v>7000</v>
      </c>
      <c r="G47" s="47">
        <v>8.61</v>
      </c>
      <c r="H47" s="34">
        <v>10</v>
      </c>
      <c r="I47" s="34">
        <v>0</v>
      </c>
      <c r="J47" s="47" t="s">
        <v>1062</v>
      </c>
      <c r="K47" s="34">
        <v>0</v>
      </c>
    </row>
    <row r="48" spans="1:11" ht="13.9" x14ac:dyDescent="0.25">
      <c r="A48" s="34">
        <v>1993</v>
      </c>
      <c r="B48" s="20" t="s">
        <v>24</v>
      </c>
      <c r="C48" s="20">
        <v>14</v>
      </c>
      <c r="D48" s="35" t="s">
        <v>118</v>
      </c>
      <c r="E48" s="35" t="s">
        <v>751</v>
      </c>
      <c r="F48" s="36">
        <v>6950</v>
      </c>
      <c r="G48" s="47">
        <v>8.5399999999999991</v>
      </c>
      <c r="H48" s="34">
        <v>10</v>
      </c>
      <c r="I48" s="34">
        <v>0</v>
      </c>
      <c r="J48" s="47" t="s">
        <v>1062</v>
      </c>
      <c r="K48" s="34">
        <v>0</v>
      </c>
    </row>
    <row r="49" spans="1:11" ht="13.9" x14ac:dyDescent="0.25">
      <c r="A49" s="34">
        <v>1993</v>
      </c>
      <c r="B49" s="20" t="s">
        <v>24</v>
      </c>
      <c r="C49" s="20">
        <v>15</v>
      </c>
      <c r="D49" s="35" t="s">
        <v>192</v>
      </c>
      <c r="E49" s="35" t="s">
        <v>1050</v>
      </c>
      <c r="F49" s="36">
        <v>6900</v>
      </c>
      <c r="G49" s="47">
        <v>8.48</v>
      </c>
      <c r="H49" s="34">
        <v>10</v>
      </c>
      <c r="I49" s="34">
        <v>0</v>
      </c>
      <c r="J49" s="47" t="s">
        <v>1062</v>
      </c>
      <c r="K49" s="34">
        <v>0</v>
      </c>
    </row>
    <row r="50" spans="1:11" ht="13.9" x14ac:dyDescent="0.25">
      <c r="A50" s="34">
        <v>1993</v>
      </c>
      <c r="B50" s="20" t="s">
        <v>24</v>
      </c>
      <c r="C50" s="20">
        <v>16</v>
      </c>
      <c r="D50" s="35" t="s">
        <v>194</v>
      </c>
      <c r="E50" s="35" t="s">
        <v>750</v>
      </c>
      <c r="F50" s="36">
        <v>6800</v>
      </c>
      <c r="G50" s="47">
        <v>8.36</v>
      </c>
      <c r="H50" s="34">
        <v>8</v>
      </c>
      <c r="I50" s="34">
        <v>0</v>
      </c>
      <c r="J50" s="47" t="s">
        <v>1061</v>
      </c>
      <c r="K50" s="34">
        <v>0</v>
      </c>
    </row>
    <row r="51" spans="1:11" ht="13.9" x14ac:dyDescent="0.25">
      <c r="A51" s="34">
        <v>1993</v>
      </c>
      <c r="B51" s="20" t="s">
        <v>24</v>
      </c>
      <c r="C51" s="20">
        <v>17</v>
      </c>
      <c r="D51" s="35" t="s">
        <v>422</v>
      </c>
      <c r="E51" s="35" t="s">
        <v>1051</v>
      </c>
      <c r="F51" s="36">
        <v>6700</v>
      </c>
      <c r="G51" s="47">
        <v>8.24</v>
      </c>
      <c r="H51" s="34">
        <v>10</v>
      </c>
      <c r="I51" s="34">
        <v>0</v>
      </c>
      <c r="J51" s="47" t="s">
        <v>1062</v>
      </c>
      <c r="K51" s="34">
        <v>0</v>
      </c>
    </row>
    <row r="52" spans="1:11" ht="13.9" x14ac:dyDescent="0.25">
      <c r="A52" s="34">
        <v>1993</v>
      </c>
      <c r="B52" s="20" t="s">
        <v>24</v>
      </c>
      <c r="C52" s="20">
        <v>18</v>
      </c>
      <c r="D52" s="35" t="s">
        <v>201</v>
      </c>
      <c r="E52" s="35" t="s">
        <v>749</v>
      </c>
      <c r="F52" s="36">
        <v>6600</v>
      </c>
      <c r="G52" s="47">
        <v>8.11</v>
      </c>
      <c r="H52" s="34">
        <v>10</v>
      </c>
      <c r="I52" s="34">
        <v>0</v>
      </c>
      <c r="J52" s="47" t="s">
        <v>1062</v>
      </c>
      <c r="K52" s="34">
        <v>0</v>
      </c>
    </row>
    <row r="53" spans="1:11" ht="13.9" x14ac:dyDescent="0.25">
      <c r="A53" s="34">
        <v>1993</v>
      </c>
      <c r="B53" s="20" t="s">
        <v>24</v>
      </c>
      <c r="C53" s="20">
        <v>19</v>
      </c>
      <c r="D53" s="35" t="s">
        <v>177</v>
      </c>
      <c r="E53" s="35" t="s">
        <v>1052</v>
      </c>
      <c r="F53" s="36">
        <v>6500</v>
      </c>
      <c r="G53" s="47" t="s">
        <v>1056</v>
      </c>
      <c r="H53" s="34">
        <v>6</v>
      </c>
      <c r="I53" s="34">
        <v>0</v>
      </c>
      <c r="J53" s="47" t="s">
        <v>1061</v>
      </c>
      <c r="K53" s="34">
        <v>0</v>
      </c>
    </row>
    <row r="54" spans="1:11" ht="13.9" x14ac:dyDescent="0.25">
      <c r="A54" s="34">
        <v>1993</v>
      </c>
      <c r="B54" s="20" t="s">
        <v>24</v>
      </c>
      <c r="C54" s="20">
        <v>20</v>
      </c>
      <c r="D54" s="35" t="s">
        <v>208</v>
      </c>
      <c r="E54" s="35" t="s">
        <v>788</v>
      </c>
      <c r="F54" s="36">
        <v>6450</v>
      </c>
      <c r="G54" s="47">
        <v>7.93</v>
      </c>
      <c r="H54" s="34">
        <v>6</v>
      </c>
      <c r="I54" s="34">
        <v>0</v>
      </c>
      <c r="J54" s="47" t="s">
        <v>1061</v>
      </c>
      <c r="K54" s="34">
        <v>0</v>
      </c>
    </row>
    <row r="55" spans="1:11" ht="13.9" x14ac:dyDescent="0.25">
      <c r="A55" s="34">
        <v>1993</v>
      </c>
      <c r="B55" s="20" t="s">
        <v>24</v>
      </c>
      <c r="C55" s="20">
        <v>21</v>
      </c>
      <c r="D55" s="35" t="s">
        <v>212</v>
      </c>
      <c r="E55" s="35" t="s">
        <v>748</v>
      </c>
      <c r="F55" s="36">
        <v>6400</v>
      </c>
      <c r="G55" s="47">
        <v>7.87</v>
      </c>
      <c r="H55" s="34">
        <v>6</v>
      </c>
      <c r="I55" s="34">
        <v>0</v>
      </c>
      <c r="J55" s="47" t="s">
        <v>1061</v>
      </c>
      <c r="K55" s="34">
        <v>0</v>
      </c>
    </row>
    <row r="56" spans="1:11" ht="13.9" x14ac:dyDescent="0.25">
      <c r="A56" s="34">
        <v>1993</v>
      </c>
      <c r="B56" s="20" t="s">
        <v>24</v>
      </c>
      <c r="C56" s="20">
        <v>22</v>
      </c>
      <c r="D56" s="35" t="s">
        <v>175</v>
      </c>
      <c r="E56" s="35" t="s">
        <v>1053</v>
      </c>
      <c r="F56" s="36">
        <v>6300</v>
      </c>
      <c r="G56" s="47">
        <v>7.74</v>
      </c>
      <c r="H56" s="34">
        <v>6</v>
      </c>
      <c r="I56" s="34">
        <v>0</v>
      </c>
      <c r="J56" s="47" t="s">
        <v>1061</v>
      </c>
      <c r="K56" s="34">
        <v>0</v>
      </c>
    </row>
    <row r="57" spans="1:11" ht="13.9" x14ac:dyDescent="0.25">
      <c r="A57" s="34">
        <v>1993</v>
      </c>
      <c r="B57" s="20" t="s">
        <v>24</v>
      </c>
      <c r="C57" s="20">
        <v>23</v>
      </c>
      <c r="D57" s="35" t="s">
        <v>171</v>
      </c>
      <c r="E57" s="35" t="s">
        <v>924</v>
      </c>
      <c r="F57" s="36">
        <v>6250</v>
      </c>
      <c r="G57" s="47">
        <v>7.68</v>
      </c>
      <c r="H57" s="34">
        <v>2</v>
      </c>
      <c r="I57" s="34">
        <v>0</v>
      </c>
      <c r="J57" s="47" t="s">
        <v>1061</v>
      </c>
      <c r="K57" s="34">
        <v>0</v>
      </c>
    </row>
    <row r="58" spans="1:11" ht="13.9" x14ac:dyDescent="0.25">
      <c r="A58" s="34">
        <v>1993</v>
      </c>
      <c r="B58" s="20" t="s">
        <v>24</v>
      </c>
      <c r="C58" s="20">
        <v>24</v>
      </c>
      <c r="D58" s="35" t="s">
        <v>222</v>
      </c>
      <c r="E58" s="35" t="s">
        <v>1054</v>
      </c>
      <c r="F58" s="36">
        <v>6175</v>
      </c>
      <c r="G58" s="47" t="s">
        <v>1057</v>
      </c>
      <c r="H58" s="34">
        <v>2</v>
      </c>
      <c r="I58" s="34">
        <v>0</v>
      </c>
      <c r="J58" s="47" t="s">
        <v>1061</v>
      </c>
      <c r="K58" s="34">
        <v>0</v>
      </c>
    </row>
    <row r="59" spans="1:11" ht="13.9" x14ac:dyDescent="0.25">
      <c r="A59" s="34">
        <v>1993</v>
      </c>
      <c r="B59" s="20" t="s">
        <v>24</v>
      </c>
      <c r="C59" s="20">
        <v>25</v>
      </c>
      <c r="D59" s="35" t="s">
        <v>165</v>
      </c>
      <c r="E59" s="35" t="s">
        <v>747</v>
      </c>
      <c r="F59" s="36">
        <v>6100</v>
      </c>
      <c r="G59" s="47" t="s">
        <v>932</v>
      </c>
      <c r="H59" s="34">
        <v>8</v>
      </c>
      <c r="I59" s="34">
        <v>0</v>
      </c>
      <c r="J59" s="47" t="s">
        <v>1063</v>
      </c>
      <c r="K59" s="34">
        <v>0</v>
      </c>
    </row>
    <row r="60" spans="1:11" ht="13.9" x14ac:dyDescent="0.25">
      <c r="A60" s="34">
        <v>1993</v>
      </c>
      <c r="B60" s="20" t="s">
        <v>24</v>
      </c>
      <c r="C60" s="20">
        <v>26</v>
      </c>
      <c r="D60" s="35" t="s">
        <v>227</v>
      </c>
      <c r="E60" s="35" t="s">
        <v>1055</v>
      </c>
      <c r="F60" s="36">
        <v>6000</v>
      </c>
      <c r="G60" s="47" t="s">
        <v>1058</v>
      </c>
      <c r="H60" s="34">
        <v>8</v>
      </c>
      <c r="I60" s="34">
        <v>0</v>
      </c>
      <c r="J60" s="47" t="s">
        <v>1063</v>
      </c>
      <c r="K60" s="34">
        <v>0</v>
      </c>
    </row>
    <row r="61" spans="1:11" ht="13.9" x14ac:dyDescent="0.25">
      <c r="A61" s="34">
        <v>1993</v>
      </c>
      <c r="B61" s="20" t="s">
        <v>24</v>
      </c>
      <c r="C61" s="20">
        <v>27</v>
      </c>
      <c r="D61" s="35" t="s">
        <v>229</v>
      </c>
      <c r="E61" s="35" t="s">
        <v>933</v>
      </c>
      <c r="F61" s="36">
        <v>5900</v>
      </c>
      <c r="G61" s="47" t="s">
        <v>934</v>
      </c>
      <c r="H61" s="34">
        <v>11</v>
      </c>
      <c r="I61" s="34">
        <v>0</v>
      </c>
      <c r="J61" s="47" t="s">
        <v>1063</v>
      </c>
      <c r="K61" s="34">
        <v>0</v>
      </c>
    </row>
    <row r="62" spans="1:11" ht="13.9" x14ac:dyDescent="0.25">
      <c r="A62" s="34">
        <v>1993</v>
      </c>
      <c r="B62" s="20" t="s">
        <v>24</v>
      </c>
      <c r="C62" s="20">
        <v>28</v>
      </c>
      <c r="D62" s="35" t="s">
        <v>161</v>
      </c>
      <c r="E62" s="35" t="s">
        <v>746</v>
      </c>
      <c r="F62" s="36">
        <v>5850</v>
      </c>
      <c r="G62" s="47" t="s">
        <v>1059</v>
      </c>
      <c r="H62" s="34">
        <v>11</v>
      </c>
      <c r="I62" s="34">
        <v>0</v>
      </c>
      <c r="J62" s="47" t="s">
        <v>1063</v>
      </c>
      <c r="K62" s="34">
        <v>0</v>
      </c>
    </row>
    <row r="63" spans="1:11" ht="13.9" x14ac:dyDescent="0.25">
      <c r="A63" s="34">
        <v>1993</v>
      </c>
      <c r="B63" s="20" t="s">
        <v>24</v>
      </c>
      <c r="C63" s="20">
        <v>29</v>
      </c>
      <c r="D63" s="39"/>
      <c r="E63" s="34"/>
      <c r="F63" s="34"/>
      <c r="G63" s="47"/>
      <c r="H63" s="34"/>
      <c r="I63" s="34"/>
      <c r="J63" s="47"/>
      <c r="K63" s="34"/>
    </row>
    <row r="64" spans="1:11" ht="13.9" x14ac:dyDescent="0.25">
      <c r="A64" s="34">
        <v>1993</v>
      </c>
      <c r="B64" s="20" t="s">
        <v>25</v>
      </c>
      <c r="C64" s="20">
        <v>1</v>
      </c>
      <c r="D64" s="35" t="s">
        <v>236</v>
      </c>
      <c r="E64" s="35" t="s">
        <v>745</v>
      </c>
      <c r="F64" s="36">
        <v>5800</v>
      </c>
      <c r="G64" s="47" t="s">
        <v>935</v>
      </c>
      <c r="H64" s="34">
        <v>11</v>
      </c>
      <c r="I64" s="34">
        <v>0</v>
      </c>
      <c r="J64" s="48">
        <v>6</v>
      </c>
      <c r="K64" s="34">
        <v>0</v>
      </c>
    </row>
    <row r="65" spans="1:11" ht="13.9" x14ac:dyDescent="0.25">
      <c r="A65" s="34">
        <v>1993</v>
      </c>
      <c r="B65" s="20" t="s">
        <v>25</v>
      </c>
      <c r="C65" s="20">
        <v>2</v>
      </c>
      <c r="D65" s="35" t="s">
        <v>239</v>
      </c>
      <c r="E65" s="35" t="s">
        <v>1066</v>
      </c>
      <c r="F65" s="36">
        <v>5700</v>
      </c>
      <c r="G65" s="47" t="s">
        <v>1072</v>
      </c>
      <c r="H65" s="34">
        <v>10</v>
      </c>
      <c r="I65" s="34">
        <v>0</v>
      </c>
      <c r="J65" s="48">
        <v>6</v>
      </c>
      <c r="K65" s="34">
        <v>0</v>
      </c>
    </row>
    <row r="66" spans="1:11" ht="13.9" x14ac:dyDescent="0.25">
      <c r="A66" s="34">
        <v>1993</v>
      </c>
      <c r="B66" s="20" t="s">
        <v>25</v>
      </c>
      <c r="C66" s="20">
        <v>3</v>
      </c>
      <c r="D66" s="35" t="s">
        <v>242</v>
      </c>
      <c r="E66" s="35" t="s">
        <v>744</v>
      </c>
      <c r="F66" s="36">
        <v>5600</v>
      </c>
      <c r="G66" s="47" t="s">
        <v>1073</v>
      </c>
      <c r="H66" s="34">
        <v>9</v>
      </c>
      <c r="I66" s="34">
        <v>0</v>
      </c>
      <c r="J66" s="48">
        <v>6</v>
      </c>
      <c r="K66" s="34">
        <v>0</v>
      </c>
    </row>
    <row r="67" spans="1:11" ht="13.9" x14ac:dyDescent="0.25">
      <c r="A67" s="34">
        <v>1993</v>
      </c>
      <c r="B67" s="20" t="s">
        <v>25</v>
      </c>
      <c r="C67" s="20">
        <v>4</v>
      </c>
      <c r="D67" s="35" t="s">
        <v>157</v>
      </c>
      <c r="E67" s="35" t="s">
        <v>743</v>
      </c>
      <c r="F67" s="36">
        <v>5500</v>
      </c>
      <c r="G67" s="47" t="s">
        <v>1074</v>
      </c>
      <c r="H67" s="34">
        <v>10</v>
      </c>
      <c r="I67" s="34">
        <v>0</v>
      </c>
      <c r="J67" s="48">
        <v>0</v>
      </c>
      <c r="K67" s="34">
        <v>0</v>
      </c>
    </row>
    <row r="68" spans="1:11" ht="13.9" x14ac:dyDescent="0.25">
      <c r="A68" s="34">
        <v>1993</v>
      </c>
      <c r="B68" s="20" t="s">
        <v>25</v>
      </c>
      <c r="C68" s="20">
        <v>5</v>
      </c>
      <c r="D68" s="35" t="s">
        <v>153</v>
      </c>
      <c r="E68" s="35" t="s">
        <v>1067</v>
      </c>
      <c r="F68" s="36">
        <v>5350</v>
      </c>
      <c r="G68" s="47" t="s">
        <v>1075</v>
      </c>
      <c r="H68" s="34">
        <v>0</v>
      </c>
      <c r="I68" s="34">
        <v>0</v>
      </c>
      <c r="J68" s="48">
        <v>0</v>
      </c>
      <c r="K68" s="34">
        <v>0</v>
      </c>
    </row>
    <row r="69" spans="1:11" ht="13.9" x14ac:dyDescent="0.25">
      <c r="A69" s="34">
        <v>1993</v>
      </c>
      <c r="B69" s="20" t="s">
        <v>25</v>
      </c>
      <c r="C69" s="20">
        <v>6</v>
      </c>
      <c r="D69" s="38" t="s">
        <v>153</v>
      </c>
      <c r="E69" s="38" t="s">
        <v>1067</v>
      </c>
      <c r="F69" s="40">
        <v>5350</v>
      </c>
      <c r="G69" s="47" t="s">
        <v>1075</v>
      </c>
      <c r="H69" s="34">
        <v>0</v>
      </c>
      <c r="I69" s="34">
        <v>0</v>
      </c>
      <c r="J69" s="48">
        <v>0</v>
      </c>
      <c r="K69" s="34">
        <v>0</v>
      </c>
    </row>
    <row r="70" spans="1:11" ht="13.9" x14ac:dyDescent="0.25">
      <c r="A70" s="34">
        <v>1993</v>
      </c>
      <c r="B70" s="20" t="s">
        <v>25</v>
      </c>
      <c r="C70" s="20">
        <v>7</v>
      </c>
      <c r="D70" s="38" t="s">
        <v>1064</v>
      </c>
      <c r="E70" s="38" t="s">
        <v>1008</v>
      </c>
      <c r="F70" s="40">
        <v>5325</v>
      </c>
      <c r="G70" s="47" t="s">
        <v>1076</v>
      </c>
      <c r="H70" s="34">
        <v>0</v>
      </c>
      <c r="I70" s="34">
        <v>0</v>
      </c>
      <c r="J70" s="48">
        <v>0</v>
      </c>
      <c r="K70" s="34">
        <v>0</v>
      </c>
    </row>
    <row r="71" spans="1:11" ht="13.9" x14ac:dyDescent="0.25">
      <c r="A71" s="34">
        <v>1993</v>
      </c>
      <c r="B71" s="20" t="s">
        <v>25</v>
      </c>
      <c r="C71" s="20">
        <v>8</v>
      </c>
      <c r="D71" s="38" t="s">
        <v>1064</v>
      </c>
      <c r="E71" s="38" t="s">
        <v>1008</v>
      </c>
      <c r="F71" s="40">
        <v>5325</v>
      </c>
      <c r="G71" s="47" t="s">
        <v>1076</v>
      </c>
      <c r="H71" s="34">
        <v>0</v>
      </c>
      <c r="I71" s="34">
        <v>0</v>
      </c>
      <c r="J71" s="48">
        <v>0</v>
      </c>
      <c r="K71" s="34">
        <v>0</v>
      </c>
    </row>
    <row r="72" spans="1:11" ht="13.9" x14ac:dyDescent="0.25">
      <c r="A72" s="34">
        <v>1993</v>
      </c>
      <c r="B72" s="20" t="s">
        <v>25</v>
      </c>
      <c r="C72" s="20">
        <v>9</v>
      </c>
      <c r="D72" s="38" t="s">
        <v>1064</v>
      </c>
      <c r="E72" s="38" t="s">
        <v>1008</v>
      </c>
      <c r="F72" s="40">
        <v>5325</v>
      </c>
      <c r="G72" s="47" t="s">
        <v>1076</v>
      </c>
      <c r="H72" s="34">
        <v>0</v>
      </c>
      <c r="I72" s="34">
        <v>0</v>
      </c>
      <c r="J72" s="48">
        <v>0</v>
      </c>
      <c r="K72" s="34">
        <v>0</v>
      </c>
    </row>
    <row r="73" spans="1:11" ht="13.9" x14ac:dyDescent="0.25">
      <c r="A73" s="34">
        <v>1993</v>
      </c>
      <c r="B73" s="20" t="s">
        <v>25</v>
      </c>
      <c r="C73" s="20">
        <v>10</v>
      </c>
      <c r="D73" s="38" t="s">
        <v>1064</v>
      </c>
      <c r="E73" s="38" t="s">
        <v>1008</v>
      </c>
      <c r="F73" s="40">
        <v>5325</v>
      </c>
      <c r="G73" s="47" t="s">
        <v>1076</v>
      </c>
      <c r="H73" s="34">
        <v>0</v>
      </c>
      <c r="I73" s="34">
        <v>0</v>
      </c>
      <c r="J73" s="48">
        <v>0</v>
      </c>
      <c r="K73" s="34">
        <v>0</v>
      </c>
    </row>
    <row r="74" spans="1:11" ht="13.9" x14ac:dyDescent="0.25">
      <c r="A74" s="34">
        <v>1993</v>
      </c>
      <c r="B74" s="20" t="s">
        <v>25</v>
      </c>
      <c r="C74" s="20">
        <v>11</v>
      </c>
      <c r="D74" s="38" t="s">
        <v>151</v>
      </c>
      <c r="E74" s="38" t="s">
        <v>741</v>
      </c>
      <c r="F74" s="40">
        <v>5300</v>
      </c>
      <c r="G74" s="47" t="s">
        <v>938</v>
      </c>
      <c r="H74" s="34">
        <v>0</v>
      </c>
      <c r="I74" s="34">
        <v>0</v>
      </c>
      <c r="J74" s="48">
        <v>0</v>
      </c>
      <c r="K74" s="34">
        <v>0</v>
      </c>
    </row>
    <row r="75" spans="1:11" ht="13.9" x14ac:dyDescent="0.25">
      <c r="A75" s="34">
        <v>1993</v>
      </c>
      <c r="B75" s="20" t="s">
        <v>25</v>
      </c>
      <c r="C75" s="20">
        <v>12</v>
      </c>
      <c r="D75" s="35" t="s">
        <v>151</v>
      </c>
      <c r="E75" s="35" t="s">
        <v>741</v>
      </c>
      <c r="F75" s="36">
        <v>5300</v>
      </c>
      <c r="G75" s="47" t="s">
        <v>938</v>
      </c>
      <c r="H75" s="34">
        <v>0</v>
      </c>
      <c r="I75" s="34">
        <v>0</v>
      </c>
      <c r="J75" s="48">
        <v>0</v>
      </c>
      <c r="K75" s="34">
        <v>0</v>
      </c>
    </row>
    <row r="76" spans="1:11" ht="13.9" x14ac:dyDescent="0.25">
      <c r="A76" s="34">
        <v>1993</v>
      </c>
      <c r="B76" s="20" t="s">
        <v>25</v>
      </c>
      <c r="C76" s="20">
        <v>13</v>
      </c>
      <c r="D76" s="35" t="s">
        <v>151</v>
      </c>
      <c r="E76" s="35" t="s">
        <v>741</v>
      </c>
      <c r="F76" s="36">
        <v>5300</v>
      </c>
      <c r="G76" s="47" t="s">
        <v>938</v>
      </c>
      <c r="H76" s="34">
        <v>0</v>
      </c>
      <c r="I76" s="34">
        <v>0</v>
      </c>
      <c r="J76" s="48">
        <v>0</v>
      </c>
      <c r="K76" s="34">
        <v>0</v>
      </c>
    </row>
    <row r="77" spans="1:11" ht="13.9" x14ac:dyDescent="0.25">
      <c r="A77" s="34">
        <v>1993</v>
      </c>
      <c r="B77" s="20" t="s">
        <v>25</v>
      </c>
      <c r="C77" s="20">
        <v>14</v>
      </c>
      <c r="D77" s="35" t="s">
        <v>256</v>
      </c>
      <c r="E77" s="35" t="s">
        <v>1068</v>
      </c>
      <c r="F77" s="36">
        <v>5275</v>
      </c>
      <c r="G77" s="47" t="s">
        <v>1077</v>
      </c>
      <c r="H77" s="34">
        <v>0</v>
      </c>
      <c r="I77" s="34">
        <v>0</v>
      </c>
      <c r="J77" s="48">
        <v>0</v>
      </c>
      <c r="K77" s="34">
        <v>0</v>
      </c>
    </row>
    <row r="78" spans="1:11" ht="13.9" x14ac:dyDescent="0.25">
      <c r="A78" s="34">
        <v>1993</v>
      </c>
      <c r="B78" s="20" t="s">
        <v>25</v>
      </c>
      <c r="C78" s="21">
        <v>15</v>
      </c>
      <c r="D78" s="38" t="s">
        <v>258</v>
      </c>
      <c r="E78" s="38" t="s">
        <v>1069</v>
      </c>
      <c r="F78" s="36">
        <v>5250</v>
      </c>
      <c r="G78" s="47" t="s">
        <v>1078</v>
      </c>
      <c r="H78" s="34">
        <v>0</v>
      </c>
      <c r="I78" s="34">
        <v>0</v>
      </c>
      <c r="J78" s="48">
        <v>0</v>
      </c>
      <c r="K78" s="34">
        <v>0</v>
      </c>
    </row>
    <row r="79" spans="1:11" ht="13.9" x14ac:dyDescent="0.25">
      <c r="A79" s="34">
        <v>1993</v>
      </c>
      <c r="B79" s="20" t="s">
        <v>25</v>
      </c>
      <c r="C79" s="20">
        <v>16</v>
      </c>
      <c r="D79" s="38" t="s">
        <v>258</v>
      </c>
      <c r="E79" s="38" t="s">
        <v>1069</v>
      </c>
      <c r="F79" s="36">
        <v>5250</v>
      </c>
      <c r="G79" s="47" t="s">
        <v>1078</v>
      </c>
      <c r="H79" s="34">
        <v>0</v>
      </c>
      <c r="I79" s="34">
        <v>0</v>
      </c>
      <c r="J79" s="48">
        <v>0</v>
      </c>
      <c r="K79" s="34">
        <v>0</v>
      </c>
    </row>
    <row r="80" spans="1:11" ht="13.9" x14ac:dyDescent="0.25">
      <c r="A80" s="34">
        <v>1993</v>
      </c>
      <c r="B80" s="20" t="s">
        <v>25</v>
      </c>
      <c r="C80" s="20">
        <v>17</v>
      </c>
      <c r="D80" s="38" t="s">
        <v>262</v>
      </c>
      <c r="E80" s="38" t="s">
        <v>940</v>
      </c>
      <c r="F80" s="36">
        <v>5200</v>
      </c>
      <c r="G80" s="47" t="s">
        <v>939</v>
      </c>
      <c r="H80" s="34">
        <v>0</v>
      </c>
      <c r="I80" s="34">
        <v>0</v>
      </c>
      <c r="J80" s="48">
        <v>0</v>
      </c>
      <c r="K80" s="34">
        <v>0</v>
      </c>
    </row>
    <row r="81" spans="1:11" ht="13.9" x14ac:dyDescent="0.25">
      <c r="A81" s="34">
        <v>1993</v>
      </c>
      <c r="B81" s="20" t="s">
        <v>25</v>
      </c>
      <c r="C81" s="20">
        <v>18</v>
      </c>
      <c r="D81" s="38" t="s">
        <v>262</v>
      </c>
      <c r="E81" s="38" t="s">
        <v>940</v>
      </c>
      <c r="F81" s="36">
        <v>5200</v>
      </c>
      <c r="G81" s="47" t="s">
        <v>939</v>
      </c>
      <c r="H81" s="34">
        <v>0</v>
      </c>
      <c r="I81" s="34">
        <v>0</v>
      </c>
      <c r="J81" s="48">
        <v>0</v>
      </c>
      <c r="K81" s="34">
        <v>0</v>
      </c>
    </row>
    <row r="82" spans="1:11" ht="13.9" x14ac:dyDescent="0.25">
      <c r="A82" s="34">
        <v>1993</v>
      </c>
      <c r="B82" s="20" t="s">
        <v>25</v>
      </c>
      <c r="C82" s="20">
        <v>19</v>
      </c>
      <c r="D82" s="38" t="s">
        <v>264</v>
      </c>
      <c r="E82" s="38" t="s">
        <v>1070</v>
      </c>
      <c r="F82" s="36">
        <v>5175</v>
      </c>
      <c r="G82" s="47" t="s">
        <v>1079</v>
      </c>
      <c r="H82" s="34">
        <v>0</v>
      </c>
      <c r="I82" s="34">
        <v>0</v>
      </c>
      <c r="J82" s="48">
        <v>0</v>
      </c>
      <c r="K82" s="34">
        <v>0</v>
      </c>
    </row>
    <row r="83" spans="1:11" ht="13.9" x14ac:dyDescent="0.25">
      <c r="A83" s="34">
        <v>1993</v>
      </c>
      <c r="B83" s="20" t="s">
        <v>25</v>
      </c>
      <c r="C83" s="20">
        <v>20</v>
      </c>
      <c r="D83" s="38" t="s">
        <v>264</v>
      </c>
      <c r="E83" s="38" t="s">
        <v>1070</v>
      </c>
      <c r="F83" s="36">
        <v>5175</v>
      </c>
      <c r="G83" s="47" t="s">
        <v>1079</v>
      </c>
      <c r="H83" s="34">
        <v>0</v>
      </c>
      <c r="I83" s="34">
        <v>0</v>
      </c>
      <c r="J83" s="48">
        <v>0</v>
      </c>
      <c r="K83" s="34">
        <v>0</v>
      </c>
    </row>
    <row r="84" spans="1:11" ht="13.9" x14ac:dyDescent="0.25">
      <c r="A84" s="34">
        <v>1993</v>
      </c>
      <c r="B84" s="20" t="s">
        <v>25</v>
      </c>
      <c r="C84" s="20">
        <v>21</v>
      </c>
      <c r="D84" s="38" t="s">
        <v>264</v>
      </c>
      <c r="E84" s="38" t="s">
        <v>1070</v>
      </c>
      <c r="F84" s="36">
        <v>5175</v>
      </c>
      <c r="G84" s="47" t="s">
        <v>1079</v>
      </c>
      <c r="H84" s="34">
        <v>0</v>
      </c>
      <c r="I84" s="34">
        <v>0</v>
      </c>
      <c r="J84" s="48">
        <v>0</v>
      </c>
      <c r="K84" s="34">
        <v>0</v>
      </c>
    </row>
    <row r="85" spans="1:11" ht="13.9" x14ac:dyDescent="0.25">
      <c r="A85" s="34">
        <v>1993</v>
      </c>
      <c r="B85" s="20" t="s">
        <v>25</v>
      </c>
      <c r="C85" s="20">
        <v>22</v>
      </c>
      <c r="D85" s="38" t="s">
        <v>149</v>
      </c>
      <c r="E85" s="38" t="s">
        <v>1071</v>
      </c>
      <c r="F85" s="41">
        <v>5150</v>
      </c>
      <c r="G85" s="47" t="s">
        <v>1080</v>
      </c>
      <c r="H85" s="34">
        <v>0</v>
      </c>
      <c r="I85" s="34">
        <v>0</v>
      </c>
      <c r="J85" s="48">
        <v>0</v>
      </c>
      <c r="K85" s="34">
        <v>0</v>
      </c>
    </row>
    <row r="86" spans="1:11" ht="13.9" x14ac:dyDescent="0.25">
      <c r="A86" s="34">
        <v>1993</v>
      </c>
      <c r="B86" s="20" t="s">
        <v>25</v>
      </c>
      <c r="C86" s="20">
        <v>23</v>
      </c>
      <c r="D86" s="38" t="s">
        <v>262</v>
      </c>
      <c r="E86" s="38" t="s">
        <v>940</v>
      </c>
      <c r="F86" s="41">
        <v>5200</v>
      </c>
      <c r="G86" s="47" t="s">
        <v>939</v>
      </c>
      <c r="H86" s="34">
        <v>0</v>
      </c>
      <c r="I86" s="34">
        <v>0</v>
      </c>
      <c r="J86" s="48">
        <v>0</v>
      </c>
      <c r="K86" s="34">
        <v>0</v>
      </c>
    </row>
    <row r="87" spans="1:11" ht="13.9" x14ac:dyDescent="0.25">
      <c r="A87" s="34">
        <v>1993</v>
      </c>
      <c r="B87" s="20" t="s">
        <v>25</v>
      </c>
      <c r="C87" s="20">
        <v>24</v>
      </c>
      <c r="D87" s="38" t="s">
        <v>262</v>
      </c>
      <c r="E87" s="38" t="s">
        <v>940</v>
      </c>
      <c r="F87" s="41">
        <v>5200</v>
      </c>
      <c r="G87" s="47" t="s">
        <v>939</v>
      </c>
      <c r="H87" s="34">
        <v>1.3</v>
      </c>
      <c r="I87" s="34">
        <v>0</v>
      </c>
      <c r="J87" s="48">
        <v>0</v>
      </c>
      <c r="K87" s="34">
        <v>0</v>
      </c>
    </row>
    <row r="88" spans="1:11" ht="13.9" x14ac:dyDescent="0.25">
      <c r="A88" s="34">
        <v>1993</v>
      </c>
      <c r="B88" s="20" t="s">
        <v>25</v>
      </c>
      <c r="C88" s="20">
        <v>25</v>
      </c>
      <c r="D88" s="38" t="s">
        <v>258</v>
      </c>
      <c r="E88" s="38" t="s">
        <v>1069</v>
      </c>
      <c r="F88" s="41">
        <v>5250</v>
      </c>
      <c r="G88" s="47" t="s">
        <v>1078</v>
      </c>
      <c r="H88" s="34">
        <v>1.3</v>
      </c>
      <c r="I88" s="34">
        <v>0</v>
      </c>
      <c r="J88" s="48">
        <v>0</v>
      </c>
      <c r="K88" s="34">
        <v>0</v>
      </c>
    </row>
    <row r="89" spans="1:11" ht="13.9" x14ac:dyDescent="0.25">
      <c r="A89" s="34">
        <v>1993</v>
      </c>
      <c r="B89" s="20" t="s">
        <v>25</v>
      </c>
      <c r="C89" s="20">
        <v>26</v>
      </c>
      <c r="D89" s="38" t="s">
        <v>151</v>
      </c>
      <c r="E89" s="38" t="s">
        <v>741</v>
      </c>
      <c r="F89" s="41">
        <v>5300</v>
      </c>
      <c r="G89" s="47" t="s">
        <v>938</v>
      </c>
      <c r="H89" s="34">
        <v>1.3</v>
      </c>
      <c r="I89" s="34">
        <v>0</v>
      </c>
      <c r="J89" s="48">
        <v>0</v>
      </c>
      <c r="K89" s="34">
        <v>0</v>
      </c>
    </row>
    <row r="90" spans="1:11" ht="13.9" x14ac:dyDescent="0.25">
      <c r="A90" s="34">
        <v>1993</v>
      </c>
      <c r="B90" s="20" t="s">
        <v>25</v>
      </c>
      <c r="C90" s="20">
        <v>27</v>
      </c>
      <c r="D90" s="38" t="s">
        <v>256</v>
      </c>
      <c r="E90" s="38" t="s">
        <v>1068</v>
      </c>
      <c r="F90" s="41">
        <v>5275</v>
      </c>
      <c r="G90" s="47" t="s">
        <v>1077</v>
      </c>
      <c r="H90" s="34">
        <v>1.3</v>
      </c>
      <c r="I90" s="34">
        <v>0</v>
      </c>
      <c r="J90" s="48">
        <v>0</v>
      </c>
      <c r="K90" s="34">
        <v>0</v>
      </c>
    </row>
    <row r="91" spans="1:11" x14ac:dyDescent="0.25">
      <c r="A91" s="34">
        <v>1993</v>
      </c>
      <c r="B91" s="20" t="s">
        <v>25</v>
      </c>
      <c r="C91" s="20">
        <v>28</v>
      </c>
      <c r="D91" s="38" t="s">
        <v>258</v>
      </c>
      <c r="E91" s="38" t="s">
        <v>1069</v>
      </c>
      <c r="F91" s="38" t="s">
        <v>1065</v>
      </c>
      <c r="G91" s="47" t="s">
        <v>1078</v>
      </c>
      <c r="H91" s="34">
        <v>1.3</v>
      </c>
      <c r="I91" s="34">
        <v>0</v>
      </c>
      <c r="J91" s="48">
        <v>0</v>
      </c>
      <c r="K91" s="34">
        <v>0</v>
      </c>
    </row>
    <row r="92" spans="1:11" x14ac:dyDescent="0.25">
      <c r="A92" s="34">
        <v>1993</v>
      </c>
      <c r="B92" s="20" t="s">
        <v>25</v>
      </c>
      <c r="C92" s="20">
        <v>29</v>
      </c>
      <c r="D92" s="38" t="s">
        <v>258</v>
      </c>
      <c r="E92" s="38" t="s">
        <v>1069</v>
      </c>
      <c r="F92" s="40">
        <v>5250</v>
      </c>
      <c r="G92" s="47" t="s">
        <v>1078</v>
      </c>
      <c r="H92" s="34">
        <v>0</v>
      </c>
      <c r="I92" s="34">
        <v>0</v>
      </c>
      <c r="J92" s="48">
        <v>0</v>
      </c>
      <c r="K92" s="34">
        <v>0</v>
      </c>
    </row>
    <row r="93" spans="1:11" x14ac:dyDescent="0.25">
      <c r="A93" s="34">
        <v>1993</v>
      </c>
      <c r="B93" s="20" t="s">
        <v>25</v>
      </c>
      <c r="C93" s="20">
        <v>30</v>
      </c>
      <c r="D93" s="38" t="s">
        <v>258</v>
      </c>
      <c r="E93" s="38" t="s">
        <v>1069</v>
      </c>
      <c r="F93" s="40">
        <v>5250</v>
      </c>
      <c r="G93" s="47" t="s">
        <v>1078</v>
      </c>
      <c r="H93" s="34">
        <v>0</v>
      </c>
      <c r="I93" s="34">
        <v>0</v>
      </c>
      <c r="J93" s="48">
        <v>0</v>
      </c>
      <c r="K93" s="34">
        <v>0</v>
      </c>
    </row>
    <row r="94" spans="1:11" x14ac:dyDescent="0.25">
      <c r="A94" s="34">
        <v>1993</v>
      </c>
      <c r="B94" s="20" t="s">
        <v>25</v>
      </c>
      <c r="C94" s="20">
        <v>31</v>
      </c>
      <c r="D94" s="38" t="s">
        <v>258</v>
      </c>
      <c r="E94" s="38" t="s">
        <v>1069</v>
      </c>
      <c r="F94" s="40">
        <v>5250</v>
      </c>
      <c r="G94" s="47" t="s">
        <v>1078</v>
      </c>
      <c r="H94" s="34">
        <v>0</v>
      </c>
      <c r="I94" s="34">
        <v>0</v>
      </c>
      <c r="J94" s="48">
        <v>0</v>
      </c>
      <c r="K94" s="34">
        <v>0</v>
      </c>
    </row>
    <row r="95" spans="1:11" x14ac:dyDescent="0.25">
      <c r="A95" s="34">
        <v>1993</v>
      </c>
      <c r="B95" s="20" t="s">
        <v>26</v>
      </c>
      <c r="C95" s="20">
        <v>1</v>
      </c>
      <c r="D95" s="38" t="s">
        <v>258</v>
      </c>
      <c r="E95" s="38" t="s">
        <v>1069</v>
      </c>
      <c r="F95" s="40">
        <v>5250</v>
      </c>
      <c r="G95" s="47" t="s">
        <v>1078</v>
      </c>
      <c r="H95" s="34">
        <v>0</v>
      </c>
      <c r="I95" s="34">
        <v>0</v>
      </c>
      <c r="J95" s="48">
        <v>0</v>
      </c>
      <c r="K95" s="34">
        <v>0</v>
      </c>
    </row>
    <row r="96" spans="1:11" x14ac:dyDescent="0.25">
      <c r="A96" s="34">
        <v>1993</v>
      </c>
      <c r="B96" s="20" t="s">
        <v>26</v>
      </c>
      <c r="C96" s="20">
        <v>2</v>
      </c>
      <c r="D96" s="38" t="s">
        <v>258</v>
      </c>
      <c r="E96" s="38" t="s">
        <v>1069</v>
      </c>
      <c r="F96" s="40">
        <v>5250</v>
      </c>
      <c r="G96" s="47" t="s">
        <v>1078</v>
      </c>
      <c r="H96" s="34">
        <v>0</v>
      </c>
      <c r="I96" s="34">
        <v>0</v>
      </c>
      <c r="J96" s="48">
        <v>0</v>
      </c>
      <c r="K96" s="34">
        <v>0</v>
      </c>
    </row>
    <row r="97" spans="1:11" x14ac:dyDescent="0.25">
      <c r="A97" s="34">
        <v>1993</v>
      </c>
      <c r="B97" s="20" t="s">
        <v>26</v>
      </c>
      <c r="C97" s="20">
        <v>3</v>
      </c>
      <c r="D97" s="38" t="s">
        <v>258</v>
      </c>
      <c r="E97" s="38" t="s">
        <v>1069</v>
      </c>
      <c r="F97" s="40">
        <v>5250</v>
      </c>
      <c r="G97" s="47" t="s">
        <v>1078</v>
      </c>
      <c r="H97" s="34">
        <v>0</v>
      </c>
      <c r="I97" s="34">
        <v>0</v>
      </c>
      <c r="J97" s="48">
        <v>0</v>
      </c>
      <c r="K97" s="34">
        <v>0</v>
      </c>
    </row>
    <row r="98" spans="1:11" x14ac:dyDescent="0.25">
      <c r="A98" s="34">
        <v>1993</v>
      </c>
      <c r="B98" s="20" t="s">
        <v>26</v>
      </c>
      <c r="C98" s="20">
        <v>4</v>
      </c>
      <c r="D98" s="38" t="s">
        <v>258</v>
      </c>
      <c r="E98" s="38" t="s">
        <v>1069</v>
      </c>
      <c r="F98" s="40">
        <v>5250</v>
      </c>
      <c r="G98" s="47" t="s">
        <v>1078</v>
      </c>
      <c r="H98" s="34">
        <v>0</v>
      </c>
      <c r="I98" s="34">
        <v>0</v>
      </c>
      <c r="J98" s="48">
        <v>0</v>
      </c>
      <c r="K98" s="34">
        <v>0</v>
      </c>
    </row>
    <row r="99" spans="1:11" x14ac:dyDescent="0.25">
      <c r="A99" s="34">
        <v>1993</v>
      </c>
      <c r="B99" s="20" t="s">
        <v>26</v>
      </c>
      <c r="C99" s="20">
        <v>5</v>
      </c>
      <c r="D99" s="38" t="s">
        <v>258</v>
      </c>
      <c r="E99" s="38" t="s">
        <v>1069</v>
      </c>
      <c r="F99" s="40">
        <v>5250</v>
      </c>
      <c r="G99" s="47" t="s">
        <v>1078</v>
      </c>
      <c r="H99" s="34">
        <v>0</v>
      </c>
      <c r="I99" s="34">
        <v>0</v>
      </c>
      <c r="J99" s="48">
        <v>0</v>
      </c>
      <c r="K99" s="34">
        <v>0</v>
      </c>
    </row>
    <row r="100" spans="1:11" x14ac:dyDescent="0.25">
      <c r="A100" s="34">
        <v>1993</v>
      </c>
      <c r="B100" s="20" t="s">
        <v>26</v>
      </c>
      <c r="C100" s="20">
        <v>6</v>
      </c>
      <c r="D100" s="38" t="s">
        <v>258</v>
      </c>
      <c r="E100" s="38" t="s">
        <v>1069</v>
      </c>
      <c r="F100" s="40">
        <v>5250</v>
      </c>
      <c r="G100" s="47" t="s">
        <v>1078</v>
      </c>
      <c r="H100" s="34">
        <v>0</v>
      </c>
      <c r="I100" s="34">
        <v>0</v>
      </c>
      <c r="J100" s="48">
        <v>0</v>
      </c>
      <c r="K100" s="34">
        <v>0</v>
      </c>
    </row>
    <row r="101" spans="1:11" x14ac:dyDescent="0.25">
      <c r="A101" s="34">
        <v>1993</v>
      </c>
      <c r="B101" s="20" t="s">
        <v>26</v>
      </c>
      <c r="C101" s="20">
        <v>7</v>
      </c>
      <c r="D101" s="38" t="s">
        <v>258</v>
      </c>
      <c r="E101" s="38" t="s">
        <v>1069</v>
      </c>
      <c r="F101" s="40">
        <v>5250</v>
      </c>
      <c r="G101" s="47" t="s">
        <v>1078</v>
      </c>
      <c r="H101" s="34">
        <v>0</v>
      </c>
      <c r="I101" s="34">
        <v>0</v>
      </c>
      <c r="J101" s="48">
        <v>0</v>
      </c>
      <c r="K101" s="34">
        <v>0</v>
      </c>
    </row>
    <row r="102" spans="1:11" x14ac:dyDescent="0.25">
      <c r="A102" s="34">
        <v>1993</v>
      </c>
      <c r="B102" s="20" t="s">
        <v>26</v>
      </c>
      <c r="C102" s="20">
        <v>8</v>
      </c>
      <c r="D102" s="38" t="s">
        <v>1081</v>
      </c>
      <c r="E102" s="38" t="s">
        <v>1069</v>
      </c>
      <c r="F102" s="38" t="s">
        <v>1065</v>
      </c>
      <c r="G102" s="47" t="s">
        <v>1078</v>
      </c>
      <c r="H102" s="34">
        <v>0</v>
      </c>
      <c r="I102" s="34">
        <v>0</v>
      </c>
      <c r="J102" s="48">
        <v>0</v>
      </c>
      <c r="K102" s="34">
        <v>0</v>
      </c>
    </row>
    <row r="103" spans="1:11" x14ac:dyDescent="0.25">
      <c r="A103" s="34">
        <v>1993</v>
      </c>
      <c r="B103" s="20" t="s">
        <v>26</v>
      </c>
      <c r="C103" s="20">
        <v>9</v>
      </c>
      <c r="D103" s="38" t="s">
        <v>258</v>
      </c>
      <c r="E103" s="38" t="s">
        <v>1069</v>
      </c>
      <c r="F103" s="40">
        <v>5250</v>
      </c>
      <c r="G103" s="47" t="s">
        <v>1078</v>
      </c>
      <c r="H103" s="34">
        <v>0</v>
      </c>
      <c r="I103" s="34">
        <v>0</v>
      </c>
      <c r="J103" s="48">
        <v>0</v>
      </c>
      <c r="K103" s="34">
        <v>0</v>
      </c>
    </row>
    <row r="104" spans="1:11" x14ac:dyDescent="0.25">
      <c r="A104" s="34">
        <v>1993</v>
      </c>
      <c r="B104" s="20" t="s">
        <v>26</v>
      </c>
      <c r="C104" s="20">
        <v>10</v>
      </c>
      <c r="D104" s="38" t="s">
        <v>258</v>
      </c>
      <c r="E104" s="38" t="s">
        <v>1069</v>
      </c>
      <c r="F104" s="40">
        <v>5250</v>
      </c>
      <c r="G104" s="47" t="s">
        <v>1078</v>
      </c>
      <c r="H104" s="34">
        <v>0</v>
      </c>
      <c r="I104" s="34">
        <v>0</v>
      </c>
      <c r="J104" s="48">
        <v>0</v>
      </c>
      <c r="K104" s="34">
        <v>0</v>
      </c>
    </row>
    <row r="105" spans="1:11" x14ac:dyDescent="0.25">
      <c r="A105" s="34">
        <v>1993</v>
      </c>
      <c r="B105" s="20" t="s">
        <v>26</v>
      </c>
      <c r="C105" s="20">
        <v>11</v>
      </c>
      <c r="D105" s="38" t="s">
        <v>258</v>
      </c>
      <c r="E105" s="38" t="s">
        <v>1069</v>
      </c>
      <c r="F105" s="40">
        <v>5250</v>
      </c>
      <c r="G105" s="47" t="s">
        <v>1078</v>
      </c>
      <c r="H105" s="34">
        <v>0</v>
      </c>
      <c r="I105" s="34">
        <v>0</v>
      </c>
      <c r="J105" s="48">
        <v>0</v>
      </c>
      <c r="K105" s="34">
        <v>0</v>
      </c>
    </row>
    <row r="106" spans="1:11" x14ac:dyDescent="0.25">
      <c r="A106" s="34">
        <v>1993</v>
      </c>
      <c r="B106" s="20" t="s">
        <v>26</v>
      </c>
      <c r="C106" s="20">
        <v>12</v>
      </c>
      <c r="D106" s="38" t="s">
        <v>258</v>
      </c>
      <c r="E106" s="38" t="s">
        <v>1069</v>
      </c>
      <c r="F106" s="40">
        <v>5250</v>
      </c>
      <c r="G106" s="47" t="s">
        <v>1078</v>
      </c>
      <c r="H106" s="34">
        <v>0</v>
      </c>
      <c r="I106" s="34">
        <v>0</v>
      </c>
      <c r="J106" s="48">
        <v>0</v>
      </c>
      <c r="K106" s="34">
        <v>0</v>
      </c>
    </row>
    <row r="107" spans="1:11" x14ac:dyDescent="0.25">
      <c r="A107" s="34">
        <v>1993</v>
      </c>
      <c r="B107" s="20" t="s">
        <v>26</v>
      </c>
      <c r="C107" s="20">
        <v>13</v>
      </c>
      <c r="D107" s="38" t="s">
        <v>258</v>
      </c>
      <c r="E107" s="38" t="s">
        <v>1069</v>
      </c>
      <c r="F107" s="38" t="s">
        <v>1065</v>
      </c>
      <c r="G107" s="47" t="s">
        <v>1078</v>
      </c>
      <c r="H107" s="34">
        <v>0</v>
      </c>
      <c r="I107" s="34">
        <v>0</v>
      </c>
      <c r="J107" s="48">
        <v>0</v>
      </c>
      <c r="K107" s="34">
        <v>0</v>
      </c>
    </row>
    <row r="108" spans="1:11" x14ac:dyDescent="0.25">
      <c r="A108" s="34">
        <v>1993</v>
      </c>
      <c r="B108" s="20" t="s">
        <v>26</v>
      </c>
      <c r="C108" s="20">
        <v>14</v>
      </c>
      <c r="D108" s="38" t="s">
        <v>258</v>
      </c>
      <c r="E108" s="38" t="s">
        <v>1069</v>
      </c>
      <c r="F108" s="40">
        <v>5250</v>
      </c>
      <c r="G108" s="47" t="s">
        <v>1078</v>
      </c>
      <c r="H108" s="34">
        <v>0</v>
      </c>
      <c r="I108" s="34">
        <v>0</v>
      </c>
      <c r="J108" s="48">
        <v>0</v>
      </c>
      <c r="K108" s="34">
        <v>0</v>
      </c>
    </row>
    <row r="109" spans="1:11" x14ac:dyDescent="0.25">
      <c r="A109" s="34">
        <v>1993</v>
      </c>
      <c r="B109" s="20" t="s">
        <v>26</v>
      </c>
      <c r="C109" s="20">
        <v>15</v>
      </c>
      <c r="D109" s="38" t="s">
        <v>258</v>
      </c>
      <c r="E109" s="38" t="s">
        <v>1069</v>
      </c>
      <c r="F109" s="38" t="s">
        <v>1065</v>
      </c>
      <c r="G109" s="47" t="s">
        <v>1078</v>
      </c>
      <c r="H109" s="34">
        <v>0</v>
      </c>
      <c r="I109" s="34">
        <v>0</v>
      </c>
      <c r="J109" s="48">
        <v>0</v>
      </c>
      <c r="K109" s="34">
        <v>0</v>
      </c>
    </row>
    <row r="110" spans="1:11" x14ac:dyDescent="0.25">
      <c r="A110" s="34">
        <v>1993</v>
      </c>
      <c r="B110" s="20" t="s">
        <v>26</v>
      </c>
      <c r="C110" s="20">
        <v>16</v>
      </c>
      <c r="D110" s="38" t="s">
        <v>258</v>
      </c>
      <c r="E110" s="38" t="s">
        <v>1069</v>
      </c>
      <c r="F110" s="40">
        <v>5250</v>
      </c>
      <c r="G110" s="47" t="s">
        <v>1078</v>
      </c>
      <c r="H110" s="34">
        <v>0</v>
      </c>
      <c r="I110" s="34">
        <v>0</v>
      </c>
      <c r="J110" s="48">
        <v>0</v>
      </c>
      <c r="K110" s="34">
        <v>0</v>
      </c>
    </row>
    <row r="111" spans="1:11" x14ac:dyDescent="0.25">
      <c r="A111" s="34">
        <v>1993</v>
      </c>
      <c r="B111" s="20" t="s">
        <v>26</v>
      </c>
      <c r="C111" s="20">
        <v>17</v>
      </c>
      <c r="D111" s="38" t="s">
        <v>258</v>
      </c>
      <c r="E111" s="38" t="s">
        <v>1069</v>
      </c>
      <c r="F111" s="40">
        <v>5250</v>
      </c>
      <c r="G111" s="47" t="s">
        <v>1078</v>
      </c>
      <c r="H111" s="34">
        <v>0</v>
      </c>
      <c r="I111" s="34">
        <v>0</v>
      </c>
      <c r="J111" s="48">
        <v>0</v>
      </c>
      <c r="K111" s="34">
        <v>0</v>
      </c>
    </row>
    <row r="112" spans="1:11" x14ac:dyDescent="0.25">
      <c r="A112" s="34">
        <v>1993</v>
      </c>
      <c r="B112" s="20" t="s">
        <v>26</v>
      </c>
      <c r="C112" s="20">
        <v>18</v>
      </c>
      <c r="D112" s="38" t="s">
        <v>258</v>
      </c>
      <c r="E112" s="38" t="s">
        <v>1069</v>
      </c>
      <c r="F112" s="40">
        <v>5250</v>
      </c>
      <c r="G112" s="47" t="s">
        <v>1078</v>
      </c>
      <c r="H112" s="34">
        <v>0</v>
      </c>
      <c r="I112" s="34">
        <v>0</v>
      </c>
      <c r="J112" s="48">
        <v>0</v>
      </c>
      <c r="K112" s="34">
        <v>0</v>
      </c>
    </row>
    <row r="113" spans="1:11" x14ac:dyDescent="0.25">
      <c r="A113" s="34">
        <v>1993</v>
      </c>
      <c r="B113" s="20" t="s">
        <v>26</v>
      </c>
      <c r="C113" s="20">
        <v>19</v>
      </c>
      <c r="D113" s="38" t="s">
        <v>258</v>
      </c>
      <c r="E113" s="38" t="s">
        <v>1069</v>
      </c>
      <c r="F113" s="40">
        <v>5250</v>
      </c>
      <c r="G113" s="47" t="s">
        <v>1078</v>
      </c>
      <c r="H113" s="34">
        <v>0</v>
      </c>
      <c r="I113" s="34">
        <v>0</v>
      </c>
      <c r="J113" s="48">
        <v>0</v>
      </c>
      <c r="K113" s="34">
        <v>0</v>
      </c>
    </row>
    <row r="114" spans="1:11" x14ac:dyDescent="0.25">
      <c r="A114" s="34">
        <v>1993</v>
      </c>
      <c r="B114" s="20" t="s">
        <v>26</v>
      </c>
      <c r="C114" s="20">
        <v>20</v>
      </c>
      <c r="D114" s="38" t="s">
        <v>258</v>
      </c>
      <c r="E114" s="38" t="s">
        <v>1069</v>
      </c>
      <c r="F114" s="38" t="s">
        <v>1065</v>
      </c>
      <c r="G114" s="47" t="s">
        <v>1078</v>
      </c>
      <c r="H114" s="34">
        <v>0</v>
      </c>
      <c r="I114" s="34">
        <v>0</v>
      </c>
      <c r="J114" s="48">
        <v>0</v>
      </c>
      <c r="K114" s="34">
        <v>0</v>
      </c>
    </row>
    <row r="115" spans="1:11" x14ac:dyDescent="0.25">
      <c r="A115" s="34">
        <v>1993</v>
      </c>
      <c r="B115" s="20" t="s">
        <v>26</v>
      </c>
      <c r="C115" s="20">
        <v>21</v>
      </c>
      <c r="D115" s="38" t="s">
        <v>258</v>
      </c>
      <c r="E115" s="38" t="s">
        <v>1069</v>
      </c>
      <c r="F115" s="40">
        <v>5250</v>
      </c>
      <c r="G115" s="47" t="s">
        <v>1078</v>
      </c>
      <c r="H115" s="34">
        <v>0</v>
      </c>
      <c r="I115" s="34">
        <v>0</v>
      </c>
      <c r="J115" s="48">
        <v>0</v>
      </c>
      <c r="K115" s="34">
        <v>0</v>
      </c>
    </row>
    <row r="116" spans="1:11" x14ac:dyDescent="0.25">
      <c r="A116" s="34">
        <v>1993</v>
      </c>
      <c r="B116" s="20" t="s">
        <v>26</v>
      </c>
      <c r="C116" s="20">
        <v>22</v>
      </c>
      <c r="D116" s="38" t="s">
        <v>258</v>
      </c>
      <c r="E116" s="38" t="s">
        <v>1069</v>
      </c>
      <c r="F116" s="40">
        <v>5250</v>
      </c>
      <c r="G116" s="47" t="s">
        <v>1078</v>
      </c>
      <c r="H116" s="34">
        <v>0</v>
      </c>
      <c r="I116" s="34">
        <v>0</v>
      </c>
      <c r="J116" s="48">
        <v>0</v>
      </c>
      <c r="K116" s="34">
        <v>0</v>
      </c>
    </row>
    <row r="117" spans="1:11" x14ac:dyDescent="0.25">
      <c r="A117" s="34">
        <v>1993</v>
      </c>
      <c r="B117" s="20" t="s">
        <v>26</v>
      </c>
      <c r="C117" s="20">
        <v>23</v>
      </c>
      <c r="D117" s="38" t="s">
        <v>258</v>
      </c>
      <c r="E117" s="38" t="s">
        <v>1069</v>
      </c>
      <c r="F117" s="40">
        <v>5250</v>
      </c>
      <c r="G117" s="47" t="s">
        <v>1078</v>
      </c>
      <c r="H117" s="34">
        <v>0</v>
      </c>
      <c r="I117" s="34">
        <v>0</v>
      </c>
      <c r="J117" s="48">
        <v>0</v>
      </c>
      <c r="K117" s="34">
        <v>0</v>
      </c>
    </row>
    <row r="118" spans="1:11" x14ac:dyDescent="0.25">
      <c r="A118" s="34">
        <v>1993</v>
      </c>
      <c r="B118" s="20" t="s">
        <v>26</v>
      </c>
      <c r="C118" s="20">
        <v>24</v>
      </c>
      <c r="D118" s="38" t="s">
        <v>258</v>
      </c>
      <c r="E118" s="38" t="s">
        <v>1069</v>
      </c>
      <c r="F118" s="40">
        <v>5250</v>
      </c>
      <c r="G118" s="47" t="s">
        <v>1078</v>
      </c>
      <c r="H118" s="34">
        <v>0</v>
      </c>
      <c r="I118" s="34">
        <v>0</v>
      </c>
      <c r="J118" s="48">
        <v>0</v>
      </c>
      <c r="K118" s="34">
        <v>0</v>
      </c>
    </row>
    <row r="119" spans="1:11" x14ac:dyDescent="0.25">
      <c r="A119" s="34">
        <v>1993</v>
      </c>
      <c r="B119" s="20" t="s">
        <v>26</v>
      </c>
      <c r="C119" s="20">
        <v>25</v>
      </c>
      <c r="D119" s="38" t="s">
        <v>258</v>
      </c>
      <c r="E119" s="38" t="s">
        <v>1069</v>
      </c>
      <c r="F119" s="40">
        <v>5250</v>
      </c>
      <c r="G119" s="47" t="s">
        <v>1078</v>
      </c>
      <c r="H119" s="34">
        <v>0</v>
      </c>
      <c r="I119" s="34">
        <v>0</v>
      </c>
      <c r="J119" s="48">
        <v>0</v>
      </c>
      <c r="K119" s="34">
        <v>0</v>
      </c>
    </row>
    <row r="120" spans="1:11" x14ac:dyDescent="0.25">
      <c r="A120" s="34">
        <v>1993</v>
      </c>
      <c r="B120" s="20" t="s">
        <v>26</v>
      </c>
      <c r="C120" s="20">
        <v>26</v>
      </c>
      <c r="D120" s="38" t="s">
        <v>258</v>
      </c>
      <c r="E120" s="38" t="s">
        <v>1069</v>
      </c>
      <c r="F120" s="40">
        <v>5250</v>
      </c>
      <c r="G120" s="47" t="s">
        <v>1078</v>
      </c>
      <c r="H120" s="34">
        <v>0</v>
      </c>
      <c r="I120" s="34">
        <v>0</v>
      </c>
      <c r="J120" s="48">
        <v>0</v>
      </c>
      <c r="K120" s="34">
        <v>0</v>
      </c>
    </row>
    <row r="121" spans="1:11" x14ac:dyDescent="0.25">
      <c r="A121" s="34">
        <v>1993</v>
      </c>
      <c r="B121" s="20" t="s">
        <v>26</v>
      </c>
      <c r="C121" s="20">
        <v>27</v>
      </c>
      <c r="D121" s="38" t="s">
        <v>258</v>
      </c>
      <c r="E121" s="38" t="s">
        <v>1069</v>
      </c>
      <c r="F121" s="40">
        <v>5250</v>
      </c>
      <c r="G121" s="47" t="s">
        <v>1078</v>
      </c>
      <c r="H121" s="34">
        <v>0</v>
      </c>
      <c r="I121" s="34">
        <v>0</v>
      </c>
      <c r="J121" s="48">
        <v>0</v>
      </c>
      <c r="K121" s="34">
        <v>0</v>
      </c>
    </row>
    <row r="122" spans="1:11" x14ac:dyDescent="0.25">
      <c r="A122" s="34">
        <v>1993</v>
      </c>
      <c r="B122" s="20" t="s">
        <v>26</v>
      </c>
      <c r="C122" s="20">
        <v>28</v>
      </c>
      <c r="D122" s="38" t="s">
        <v>258</v>
      </c>
      <c r="E122" s="38" t="s">
        <v>1069</v>
      </c>
      <c r="F122" s="40">
        <v>5250</v>
      </c>
      <c r="G122" s="47" t="s">
        <v>1078</v>
      </c>
      <c r="H122" s="34">
        <v>0</v>
      </c>
      <c r="I122" s="34">
        <v>0</v>
      </c>
      <c r="J122" s="48">
        <v>0</v>
      </c>
      <c r="K122" s="34">
        <v>0</v>
      </c>
    </row>
    <row r="123" spans="1:11" x14ac:dyDescent="0.25">
      <c r="A123" s="34">
        <v>1993</v>
      </c>
      <c r="B123" s="20" t="s">
        <v>26</v>
      </c>
      <c r="C123" s="20">
        <v>29</v>
      </c>
      <c r="D123" s="38" t="s">
        <v>258</v>
      </c>
      <c r="E123" s="38" t="s">
        <v>1069</v>
      </c>
      <c r="F123" s="40">
        <v>5250</v>
      </c>
      <c r="G123" s="47" t="s">
        <v>1078</v>
      </c>
      <c r="H123" s="34">
        <v>0</v>
      </c>
      <c r="I123" s="34">
        <v>0</v>
      </c>
      <c r="J123" s="48">
        <v>0</v>
      </c>
      <c r="K123" s="34">
        <v>0</v>
      </c>
    </row>
    <row r="124" spans="1:11" x14ac:dyDescent="0.25">
      <c r="A124" s="34">
        <v>1993</v>
      </c>
      <c r="B124" s="20" t="s">
        <v>26</v>
      </c>
      <c r="C124" s="20">
        <v>30</v>
      </c>
      <c r="D124" s="38" t="s">
        <v>258</v>
      </c>
      <c r="E124" s="38" t="s">
        <v>1069</v>
      </c>
      <c r="F124" s="40">
        <v>5250</v>
      </c>
      <c r="G124" s="47" t="s">
        <v>1078</v>
      </c>
      <c r="H124" s="34">
        <v>0</v>
      </c>
      <c r="I124" s="34">
        <v>0</v>
      </c>
      <c r="J124" s="48">
        <v>0</v>
      </c>
      <c r="K124" s="34">
        <v>0</v>
      </c>
    </row>
    <row r="125" spans="1:11" x14ac:dyDescent="0.25">
      <c r="A125" s="34">
        <v>1993</v>
      </c>
      <c r="B125" s="20" t="s">
        <v>27</v>
      </c>
      <c r="C125" s="20">
        <v>1</v>
      </c>
      <c r="D125" s="38" t="s">
        <v>258</v>
      </c>
      <c r="E125" s="38" t="s">
        <v>1069</v>
      </c>
      <c r="F125" s="42" t="s">
        <v>1065</v>
      </c>
      <c r="G125" s="47" t="s">
        <v>1078</v>
      </c>
      <c r="H125" s="34">
        <v>0</v>
      </c>
      <c r="I125" s="34">
        <v>0</v>
      </c>
      <c r="J125" s="48">
        <v>0</v>
      </c>
      <c r="K125" s="34">
        <v>0</v>
      </c>
    </row>
    <row r="126" spans="1:11" x14ac:dyDescent="0.25">
      <c r="A126" s="34">
        <v>1993</v>
      </c>
      <c r="B126" s="20" t="s">
        <v>27</v>
      </c>
      <c r="C126" s="20">
        <v>2</v>
      </c>
      <c r="D126" s="38" t="s">
        <v>258</v>
      </c>
      <c r="E126" s="38" t="s">
        <v>1069</v>
      </c>
      <c r="F126" s="42" t="s">
        <v>1082</v>
      </c>
      <c r="G126" s="47" t="s">
        <v>1078</v>
      </c>
      <c r="H126" s="34">
        <v>0</v>
      </c>
      <c r="I126" s="34">
        <v>0</v>
      </c>
      <c r="J126" s="48">
        <v>0</v>
      </c>
      <c r="K126" s="34">
        <v>0</v>
      </c>
    </row>
    <row r="127" spans="1:11" x14ac:dyDescent="0.25">
      <c r="A127" s="34">
        <v>1993</v>
      </c>
      <c r="B127" s="20" t="s">
        <v>27</v>
      </c>
      <c r="C127" s="20">
        <v>3</v>
      </c>
      <c r="D127" s="38" t="s">
        <v>262</v>
      </c>
      <c r="E127" s="38" t="s">
        <v>940</v>
      </c>
      <c r="F127" s="42" t="s">
        <v>1082</v>
      </c>
      <c r="G127" s="47" t="s">
        <v>939</v>
      </c>
      <c r="H127" s="34">
        <v>0</v>
      </c>
      <c r="I127" s="34">
        <v>0</v>
      </c>
      <c r="J127" s="48">
        <v>0</v>
      </c>
      <c r="K127" s="34">
        <v>0</v>
      </c>
    </row>
    <row r="128" spans="1:11" x14ac:dyDescent="0.25">
      <c r="A128" s="34">
        <v>1993</v>
      </c>
      <c r="B128" s="20" t="s">
        <v>27</v>
      </c>
      <c r="C128" s="20">
        <v>4</v>
      </c>
      <c r="D128" s="38" t="s">
        <v>262</v>
      </c>
      <c r="E128" s="38" t="s">
        <v>940</v>
      </c>
      <c r="F128" s="42" t="s">
        <v>1082</v>
      </c>
      <c r="G128" s="47" t="s">
        <v>939</v>
      </c>
      <c r="H128" s="34">
        <v>0</v>
      </c>
      <c r="I128" s="34">
        <v>0</v>
      </c>
      <c r="J128" s="48">
        <v>0</v>
      </c>
      <c r="K128" s="34">
        <v>0</v>
      </c>
    </row>
    <row r="129" spans="1:11" x14ac:dyDescent="0.25">
      <c r="A129" s="34">
        <v>1993</v>
      </c>
      <c r="B129" s="20" t="s">
        <v>27</v>
      </c>
      <c r="C129" s="20">
        <v>5</v>
      </c>
      <c r="D129" s="38" t="s">
        <v>262</v>
      </c>
      <c r="E129" s="38" t="s">
        <v>940</v>
      </c>
      <c r="F129" s="42" t="s">
        <v>1082</v>
      </c>
      <c r="G129" s="47" t="s">
        <v>939</v>
      </c>
      <c r="H129" s="34">
        <v>0</v>
      </c>
      <c r="I129" s="34">
        <v>0</v>
      </c>
      <c r="J129" s="48">
        <v>0</v>
      </c>
      <c r="K129" s="34">
        <v>0</v>
      </c>
    </row>
    <row r="130" spans="1:11" x14ac:dyDescent="0.25">
      <c r="A130" s="34">
        <v>1993</v>
      </c>
      <c r="B130" s="20" t="s">
        <v>27</v>
      </c>
      <c r="C130" s="20">
        <v>6</v>
      </c>
      <c r="D130" s="38" t="s">
        <v>262</v>
      </c>
      <c r="E130" s="38" t="s">
        <v>940</v>
      </c>
      <c r="F130" s="42" t="s">
        <v>1082</v>
      </c>
      <c r="G130" s="47" t="s">
        <v>939</v>
      </c>
      <c r="H130" s="34">
        <v>0</v>
      </c>
      <c r="I130" s="34">
        <v>0</v>
      </c>
      <c r="J130" s="48">
        <v>0</v>
      </c>
      <c r="K130" s="34">
        <v>0</v>
      </c>
    </row>
    <row r="131" spans="1:11" x14ac:dyDescent="0.25">
      <c r="A131" s="34">
        <v>1993</v>
      </c>
      <c r="B131" s="20" t="s">
        <v>27</v>
      </c>
      <c r="C131" s="20">
        <v>7</v>
      </c>
      <c r="D131" s="38" t="s">
        <v>262</v>
      </c>
      <c r="E131" s="38" t="s">
        <v>940</v>
      </c>
      <c r="F131" s="42" t="s">
        <v>1082</v>
      </c>
      <c r="G131" s="47" t="s">
        <v>939</v>
      </c>
      <c r="H131" s="34">
        <v>0</v>
      </c>
      <c r="I131" s="34">
        <v>0</v>
      </c>
      <c r="J131" s="48">
        <v>0</v>
      </c>
      <c r="K131" s="34">
        <v>0</v>
      </c>
    </row>
    <row r="132" spans="1:11" x14ac:dyDescent="0.25">
      <c r="A132" s="34">
        <v>1993</v>
      </c>
      <c r="B132" s="20" t="s">
        <v>27</v>
      </c>
      <c r="C132" s="20">
        <v>8</v>
      </c>
      <c r="D132" s="38" t="s">
        <v>262</v>
      </c>
      <c r="E132" s="38" t="s">
        <v>940</v>
      </c>
      <c r="F132" s="42" t="s">
        <v>1082</v>
      </c>
      <c r="G132" s="47" t="s">
        <v>939</v>
      </c>
      <c r="H132" s="34">
        <v>0</v>
      </c>
      <c r="I132" s="34">
        <v>0</v>
      </c>
      <c r="J132" s="48">
        <v>0</v>
      </c>
      <c r="K132" s="34">
        <v>0</v>
      </c>
    </row>
    <row r="133" spans="1:11" x14ac:dyDescent="0.25">
      <c r="A133" s="34">
        <v>1993</v>
      </c>
      <c r="B133" s="20" t="s">
        <v>27</v>
      </c>
      <c r="C133" s="20">
        <v>9</v>
      </c>
      <c r="D133" s="38" t="s">
        <v>262</v>
      </c>
      <c r="E133" s="38" t="s">
        <v>940</v>
      </c>
      <c r="F133" s="42" t="s">
        <v>1082</v>
      </c>
      <c r="G133" s="47" t="s">
        <v>939</v>
      </c>
      <c r="H133" s="34">
        <v>0</v>
      </c>
      <c r="I133" s="34">
        <v>0</v>
      </c>
      <c r="J133" s="48">
        <v>0</v>
      </c>
      <c r="K133" s="34">
        <v>0</v>
      </c>
    </row>
    <row r="134" spans="1:11" x14ac:dyDescent="0.25">
      <c r="A134" s="34">
        <v>1993</v>
      </c>
      <c r="B134" s="20" t="s">
        <v>27</v>
      </c>
      <c r="C134" s="20">
        <v>10</v>
      </c>
      <c r="D134" s="38" t="s">
        <v>262</v>
      </c>
      <c r="E134" s="38" t="s">
        <v>940</v>
      </c>
      <c r="F134" s="42" t="s">
        <v>1082</v>
      </c>
      <c r="G134" s="47" t="s">
        <v>939</v>
      </c>
      <c r="H134" s="34">
        <v>0</v>
      </c>
      <c r="I134" s="34">
        <v>0</v>
      </c>
      <c r="J134" s="48">
        <v>0</v>
      </c>
      <c r="K134" s="34">
        <v>0</v>
      </c>
    </row>
    <row r="135" spans="1:11" x14ac:dyDescent="0.25">
      <c r="A135" s="34">
        <v>1993</v>
      </c>
      <c r="B135" s="20" t="s">
        <v>27</v>
      </c>
      <c r="C135" s="20">
        <v>11</v>
      </c>
      <c r="D135" s="38" t="s">
        <v>262</v>
      </c>
      <c r="E135" s="38" t="s">
        <v>940</v>
      </c>
      <c r="F135" s="42" t="s">
        <v>1082</v>
      </c>
      <c r="G135" s="47" t="s">
        <v>939</v>
      </c>
      <c r="H135" s="34">
        <v>0</v>
      </c>
      <c r="I135" s="34">
        <v>0</v>
      </c>
      <c r="J135" s="48">
        <v>0</v>
      </c>
      <c r="K135" s="34">
        <v>0</v>
      </c>
    </row>
    <row r="136" spans="1:11" x14ac:dyDescent="0.25">
      <c r="A136" s="34">
        <v>1993</v>
      </c>
      <c r="B136" s="20" t="s">
        <v>27</v>
      </c>
      <c r="C136" s="20">
        <v>12</v>
      </c>
      <c r="D136" s="38" t="s">
        <v>262</v>
      </c>
      <c r="E136" s="38" t="s">
        <v>940</v>
      </c>
      <c r="F136" s="42" t="s">
        <v>1082</v>
      </c>
      <c r="G136" s="47" t="s">
        <v>939</v>
      </c>
      <c r="H136" s="34">
        <v>0</v>
      </c>
      <c r="I136" s="34">
        <v>0</v>
      </c>
      <c r="J136" s="48">
        <v>0</v>
      </c>
      <c r="K136" s="34">
        <v>0</v>
      </c>
    </row>
    <row r="137" spans="1:11" x14ac:dyDescent="0.25">
      <c r="A137" s="34">
        <v>1993</v>
      </c>
      <c r="B137" s="20" t="s">
        <v>27</v>
      </c>
      <c r="C137" s="20">
        <v>13</v>
      </c>
      <c r="D137" s="38" t="s">
        <v>262</v>
      </c>
      <c r="E137" s="38" t="s">
        <v>940</v>
      </c>
      <c r="F137" s="42" t="s">
        <v>1082</v>
      </c>
      <c r="G137" s="47" t="s">
        <v>939</v>
      </c>
      <c r="H137" s="34">
        <v>0</v>
      </c>
      <c r="I137" s="34">
        <v>0</v>
      </c>
      <c r="J137" s="48">
        <v>0</v>
      </c>
      <c r="K137" s="34">
        <v>0</v>
      </c>
    </row>
    <row r="138" spans="1:11" x14ac:dyDescent="0.25">
      <c r="A138" s="34">
        <v>1993</v>
      </c>
      <c r="B138" s="20" t="s">
        <v>27</v>
      </c>
      <c r="C138" s="20">
        <v>14</v>
      </c>
      <c r="D138" s="38" t="s">
        <v>262</v>
      </c>
      <c r="E138" s="38" t="s">
        <v>940</v>
      </c>
      <c r="F138" s="42" t="s">
        <v>1082</v>
      </c>
      <c r="G138" s="47" t="s">
        <v>939</v>
      </c>
      <c r="H138" s="34">
        <v>0</v>
      </c>
      <c r="I138" s="34">
        <v>0</v>
      </c>
      <c r="J138" s="48">
        <v>0</v>
      </c>
      <c r="K138" s="34">
        <v>0</v>
      </c>
    </row>
    <row r="139" spans="1:11" x14ac:dyDescent="0.25">
      <c r="A139" s="34">
        <v>1993</v>
      </c>
      <c r="B139" s="20" t="s">
        <v>27</v>
      </c>
      <c r="C139" s="20">
        <v>15</v>
      </c>
      <c r="D139" s="38" t="s">
        <v>262</v>
      </c>
      <c r="E139" s="38" t="s">
        <v>940</v>
      </c>
      <c r="F139" s="42" t="s">
        <v>1082</v>
      </c>
      <c r="G139" s="47" t="s">
        <v>939</v>
      </c>
      <c r="H139" s="34">
        <v>0</v>
      </c>
      <c r="I139" s="34">
        <v>0</v>
      </c>
      <c r="J139" s="48">
        <v>0</v>
      </c>
      <c r="K139" s="34">
        <v>0</v>
      </c>
    </row>
    <row r="140" spans="1:11" x14ac:dyDescent="0.25">
      <c r="A140" s="34">
        <v>1993</v>
      </c>
      <c r="B140" s="20" t="s">
        <v>27</v>
      </c>
      <c r="C140" s="20">
        <v>16</v>
      </c>
      <c r="D140" s="38" t="s">
        <v>423</v>
      </c>
      <c r="E140" s="38" t="s">
        <v>941</v>
      </c>
      <c r="F140" s="36">
        <v>5100</v>
      </c>
      <c r="G140" s="47" t="s">
        <v>942</v>
      </c>
      <c r="H140" s="34">
        <v>0</v>
      </c>
      <c r="I140" s="34">
        <v>0</v>
      </c>
      <c r="J140" s="48">
        <v>0</v>
      </c>
      <c r="K140" s="34">
        <v>0</v>
      </c>
    </row>
    <row r="141" spans="1:11" x14ac:dyDescent="0.25">
      <c r="A141" s="34">
        <v>1993</v>
      </c>
      <c r="B141" s="20" t="s">
        <v>27</v>
      </c>
      <c r="C141" s="20">
        <v>17</v>
      </c>
      <c r="D141" s="38" t="s">
        <v>423</v>
      </c>
      <c r="E141" s="38" t="s">
        <v>941</v>
      </c>
      <c r="F141" s="36">
        <v>5100</v>
      </c>
      <c r="G141" s="47" t="s">
        <v>942</v>
      </c>
      <c r="H141" s="34">
        <v>0</v>
      </c>
      <c r="I141" s="34">
        <v>0</v>
      </c>
      <c r="J141" s="48">
        <v>0</v>
      </c>
      <c r="K141" s="34">
        <v>0</v>
      </c>
    </row>
    <row r="142" spans="1:11" x14ac:dyDescent="0.25">
      <c r="A142" s="34">
        <v>1993</v>
      </c>
      <c r="B142" s="20" t="s">
        <v>27</v>
      </c>
      <c r="C142" s="20">
        <v>18</v>
      </c>
      <c r="D142" s="38" t="s">
        <v>145</v>
      </c>
      <c r="E142" s="38" t="s">
        <v>1093</v>
      </c>
      <c r="F142" s="36">
        <v>5050</v>
      </c>
      <c r="G142" s="47" t="s">
        <v>1084</v>
      </c>
      <c r="H142" s="34">
        <v>0</v>
      </c>
      <c r="I142" s="34">
        <v>0</v>
      </c>
      <c r="J142" s="48">
        <v>0</v>
      </c>
      <c r="K142" s="34">
        <v>0</v>
      </c>
    </row>
    <row r="143" spans="1:11" x14ac:dyDescent="0.25">
      <c r="A143" s="34">
        <v>1993</v>
      </c>
      <c r="B143" s="20" t="s">
        <v>27</v>
      </c>
      <c r="C143" s="20">
        <v>19</v>
      </c>
      <c r="D143" s="38" t="s">
        <v>145</v>
      </c>
      <c r="E143" s="38" t="s">
        <v>1093</v>
      </c>
      <c r="F143" s="36">
        <v>5050</v>
      </c>
      <c r="G143" s="47" t="s">
        <v>1084</v>
      </c>
      <c r="H143" s="34">
        <v>0</v>
      </c>
      <c r="I143" s="34">
        <v>0</v>
      </c>
      <c r="J143" s="48">
        <v>0</v>
      </c>
      <c r="K143" s="34">
        <v>0</v>
      </c>
    </row>
    <row r="144" spans="1:11" x14ac:dyDescent="0.25">
      <c r="A144" s="34">
        <v>1993</v>
      </c>
      <c r="B144" s="20" t="s">
        <v>27</v>
      </c>
      <c r="C144" s="20">
        <v>20</v>
      </c>
      <c r="D144" s="38" t="s">
        <v>145</v>
      </c>
      <c r="E144" s="38" t="s">
        <v>1093</v>
      </c>
      <c r="F144" s="36">
        <v>5050</v>
      </c>
      <c r="G144" s="47" t="s">
        <v>1084</v>
      </c>
      <c r="H144" s="34">
        <v>0</v>
      </c>
      <c r="I144" s="34">
        <v>0</v>
      </c>
      <c r="J144" s="48">
        <v>0</v>
      </c>
      <c r="K144" s="34">
        <v>0</v>
      </c>
    </row>
    <row r="145" spans="1:11" x14ac:dyDescent="0.25">
      <c r="A145" s="34">
        <v>1993</v>
      </c>
      <c r="B145" s="20" t="s">
        <v>27</v>
      </c>
      <c r="C145" s="20">
        <v>21</v>
      </c>
      <c r="D145" s="38" t="s">
        <v>145</v>
      </c>
      <c r="E145" s="38" t="s">
        <v>1093</v>
      </c>
      <c r="F145" s="36">
        <v>5050</v>
      </c>
      <c r="G145" s="47" t="s">
        <v>1084</v>
      </c>
      <c r="H145" s="34">
        <v>0</v>
      </c>
      <c r="I145" s="34">
        <v>0</v>
      </c>
      <c r="J145" s="48">
        <v>0</v>
      </c>
      <c r="K145" s="34">
        <v>0</v>
      </c>
    </row>
    <row r="146" spans="1:11" x14ac:dyDescent="0.25">
      <c r="A146" s="34">
        <v>1993</v>
      </c>
      <c r="B146" s="20" t="s">
        <v>27</v>
      </c>
      <c r="C146" s="20">
        <v>22</v>
      </c>
      <c r="D146" s="38" t="s">
        <v>145</v>
      </c>
      <c r="E146" s="38" t="s">
        <v>1093</v>
      </c>
      <c r="F146" s="36">
        <v>5050</v>
      </c>
      <c r="G146" s="47" t="s">
        <v>1084</v>
      </c>
      <c r="H146" s="34">
        <v>0</v>
      </c>
      <c r="I146" s="34">
        <v>0</v>
      </c>
      <c r="J146" s="48">
        <v>0</v>
      </c>
      <c r="K146" s="34">
        <v>0</v>
      </c>
    </row>
    <row r="147" spans="1:11" x14ac:dyDescent="0.25">
      <c r="A147" s="34">
        <v>1993</v>
      </c>
      <c r="B147" s="20" t="s">
        <v>27</v>
      </c>
      <c r="C147" s="20">
        <v>23</v>
      </c>
      <c r="D147" s="38" t="s">
        <v>145</v>
      </c>
      <c r="E147" s="38" t="s">
        <v>1093</v>
      </c>
      <c r="F147" s="36">
        <v>5050</v>
      </c>
      <c r="G147" s="47" t="s">
        <v>1084</v>
      </c>
      <c r="H147" s="34">
        <v>0</v>
      </c>
      <c r="I147" s="34">
        <v>0</v>
      </c>
      <c r="J147" s="48">
        <v>0</v>
      </c>
      <c r="K147" s="34">
        <v>0</v>
      </c>
    </row>
    <row r="148" spans="1:11" x14ac:dyDescent="0.25">
      <c r="A148" s="34">
        <v>1993</v>
      </c>
      <c r="B148" s="20" t="s">
        <v>27</v>
      </c>
      <c r="C148" s="20">
        <v>24</v>
      </c>
      <c r="D148" s="38" t="s">
        <v>145</v>
      </c>
      <c r="E148" s="38" t="s">
        <v>1093</v>
      </c>
      <c r="F148" s="36">
        <v>5050</v>
      </c>
      <c r="G148" s="47" t="s">
        <v>1084</v>
      </c>
      <c r="H148" s="34">
        <v>0</v>
      </c>
      <c r="I148" s="34">
        <v>0</v>
      </c>
      <c r="J148" s="48">
        <v>0</v>
      </c>
      <c r="K148" s="34">
        <v>0</v>
      </c>
    </row>
    <row r="149" spans="1:11" x14ac:dyDescent="0.25">
      <c r="A149" s="34">
        <v>1993</v>
      </c>
      <c r="B149" s="20" t="s">
        <v>27</v>
      </c>
      <c r="C149" s="20">
        <v>25</v>
      </c>
      <c r="D149" s="38" t="s">
        <v>145</v>
      </c>
      <c r="E149" s="38" t="s">
        <v>1093</v>
      </c>
      <c r="F149" s="38" t="s">
        <v>1083</v>
      </c>
      <c r="G149" s="47" t="s">
        <v>1084</v>
      </c>
      <c r="H149" s="34">
        <v>0</v>
      </c>
      <c r="I149" s="34">
        <v>0</v>
      </c>
      <c r="J149" s="48">
        <v>0</v>
      </c>
      <c r="K149" s="34">
        <v>0</v>
      </c>
    </row>
    <row r="150" spans="1:11" x14ac:dyDescent="0.25">
      <c r="A150" s="34">
        <v>1993</v>
      </c>
      <c r="B150" s="20" t="s">
        <v>27</v>
      </c>
      <c r="C150" s="20">
        <v>26</v>
      </c>
      <c r="D150" s="38" t="s">
        <v>145</v>
      </c>
      <c r="E150" s="38" t="s">
        <v>1093</v>
      </c>
      <c r="F150" s="38" t="s">
        <v>1083</v>
      </c>
      <c r="G150" s="47" t="s">
        <v>1084</v>
      </c>
      <c r="H150" s="34">
        <v>0</v>
      </c>
      <c r="I150" s="34">
        <v>0</v>
      </c>
      <c r="J150" s="48">
        <v>0</v>
      </c>
      <c r="K150" s="34">
        <v>0</v>
      </c>
    </row>
    <row r="151" spans="1:11" x14ac:dyDescent="0.25">
      <c r="A151" s="34">
        <v>1993</v>
      </c>
      <c r="B151" s="20" t="s">
        <v>27</v>
      </c>
      <c r="C151" s="20">
        <v>27</v>
      </c>
      <c r="D151" s="38" t="s">
        <v>145</v>
      </c>
      <c r="E151" s="38" t="s">
        <v>1093</v>
      </c>
      <c r="F151" s="36">
        <v>5050</v>
      </c>
      <c r="G151" s="47" t="s">
        <v>1084</v>
      </c>
      <c r="H151" s="34">
        <v>0</v>
      </c>
      <c r="I151" s="34">
        <v>0</v>
      </c>
      <c r="J151" s="48">
        <v>0</v>
      </c>
      <c r="K151" s="34">
        <v>0</v>
      </c>
    </row>
    <row r="152" spans="1:11" x14ac:dyDescent="0.25">
      <c r="A152" s="34">
        <v>1993</v>
      </c>
      <c r="B152" s="20" t="s">
        <v>27</v>
      </c>
      <c r="C152" s="20">
        <v>28</v>
      </c>
      <c r="D152" s="38" t="s">
        <v>145</v>
      </c>
      <c r="E152" s="38" t="s">
        <v>1093</v>
      </c>
      <c r="F152" s="38" t="s">
        <v>1083</v>
      </c>
      <c r="G152" s="47" t="s">
        <v>1084</v>
      </c>
      <c r="H152" s="34">
        <v>0</v>
      </c>
      <c r="I152" s="34">
        <v>0</v>
      </c>
      <c r="J152" s="48">
        <v>0</v>
      </c>
      <c r="K152" s="34">
        <v>0</v>
      </c>
    </row>
    <row r="153" spans="1:11" x14ac:dyDescent="0.25">
      <c r="A153" s="34">
        <v>1993</v>
      </c>
      <c r="B153" s="20" t="s">
        <v>27</v>
      </c>
      <c r="C153" s="20">
        <v>29</v>
      </c>
      <c r="D153" s="38" t="s">
        <v>145</v>
      </c>
      <c r="E153" s="38" t="s">
        <v>1093</v>
      </c>
      <c r="F153" s="36">
        <v>5050</v>
      </c>
      <c r="G153" s="47" t="s">
        <v>1084</v>
      </c>
      <c r="H153" s="34">
        <v>0</v>
      </c>
      <c r="I153" s="34">
        <v>0</v>
      </c>
      <c r="J153" s="48">
        <v>0</v>
      </c>
      <c r="K153" s="34">
        <v>0</v>
      </c>
    </row>
    <row r="154" spans="1:11" x14ac:dyDescent="0.25">
      <c r="A154" s="34">
        <v>1993</v>
      </c>
      <c r="B154" s="20" t="s">
        <v>27</v>
      </c>
      <c r="C154" s="20">
        <v>30</v>
      </c>
      <c r="D154" s="38" t="s">
        <v>145</v>
      </c>
      <c r="E154" s="38" t="s">
        <v>1093</v>
      </c>
      <c r="F154" s="36">
        <v>5050</v>
      </c>
      <c r="G154" s="47" t="s">
        <v>1084</v>
      </c>
      <c r="H154" s="34">
        <v>0</v>
      </c>
      <c r="I154" s="34">
        <v>0</v>
      </c>
      <c r="J154" s="48">
        <v>0</v>
      </c>
      <c r="K154" s="34">
        <v>0</v>
      </c>
    </row>
    <row r="155" spans="1:11" x14ac:dyDescent="0.25">
      <c r="A155" s="34">
        <v>1993</v>
      </c>
      <c r="B155" s="20" t="s">
        <v>27</v>
      </c>
      <c r="C155" s="20">
        <v>31</v>
      </c>
      <c r="D155" s="38" t="s">
        <v>145</v>
      </c>
      <c r="E155" s="38" t="s">
        <v>1093</v>
      </c>
      <c r="F155" s="36">
        <v>5050</v>
      </c>
      <c r="G155" s="47" t="s">
        <v>1084</v>
      </c>
      <c r="H155" s="34">
        <v>0</v>
      </c>
      <c r="I155" s="34">
        <v>0</v>
      </c>
      <c r="J155" s="48">
        <v>0</v>
      </c>
      <c r="K155" s="34">
        <v>0</v>
      </c>
    </row>
    <row r="156" spans="1:11" x14ac:dyDescent="0.25">
      <c r="A156" s="34">
        <v>1993</v>
      </c>
      <c r="B156" s="20" t="s">
        <v>28</v>
      </c>
      <c r="C156" s="20">
        <v>1</v>
      </c>
      <c r="D156" s="38" t="s">
        <v>143</v>
      </c>
      <c r="E156" s="38" t="s">
        <v>944</v>
      </c>
      <c r="F156" s="40">
        <v>5000</v>
      </c>
      <c r="G156" s="47" t="s">
        <v>943</v>
      </c>
      <c r="H156" s="34">
        <v>0</v>
      </c>
      <c r="I156" s="34">
        <v>0</v>
      </c>
      <c r="J156" s="48">
        <v>0</v>
      </c>
      <c r="K156" s="34">
        <v>0</v>
      </c>
    </row>
    <row r="157" spans="1:11" x14ac:dyDescent="0.25">
      <c r="A157" s="34">
        <v>1993</v>
      </c>
      <c r="B157" s="20" t="s">
        <v>28</v>
      </c>
      <c r="C157" s="20">
        <v>2</v>
      </c>
      <c r="D157" s="38" t="s">
        <v>143</v>
      </c>
      <c r="E157" s="38" t="s">
        <v>944</v>
      </c>
      <c r="F157" s="40">
        <v>5000</v>
      </c>
      <c r="G157" s="47" t="s">
        <v>943</v>
      </c>
      <c r="H157" s="34">
        <v>0</v>
      </c>
      <c r="I157" s="34">
        <v>0</v>
      </c>
      <c r="J157" s="48">
        <v>0</v>
      </c>
      <c r="K157" s="34">
        <v>0</v>
      </c>
    </row>
    <row r="158" spans="1:11" x14ac:dyDescent="0.25">
      <c r="A158" s="34">
        <v>1993</v>
      </c>
      <c r="B158" s="20" t="s">
        <v>28</v>
      </c>
      <c r="C158" s="20">
        <v>3</v>
      </c>
      <c r="D158" s="38" t="s">
        <v>143</v>
      </c>
      <c r="E158" s="38" t="s">
        <v>944</v>
      </c>
      <c r="F158" s="40">
        <v>5000</v>
      </c>
      <c r="G158" s="47" t="s">
        <v>943</v>
      </c>
      <c r="H158" s="34">
        <v>0</v>
      </c>
      <c r="I158" s="34">
        <v>0</v>
      </c>
      <c r="J158" s="48">
        <v>0</v>
      </c>
      <c r="K158" s="34">
        <v>0</v>
      </c>
    </row>
    <row r="159" spans="1:11" x14ac:dyDescent="0.25">
      <c r="A159" s="34">
        <v>1993</v>
      </c>
      <c r="B159" s="20" t="s">
        <v>28</v>
      </c>
      <c r="C159" s="20">
        <v>4</v>
      </c>
      <c r="D159" s="38" t="s">
        <v>143</v>
      </c>
      <c r="E159" s="38" t="s">
        <v>944</v>
      </c>
      <c r="F159" s="40">
        <v>5000</v>
      </c>
      <c r="G159" s="47" t="s">
        <v>943</v>
      </c>
      <c r="H159" s="34">
        <v>0</v>
      </c>
      <c r="I159" s="34">
        <v>0</v>
      </c>
      <c r="J159" s="48">
        <v>0</v>
      </c>
      <c r="K159" s="34">
        <v>0</v>
      </c>
    </row>
    <row r="160" spans="1:11" x14ac:dyDescent="0.25">
      <c r="A160" s="34">
        <v>1993</v>
      </c>
      <c r="B160" s="20" t="s">
        <v>28</v>
      </c>
      <c r="C160" s="20">
        <v>5</v>
      </c>
      <c r="D160" s="38" t="s">
        <v>143</v>
      </c>
      <c r="E160" s="38" t="s">
        <v>944</v>
      </c>
      <c r="F160" s="40">
        <v>5000</v>
      </c>
      <c r="G160" s="47" t="s">
        <v>943</v>
      </c>
      <c r="H160" s="34">
        <v>0</v>
      </c>
      <c r="I160" s="34">
        <v>0</v>
      </c>
      <c r="J160" s="48">
        <v>0</v>
      </c>
      <c r="K160" s="34">
        <v>0</v>
      </c>
    </row>
    <row r="161" spans="1:11" x14ac:dyDescent="0.25">
      <c r="A161" s="34">
        <v>1993</v>
      </c>
      <c r="B161" s="20" t="s">
        <v>28</v>
      </c>
      <c r="C161" s="20">
        <v>6</v>
      </c>
      <c r="D161" s="38" t="s">
        <v>143</v>
      </c>
      <c r="E161" s="38" t="s">
        <v>944</v>
      </c>
      <c r="F161" s="40">
        <v>5000</v>
      </c>
      <c r="G161" s="47" t="s">
        <v>943</v>
      </c>
      <c r="H161" s="34">
        <v>0</v>
      </c>
      <c r="I161" s="34">
        <v>0</v>
      </c>
      <c r="J161" s="48">
        <v>0</v>
      </c>
      <c r="K161" s="34">
        <v>0</v>
      </c>
    </row>
    <row r="162" spans="1:11" x14ac:dyDescent="0.25">
      <c r="A162" s="34">
        <v>1993</v>
      </c>
      <c r="B162" s="20" t="s">
        <v>28</v>
      </c>
      <c r="C162" s="20">
        <v>7</v>
      </c>
      <c r="D162" s="38" t="s">
        <v>143</v>
      </c>
      <c r="E162" s="38" t="s">
        <v>944</v>
      </c>
      <c r="F162" s="40">
        <v>5000</v>
      </c>
      <c r="G162" s="47" t="s">
        <v>943</v>
      </c>
      <c r="H162" s="34">
        <v>0</v>
      </c>
      <c r="I162" s="34">
        <v>0</v>
      </c>
      <c r="J162" s="48">
        <v>0</v>
      </c>
      <c r="K162" s="34">
        <v>0</v>
      </c>
    </row>
    <row r="163" spans="1:11" x14ac:dyDescent="0.25">
      <c r="A163" s="34">
        <v>1993</v>
      </c>
      <c r="B163" s="20" t="s">
        <v>28</v>
      </c>
      <c r="C163" s="20">
        <v>8</v>
      </c>
      <c r="D163" s="38" t="s">
        <v>143</v>
      </c>
      <c r="E163" s="38" t="s">
        <v>944</v>
      </c>
      <c r="F163" s="40">
        <v>5000</v>
      </c>
      <c r="G163" s="47" t="s">
        <v>943</v>
      </c>
      <c r="H163" s="34">
        <v>0</v>
      </c>
      <c r="I163" s="34">
        <v>0</v>
      </c>
      <c r="J163" s="48">
        <v>0</v>
      </c>
      <c r="K163" s="34">
        <v>0</v>
      </c>
    </row>
    <row r="164" spans="1:11" x14ac:dyDescent="0.25">
      <c r="A164" s="34">
        <v>1993</v>
      </c>
      <c r="B164" s="20" t="s">
        <v>28</v>
      </c>
      <c r="C164" s="20">
        <v>9</v>
      </c>
      <c r="D164" s="38" t="s">
        <v>143</v>
      </c>
      <c r="E164" s="38" t="s">
        <v>944</v>
      </c>
      <c r="F164" s="40">
        <v>5000</v>
      </c>
      <c r="G164" s="47" t="s">
        <v>943</v>
      </c>
      <c r="H164" s="34">
        <v>0</v>
      </c>
      <c r="I164" s="34">
        <v>0</v>
      </c>
      <c r="J164" s="48">
        <v>0</v>
      </c>
      <c r="K164" s="34">
        <v>0</v>
      </c>
    </row>
    <row r="165" spans="1:11" x14ac:dyDescent="0.25">
      <c r="A165" s="34">
        <v>1993</v>
      </c>
      <c r="B165" s="20" t="s">
        <v>28</v>
      </c>
      <c r="C165" s="20">
        <v>10</v>
      </c>
      <c r="D165" s="38" t="s">
        <v>139</v>
      </c>
      <c r="E165" s="38" t="s">
        <v>945</v>
      </c>
      <c r="F165" s="36">
        <v>4800</v>
      </c>
      <c r="G165" s="47" t="s">
        <v>946</v>
      </c>
      <c r="H165" s="34">
        <v>0</v>
      </c>
      <c r="I165" s="34">
        <v>0</v>
      </c>
      <c r="J165" s="48">
        <v>0</v>
      </c>
      <c r="K165" s="34">
        <v>0</v>
      </c>
    </row>
    <row r="166" spans="1:11" x14ac:dyDescent="0.25">
      <c r="A166" s="34">
        <v>1993</v>
      </c>
      <c r="B166" s="20" t="s">
        <v>28</v>
      </c>
      <c r="C166" s="20">
        <v>11</v>
      </c>
      <c r="D166" s="38" t="s">
        <v>139</v>
      </c>
      <c r="E166" s="38" t="s">
        <v>945</v>
      </c>
      <c r="F166" s="36">
        <v>4800</v>
      </c>
      <c r="G166" s="47" t="s">
        <v>946</v>
      </c>
      <c r="H166" s="34">
        <v>0</v>
      </c>
      <c r="I166" s="34">
        <v>0</v>
      </c>
      <c r="J166" s="48">
        <v>0</v>
      </c>
      <c r="K166" s="34">
        <v>0</v>
      </c>
    </row>
    <row r="167" spans="1:11" x14ac:dyDescent="0.25">
      <c r="A167" s="34">
        <v>1993</v>
      </c>
      <c r="B167" s="20" t="s">
        <v>28</v>
      </c>
      <c r="C167" s="20">
        <v>12</v>
      </c>
      <c r="D167" s="38" t="s">
        <v>139</v>
      </c>
      <c r="E167" s="38" t="s">
        <v>945</v>
      </c>
      <c r="F167" s="36">
        <v>4800</v>
      </c>
      <c r="G167" s="47" t="s">
        <v>946</v>
      </c>
      <c r="H167" s="34">
        <v>0</v>
      </c>
      <c r="I167" s="34">
        <v>0</v>
      </c>
      <c r="J167" s="48">
        <v>0</v>
      </c>
      <c r="K167" s="34">
        <v>0</v>
      </c>
    </row>
    <row r="168" spans="1:11" x14ac:dyDescent="0.25">
      <c r="A168" s="34">
        <v>1993</v>
      </c>
      <c r="B168" s="20" t="s">
        <v>28</v>
      </c>
      <c r="C168" s="20">
        <v>13</v>
      </c>
      <c r="D168" s="38" t="s">
        <v>139</v>
      </c>
      <c r="E168" s="38" t="s">
        <v>945</v>
      </c>
      <c r="F168" s="36">
        <v>4800</v>
      </c>
      <c r="G168" s="47" t="s">
        <v>946</v>
      </c>
      <c r="H168" s="34">
        <v>0</v>
      </c>
      <c r="I168" s="34">
        <v>0</v>
      </c>
      <c r="J168" s="48">
        <v>0</v>
      </c>
      <c r="K168" s="34">
        <v>0</v>
      </c>
    </row>
    <row r="169" spans="1:11" x14ac:dyDescent="0.25">
      <c r="A169" s="34">
        <v>1993</v>
      </c>
      <c r="B169" s="20" t="s">
        <v>28</v>
      </c>
      <c r="C169" s="20">
        <v>14</v>
      </c>
      <c r="D169" s="38" t="s">
        <v>279</v>
      </c>
      <c r="E169" s="38" t="s">
        <v>1088</v>
      </c>
      <c r="F169" s="36">
        <v>4750</v>
      </c>
      <c r="G169" s="47" t="s">
        <v>1085</v>
      </c>
      <c r="H169" s="34">
        <v>0</v>
      </c>
      <c r="I169" s="34">
        <v>0</v>
      </c>
      <c r="J169" s="48">
        <v>0</v>
      </c>
      <c r="K169" s="34">
        <v>0</v>
      </c>
    </row>
    <row r="170" spans="1:11" x14ac:dyDescent="0.25">
      <c r="A170" s="34">
        <v>1993</v>
      </c>
      <c r="B170" s="20" t="s">
        <v>28</v>
      </c>
      <c r="C170" s="20">
        <v>15</v>
      </c>
      <c r="D170" s="38" t="s">
        <v>279</v>
      </c>
      <c r="E170" s="38" t="s">
        <v>1088</v>
      </c>
      <c r="F170" s="36">
        <v>4750</v>
      </c>
      <c r="G170" s="47" t="s">
        <v>1085</v>
      </c>
      <c r="H170" s="34">
        <v>0</v>
      </c>
      <c r="I170" s="34">
        <v>0</v>
      </c>
      <c r="J170" s="48">
        <v>0</v>
      </c>
      <c r="K170" s="34">
        <v>0</v>
      </c>
    </row>
    <row r="171" spans="1:11" x14ac:dyDescent="0.25">
      <c r="A171" s="34">
        <v>1993</v>
      </c>
      <c r="B171" s="20" t="s">
        <v>28</v>
      </c>
      <c r="C171" s="20">
        <v>16</v>
      </c>
      <c r="D171" s="38" t="s">
        <v>279</v>
      </c>
      <c r="E171" s="38" t="s">
        <v>1088</v>
      </c>
      <c r="F171" s="36">
        <v>4750</v>
      </c>
      <c r="G171" s="47" t="s">
        <v>1085</v>
      </c>
      <c r="H171" s="34">
        <v>0</v>
      </c>
      <c r="I171" s="34">
        <v>0</v>
      </c>
      <c r="J171" s="48">
        <v>0</v>
      </c>
      <c r="K171" s="34">
        <v>0</v>
      </c>
    </row>
    <row r="172" spans="1:11" x14ac:dyDescent="0.25">
      <c r="A172" s="34">
        <v>1993</v>
      </c>
      <c r="B172" s="20" t="s">
        <v>28</v>
      </c>
      <c r="C172" s="20">
        <v>17</v>
      </c>
      <c r="D172" s="38" t="s">
        <v>281</v>
      </c>
      <c r="E172" s="38" t="s">
        <v>1089</v>
      </c>
      <c r="F172" s="36">
        <v>4700</v>
      </c>
      <c r="G172" s="47" t="s">
        <v>947</v>
      </c>
      <c r="H172" s="34">
        <v>0</v>
      </c>
      <c r="I172" s="34">
        <v>0</v>
      </c>
      <c r="J172" s="48">
        <v>0</v>
      </c>
      <c r="K172" s="34">
        <v>0</v>
      </c>
    </row>
    <row r="173" spans="1:11" x14ac:dyDescent="0.25">
      <c r="A173" s="34">
        <v>1993</v>
      </c>
      <c r="B173" s="20" t="s">
        <v>28</v>
      </c>
      <c r="C173" s="20">
        <v>18</v>
      </c>
      <c r="D173" s="38" t="s">
        <v>281</v>
      </c>
      <c r="E173" s="38" t="s">
        <v>1089</v>
      </c>
      <c r="F173" s="36">
        <v>4700</v>
      </c>
      <c r="G173" s="47" t="s">
        <v>947</v>
      </c>
      <c r="H173" s="34">
        <v>0</v>
      </c>
      <c r="I173" s="34">
        <v>0</v>
      </c>
      <c r="J173" s="48">
        <v>0</v>
      </c>
      <c r="K173" s="34">
        <v>0</v>
      </c>
    </row>
    <row r="174" spans="1:11" x14ac:dyDescent="0.25">
      <c r="A174" s="34">
        <v>1993</v>
      </c>
      <c r="B174" s="20" t="s">
        <v>28</v>
      </c>
      <c r="C174" s="20">
        <v>19</v>
      </c>
      <c r="D174" s="38" t="s">
        <v>281</v>
      </c>
      <c r="E174" s="38" t="s">
        <v>1089</v>
      </c>
      <c r="F174" s="36">
        <v>4700</v>
      </c>
      <c r="G174" s="47" t="s">
        <v>947</v>
      </c>
      <c r="H174" s="34">
        <v>0</v>
      </c>
      <c r="I174" s="34">
        <v>0</v>
      </c>
      <c r="J174" s="48">
        <v>0</v>
      </c>
      <c r="K174" s="34">
        <v>0</v>
      </c>
    </row>
    <row r="175" spans="1:11" x14ac:dyDescent="0.25">
      <c r="A175" s="34">
        <v>1993</v>
      </c>
      <c r="B175" s="20" t="s">
        <v>28</v>
      </c>
      <c r="C175" s="20">
        <v>20</v>
      </c>
      <c r="D175" s="38" t="s">
        <v>135</v>
      </c>
      <c r="E175" s="38" t="s">
        <v>1090</v>
      </c>
      <c r="F175" s="40">
        <v>4600</v>
      </c>
      <c r="G175" s="47" t="s">
        <v>1086</v>
      </c>
      <c r="H175" s="34">
        <v>0</v>
      </c>
      <c r="I175" s="34">
        <v>0</v>
      </c>
      <c r="J175" s="48">
        <v>0</v>
      </c>
      <c r="K175" s="34">
        <v>0</v>
      </c>
    </row>
    <row r="176" spans="1:11" x14ac:dyDescent="0.25">
      <c r="A176" s="34">
        <v>1993</v>
      </c>
      <c r="B176" s="20" t="s">
        <v>28</v>
      </c>
      <c r="C176" s="20">
        <v>21</v>
      </c>
      <c r="D176" s="38" t="s">
        <v>135</v>
      </c>
      <c r="E176" s="38" t="s">
        <v>1090</v>
      </c>
      <c r="F176" s="40">
        <v>4600</v>
      </c>
      <c r="G176" s="47" t="s">
        <v>1086</v>
      </c>
      <c r="H176" s="34">
        <v>0</v>
      </c>
      <c r="I176" s="34">
        <v>0</v>
      </c>
      <c r="J176" s="48">
        <v>0</v>
      </c>
      <c r="K176" s="34">
        <v>0</v>
      </c>
    </row>
    <row r="177" spans="1:11" x14ac:dyDescent="0.25">
      <c r="A177" s="34">
        <v>1993</v>
      </c>
      <c r="B177" s="20" t="s">
        <v>28</v>
      </c>
      <c r="C177" s="20">
        <v>22</v>
      </c>
      <c r="D177" s="38" t="s">
        <v>135</v>
      </c>
      <c r="E177" s="38" t="s">
        <v>1090</v>
      </c>
      <c r="F177" s="40">
        <v>4600</v>
      </c>
      <c r="G177" s="47" t="s">
        <v>1086</v>
      </c>
      <c r="H177" s="34">
        <v>0</v>
      </c>
      <c r="I177" s="34">
        <v>0</v>
      </c>
      <c r="J177" s="48">
        <v>0</v>
      </c>
      <c r="K177" s="34">
        <v>0</v>
      </c>
    </row>
    <row r="178" spans="1:11" x14ac:dyDescent="0.25">
      <c r="A178" s="34">
        <v>1993</v>
      </c>
      <c r="B178" s="20" t="s">
        <v>28</v>
      </c>
      <c r="C178" s="20">
        <v>23</v>
      </c>
      <c r="D178" s="38" t="s">
        <v>135</v>
      </c>
      <c r="E178" s="38" t="s">
        <v>1090</v>
      </c>
      <c r="F178" s="40">
        <v>4600</v>
      </c>
      <c r="G178" s="47" t="s">
        <v>1086</v>
      </c>
      <c r="H178" s="34">
        <v>0</v>
      </c>
      <c r="I178" s="34">
        <v>0</v>
      </c>
      <c r="J178" s="48">
        <v>0</v>
      </c>
      <c r="K178" s="34">
        <v>0</v>
      </c>
    </row>
    <row r="179" spans="1:11" x14ac:dyDescent="0.25">
      <c r="A179" s="34">
        <v>1993</v>
      </c>
      <c r="B179" s="20" t="s">
        <v>28</v>
      </c>
      <c r="C179" s="20">
        <v>24</v>
      </c>
      <c r="D179" s="38" t="s">
        <v>133</v>
      </c>
      <c r="E179" s="38" t="s">
        <v>1013</v>
      </c>
      <c r="F179" s="36">
        <v>4500</v>
      </c>
      <c r="G179" s="47" t="s">
        <v>950</v>
      </c>
      <c r="H179" s="34">
        <v>0</v>
      </c>
      <c r="I179" s="34">
        <v>0</v>
      </c>
      <c r="J179" s="48">
        <v>0</v>
      </c>
      <c r="K179" s="34">
        <v>0</v>
      </c>
    </row>
    <row r="180" spans="1:11" x14ac:dyDescent="0.25">
      <c r="A180" s="34">
        <v>1993</v>
      </c>
      <c r="B180" s="20" t="s">
        <v>28</v>
      </c>
      <c r="C180" s="20">
        <v>25</v>
      </c>
      <c r="D180" s="38" t="s">
        <v>133</v>
      </c>
      <c r="E180" s="38" t="s">
        <v>1013</v>
      </c>
      <c r="F180" s="36">
        <v>4500</v>
      </c>
      <c r="G180" s="47" t="s">
        <v>950</v>
      </c>
      <c r="H180" s="34">
        <v>0</v>
      </c>
      <c r="I180" s="34">
        <v>0</v>
      </c>
      <c r="J180" s="48">
        <v>0</v>
      </c>
      <c r="K180" s="34">
        <v>0</v>
      </c>
    </row>
    <row r="181" spans="1:11" x14ac:dyDescent="0.25">
      <c r="A181" s="34">
        <v>1993</v>
      </c>
      <c r="B181" s="20" t="s">
        <v>28</v>
      </c>
      <c r="C181" s="20">
        <v>26</v>
      </c>
      <c r="D181" s="38" t="s">
        <v>133</v>
      </c>
      <c r="E181" s="38" t="s">
        <v>1013</v>
      </c>
      <c r="F181" s="36">
        <v>4500</v>
      </c>
      <c r="G181" s="47" t="s">
        <v>950</v>
      </c>
      <c r="H181" s="34">
        <v>0</v>
      </c>
      <c r="I181" s="34">
        <v>0</v>
      </c>
      <c r="J181" s="48">
        <v>0</v>
      </c>
      <c r="K181" s="34">
        <v>0</v>
      </c>
    </row>
    <row r="182" spans="1:11" x14ac:dyDescent="0.25">
      <c r="A182" s="34">
        <v>1993</v>
      </c>
      <c r="B182" s="20" t="s">
        <v>28</v>
      </c>
      <c r="C182" s="20">
        <v>27</v>
      </c>
      <c r="D182" s="38" t="s">
        <v>133</v>
      </c>
      <c r="E182" s="38" t="s">
        <v>1013</v>
      </c>
      <c r="F182" s="36">
        <v>4500</v>
      </c>
      <c r="G182" s="47" t="s">
        <v>950</v>
      </c>
      <c r="H182" s="34">
        <v>0</v>
      </c>
      <c r="I182" s="34">
        <v>0</v>
      </c>
      <c r="J182" s="48">
        <v>0</v>
      </c>
      <c r="K182" s="34">
        <v>0</v>
      </c>
    </row>
    <row r="183" spans="1:11" x14ac:dyDescent="0.25">
      <c r="A183" s="34">
        <v>1993</v>
      </c>
      <c r="B183" s="20" t="s">
        <v>28</v>
      </c>
      <c r="C183" s="20">
        <v>28</v>
      </c>
      <c r="D183" s="38" t="s">
        <v>133</v>
      </c>
      <c r="E183" s="38" t="s">
        <v>1013</v>
      </c>
      <c r="F183" s="36">
        <v>4500</v>
      </c>
      <c r="G183" s="47" t="s">
        <v>950</v>
      </c>
      <c r="H183" s="34">
        <v>0</v>
      </c>
      <c r="I183" s="34">
        <v>0</v>
      </c>
      <c r="J183" s="48">
        <v>0</v>
      </c>
      <c r="K183" s="34">
        <v>0</v>
      </c>
    </row>
    <row r="184" spans="1:11" x14ac:dyDescent="0.25">
      <c r="A184" s="34">
        <v>1993</v>
      </c>
      <c r="B184" s="20" t="s">
        <v>28</v>
      </c>
      <c r="C184" s="20">
        <v>29</v>
      </c>
      <c r="D184" s="38" t="s">
        <v>284</v>
      </c>
      <c r="E184" s="38" t="s">
        <v>1091</v>
      </c>
      <c r="F184" s="40">
        <v>4450</v>
      </c>
      <c r="G184" s="47" t="s">
        <v>1087</v>
      </c>
      <c r="H184" s="34">
        <v>0</v>
      </c>
      <c r="I184" s="34">
        <v>0</v>
      </c>
      <c r="J184" s="48">
        <v>0</v>
      </c>
      <c r="K184" s="34">
        <v>0</v>
      </c>
    </row>
    <row r="185" spans="1:11" x14ac:dyDescent="0.25">
      <c r="A185" s="34">
        <v>1993</v>
      </c>
      <c r="B185" s="20" t="s">
        <v>28</v>
      </c>
      <c r="C185" s="20">
        <v>30</v>
      </c>
      <c r="D185" s="38" t="s">
        <v>424</v>
      </c>
      <c r="E185" s="38" t="s">
        <v>1092</v>
      </c>
      <c r="F185" s="40">
        <v>4400</v>
      </c>
      <c r="G185" s="47" t="s">
        <v>951</v>
      </c>
      <c r="H185" s="34">
        <v>0</v>
      </c>
      <c r="I185" s="34">
        <v>0</v>
      </c>
      <c r="J185" s="48">
        <v>0</v>
      </c>
      <c r="K185" s="34">
        <v>0</v>
      </c>
    </row>
    <row r="186" spans="1:11" x14ac:dyDescent="0.25">
      <c r="A186" s="34">
        <v>1993</v>
      </c>
      <c r="B186" s="20" t="s">
        <v>29</v>
      </c>
      <c r="C186" s="20">
        <v>1</v>
      </c>
      <c r="D186" s="38" t="s">
        <v>425</v>
      </c>
      <c r="E186" s="38" t="s">
        <v>1096</v>
      </c>
      <c r="F186" s="40">
        <v>4350</v>
      </c>
      <c r="G186" s="47" t="s">
        <v>1101</v>
      </c>
      <c r="H186" s="34">
        <v>0</v>
      </c>
      <c r="I186" s="34">
        <v>0</v>
      </c>
      <c r="J186" s="48">
        <v>5</v>
      </c>
      <c r="K186" s="34">
        <v>0</v>
      </c>
    </row>
    <row r="187" spans="1:11" x14ac:dyDescent="0.25">
      <c r="A187" s="34">
        <v>1993</v>
      </c>
      <c r="B187" s="20" t="s">
        <v>29</v>
      </c>
      <c r="C187" s="20">
        <v>2</v>
      </c>
      <c r="D187" s="38" t="s">
        <v>425</v>
      </c>
      <c r="E187" s="38" t="s">
        <v>1096</v>
      </c>
      <c r="F187" s="40">
        <v>4350</v>
      </c>
      <c r="G187" s="47" t="s">
        <v>1101</v>
      </c>
      <c r="H187" s="34">
        <v>0</v>
      </c>
      <c r="I187" s="34">
        <v>0</v>
      </c>
      <c r="J187" s="48">
        <v>5</v>
      </c>
      <c r="K187" s="34">
        <v>0</v>
      </c>
    </row>
    <row r="188" spans="1:11" x14ac:dyDescent="0.25">
      <c r="A188" s="34">
        <v>1993</v>
      </c>
      <c r="B188" s="20" t="s">
        <v>29</v>
      </c>
      <c r="C188" s="20">
        <v>3</v>
      </c>
      <c r="D188" s="38" t="s">
        <v>128</v>
      </c>
      <c r="E188" s="38" t="s">
        <v>1097</v>
      </c>
      <c r="F188" s="40">
        <v>4300</v>
      </c>
      <c r="G188" s="47" t="s">
        <v>954</v>
      </c>
      <c r="H188" s="34">
        <v>0</v>
      </c>
      <c r="I188" s="34">
        <v>0</v>
      </c>
      <c r="J188" s="48">
        <v>5</v>
      </c>
      <c r="K188" s="34">
        <v>0</v>
      </c>
    </row>
    <row r="189" spans="1:11" x14ac:dyDescent="0.25">
      <c r="A189" s="34">
        <v>1993</v>
      </c>
      <c r="B189" s="20" t="s">
        <v>29</v>
      </c>
      <c r="C189" s="20">
        <v>4</v>
      </c>
      <c r="D189" s="38" t="s">
        <v>132</v>
      </c>
      <c r="E189" s="38" t="s">
        <v>1098</v>
      </c>
      <c r="F189" s="40">
        <v>4250</v>
      </c>
      <c r="G189" s="47" t="s">
        <v>1102</v>
      </c>
      <c r="H189" s="34">
        <v>0</v>
      </c>
      <c r="I189" s="34">
        <v>0</v>
      </c>
      <c r="J189" s="48">
        <v>5</v>
      </c>
      <c r="K189" s="34">
        <v>0</v>
      </c>
    </row>
    <row r="190" spans="1:11" x14ac:dyDescent="0.25">
      <c r="A190" s="34">
        <v>1993</v>
      </c>
      <c r="B190" s="20" t="s">
        <v>29</v>
      </c>
      <c r="C190" s="20">
        <v>5</v>
      </c>
      <c r="D190" s="38" t="s">
        <v>127</v>
      </c>
      <c r="E190" s="38" t="s">
        <v>1099</v>
      </c>
      <c r="F190" s="40">
        <v>4200</v>
      </c>
      <c r="G190" s="47" t="s">
        <v>955</v>
      </c>
      <c r="H190" s="34">
        <v>0</v>
      </c>
      <c r="I190" s="34">
        <v>0</v>
      </c>
      <c r="J190" s="48">
        <v>5</v>
      </c>
      <c r="K190" s="34">
        <v>0</v>
      </c>
    </row>
    <row r="191" spans="1:11" x14ac:dyDescent="0.25">
      <c r="A191" s="34">
        <v>1993</v>
      </c>
      <c r="B191" s="20" t="s">
        <v>29</v>
      </c>
      <c r="C191" s="20">
        <v>6</v>
      </c>
      <c r="D191" s="38" t="s">
        <v>126</v>
      </c>
      <c r="E191" s="38" t="s">
        <v>1100</v>
      </c>
      <c r="F191" s="36">
        <v>4150</v>
      </c>
      <c r="G191" s="47" t="s">
        <v>1103</v>
      </c>
      <c r="H191" s="34">
        <v>0</v>
      </c>
      <c r="I191" s="34">
        <v>0</v>
      </c>
      <c r="J191" s="48">
        <v>5</v>
      </c>
      <c r="K191" s="34">
        <v>0</v>
      </c>
    </row>
    <row r="192" spans="1:11" x14ac:dyDescent="0.25">
      <c r="A192" s="34">
        <v>1993</v>
      </c>
      <c r="B192" s="20" t="s">
        <v>29</v>
      </c>
      <c r="C192" s="20">
        <v>7</v>
      </c>
      <c r="D192" s="38" t="s">
        <v>290</v>
      </c>
      <c r="E192" s="38" t="s">
        <v>957</v>
      </c>
      <c r="F192" s="38" t="s">
        <v>1094</v>
      </c>
      <c r="G192" s="47" t="s">
        <v>958</v>
      </c>
      <c r="H192" s="34">
        <v>0</v>
      </c>
      <c r="I192" s="34">
        <v>0</v>
      </c>
      <c r="J192" s="48">
        <v>0</v>
      </c>
      <c r="K192" s="34">
        <v>0</v>
      </c>
    </row>
    <row r="193" spans="1:11" x14ac:dyDescent="0.25">
      <c r="A193" s="34">
        <v>1993</v>
      </c>
      <c r="B193" s="20" t="s">
        <v>29</v>
      </c>
      <c r="C193" s="20">
        <v>8</v>
      </c>
      <c r="D193" s="38" t="s">
        <v>124</v>
      </c>
      <c r="E193" s="38" t="s">
        <v>960</v>
      </c>
      <c r="F193" s="38" t="s">
        <v>1095</v>
      </c>
      <c r="G193" s="47" t="s">
        <v>959</v>
      </c>
      <c r="H193" s="34">
        <v>0</v>
      </c>
      <c r="I193" s="34">
        <v>0</v>
      </c>
      <c r="J193" s="48">
        <v>0</v>
      </c>
      <c r="K193" s="34">
        <v>0</v>
      </c>
    </row>
    <row r="194" spans="1:11" x14ac:dyDescent="0.25">
      <c r="A194" s="34">
        <v>1993</v>
      </c>
      <c r="B194" s="20" t="s">
        <v>29</v>
      </c>
      <c r="C194" s="20">
        <v>9</v>
      </c>
      <c r="D194" s="38" t="s">
        <v>124</v>
      </c>
      <c r="E194" s="38" t="s">
        <v>960</v>
      </c>
      <c r="F194" s="38" t="s">
        <v>1095</v>
      </c>
      <c r="G194" s="47" t="s">
        <v>959</v>
      </c>
      <c r="H194" s="34">
        <v>0</v>
      </c>
      <c r="I194" s="34">
        <v>0</v>
      </c>
      <c r="J194" s="48">
        <v>0</v>
      </c>
      <c r="K194" s="34">
        <v>0</v>
      </c>
    </row>
    <row r="195" spans="1:11" x14ac:dyDescent="0.25">
      <c r="A195" s="34">
        <v>1993</v>
      </c>
      <c r="B195" s="20" t="s">
        <v>29</v>
      </c>
      <c r="C195" s="20">
        <v>10</v>
      </c>
      <c r="D195" s="38" t="s">
        <v>124</v>
      </c>
      <c r="E195" s="38" t="s">
        <v>960</v>
      </c>
      <c r="F195" s="38" t="s">
        <v>1095</v>
      </c>
      <c r="G195" s="47" t="s">
        <v>959</v>
      </c>
      <c r="H195" s="34">
        <v>0</v>
      </c>
      <c r="I195" s="34">
        <v>0</v>
      </c>
      <c r="J195" s="48">
        <v>0</v>
      </c>
      <c r="K195" s="34">
        <v>0</v>
      </c>
    </row>
    <row r="196" spans="1:11" x14ac:dyDescent="0.25">
      <c r="A196" s="34">
        <v>1993</v>
      </c>
      <c r="B196" s="20" t="s">
        <v>29</v>
      </c>
      <c r="C196" s="20">
        <v>11</v>
      </c>
      <c r="D196" s="38" t="s">
        <v>124</v>
      </c>
      <c r="E196" s="38" t="s">
        <v>960</v>
      </c>
      <c r="F196" s="38" t="s">
        <v>1095</v>
      </c>
      <c r="G196" s="47" t="s">
        <v>959</v>
      </c>
      <c r="H196" s="34">
        <v>0</v>
      </c>
      <c r="I196" s="34">
        <v>0</v>
      </c>
      <c r="J196" s="48">
        <v>0</v>
      </c>
      <c r="K196" s="34">
        <v>0</v>
      </c>
    </row>
    <row r="197" spans="1:11" x14ac:dyDescent="0.25">
      <c r="A197" s="34">
        <v>1993</v>
      </c>
      <c r="B197" s="20" t="s">
        <v>29</v>
      </c>
      <c r="C197" s="20">
        <v>12</v>
      </c>
      <c r="D197" s="38" t="s">
        <v>124</v>
      </c>
      <c r="E197" s="38" t="s">
        <v>960</v>
      </c>
      <c r="F197" s="38" t="s">
        <v>1095</v>
      </c>
      <c r="G197" s="47" t="s">
        <v>959</v>
      </c>
      <c r="H197" s="34">
        <v>0</v>
      </c>
      <c r="I197" s="34">
        <v>0</v>
      </c>
      <c r="J197" s="48">
        <v>0</v>
      </c>
      <c r="K197" s="34">
        <v>0</v>
      </c>
    </row>
    <row r="198" spans="1:11" x14ac:dyDescent="0.25">
      <c r="A198" s="34">
        <v>1993</v>
      </c>
      <c r="B198" s="20" t="s">
        <v>29</v>
      </c>
      <c r="C198" s="20">
        <v>13</v>
      </c>
      <c r="D198" s="38" t="s">
        <v>124</v>
      </c>
      <c r="E198" s="38" t="s">
        <v>960</v>
      </c>
      <c r="F198" s="38" t="s">
        <v>1095</v>
      </c>
      <c r="G198" s="47" t="s">
        <v>959</v>
      </c>
      <c r="H198" s="34">
        <v>0</v>
      </c>
      <c r="I198" s="34">
        <v>0</v>
      </c>
      <c r="J198" s="48">
        <v>0</v>
      </c>
      <c r="K198" s="34">
        <v>0</v>
      </c>
    </row>
    <row r="199" spans="1:11" x14ac:dyDescent="0.25">
      <c r="A199" s="34">
        <v>1993</v>
      </c>
      <c r="B199" s="20" t="s">
        <v>29</v>
      </c>
      <c r="C199" s="20">
        <v>14</v>
      </c>
      <c r="D199" s="38" t="s">
        <v>124</v>
      </c>
      <c r="E199" s="38" t="s">
        <v>960</v>
      </c>
      <c r="F199" s="40">
        <v>4000</v>
      </c>
      <c r="G199" s="47" t="s">
        <v>959</v>
      </c>
      <c r="H199" s="34">
        <v>0</v>
      </c>
      <c r="I199" s="34">
        <v>0</v>
      </c>
      <c r="J199" s="48">
        <v>0</v>
      </c>
      <c r="K199" s="34">
        <v>0</v>
      </c>
    </row>
    <row r="200" spans="1:11" x14ac:dyDescent="0.25">
      <c r="A200" s="34">
        <v>1993</v>
      </c>
      <c r="B200" s="20" t="s">
        <v>29</v>
      </c>
      <c r="C200" s="20">
        <v>15</v>
      </c>
      <c r="D200" s="38" t="s">
        <v>124</v>
      </c>
      <c r="E200" s="38" t="s">
        <v>960</v>
      </c>
      <c r="F200" s="40">
        <v>4000</v>
      </c>
      <c r="G200" s="47" t="s">
        <v>959</v>
      </c>
      <c r="H200" s="34">
        <v>0</v>
      </c>
      <c r="I200" s="34">
        <v>0</v>
      </c>
      <c r="J200" s="48">
        <v>0</v>
      </c>
      <c r="K200" s="34">
        <v>0</v>
      </c>
    </row>
    <row r="201" spans="1:11" x14ac:dyDescent="0.25">
      <c r="A201" s="34">
        <v>1993</v>
      </c>
      <c r="B201" s="20" t="s">
        <v>29</v>
      </c>
      <c r="C201" s="20">
        <v>16</v>
      </c>
      <c r="D201" s="38" t="s">
        <v>124</v>
      </c>
      <c r="E201" s="38" t="s">
        <v>960</v>
      </c>
      <c r="F201" s="40">
        <v>4000</v>
      </c>
      <c r="G201" s="47" t="s">
        <v>959</v>
      </c>
      <c r="H201" s="34">
        <v>0</v>
      </c>
      <c r="I201" s="34">
        <v>0</v>
      </c>
      <c r="J201" s="48">
        <v>0</v>
      </c>
      <c r="K201" s="34">
        <v>0</v>
      </c>
    </row>
    <row r="202" spans="1:11" x14ac:dyDescent="0.25">
      <c r="A202" s="34">
        <v>1993</v>
      </c>
      <c r="B202" s="20" t="s">
        <v>29</v>
      </c>
      <c r="C202" s="20">
        <v>17</v>
      </c>
      <c r="D202" s="38" t="s">
        <v>124</v>
      </c>
      <c r="E202" s="38" t="s">
        <v>960</v>
      </c>
      <c r="F202" s="40">
        <v>4000</v>
      </c>
      <c r="G202" s="47" t="s">
        <v>959</v>
      </c>
      <c r="H202" s="34">
        <v>0</v>
      </c>
      <c r="I202" s="34">
        <v>0</v>
      </c>
      <c r="J202" s="48">
        <v>0</v>
      </c>
      <c r="K202" s="34">
        <v>0</v>
      </c>
    </row>
    <row r="203" spans="1:11" x14ac:dyDescent="0.25">
      <c r="A203" s="34">
        <v>1993</v>
      </c>
      <c r="B203" s="20" t="s">
        <v>29</v>
      </c>
      <c r="C203" s="20">
        <v>18</v>
      </c>
      <c r="D203" s="38" t="s">
        <v>124</v>
      </c>
      <c r="E203" s="38" t="s">
        <v>960</v>
      </c>
      <c r="F203" s="38" t="s">
        <v>1095</v>
      </c>
      <c r="G203" s="47" t="s">
        <v>959</v>
      </c>
      <c r="H203" s="34">
        <v>10</v>
      </c>
      <c r="I203" s="34">
        <v>0</v>
      </c>
      <c r="J203" s="48">
        <v>0</v>
      </c>
      <c r="K203" s="34">
        <v>0</v>
      </c>
    </row>
    <row r="204" spans="1:11" x14ac:dyDescent="0.25">
      <c r="A204" s="34">
        <v>1993</v>
      </c>
      <c r="B204" s="20" t="s">
        <v>29</v>
      </c>
      <c r="C204" s="20">
        <v>19</v>
      </c>
      <c r="D204" s="38" t="s">
        <v>123</v>
      </c>
      <c r="E204" s="38" t="s">
        <v>739</v>
      </c>
      <c r="F204" s="40">
        <v>3900</v>
      </c>
      <c r="G204" s="47" t="s">
        <v>961</v>
      </c>
      <c r="H204" s="34">
        <v>10</v>
      </c>
      <c r="I204" s="34">
        <v>0</v>
      </c>
      <c r="J204" s="48">
        <v>0</v>
      </c>
      <c r="K204" s="34">
        <v>0</v>
      </c>
    </row>
    <row r="205" spans="1:11" x14ac:dyDescent="0.25">
      <c r="A205" s="34">
        <v>1993</v>
      </c>
      <c r="B205" s="20" t="s">
        <v>29</v>
      </c>
      <c r="C205" s="20">
        <v>20</v>
      </c>
      <c r="D205" s="38" t="s">
        <v>294</v>
      </c>
      <c r="E205" s="38" t="s">
        <v>738</v>
      </c>
      <c r="F205" s="40">
        <v>3800</v>
      </c>
      <c r="G205" s="47" t="s">
        <v>962</v>
      </c>
      <c r="H205" s="34">
        <v>10</v>
      </c>
      <c r="I205" s="34">
        <v>0</v>
      </c>
      <c r="J205" s="48">
        <v>0</v>
      </c>
      <c r="K205" s="34">
        <v>0</v>
      </c>
    </row>
    <row r="206" spans="1:11" x14ac:dyDescent="0.25">
      <c r="A206" s="34">
        <v>1993</v>
      </c>
      <c r="B206" s="20" t="s">
        <v>29</v>
      </c>
      <c r="C206" s="20">
        <v>21</v>
      </c>
      <c r="D206" s="38" t="s">
        <v>294</v>
      </c>
      <c r="E206" s="38" t="s">
        <v>738</v>
      </c>
      <c r="F206" s="40">
        <v>3800</v>
      </c>
      <c r="G206" s="47" t="s">
        <v>962</v>
      </c>
      <c r="H206" s="34">
        <v>0</v>
      </c>
      <c r="I206" s="34">
        <v>0</v>
      </c>
      <c r="J206" s="48">
        <v>0</v>
      </c>
      <c r="K206" s="34">
        <v>0</v>
      </c>
    </row>
    <row r="207" spans="1:11" x14ac:dyDescent="0.25">
      <c r="A207" s="34">
        <v>1993</v>
      </c>
      <c r="B207" s="20" t="s">
        <v>29</v>
      </c>
      <c r="C207" s="20">
        <v>22</v>
      </c>
      <c r="D207" s="38" t="s">
        <v>294</v>
      </c>
      <c r="E207" s="38" t="s">
        <v>738</v>
      </c>
      <c r="F207" s="40">
        <v>3800</v>
      </c>
      <c r="G207" s="47" t="s">
        <v>962</v>
      </c>
      <c r="H207" s="34">
        <v>0</v>
      </c>
      <c r="I207" s="34">
        <v>0</v>
      </c>
      <c r="J207" s="48">
        <v>0</v>
      </c>
      <c r="K207" s="34">
        <v>0</v>
      </c>
    </row>
    <row r="208" spans="1:11" x14ac:dyDescent="0.25">
      <c r="A208" s="34">
        <v>1993</v>
      </c>
      <c r="B208" s="20" t="s">
        <v>29</v>
      </c>
      <c r="C208" s="20">
        <v>23</v>
      </c>
      <c r="D208" s="38" t="s">
        <v>294</v>
      </c>
      <c r="E208" s="38" t="s">
        <v>738</v>
      </c>
      <c r="F208" s="40">
        <v>3800</v>
      </c>
      <c r="G208" s="47" t="s">
        <v>962</v>
      </c>
      <c r="H208" s="34">
        <v>0</v>
      </c>
      <c r="I208" s="34">
        <v>0</v>
      </c>
      <c r="J208" s="48">
        <v>0</v>
      </c>
      <c r="K208" s="34">
        <v>0</v>
      </c>
    </row>
    <row r="209" spans="1:11" x14ac:dyDescent="0.25">
      <c r="A209" s="34">
        <v>1993</v>
      </c>
      <c r="B209" s="20" t="s">
        <v>29</v>
      </c>
      <c r="C209" s="20">
        <v>24</v>
      </c>
      <c r="D209" s="38" t="s">
        <v>294</v>
      </c>
      <c r="E209" s="38" t="s">
        <v>738</v>
      </c>
      <c r="F209" s="40">
        <v>3800</v>
      </c>
      <c r="G209" s="47" t="s">
        <v>962</v>
      </c>
      <c r="H209" s="34">
        <v>0</v>
      </c>
      <c r="I209" s="34">
        <v>0</v>
      </c>
      <c r="J209" s="48">
        <v>0</v>
      </c>
      <c r="K209" s="34">
        <v>0</v>
      </c>
    </row>
    <row r="210" spans="1:11" x14ac:dyDescent="0.25">
      <c r="A210" s="34">
        <v>1993</v>
      </c>
      <c r="B210" s="20" t="s">
        <v>29</v>
      </c>
      <c r="C210" s="20">
        <v>25</v>
      </c>
      <c r="D210" s="38" t="s">
        <v>294</v>
      </c>
      <c r="E210" s="38" t="s">
        <v>738</v>
      </c>
      <c r="F210" s="40">
        <v>3800</v>
      </c>
      <c r="G210" s="47" t="s">
        <v>962</v>
      </c>
      <c r="H210" s="34">
        <v>0</v>
      </c>
      <c r="I210" s="34">
        <v>0</v>
      </c>
      <c r="J210" s="48">
        <v>0</v>
      </c>
      <c r="K210" s="34">
        <v>0</v>
      </c>
    </row>
    <row r="211" spans="1:11" x14ac:dyDescent="0.25">
      <c r="A211" s="34">
        <v>1993</v>
      </c>
      <c r="B211" s="20" t="s">
        <v>29</v>
      </c>
      <c r="C211" s="20">
        <v>26</v>
      </c>
      <c r="D211" s="38" t="s">
        <v>294</v>
      </c>
      <c r="E211" s="38" t="s">
        <v>738</v>
      </c>
      <c r="F211" s="40">
        <v>3800</v>
      </c>
      <c r="G211" s="47" t="s">
        <v>962</v>
      </c>
      <c r="H211" s="34">
        <v>0</v>
      </c>
      <c r="I211" s="34">
        <v>0</v>
      </c>
      <c r="J211" s="48">
        <v>0</v>
      </c>
      <c r="K211" s="34">
        <v>0</v>
      </c>
    </row>
    <row r="212" spans="1:11" x14ac:dyDescent="0.25">
      <c r="A212" s="34">
        <v>1993</v>
      </c>
      <c r="B212" s="20" t="s">
        <v>29</v>
      </c>
      <c r="C212" s="20">
        <v>27</v>
      </c>
      <c r="D212" s="38" t="s">
        <v>294</v>
      </c>
      <c r="E212" s="38" t="s">
        <v>738</v>
      </c>
      <c r="F212" s="40">
        <v>3800</v>
      </c>
      <c r="G212" s="47" t="s">
        <v>962</v>
      </c>
      <c r="H212" s="34">
        <v>0</v>
      </c>
      <c r="I212" s="34">
        <v>0</v>
      </c>
      <c r="J212" s="48">
        <v>0</v>
      </c>
      <c r="K212" s="34">
        <v>0</v>
      </c>
    </row>
    <row r="213" spans="1:11" x14ac:dyDescent="0.25">
      <c r="A213" s="34">
        <v>1993</v>
      </c>
      <c r="B213" s="20" t="s">
        <v>29</v>
      </c>
      <c r="C213" s="20">
        <v>28</v>
      </c>
      <c r="D213" s="38" t="s">
        <v>294</v>
      </c>
      <c r="E213" s="38" t="s">
        <v>738</v>
      </c>
      <c r="F213" s="40">
        <v>3800</v>
      </c>
      <c r="G213" s="47" t="s">
        <v>962</v>
      </c>
      <c r="H213" s="34">
        <v>0</v>
      </c>
      <c r="I213" s="34">
        <v>0</v>
      </c>
      <c r="J213" s="48">
        <v>0</v>
      </c>
      <c r="K213" s="34">
        <v>0</v>
      </c>
    </row>
    <row r="214" spans="1:11" x14ac:dyDescent="0.25">
      <c r="A214" s="34">
        <v>1993</v>
      </c>
      <c r="B214" s="20" t="s">
        <v>29</v>
      </c>
      <c r="C214" s="20">
        <v>29</v>
      </c>
      <c r="D214" s="38" t="s">
        <v>296</v>
      </c>
      <c r="E214" s="38" t="s">
        <v>963</v>
      </c>
      <c r="F214" s="40">
        <v>3750</v>
      </c>
      <c r="G214" s="47" t="s">
        <v>964</v>
      </c>
      <c r="H214" s="34">
        <v>0</v>
      </c>
      <c r="I214" s="34">
        <v>0</v>
      </c>
      <c r="J214" s="48">
        <v>0</v>
      </c>
      <c r="K214" s="34">
        <v>0</v>
      </c>
    </row>
    <row r="215" spans="1:11" x14ac:dyDescent="0.25">
      <c r="A215" s="34">
        <v>1993</v>
      </c>
      <c r="B215" s="20" t="s">
        <v>29</v>
      </c>
      <c r="C215" s="20">
        <v>30</v>
      </c>
      <c r="D215" s="38" t="s">
        <v>296</v>
      </c>
      <c r="E215" s="38" t="s">
        <v>963</v>
      </c>
      <c r="F215" s="40">
        <v>3750</v>
      </c>
      <c r="G215" s="47" t="s">
        <v>964</v>
      </c>
      <c r="H215" s="34">
        <v>0</v>
      </c>
      <c r="I215" s="34">
        <v>0</v>
      </c>
      <c r="J215" s="48">
        <v>0</v>
      </c>
      <c r="K215" s="34">
        <v>0</v>
      </c>
    </row>
    <row r="216" spans="1:11" x14ac:dyDescent="0.25">
      <c r="A216" s="34">
        <v>1993</v>
      </c>
      <c r="B216" s="20" t="s">
        <v>29</v>
      </c>
      <c r="C216" s="20">
        <v>31</v>
      </c>
      <c r="D216" s="38" t="s">
        <v>296</v>
      </c>
      <c r="E216" s="38" t="s">
        <v>963</v>
      </c>
      <c r="F216" s="38" t="s">
        <v>1027</v>
      </c>
      <c r="G216" s="47" t="s">
        <v>964</v>
      </c>
      <c r="H216" s="34">
        <v>0</v>
      </c>
      <c r="I216" s="34">
        <v>0</v>
      </c>
      <c r="J216" s="48">
        <v>0</v>
      </c>
      <c r="K216" s="34">
        <v>0</v>
      </c>
    </row>
    <row r="217" spans="1:11" x14ac:dyDescent="0.25">
      <c r="A217" s="34">
        <v>1993</v>
      </c>
      <c r="B217" s="20" t="s">
        <v>30</v>
      </c>
      <c r="C217" s="20">
        <v>1</v>
      </c>
      <c r="D217" s="38" t="s">
        <v>300</v>
      </c>
      <c r="E217" s="38" t="s">
        <v>737</v>
      </c>
      <c r="F217" s="40">
        <v>3700</v>
      </c>
      <c r="G217" s="47" t="s">
        <v>965</v>
      </c>
      <c r="H217" s="34">
        <v>0</v>
      </c>
      <c r="I217" s="34">
        <v>0</v>
      </c>
      <c r="J217" s="48">
        <v>0</v>
      </c>
      <c r="K217" s="34">
        <v>0</v>
      </c>
    </row>
    <row r="218" spans="1:11" x14ac:dyDescent="0.25">
      <c r="A218" s="34">
        <v>1993</v>
      </c>
      <c r="B218" s="20" t="s">
        <v>30</v>
      </c>
      <c r="C218" s="20">
        <v>2</v>
      </c>
      <c r="D218" s="38" t="s">
        <v>300</v>
      </c>
      <c r="E218" s="38" t="s">
        <v>737</v>
      </c>
      <c r="F218" s="36">
        <v>3700</v>
      </c>
      <c r="G218" s="47" t="s">
        <v>965</v>
      </c>
      <c r="H218" s="34">
        <v>0</v>
      </c>
      <c r="I218" s="34">
        <v>0</v>
      </c>
      <c r="J218" s="48">
        <v>0</v>
      </c>
      <c r="K218" s="34">
        <v>0</v>
      </c>
    </row>
    <row r="219" spans="1:11" x14ac:dyDescent="0.25">
      <c r="A219" s="34">
        <v>1993</v>
      </c>
      <c r="B219" s="20" t="s">
        <v>30</v>
      </c>
      <c r="C219" s="20">
        <v>3</v>
      </c>
      <c r="D219" s="38" t="s">
        <v>304</v>
      </c>
      <c r="E219" s="38" t="s">
        <v>968</v>
      </c>
      <c r="F219" s="36">
        <v>3650</v>
      </c>
      <c r="G219" s="47" t="s">
        <v>969</v>
      </c>
      <c r="H219" s="34">
        <v>0</v>
      </c>
      <c r="I219" s="34">
        <v>0</v>
      </c>
      <c r="J219" s="48">
        <v>0</v>
      </c>
      <c r="K219" s="34">
        <v>0</v>
      </c>
    </row>
    <row r="220" spans="1:11" x14ac:dyDescent="0.25">
      <c r="A220" s="34">
        <v>1993</v>
      </c>
      <c r="B220" s="20" t="s">
        <v>30</v>
      </c>
      <c r="C220" s="20">
        <v>4</v>
      </c>
      <c r="D220" s="38" t="s">
        <v>304</v>
      </c>
      <c r="E220" s="38" t="s">
        <v>968</v>
      </c>
      <c r="F220" s="36">
        <v>3650</v>
      </c>
      <c r="G220" s="47" t="s">
        <v>969</v>
      </c>
      <c r="H220" s="34">
        <v>0</v>
      </c>
      <c r="I220" s="34">
        <v>0</v>
      </c>
      <c r="J220" s="48">
        <v>0</v>
      </c>
      <c r="K220" s="34">
        <v>0</v>
      </c>
    </row>
    <row r="221" spans="1:11" x14ac:dyDescent="0.25">
      <c r="A221" s="34">
        <v>1993</v>
      </c>
      <c r="B221" s="20" t="s">
        <v>30</v>
      </c>
      <c r="C221" s="20">
        <v>5</v>
      </c>
      <c r="D221" s="38" t="s">
        <v>304</v>
      </c>
      <c r="E221" s="38" t="s">
        <v>968</v>
      </c>
      <c r="F221" s="36">
        <v>3650</v>
      </c>
      <c r="G221" s="47" t="s">
        <v>969</v>
      </c>
      <c r="H221" s="34">
        <v>0</v>
      </c>
      <c r="I221" s="34">
        <v>0</v>
      </c>
      <c r="J221" s="48">
        <v>0</v>
      </c>
      <c r="K221" s="34">
        <v>0</v>
      </c>
    </row>
    <row r="222" spans="1:11" x14ac:dyDescent="0.25">
      <c r="A222" s="34">
        <v>1993</v>
      </c>
      <c r="B222" s="20" t="s">
        <v>30</v>
      </c>
      <c r="C222" s="20">
        <v>6</v>
      </c>
      <c r="D222" s="38" t="s">
        <v>304</v>
      </c>
      <c r="E222" s="38" t="s">
        <v>968</v>
      </c>
      <c r="F222" s="36">
        <v>3650</v>
      </c>
      <c r="G222" s="47" t="s">
        <v>969</v>
      </c>
      <c r="H222" s="34">
        <v>0</v>
      </c>
      <c r="I222" s="34">
        <v>0</v>
      </c>
      <c r="J222" s="48">
        <v>0</v>
      </c>
      <c r="K222" s="34">
        <v>0</v>
      </c>
    </row>
    <row r="223" spans="1:11" x14ac:dyDescent="0.25">
      <c r="A223" s="34">
        <v>1993</v>
      </c>
      <c r="B223" s="20" t="s">
        <v>30</v>
      </c>
      <c r="C223" s="20">
        <v>7</v>
      </c>
      <c r="D223" s="38" t="s">
        <v>304</v>
      </c>
      <c r="E223" s="38" t="s">
        <v>1104</v>
      </c>
      <c r="F223" s="36">
        <v>3650</v>
      </c>
      <c r="G223" s="47" t="s">
        <v>969</v>
      </c>
      <c r="H223" s="34">
        <v>0</v>
      </c>
      <c r="I223" s="34">
        <v>0</v>
      </c>
      <c r="J223" s="48">
        <v>0</v>
      </c>
      <c r="K223" s="34">
        <v>0</v>
      </c>
    </row>
    <row r="224" spans="1:11" x14ac:dyDescent="0.25">
      <c r="A224" s="34">
        <v>1993</v>
      </c>
      <c r="B224" s="20" t="s">
        <v>30</v>
      </c>
      <c r="C224" s="20">
        <v>8</v>
      </c>
      <c r="D224" s="38" t="s">
        <v>304</v>
      </c>
      <c r="E224" s="38" t="s">
        <v>968</v>
      </c>
      <c r="F224" s="36">
        <v>3650</v>
      </c>
      <c r="G224" s="47" t="s">
        <v>969</v>
      </c>
      <c r="H224" s="34">
        <v>0</v>
      </c>
      <c r="I224" s="34">
        <v>0</v>
      </c>
      <c r="J224" s="48">
        <v>0</v>
      </c>
      <c r="K224" s="34">
        <v>0</v>
      </c>
    </row>
    <row r="225" spans="1:11" x14ac:dyDescent="0.25">
      <c r="A225" s="34">
        <v>1993</v>
      </c>
      <c r="B225" s="20" t="s">
        <v>30</v>
      </c>
      <c r="C225" s="20">
        <v>9</v>
      </c>
      <c r="D225" s="38" t="s">
        <v>304</v>
      </c>
      <c r="E225" s="38" t="s">
        <v>1105</v>
      </c>
      <c r="F225" s="36">
        <v>3600</v>
      </c>
      <c r="G225" s="47" t="s">
        <v>970</v>
      </c>
      <c r="H225" s="34">
        <v>0</v>
      </c>
      <c r="I225" s="34">
        <v>0</v>
      </c>
      <c r="J225" s="48">
        <v>0</v>
      </c>
      <c r="K225" s="34">
        <v>0</v>
      </c>
    </row>
    <row r="226" spans="1:11" x14ac:dyDescent="0.25">
      <c r="A226" s="34">
        <v>1993</v>
      </c>
      <c r="B226" s="20" t="s">
        <v>30</v>
      </c>
      <c r="C226" s="20">
        <v>10</v>
      </c>
      <c r="D226" s="38" t="s">
        <v>311</v>
      </c>
      <c r="E226" s="38" t="s">
        <v>973</v>
      </c>
      <c r="F226" s="40">
        <v>3550</v>
      </c>
      <c r="G226" s="47" t="s">
        <v>974</v>
      </c>
      <c r="H226" s="34">
        <v>0</v>
      </c>
      <c r="I226" s="34">
        <v>0</v>
      </c>
      <c r="J226" s="48">
        <v>0</v>
      </c>
      <c r="K226" s="34">
        <v>0</v>
      </c>
    </row>
    <row r="227" spans="1:11" x14ac:dyDescent="0.25">
      <c r="A227" s="34">
        <v>1993</v>
      </c>
      <c r="B227" s="20" t="s">
        <v>30</v>
      </c>
      <c r="C227" s="20">
        <v>11</v>
      </c>
      <c r="D227" s="38" t="s">
        <v>311</v>
      </c>
      <c r="E227" s="38" t="s">
        <v>973</v>
      </c>
      <c r="F227" s="40">
        <v>3550</v>
      </c>
      <c r="G227" s="47" t="s">
        <v>974</v>
      </c>
      <c r="H227" s="34">
        <v>0</v>
      </c>
      <c r="I227" s="34">
        <v>0</v>
      </c>
      <c r="J227" s="48">
        <v>0</v>
      </c>
      <c r="K227" s="34">
        <v>0</v>
      </c>
    </row>
    <row r="228" spans="1:11" x14ac:dyDescent="0.25">
      <c r="A228" s="34">
        <v>1993</v>
      </c>
      <c r="B228" s="20" t="s">
        <v>30</v>
      </c>
      <c r="C228" s="20">
        <v>12</v>
      </c>
      <c r="D228" s="38" t="s">
        <v>317</v>
      </c>
      <c r="E228" s="38" t="s">
        <v>1106</v>
      </c>
      <c r="F228" s="40">
        <v>3500</v>
      </c>
      <c r="G228" s="47" t="s">
        <v>1112</v>
      </c>
      <c r="H228" s="34">
        <v>0</v>
      </c>
      <c r="I228" s="34">
        <v>0</v>
      </c>
      <c r="J228" s="48">
        <v>0</v>
      </c>
      <c r="K228" s="34">
        <v>0</v>
      </c>
    </row>
    <row r="229" spans="1:11" x14ac:dyDescent="0.25">
      <c r="A229" s="34">
        <v>1993</v>
      </c>
      <c r="B229" s="20" t="s">
        <v>30</v>
      </c>
      <c r="C229" s="20">
        <v>13</v>
      </c>
      <c r="D229" s="38" t="s">
        <v>317</v>
      </c>
      <c r="E229" s="38" t="s">
        <v>1106</v>
      </c>
      <c r="F229" s="40">
        <v>3500</v>
      </c>
      <c r="G229" s="47" t="s">
        <v>1112</v>
      </c>
      <c r="H229" s="34">
        <v>0</v>
      </c>
      <c r="I229" s="34">
        <v>0</v>
      </c>
      <c r="J229" s="48">
        <v>0</v>
      </c>
      <c r="K229" s="34">
        <v>0</v>
      </c>
    </row>
    <row r="230" spans="1:11" x14ac:dyDescent="0.25">
      <c r="A230" s="34">
        <v>1993</v>
      </c>
      <c r="B230" s="20" t="s">
        <v>30</v>
      </c>
      <c r="C230" s="20">
        <v>14</v>
      </c>
      <c r="D230" s="38" t="s">
        <v>319</v>
      </c>
      <c r="E230" s="38" t="s">
        <v>1107</v>
      </c>
      <c r="F230" s="40">
        <v>3450</v>
      </c>
      <c r="G230" s="47" t="s">
        <v>989</v>
      </c>
      <c r="H230" s="34">
        <v>0</v>
      </c>
      <c r="I230" s="34">
        <v>0</v>
      </c>
      <c r="J230" s="48">
        <v>0</v>
      </c>
      <c r="K230" s="34">
        <v>0</v>
      </c>
    </row>
    <row r="231" spans="1:11" x14ac:dyDescent="0.25">
      <c r="A231" s="34">
        <v>1993</v>
      </c>
      <c r="B231" s="20" t="s">
        <v>30</v>
      </c>
      <c r="C231" s="20">
        <v>15</v>
      </c>
      <c r="D231" s="38" t="s">
        <v>319</v>
      </c>
      <c r="E231" s="38" t="s">
        <v>1107</v>
      </c>
      <c r="F231" s="40">
        <v>3450</v>
      </c>
      <c r="G231" s="47" t="s">
        <v>989</v>
      </c>
      <c r="H231" s="34">
        <v>0</v>
      </c>
      <c r="I231" s="34">
        <v>0</v>
      </c>
      <c r="J231" s="48">
        <v>0</v>
      </c>
      <c r="K231" s="34">
        <v>0</v>
      </c>
    </row>
    <row r="232" spans="1:11" x14ac:dyDescent="0.25">
      <c r="A232" s="34">
        <v>1993</v>
      </c>
      <c r="B232" s="20" t="s">
        <v>30</v>
      </c>
      <c r="C232" s="20">
        <v>16</v>
      </c>
      <c r="D232" s="38" t="s">
        <v>321</v>
      </c>
      <c r="E232" s="38" t="s">
        <v>1108</v>
      </c>
      <c r="F232" s="40">
        <v>3400</v>
      </c>
      <c r="G232" s="47" t="s">
        <v>1113</v>
      </c>
      <c r="H232" s="34">
        <v>0</v>
      </c>
      <c r="I232" s="34">
        <v>0</v>
      </c>
      <c r="J232" s="48">
        <v>0</v>
      </c>
      <c r="K232" s="34">
        <v>0</v>
      </c>
    </row>
    <row r="233" spans="1:11" x14ac:dyDescent="0.25">
      <c r="A233" s="34">
        <v>1993</v>
      </c>
      <c r="B233" s="20" t="s">
        <v>30</v>
      </c>
      <c r="C233" s="20">
        <v>17</v>
      </c>
      <c r="D233" s="38" t="s">
        <v>321</v>
      </c>
      <c r="E233" s="38" t="s">
        <v>1108</v>
      </c>
      <c r="F233" s="40">
        <v>3400</v>
      </c>
      <c r="G233" s="47" t="s">
        <v>1113</v>
      </c>
      <c r="H233" s="34">
        <v>0</v>
      </c>
      <c r="I233" s="34">
        <v>0</v>
      </c>
      <c r="J233" s="48">
        <v>0</v>
      </c>
      <c r="K233" s="34">
        <v>0</v>
      </c>
    </row>
    <row r="234" spans="1:11" x14ac:dyDescent="0.25">
      <c r="A234" s="34">
        <v>1993</v>
      </c>
      <c r="B234" s="20" t="s">
        <v>30</v>
      </c>
      <c r="C234" s="20">
        <v>18</v>
      </c>
      <c r="D234" s="38" t="s">
        <v>426</v>
      </c>
      <c r="E234" s="38" t="s">
        <v>1109</v>
      </c>
      <c r="F234" s="40">
        <v>3300</v>
      </c>
      <c r="G234" s="47" t="s">
        <v>985</v>
      </c>
      <c r="H234" s="34">
        <v>0</v>
      </c>
      <c r="I234" s="34">
        <v>0</v>
      </c>
      <c r="J234" s="48">
        <v>0</v>
      </c>
      <c r="K234" s="34">
        <v>0</v>
      </c>
    </row>
    <row r="235" spans="1:11" x14ac:dyDescent="0.25">
      <c r="A235" s="34">
        <v>1993</v>
      </c>
      <c r="B235" s="20" t="s">
        <v>30</v>
      </c>
      <c r="C235" s="20">
        <v>19</v>
      </c>
      <c r="D235" s="38" t="s">
        <v>426</v>
      </c>
      <c r="E235" s="38" t="s">
        <v>1109</v>
      </c>
      <c r="F235" s="38" t="s">
        <v>1030</v>
      </c>
      <c r="G235" s="47" t="s">
        <v>985</v>
      </c>
      <c r="H235" s="34">
        <v>0</v>
      </c>
      <c r="I235" s="34">
        <v>0</v>
      </c>
      <c r="J235" s="48">
        <v>0</v>
      </c>
      <c r="K235" s="34">
        <v>0</v>
      </c>
    </row>
    <row r="236" spans="1:11" x14ac:dyDescent="0.25">
      <c r="A236" s="34">
        <v>1993</v>
      </c>
      <c r="B236" s="20" t="s">
        <v>30</v>
      </c>
      <c r="C236" s="20">
        <v>20</v>
      </c>
      <c r="D236" s="38" t="s">
        <v>426</v>
      </c>
      <c r="E236" s="38" t="s">
        <v>1109</v>
      </c>
      <c r="F236" s="38" t="s">
        <v>1030</v>
      </c>
      <c r="G236" s="47" t="s">
        <v>985</v>
      </c>
      <c r="H236" s="34">
        <v>0</v>
      </c>
      <c r="I236" s="34">
        <v>0</v>
      </c>
      <c r="J236" s="48">
        <v>0</v>
      </c>
      <c r="K236" s="34">
        <v>0</v>
      </c>
    </row>
    <row r="237" spans="1:11" x14ac:dyDescent="0.25">
      <c r="A237" s="34">
        <v>1993</v>
      </c>
      <c r="B237" s="20" t="s">
        <v>30</v>
      </c>
      <c r="C237" s="20">
        <v>21</v>
      </c>
      <c r="D237" s="38" t="s">
        <v>426</v>
      </c>
      <c r="E237" s="38" t="s">
        <v>1109</v>
      </c>
      <c r="F237" s="38" t="s">
        <v>1030</v>
      </c>
      <c r="G237" s="47" t="s">
        <v>985</v>
      </c>
      <c r="H237" s="34">
        <v>0</v>
      </c>
      <c r="I237" s="34">
        <v>0</v>
      </c>
      <c r="J237" s="48">
        <v>0</v>
      </c>
      <c r="K237" s="34">
        <v>0</v>
      </c>
    </row>
    <row r="238" spans="1:11" x14ac:dyDescent="0.25">
      <c r="A238" s="34">
        <v>1993</v>
      </c>
      <c r="B238" s="20" t="s">
        <v>30</v>
      </c>
      <c r="C238" s="20">
        <v>22</v>
      </c>
      <c r="D238" s="38" t="s">
        <v>426</v>
      </c>
      <c r="E238" s="38" t="s">
        <v>1109</v>
      </c>
      <c r="F238" s="38" t="s">
        <v>1030</v>
      </c>
      <c r="G238" s="47" t="s">
        <v>985</v>
      </c>
      <c r="H238" s="34">
        <v>0</v>
      </c>
      <c r="I238" s="34">
        <v>0</v>
      </c>
      <c r="J238" s="48">
        <v>0</v>
      </c>
      <c r="K238" s="34">
        <v>0</v>
      </c>
    </row>
    <row r="239" spans="1:11" x14ac:dyDescent="0.25">
      <c r="A239" s="34">
        <v>1993</v>
      </c>
      <c r="B239" s="20" t="s">
        <v>30</v>
      </c>
      <c r="C239" s="20">
        <v>23</v>
      </c>
      <c r="D239" s="38" t="s">
        <v>417</v>
      </c>
      <c r="E239" s="38" t="s">
        <v>1110</v>
      </c>
      <c r="F239" s="40">
        <v>3250</v>
      </c>
      <c r="G239" s="47" t="s">
        <v>1114</v>
      </c>
      <c r="H239" s="34">
        <v>0</v>
      </c>
      <c r="I239" s="34">
        <v>0</v>
      </c>
      <c r="J239" s="48">
        <v>0</v>
      </c>
      <c r="K239" s="34">
        <v>0</v>
      </c>
    </row>
    <row r="240" spans="1:11" x14ac:dyDescent="0.25">
      <c r="A240" s="34">
        <v>1993</v>
      </c>
      <c r="B240" s="20" t="s">
        <v>30</v>
      </c>
      <c r="C240" s="20">
        <v>24</v>
      </c>
      <c r="D240" s="38" t="s">
        <v>417</v>
      </c>
      <c r="E240" s="38" t="s">
        <v>1110</v>
      </c>
      <c r="F240" s="40">
        <v>3250</v>
      </c>
      <c r="G240" s="47" t="s">
        <v>1114</v>
      </c>
      <c r="H240" s="34">
        <v>0</v>
      </c>
      <c r="I240" s="34">
        <v>0</v>
      </c>
      <c r="J240" s="48">
        <v>0</v>
      </c>
      <c r="K240" s="34">
        <v>0</v>
      </c>
    </row>
    <row r="241" spans="1:11" x14ac:dyDescent="0.25">
      <c r="A241" s="34">
        <v>1993</v>
      </c>
      <c r="B241" s="20" t="s">
        <v>30</v>
      </c>
      <c r="C241" s="20">
        <v>25</v>
      </c>
      <c r="D241" s="38" t="s">
        <v>417</v>
      </c>
      <c r="E241" s="38" t="s">
        <v>1110</v>
      </c>
      <c r="F241" s="40">
        <v>3250</v>
      </c>
      <c r="G241" s="47" t="s">
        <v>1114</v>
      </c>
      <c r="H241" s="34">
        <v>0</v>
      </c>
      <c r="I241" s="34">
        <v>0</v>
      </c>
      <c r="J241" s="48">
        <v>0</v>
      </c>
      <c r="K241" s="34">
        <v>0</v>
      </c>
    </row>
    <row r="242" spans="1:11" x14ac:dyDescent="0.25">
      <c r="A242" s="34">
        <v>1993</v>
      </c>
      <c r="B242" s="20" t="s">
        <v>30</v>
      </c>
      <c r="C242" s="20">
        <v>26</v>
      </c>
      <c r="D242" s="38" t="s">
        <v>417</v>
      </c>
      <c r="E242" s="38" t="s">
        <v>1110</v>
      </c>
      <c r="F242" s="38" t="s">
        <v>1031</v>
      </c>
      <c r="G242" s="47" t="s">
        <v>1114</v>
      </c>
      <c r="H242" s="34">
        <v>0</v>
      </c>
      <c r="I242" s="34">
        <v>0</v>
      </c>
      <c r="J242" s="48">
        <v>0</v>
      </c>
      <c r="K242" s="34">
        <v>0</v>
      </c>
    </row>
    <row r="243" spans="1:11" x14ac:dyDescent="0.25">
      <c r="A243" s="34">
        <v>1993</v>
      </c>
      <c r="B243" s="20" t="s">
        <v>30</v>
      </c>
      <c r="C243" s="20">
        <v>27</v>
      </c>
      <c r="D243" s="38" t="s">
        <v>417</v>
      </c>
      <c r="E243" s="38" t="s">
        <v>1110</v>
      </c>
      <c r="F243" s="38" t="s">
        <v>1031</v>
      </c>
      <c r="G243" s="47" t="s">
        <v>1114</v>
      </c>
      <c r="H243" s="34">
        <v>0</v>
      </c>
      <c r="I243" s="34">
        <v>0</v>
      </c>
      <c r="J243" s="48">
        <v>0</v>
      </c>
      <c r="K243" s="34">
        <v>0</v>
      </c>
    </row>
    <row r="244" spans="1:11" x14ac:dyDescent="0.25">
      <c r="A244" s="34">
        <v>1993</v>
      </c>
      <c r="B244" s="20" t="s">
        <v>30</v>
      </c>
      <c r="C244" s="20">
        <v>28</v>
      </c>
      <c r="D244" s="38" t="s">
        <v>417</v>
      </c>
      <c r="E244" s="38" t="s">
        <v>1110</v>
      </c>
      <c r="F244" s="40">
        <v>3200</v>
      </c>
      <c r="G244" s="47" t="s">
        <v>1114</v>
      </c>
      <c r="H244" s="34">
        <v>0</v>
      </c>
      <c r="I244" s="34">
        <v>0</v>
      </c>
      <c r="J244" s="48">
        <v>0</v>
      </c>
      <c r="K244" s="34">
        <v>0</v>
      </c>
    </row>
    <row r="245" spans="1:11" x14ac:dyDescent="0.25">
      <c r="A245" s="34">
        <v>1993</v>
      </c>
      <c r="B245" s="20" t="s">
        <v>30</v>
      </c>
      <c r="C245" s="20">
        <v>29</v>
      </c>
      <c r="D245" s="38" t="s">
        <v>427</v>
      </c>
      <c r="E245" s="38" t="s">
        <v>1111</v>
      </c>
      <c r="F245" s="40">
        <v>3200</v>
      </c>
      <c r="G245" s="47" t="s">
        <v>998</v>
      </c>
      <c r="H245" s="34">
        <v>0</v>
      </c>
      <c r="I245" s="34">
        <v>0</v>
      </c>
      <c r="J245" s="48">
        <v>0</v>
      </c>
      <c r="K245" s="34">
        <v>0</v>
      </c>
    </row>
    <row r="246" spans="1:11" x14ac:dyDescent="0.25">
      <c r="A246" s="34">
        <v>1993</v>
      </c>
      <c r="B246" s="20" t="s">
        <v>30</v>
      </c>
      <c r="C246" s="20">
        <v>30</v>
      </c>
      <c r="D246" s="38" t="s">
        <v>427</v>
      </c>
      <c r="E246" s="38" t="s">
        <v>1111</v>
      </c>
      <c r="F246" s="40">
        <v>3200</v>
      </c>
      <c r="G246" s="47" t="s">
        <v>998</v>
      </c>
      <c r="H246" s="34">
        <v>0</v>
      </c>
      <c r="I246" s="34">
        <v>0</v>
      </c>
      <c r="J246" s="48">
        <v>0</v>
      </c>
      <c r="K246" s="34">
        <v>0</v>
      </c>
    </row>
    <row r="247" spans="1:11" x14ac:dyDescent="0.25">
      <c r="A247" s="34">
        <v>1993</v>
      </c>
      <c r="B247" s="20" t="s">
        <v>30</v>
      </c>
      <c r="C247" s="20">
        <v>31</v>
      </c>
      <c r="D247" s="38" t="s">
        <v>427</v>
      </c>
      <c r="E247" s="38" t="s">
        <v>1111</v>
      </c>
      <c r="F247" s="40">
        <v>3200</v>
      </c>
      <c r="G247" s="47" t="s">
        <v>998</v>
      </c>
      <c r="H247" s="34">
        <v>0</v>
      </c>
      <c r="I247" s="34">
        <v>0</v>
      </c>
      <c r="J247" s="48">
        <v>0</v>
      </c>
      <c r="K247" s="34">
        <v>0</v>
      </c>
    </row>
    <row r="248" spans="1:11" x14ac:dyDescent="0.25">
      <c r="A248" s="43">
        <v>1993</v>
      </c>
      <c r="B248" s="36" t="s">
        <v>31</v>
      </c>
      <c r="C248" s="36">
        <v>1</v>
      </c>
      <c r="D248" s="38" t="s">
        <v>416</v>
      </c>
      <c r="E248" s="38" t="s">
        <v>1119</v>
      </c>
      <c r="F248" s="40">
        <v>3100</v>
      </c>
      <c r="G248" s="44" t="s">
        <v>1003</v>
      </c>
      <c r="H248" s="43">
        <v>0</v>
      </c>
      <c r="I248" s="43">
        <v>0</v>
      </c>
      <c r="J248" s="43">
        <v>0</v>
      </c>
      <c r="K248" s="43">
        <v>0</v>
      </c>
    </row>
    <row r="249" spans="1:11" x14ac:dyDescent="0.25">
      <c r="A249" s="43">
        <v>1993</v>
      </c>
      <c r="B249" s="36" t="s">
        <v>31</v>
      </c>
      <c r="C249" s="36">
        <v>2</v>
      </c>
      <c r="D249" s="38" t="s">
        <v>416</v>
      </c>
      <c r="E249" s="38" t="s">
        <v>1119</v>
      </c>
      <c r="F249" s="40">
        <v>3100</v>
      </c>
      <c r="G249" s="44" t="s">
        <v>1003</v>
      </c>
      <c r="H249" s="43">
        <v>0</v>
      </c>
      <c r="I249" s="43">
        <v>0</v>
      </c>
      <c r="J249" s="43">
        <v>0</v>
      </c>
      <c r="K249" s="43">
        <v>0</v>
      </c>
    </row>
    <row r="250" spans="1:11" x14ac:dyDescent="0.25">
      <c r="A250" s="43">
        <v>1993</v>
      </c>
      <c r="B250" s="36" t="s">
        <v>31</v>
      </c>
      <c r="C250" s="36">
        <v>3</v>
      </c>
      <c r="D250" s="38" t="s">
        <v>416</v>
      </c>
      <c r="E250" s="38" t="s">
        <v>1119</v>
      </c>
      <c r="F250" s="40">
        <v>3100</v>
      </c>
      <c r="G250" s="44" t="s">
        <v>1003</v>
      </c>
      <c r="H250" s="43">
        <v>0</v>
      </c>
      <c r="I250" s="43">
        <v>0</v>
      </c>
      <c r="J250" s="43">
        <v>0</v>
      </c>
      <c r="K250" s="43">
        <v>0</v>
      </c>
    </row>
    <row r="251" spans="1:11" x14ac:dyDescent="0.25">
      <c r="A251" s="43">
        <v>1993</v>
      </c>
      <c r="B251" s="36" t="s">
        <v>31</v>
      </c>
      <c r="C251" s="36">
        <v>4</v>
      </c>
      <c r="D251" s="38" t="s">
        <v>415</v>
      </c>
      <c r="E251" s="38" t="s">
        <v>1129</v>
      </c>
      <c r="F251" s="40">
        <v>3000</v>
      </c>
      <c r="G251" s="44" t="s">
        <v>1135</v>
      </c>
      <c r="H251" s="43">
        <v>0</v>
      </c>
      <c r="I251" s="43">
        <v>0</v>
      </c>
      <c r="J251" s="43">
        <v>0</v>
      </c>
      <c r="K251" s="43">
        <v>0</v>
      </c>
    </row>
    <row r="252" spans="1:11" x14ac:dyDescent="0.25">
      <c r="A252" s="43">
        <v>1993</v>
      </c>
      <c r="B252" s="36" t="s">
        <v>31</v>
      </c>
      <c r="C252" s="36">
        <v>5</v>
      </c>
      <c r="D252" s="38" t="s">
        <v>415</v>
      </c>
      <c r="E252" s="38" t="s">
        <v>1129</v>
      </c>
      <c r="F252" s="40">
        <v>3000</v>
      </c>
      <c r="G252" s="44" t="s">
        <v>1135</v>
      </c>
      <c r="H252" s="43">
        <v>0</v>
      </c>
      <c r="I252" s="43">
        <v>0</v>
      </c>
      <c r="J252" s="43">
        <v>0</v>
      </c>
      <c r="K252" s="43">
        <v>0</v>
      </c>
    </row>
    <row r="253" spans="1:11" x14ac:dyDescent="0.25">
      <c r="A253" s="43">
        <v>1993</v>
      </c>
      <c r="B253" s="36" t="s">
        <v>31</v>
      </c>
      <c r="C253" s="36">
        <v>6</v>
      </c>
      <c r="D253" s="38" t="s">
        <v>415</v>
      </c>
      <c r="E253" s="38" t="s">
        <v>1129</v>
      </c>
      <c r="F253" s="40">
        <v>3000</v>
      </c>
      <c r="G253" s="44" t="s">
        <v>1135</v>
      </c>
      <c r="H253" s="43">
        <v>0</v>
      </c>
      <c r="I253" s="43">
        <v>0</v>
      </c>
      <c r="J253" s="43">
        <v>0</v>
      </c>
      <c r="K253" s="43">
        <v>0</v>
      </c>
    </row>
    <row r="254" spans="1:11" x14ac:dyDescent="0.25">
      <c r="A254" s="43">
        <v>1993</v>
      </c>
      <c r="B254" s="36" t="s">
        <v>31</v>
      </c>
      <c r="C254" s="36">
        <v>7</v>
      </c>
      <c r="D254" s="38" t="s">
        <v>415</v>
      </c>
      <c r="E254" s="38" t="s">
        <v>1129</v>
      </c>
      <c r="F254" s="40">
        <v>3000</v>
      </c>
      <c r="G254" s="44" t="s">
        <v>1135</v>
      </c>
      <c r="H254" s="43">
        <v>0</v>
      </c>
      <c r="I254" s="43">
        <v>0</v>
      </c>
      <c r="J254" s="43">
        <v>0</v>
      </c>
      <c r="K254" s="43">
        <v>0</v>
      </c>
    </row>
    <row r="255" spans="1:11" x14ac:dyDescent="0.25">
      <c r="A255" s="43">
        <v>1993</v>
      </c>
      <c r="B255" s="36" t="s">
        <v>31</v>
      </c>
      <c r="C255" s="36">
        <v>8</v>
      </c>
      <c r="D255" s="38" t="s">
        <v>415</v>
      </c>
      <c r="E255" s="38" t="s">
        <v>1129</v>
      </c>
      <c r="F255" s="40">
        <v>3000</v>
      </c>
      <c r="G255" s="44" t="s">
        <v>1135</v>
      </c>
      <c r="H255" s="43">
        <v>0</v>
      </c>
      <c r="I255" s="43">
        <v>0</v>
      </c>
      <c r="J255" s="43">
        <v>0</v>
      </c>
      <c r="K255" s="43">
        <v>0</v>
      </c>
    </row>
    <row r="256" spans="1:11" x14ac:dyDescent="0.25">
      <c r="A256" s="43">
        <v>1993</v>
      </c>
      <c r="B256" s="36" t="s">
        <v>31</v>
      </c>
      <c r="C256" s="36">
        <v>9</v>
      </c>
      <c r="D256" s="38" t="s">
        <v>415</v>
      </c>
      <c r="E256" s="38" t="s">
        <v>1129</v>
      </c>
      <c r="F256" s="40">
        <v>3000</v>
      </c>
      <c r="G256" s="44" t="s">
        <v>1135</v>
      </c>
      <c r="H256" s="43">
        <v>0</v>
      </c>
      <c r="I256" s="43">
        <v>0</v>
      </c>
      <c r="J256" s="43">
        <v>0</v>
      </c>
      <c r="K256" s="43">
        <v>0</v>
      </c>
    </row>
    <row r="257" spans="1:11" x14ac:dyDescent="0.25">
      <c r="A257" s="43">
        <v>1993</v>
      </c>
      <c r="B257" s="36" t="s">
        <v>31</v>
      </c>
      <c r="C257" s="36">
        <v>10</v>
      </c>
      <c r="D257" s="38" t="s">
        <v>414</v>
      </c>
      <c r="E257" s="38" t="s">
        <v>1130</v>
      </c>
      <c r="F257" s="40">
        <v>2900</v>
      </c>
      <c r="G257" s="44" t="s">
        <v>1136</v>
      </c>
      <c r="H257" s="43">
        <v>0</v>
      </c>
      <c r="I257" s="43">
        <v>0</v>
      </c>
      <c r="J257" s="43">
        <v>0</v>
      </c>
      <c r="K257" s="43">
        <v>0</v>
      </c>
    </row>
    <row r="258" spans="1:11" x14ac:dyDescent="0.25">
      <c r="A258" s="43">
        <v>1993</v>
      </c>
      <c r="B258" s="36" t="s">
        <v>31</v>
      </c>
      <c r="C258" s="36">
        <v>11</v>
      </c>
      <c r="D258" s="38" t="s">
        <v>414</v>
      </c>
      <c r="E258" s="38" t="s">
        <v>1130</v>
      </c>
      <c r="F258" s="40">
        <v>2900</v>
      </c>
      <c r="G258" s="44" t="s">
        <v>1136</v>
      </c>
      <c r="H258" s="43">
        <v>0</v>
      </c>
      <c r="I258" s="43">
        <v>0</v>
      </c>
      <c r="J258" s="43">
        <v>0</v>
      </c>
      <c r="K258" s="43">
        <v>0</v>
      </c>
    </row>
    <row r="259" spans="1:11" x14ac:dyDescent="0.25">
      <c r="A259" s="43">
        <v>1993</v>
      </c>
      <c r="B259" s="36" t="s">
        <v>31</v>
      </c>
      <c r="C259" s="36">
        <v>12</v>
      </c>
      <c r="D259" s="38" t="s">
        <v>414</v>
      </c>
      <c r="E259" s="38" t="s">
        <v>1130</v>
      </c>
      <c r="F259" s="40">
        <v>2900</v>
      </c>
      <c r="G259" s="44" t="s">
        <v>1136</v>
      </c>
      <c r="H259" s="43">
        <v>0</v>
      </c>
      <c r="I259" s="43">
        <v>0</v>
      </c>
      <c r="J259" s="43">
        <v>0</v>
      </c>
      <c r="K259" s="43">
        <v>0</v>
      </c>
    </row>
    <row r="260" spans="1:11" x14ac:dyDescent="0.25">
      <c r="A260" s="43">
        <v>1993</v>
      </c>
      <c r="B260" s="36" t="s">
        <v>31</v>
      </c>
      <c r="C260" s="36">
        <v>13</v>
      </c>
      <c r="D260" s="38" t="s">
        <v>413</v>
      </c>
      <c r="E260" s="38" t="s">
        <v>1131</v>
      </c>
      <c r="F260" s="38" t="s">
        <v>1020</v>
      </c>
      <c r="G260" s="44" t="s">
        <v>1137</v>
      </c>
      <c r="H260" s="43">
        <v>0</v>
      </c>
      <c r="I260" s="43">
        <v>0</v>
      </c>
      <c r="J260" s="43">
        <v>0</v>
      </c>
      <c r="K260" s="43">
        <v>0</v>
      </c>
    </row>
    <row r="261" spans="1:11" x14ac:dyDescent="0.25">
      <c r="A261" s="43">
        <v>1993</v>
      </c>
      <c r="B261" s="36" t="s">
        <v>31</v>
      </c>
      <c r="C261" s="36">
        <v>14</v>
      </c>
      <c r="D261" s="38" t="s">
        <v>413</v>
      </c>
      <c r="E261" s="38" t="s">
        <v>1131</v>
      </c>
      <c r="F261" s="38" t="s">
        <v>1020</v>
      </c>
      <c r="G261" s="44" t="s">
        <v>1137</v>
      </c>
      <c r="H261" s="43">
        <v>0</v>
      </c>
      <c r="I261" s="43">
        <v>0</v>
      </c>
      <c r="J261" s="43">
        <v>0</v>
      </c>
      <c r="K261" s="43">
        <v>0</v>
      </c>
    </row>
    <row r="262" spans="1:11" x14ac:dyDescent="0.25">
      <c r="A262" s="43">
        <v>1993</v>
      </c>
      <c r="B262" s="36" t="s">
        <v>31</v>
      </c>
      <c r="C262" s="36">
        <v>15</v>
      </c>
      <c r="D262" s="38" t="s">
        <v>527</v>
      </c>
      <c r="E262" s="38" t="s">
        <v>1118</v>
      </c>
      <c r="F262" s="40">
        <v>2700</v>
      </c>
      <c r="G262" s="44" t="s">
        <v>858</v>
      </c>
      <c r="H262" s="43">
        <v>0</v>
      </c>
      <c r="I262" s="43">
        <v>0</v>
      </c>
      <c r="J262" s="43">
        <v>0</v>
      </c>
      <c r="K262" s="43">
        <v>0</v>
      </c>
    </row>
    <row r="263" spans="1:11" x14ac:dyDescent="0.25">
      <c r="A263" s="43">
        <v>1993</v>
      </c>
      <c r="B263" s="36" t="s">
        <v>31</v>
      </c>
      <c r="C263" s="36">
        <v>16</v>
      </c>
      <c r="D263" s="38" t="s">
        <v>527</v>
      </c>
      <c r="E263" s="38" t="s">
        <v>1118</v>
      </c>
      <c r="F263" s="40">
        <v>2700</v>
      </c>
      <c r="G263" s="44" t="s">
        <v>858</v>
      </c>
      <c r="H263" s="43">
        <v>0</v>
      </c>
      <c r="I263" s="43">
        <v>0</v>
      </c>
      <c r="J263" s="43">
        <v>0</v>
      </c>
      <c r="K263" s="43">
        <v>0</v>
      </c>
    </row>
    <row r="264" spans="1:11" x14ac:dyDescent="0.25">
      <c r="A264" s="43">
        <v>1993</v>
      </c>
      <c r="B264" s="36" t="s">
        <v>31</v>
      </c>
      <c r="C264" s="36">
        <v>17</v>
      </c>
      <c r="D264" s="38" t="s">
        <v>527</v>
      </c>
      <c r="E264" s="38" t="s">
        <v>1118</v>
      </c>
      <c r="F264" s="40">
        <v>2700</v>
      </c>
      <c r="G264" s="44" t="s">
        <v>858</v>
      </c>
      <c r="H264" s="43">
        <v>0</v>
      </c>
      <c r="I264" s="43">
        <v>0</v>
      </c>
      <c r="J264" s="43">
        <v>0</v>
      </c>
      <c r="K264" s="43">
        <v>0</v>
      </c>
    </row>
    <row r="265" spans="1:11" x14ac:dyDescent="0.25">
      <c r="A265" s="43">
        <v>1993</v>
      </c>
      <c r="B265" s="36" t="s">
        <v>31</v>
      </c>
      <c r="C265" s="36">
        <v>18</v>
      </c>
      <c r="D265" s="38" t="s">
        <v>527</v>
      </c>
      <c r="E265" s="38" t="s">
        <v>1118</v>
      </c>
      <c r="F265" s="40">
        <v>2700</v>
      </c>
      <c r="G265" s="44" t="s">
        <v>858</v>
      </c>
      <c r="H265" s="43">
        <v>0</v>
      </c>
      <c r="I265" s="43">
        <v>0</v>
      </c>
      <c r="J265" s="43">
        <v>0</v>
      </c>
      <c r="K265" s="43">
        <v>0</v>
      </c>
    </row>
    <row r="266" spans="1:11" x14ac:dyDescent="0.25">
      <c r="A266" s="43">
        <v>1993</v>
      </c>
      <c r="B266" s="36" t="s">
        <v>31</v>
      </c>
      <c r="C266" s="36">
        <v>19</v>
      </c>
      <c r="D266" s="38" t="s">
        <v>527</v>
      </c>
      <c r="E266" s="38" t="s">
        <v>1118</v>
      </c>
      <c r="F266" s="40">
        <v>2700</v>
      </c>
      <c r="G266" s="44" t="s">
        <v>858</v>
      </c>
      <c r="H266" s="43">
        <v>0</v>
      </c>
      <c r="I266" s="43">
        <v>0</v>
      </c>
      <c r="J266" s="43">
        <v>0</v>
      </c>
      <c r="K266" s="43">
        <v>0</v>
      </c>
    </row>
    <row r="267" spans="1:11" x14ac:dyDescent="0.25">
      <c r="A267" s="43">
        <v>1993</v>
      </c>
      <c r="B267" s="36" t="s">
        <v>31</v>
      </c>
      <c r="C267" s="36">
        <v>20</v>
      </c>
      <c r="D267" s="38" t="s">
        <v>428</v>
      </c>
      <c r="E267" s="38" t="s">
        <v>1132</v>
      </c>
      <c r="F267" s="36">
        <v>2650</v>
      </c>
      <c r="G267" s="44" t="s">
        <v>1138</v>
      </c>
      <c r="H267" s="43">
        <v>0</v>
      </c>
      <c r="I267" s="43">
        <v>0</v>
      </c>
      <c r="J267" s="43">
        <v>0</v>
      </c>
      <c r="K267" s="43">
        <v>0</v>
      </c>
    </row>
    <row r="268" spans="1:11" x14ac:dyDescent="0.25">
      <c r="A268" s="43">
        <v>1993</v>
      </c>
      <c r="B268" s="36" t="s">
        <v>31</v>
      </c>
      <c r="C268" s="36">
        <v>21</v>
      </c>
      <c r="D268" s="38" t="s">
        <v>428</v>
      </c>
      <c r="E268" s="38" t="s">
        <v>1132</v>
      </c>
      <c r="F268" s="38" t="s">
        <v>1125</v>
      </c>
      <c r="G268" s="44" t="s">
        <v>1138</v>
      </c>
      <c r="H268" s="43">
        <v>0</v>
      </c>
      <c r="I268" s="43">
        <v>0</v>
      </c>
      <c r="J268" s="43">
        <v>0</v>
      </c>
      <c r="K268" s="43">
        <v>0</v>
      </c>
    </row>
    <row r="269" spans="1:11" x14ac:dyDescent="0.25">
      <c r="A269" s="43">
        <v>1993</v>
      </c>
      <c r="B269" s="36" t="s">
        <v>31</v>
      </c>
      <c r="C269" s="36">
        <v>22</v>
      </c>
      <c r="D269" s="38" t="s">
        <v>429</v>
      </c>
      <c r="E269" s="38" t="s">
        <v>1133</v>
      </c>
      <c r="F269" s="38" t="s">
        <v>1126</v>
      </c>
      <c r="G269" s="44" t="s">
        <v>1139</v>
      </c>
      <c r="H269" s="43">
        <v>0</v>
      </c>
      <c r="I269" s="43">
        <v>0</v>
      </c>
      <c r="J269" s="43">
        <v>0</v>
      </c>
      <c r="K269" s="43">
        <v>0</v>
      </c>
    </row>
    <row r="270" spans="1:11" x14ac:dyDescent="0.25">
      <c r="A270" s="43">
        <v>1993</v>
      </c>
      <c r="B270" s="36" t="s">
        <v>31</v>
      </c>
      <c r="C270" s="36">
        <v>23</v>
      </c>
      <c r="D270" s="38" t="s">
        <v>429</v>
      </c>
      <c r="E270" s="38" t="s">
        <v>1133</v>
      </c>
      <c r="F270" s="38" t="s">
        <v>1126</v>
      </c>
      <c r="G270" s="44" t="s">
        <v>1139</v>
      </c>
      <c r="H270" s="43">
        <v>0</v>
      </c>
      <c r="I270" s="43">
        <v>0</v>
      </c>
      <c r="J270" s="43">
        <v>0</v>
      </c>
      <c r="K270" s="43">
        <v>0</v>
      </c>
    </row>
    <row r="271" spans="1:11" x14ac:dyDescent="0.25">
      <c r="A271" s="43">
        <v>1993</v>
      </c>
      <c r="B271" s="36" t="s">
        <v>31</v>
      </c>
      <c r="C271" s="36">
        <v>24</v>
      </c>
      <c r="D271" s="38" t="s">
        <v>429</v>
      </c>
      <c r="E271" s="38" t="s">
        <v>1133</v>
      </c>
      <c r="F271" s="38" t="s">
        <v>1126</v>
      </c>
      <c r="G271" s="44" t="s">
        <v>1139</v>
      </c>
      <c r="H271" s="43">
        <v>0</v>
      </c>
      <c r="I271" s="43">
        <v>0</v>
      </c>
      <c r="J271" s="43">
        <v>0</v>
      </c>
      <c r="K271" s="43">
        <v>0</v>
      </c>
    </row>
    <row r="272" spans="1:11" x14ac:dyDescent="0.25">
      <c r="A272" s="43">
        <v>1993</v>
      </c>
      <c r="B272" s="36" t="s">
        <v>31</v>
      </c>
      <c r="C272" s="36">
        <v>25</v>
      </c>
      <c r="D272" s="38" t="s">
        <v>430</v>
      </c>
      <c r="E272" s="38" t="s">
        <v>1133</v>
      </c>
      <c r="F272" s="38" t="s">
        <v>1126</v>
      </c>
      <c r="G272" s="44" t="s">
        <v>1139</v>
      </c>
      <c r="H272" s="43">
        <v>0</v>
      </c>
      <c r="I272" s="43">
        <v>0</v>
      </c>
      <c r="J272" s="43">
        <v>0</v>
      </c>
      <c r="K272" s="43">
        <v>0</v>
      </c>
    </row>
    <row r="273" spans="1:11" x14ac:dyDescent="0.25">
      <c r="A273" s="43">
        <v>1993</v>
      </c>
      <c r="B273" s="36" t="s">
        <v>31</v>
      </c>
      <c r="C273" s="36">
        <v>26</v>
      </c>
      <c r="D273" s="38" t="s">
        <v>430</v>
      </c>
      <c r="E273" s="38" t="s">
        <v>1134</v>
      </c>
      <c r="F273" s="38" t="s">
        <v>1127</v>
      </c>
      <c r="G273" s="44" t="s">
        <v>1140</v>
      </c>
      <c r="H273" s="43">
        <v>0</v>
      </c>
      <c r="I273" s="43">
        <v>0</v>
      </c>
      <c r="J273" s="43">
        <v>0</v>
      </c>
      <c r="K273" s="43">
        <v>0</v>
      </c>
    </row>
    <row r="274" spans="1:11" x14ac:dyDescent="0.25">
      <c r="A274" s="43">
        <v>1993</v>
      </c>
      <c r="B274" s="36" t="s">
        <v>31</v>
      </c>
      <c r="C274" s="36">
        <v>27</v>
      </c>
      <c r="D274" s="38" t="s">
        <v>430</v>
      </c>
      <c r="E274" s="38" t="s">
        <v>1134</v>
      </c>
      <c r="F274" s="38" t="s">
        <v>1127</v>
      </c>
      <c r="G274" s="44" t="s">
        <v>1140</v>
      </c>
      <c r="H274" s="43">
        <v>0</v>
      </c>
      <c r="I274" s="43">
        <v>0</v>
      </c>
      <c r="J274" s="43">
        <v>0</v>
      </c>
      <c r="K274" s="43">
        <v>0</v>
      </c>
    </row>
    <row r="275" spans="1:11" x14ac:dyDescent="0.25">
      <c r="A275" s="43">
        <v>1993</v>
      </c>
      <c r="B275" s="36" t="s">
        <v>31</v>
      </c>
      <c r="C275" s="36">
        <v>28</v>
      </c>
      <c r="D275" s="38" t="s">
        <v>430</v>
      </c>
      <c r="E275" s="38" t="s">
        <v>1134</v>
      </c>
      <c r="F275" s="38" t="s">
        <v>1127</v>
      </c>
      <c r="G275" s="44" t="s">
        <v>1140</v>
      </c>
      <c r="H275" s="43">
        <v>0</v>
      </c>
      <c r="I275" s="43">
        <v>0</v>
      </c>
      <c r="J275" s="43">
        <v>0</v>
      </c>
      <c r="K275" s="43">
        <v>0</v>
      </c>
    </row>
    <row r="276" spans="1:11" x14ac:dyDescent="0.25">
      <c r="A276" s="43">
        <v>1993</v>
      </c>
      <c r="B276" s="36" t="s">
        <v>31</v>
      </c>
      <c r="C276" s="36">
        <v>29</v>
      </c>
      <c r="D276" s="38" t="s">
        <v>431</v>
      </c>
      <c r="E276" s="38" t="s">
        <v>1134</v>
      </c>
      <c r="F276" s="38" t="s">
        <v>1128</v>
      </c>
      <c r="G276" s="44" t="s">
        <v>1120</v>
      </c>
      <c r="H276" s="43">
        <v>0</v>
      </c>
      <c r="I276" s="43">
        <v>0</v>
      </c>
      <c r="J276" s="43">
        <v>0</v>
      </c>
      <c r="K276" s="43">
        <v>0</v>
      </c>
    </row>
    <row r="277" spans="1:11" x14ac:dyDescent="0.25">
      <c r="A277" s="43">
        <v>1993</v>
      </c>
      <c r="B277" s="36" t="s">
        <v>31</v>
      </c>
      <c r="C277" s="36">
        <v>30</v>
      </c>
      <c r="D277" s="38" t="s">
        <v>431</v>
      </c>
      <c r="E277" s="38" t="s">
        <v>1116</v>
      </c>
      <c r="F277" s="38" t="s">
        <v>1128</v>
      </c>
      <c r="G277" s="44" t="s">
        <v>1120</v>
      </c>
      <c r="H277" s="43">
        <v>0</v>
      </c>
      <c r="I277" s="43">
        <v>0</v>
      </c>
      <c r="J277" s="43">
        <v>0</v>
      </c>
      <c r="K277" s="43">
        <v>0</v>
      </c>
    </row>
    <row r="278" spans="1:11" x14ac:dyDescent="0.25">
      <c r="A278" s="43">
        <v>1993</v>
      </c>
      <c r="B278" s="36" t="s">
        <v>1750</v>
      </c>
      <c r="C278" s="36">
        <v>1</v>
      </c>
      <c r="D278" s="38" t="s">
        <v>431</v>
      </c>
      <c r="E278" s="38" t="s">
        <v>1116</v>
      </c>
      <c r="F278" s="40">
        <v>2500</v>
      </c>
      <c r="G278" s="44" t="s">
        <v>1120</v>
      </c>
      <c r="H278" s="43">
        <v>0</v>
      </c>
      <c r="I278" s="43">
        <v>0</v>
      </c>
      <c r="J278" s="43">
        <v>0</v>
      </c>
      <c r="K278" s="43">
        <v>0</v>
      </c>
    </row>
    <row r="279" spans="1:11" x14ac:dyDescent="0.25">
      <c r="A279" s="43">
        <v>1993</v>
      </c>
      <c r="B279" s="36" t="s">
        <v>1750</v>
      </c>
      <c r="C279" s="36">
        <v>2</v>
      </c>
      <c r="D279" s="38" t="s">
        <v>431</v>
      </c>
      <c r="E279" s="38" t="s">
        <v>1116</v>
      </c>
      <c r="F279" s="40">
        <v>2500</v>
      </c>
      <c r="G279" s="44" t="s">
        <v>1120</v>
      </c>
      <c r="H279" s="43">
        <v>0</v>
      </c>
      <c r="I279" s="43">
        <v>0</v>
      </c>
      <c r="J279" s="43">
        <v>0</v>
      </c>
      <c r="K279" s="43">
        <v>0</v>
      </c>
    </row>
    <row r="280" spans="1:11" x14ac:dyDescent="0.25">
      <c r="A280" s="43">
        <v>1993</v>
      </c>
      <c r="B280" s="36" t="s">
        <v>1750</v>
      </c>
      <c r="C280" s="36">
        <v>3</v>
      </c>
      <c r="D280" s="38" t="s">
        <v>431</v>
      </c>
      <c r="E280" s="38" t="s">
        <v>1116</v>
      </c>
      <c r="F280" s="40">
        <v>2500</v>
      </c>
      <c r="G280" s="44" t="s">
        <v>1120</v>
      </c>
      <c r="H280" s="43">
        <v>0</v>
      </c>
      <c r="I280" s="43">
        <v>0</v>
      </c>
      <c r="J280" s="43">
        <v>0</v>
      </c>
      <c r="K280" s="43">
        <v>0</v>
      </c>
    </row>
    <row r="281" spans="1:11" x14ac:dyDescent="0.25">
      <c r="A281" s="43">
        <v>1993</v>
      </c>
      <c r="B281" s="36" t="s">
        <v>1750</v>
      </c>
      <c r="C281" s="36">
        <v>4</v>
      </c>
      <c r="D281" s="38" t="s">
        <v>431</v>
      </c>
      <c r="E281" s="38" t="s">
        <v>1116</v>
      </c>
      <c r="F281" s="40">
        <v>2500</v>
      </c>
      <c r="G281" s="44" t="s">
        <v>1120</v>
      </c>
      <c r="H281" s="43">
        <v>0</v>
      </c>
      <c r="I281" s="43">
        <v>0</v>
      </c>
      <c r="J281" s="43">
        <v>0</v>
      </c>
      <c r="K281" s="43">
        <v>0</v>
      </c>
    </row>
    <row r="282" spans="1:11" x14ac:dyDescent="0.25">
      <c r="A282" s="43">
        <v>1993</v>
      </c>
      <c r="B282" s="36" t="s">
        <v>1750</v>
      </c>
      <c r="C282" s="36">
        <v>5</v>
      </c>
      <c r="D282" s="38" t="s">
        <v>432</v>
      </c>
      <c r="E282" s="38" t="s">
        <v>1117</v>
      </c>
      <c r="F282" s="40">
        <v>2450</v>
      </c>
      <c r="G282" s="44" t="s">
        <v>1121</v>
      </c>
      <c r="H282" s="43">
        <v>0</v>
      </c>
      <c r="I282" s="43">
        <v>0</v>
      </c>
      <c r="J282" s="43">
        <v>0</v>
      </c>
      <c r="K282" s="43">
        <v>0</v>
      </c>
    </row>
    <row r="283" spans="1:11" x14ac:dyDescent="0.25">
      <c r="A283" s="43">
        <v>1993</v>
      </c>
      <c r="B283" s="36" t="s">
        <v>1750</v>
      </c>
      <c r="C283" s="36">
        <v>6</v>
      </c>
      <c r="D283" s="38" t="s">
        <v>432</v>
      </c>
      <c r="E283" s="38" t="s">
        <v>1117</v>
      </c>
      <c r="F283" s="40">
        <v>2450</v>
      </c>
      <c r="G283" s="44" t="s">
        <v>1121</v>
      </c>
      <c r="H283" s="43">
        <v>0</v>
      </c>
      <c r="I283" s="43">
        <v>0</v>
      </c>
      <c r="J283" s="43">
        <v>0</v>
      </c>
      <c r="K283" s="43">
        <v>0</v>
      </c>
    </row>
    <row r="284" spans="1:11" x14ac:dyDescent="0.25">
      <c r="A284" s="43">
        <v>1993</v>
      </c>
      <c r="B284" s="36" t="s">
        <v>1750</v>
      </c>
      <c r="C284" s="36">
        <v>7</v>
      </c>
      <c r="D284" s="38" t="s">
        <v>527</v>
      </c>
      <c r="E284" s="38" t="s">
        <v>1118</v>
      </c>
      <c r="F284" s="40">
        <v>2700</v>
      </c>
      <c r="G284" s="44" t="s">
        <v>858</v>
      </c>
      <c r="H284" s="43">
        <v>0</v>
      </c>
      <c r="I284" s="43">
        <v>0</v>
      </c>
      <c r="J284" s="43">
        <v>0</v>
      </c>
      <c r="K284" s="43">
        <v>0</v>
      </c>
    </row>
    <row r="285" spans="1:11" x14ac:dyDescent="0.25">
      <c r="A285" s="43">
        <v>1993</v>
      </c>
      <c r="B285" s="36" t="s">
        <v>1750</v>
      </c>
      <c r="C285" s="36">
        <v>8</v>
      </c>
      <c r="D285" s="38" t="s">
        <v>416</v>
      </c>
      <c r="E285" s="38" t="s">
        <v>1119</v>
      </c>
      <c r="F285" s="40">
        <v>3100</v>
      </c>
      <c r="G285" s="44" t="s">
        <v>1003</v>
      </c>
      <c r="H285" s="43">
        <v>0</v>
      </c>
      <c r="I285" s="43">
        <v>0</v>
      </c>
      <c r="J285" s="43">
        <v>0</v>
      </c>
      <c r="K285" s="43">
        <v>0</v>
      </c>
    </row>
    <row r="286" spans="1:11" x14ac:dyDescent="0.25">
      <c r="A286" s="43">
        <v>1993</v>
      </c>
      <c r="B286" s="36" t="s">
        <v>1750</v>
      </c>
      <c r="C286" s="36">
        <v>9</v>
      </c>
      <c r="D286" s="38" t="s">
        <v>416</v>
      </c>
      <c r="E286" s="38" t="s">
        <v>1119</v>
      </c>
      <c r="F286" s="40">
        <v>3100</v>
      </c>
      <c r="G286" s="44" t="s">
        <v>1003</v>
      </c>
      <c r="H286" s="43">
        <v>0</v>
      </c>
      <c r="I286" s="43">
        <v>0</v>
      </c>
      <c r="J286" s="43">
        <v>0</v>
      </c>
      <c r="K286" s="43">
        <v>0</v>
      </c>
    </row>
    <row r="287" spans="1:11" x14ac:dyDescent="0.25">
      <c r="A287" s="43">
        <v>1993</v>
      </c>
      <c r="B287" s="36" t="s">
        <v>1750</v>
      </c>
      <c r="C287" s="36">
        <v>10</v>
      </c>
      <c r="D287" s="38" t="s">
        <v>416</v>
      </c>
      <c r="E287" s="38" t="s">
        <v>1119</v>
      </c>
      <c r="F287" s="40">
        <v>3100</v>
      </c>
      <c r="G287" s="44" t="s">
        <v>1003</v>
      </c>
      <c r="H287" s="43">
        <v>0</v>
      </c>
      <c r="I287" s="43">
        <v>0</v>
      </c>
      <c r="J287" s="43">
        <v>0</v>
      </c>
      <c r="K287" s="43">
        <v>0</v>
      </c>
    </row>
    <row r="288" spans="1:11" x14ac:dyDescent="0.25">
      <c r="A288" s="43">
        <v>1993</v>
      </c>
      <c r="B288" s="36" t="s">
        <v>1750</v>
      </c>
      <c r="C288" s="36">
        <v>11</v>
      </c>
      <c r="D288" s="38" t="s">
        <v>416</v>
      </c>
      <c r="E288" s="38" t="s">
        <v>1119</v>
      </c>
      <c r="F288" s="40">
        <v>3100</v>
      </c>
      <c r="G288" s="44" t="s">
        <v>1003</v>
      </c>
      <c r="H288" s="43">
        <v>0</v>
      </c>
      <c r="I288" s="43">
        <v>0</v>
      </c>
      <c r="J288" s="43">
        <v>0</v>
      </c>
      <c r="K288" s="43">
        <v>0</v>
      </c>
    </row>
    <row r="289" spans="1:11" x14ac:dyDescent="0.25">
      <c r="A289" s="43">
        <v>1993</v>
      </c>
      <c r="B289" s="36" t="s">
        <v>1750</v>
      </c>
      <c r="C289" s="36">
        <v>12</v>
      </c>
      <c r="D289" s="38" t="s">
        <v>416</v>
      </c>
      <c r="E289" s="38" t="s">
        <v>1119</v>
      </c>
      <c r="F289" s="38" t="s">
        <v>1033</v>
      </c>
      <c r="G289" s="44" t="s">
        <v>1003</v>
      </c>
      <c r="H289" s="43">
        <v>0</v>
      </c>
      <c r="I289" s="43">
        <v>0</v>
      </c>
      <c r="J289" s="43">
        <v>0</v>
      </c>
      <c r="K289" s="43">
        <v>0</v>
      </c>
    </row>
    <row r="290" spans="1:11" x14ac:dyDescent="0.25">
      <c r="A290" s="43">
        <v>1993</v>
      </c>
      <c r="B290" s="36" t="s">
        <v>1750</v>
      </c>
      <c r="C290" s="36">
        <v>13</v>
      </c>
      <c r="D290" s="38" t="s">
        <v>416</v>
      </c>
      <c r="E290" s="38" t="s">
        <v>1119</v>
      </c>
      <c r="F290" s="40">
        <v>3100</v>
      </c>
      <c r="G290" s="44" t="s">
        <v>1003</v>
      </c>
      <c r="H290" s="43">
        <v>0</v>
      </c>
      <c r="I290" s="43">
        <v>0</v>
      </c>
      <c r="J290" s="43">
        <v>0</v>
      </c>
      <c r="K290" s="43">
        <v>0</v>
      </c>
    </row>
    <row r="291" spans="1:11" x14ac:dyDescent="0.25">
      <c r="A291" s="43">
        <v>1993</v>
      </c>
      <c r="B291" s="36" t="s">
        <v>1750</v>
      </c>
      <c r="C291" s="36">
        <v>14</v>
      </c>
      <c r="D291" s="38" t="s">
        <v>417</v>
      </c>
      <c r="E291" s="38" t="s">
        <v>1110</v>
      </c>
      <c r="F291" s="40">
        <v>3250</v>
      </c>
      <c r="G291" s="44" t="s">
        <v>1122</v>
      </c>
      <c r="H291" s="43">
        <v>0</v>
      </c>
      <c r="I291" s="43">
        <v>0</v>
      </c>
      <c r="J291" s="43">
        <v>0</v>
      </c>
      <c r="K291" s="43">
        <v>0</v>
      </c>
    </row>
    <row r="292" spans="1:11" x14ac:dyDescent="0.25">
      <c r="A292" s="43">
        <v>1993</v>
      </c>
      <c r="B292" s="36" t="s">
        <v>1750</v>
      </c>
      <c r="C292" s="36">
        <v>15</v>
      </c>
      <c r="D292" s="38" t="s">
        <v>426</v>
      </c>
      <c r="E292" s="38" t="s">
        <v>1109</v>
      </c>
      <c r="F292" s="40">
        <v>3300</v>
      </c>
      <c r="G292" s="44" t="s">
        <v>1123</v>
      </c>
      <c r="H292" s="43">
        <v>0</v>
      </c>
      <c r="I292" s="43">
        <v>0</v>
      </c>
      <c r="J292" s="43">
        <v>0</v>
      </c>
      <c r="K292" s="43">
        <v>0</v>
      </c>
    </row>
    <row r="293" spans="1:11" x14ac:dyDescent="0.25">
      <c r="A293" s="43">
        <v>1993</v>
      </c>
      <c r="B293" s="36" t="s">
        <v>1750</v>
      </c>
      <c r="C293" s="36">
        <v>16</v>
      </c>
      <c r="D293" s="38" t="s">
        <v>426</v>
      </c>
      <c r="E293" s="38" t="s">
        <v>1109</v>
      </c>
      <c r="F293" s="40">
        <v>3300</v>
      </c>
      <c r="G293" s="44" t="s">
        <v>1123</v>
      </c>
      <c r="H293" s="43">
        <v>0</v>
      </c>
      <c r="I293" s="43">
        <v>0</v>
      </c>
      <c r="J293" s="43">
        <v>0</v>
      </c>
      <c r="K293" s="43">
        <v>0</v>
      </c>
    </row>
    <row r="294" spans="1:11" x14ac:dyDescent="0.25">
      <c r="A294" s="43">
        <v>1993</v>
      </c>
      <c r="B294" s="36" t="s">
        <v>1750</v>
      </c>
      <c r="C294" s="36">
        <v>17</v>
      </c>
      <c r="D294" s="38" t="s">
        <v>426</v>
      </c>
      <c r="E294" s="38" t="s">
        <v>1109</v>
      </c>
      <c r="F294" s="40">
        <v>3300</v>
      </c>
      <c r="G294" s="44" t="s">
        <v>1123</v>
      </c>
      <c r="H294" s="43">
        <v>0</v>
      </c>
      <c r="I294" s="43">
        <v>0</v>
      </c>
      <c r="J294" s="43">
        <v>0</v>
      </c>
      <c r="K294" s="43">
        <v>0</v>
      </c>
    </row>
    <row r="295" spans="1:11" x14ac:dyDescent="0.25">
      <c r="A295" s="43">
        <v>1993</v>
      </c>
      <c r="B295" s="36" t="s">
        <v>1750</v>
      </c>
      <c r="C295" s="36">
        <v>18</v>
      </c>
      <c r="D295" s="38" t="s">
        <v>426</v>
      </c>
      <c r="E295" s="38" t="s">
        <v>1109</v>
      </c>
      <c r="F295" s="40">
        <v>3300</v>
      </c>
      <c r="G295" s="44" t="s">
        <v>1123</v>
      </c>
      <c r="H295" s="43">
        <v>0</v>
      </c>
      <c r="I295" s="43">
        <v>0</v>
      </c>
      <c r="J295" s="43">
        <v>0</v>
      </c>
      <c r="K295" s="43">
        <v>0</v>
      </c>
    </row>
    <row r="296" spans="1:11" x14ac:dyDescent="0.25">
      <c r="A296" s="43">
        <v>1993</v>
      </c>
      <c r="B296" s="36" t="s">
        <v>1750</v>
      </c>
      <c r="C296" s="36">
        <v>19</v>
      </c>
      <c r="D296" s="38" t="s">
        <v>426</v>
      </c>
      <c r="E296" s="38" t="s">
        <v>1109</v>
      </c>
      <c r="F296" s="40">
        <v>3300</v>
      </c>
      <c r="G296" s="44" t="s">
        <v>1123</v>
      </c>
      <c r="H296" s="43">
        <v>0</v>
      </c>
      <c r="I296" s="43">
        <v>0</v>
      </c>
      <c r="J296" s="43">
        <v>0</v>
      </c>
      <c r="K296" s="43">
        <v>0</v>
      </c>
    </row>
    <row r="297" spans="1:11" x14ac:dyDescent="0.25">
      <c r="A297" s="43">
        <v>1993</v>
      </c>
      <c r="B297" s="36" t="s">
        <v>1750</v>
      </c>
      <c r="C297" s="36">
        <v>20</v>
      </c>
      <c r="D297" s="38" t="s">
        <v>321</v>
      </c>
      <c r="E297" s="38" t="s">
        <v>1108</v>
      </c>
      <c r="F297" s="36">
        <v>3400</v>
      </c>
      <c r="G297" s="44" t="s">
        <v>1113</v>
      </c>
      <c r="H297" s="43">
        <v>0</v>
      </c>
      <c r="I297" s="43">
        <v>0</v>
      </c>
      <c r="J297" s="43">
        <v>0</v>
      </c>
      <c r="K297" s="43">
        <v>0</v>
      </c>
    </row>
    <row r="298" spans="1:11" x14ac:dyDescent="0.25">
      <c r="A298" s="43">
        <v>1993</v>
      </c>
      <c r="B298" s="36" t="s">
        <v>1750</v>
      </c>
      <c r="C298" s="36">
        <v>21</v>
      </c>
      <c r="D298" s="38" t="s">
        <v>321</v>
      </c>
      <c r="E298" s="38" t="s">
        <v>1108</v>
      </c>
      <c r="F298" s="38" t="s">
        <v>1029</v>
      </c>
      <c r="G298" s="44" t="s">
        <v>1113</v>
      </c>
      <c r="H298" s="43">
        <v>0</v>
      </c>
      <c r="I298" s="43">
        <v>0</v>
      </c>
      <c r="J298" s="43">
        <v>0</v>
      </c>
      <c r="K298" s="43">
        <v>0</v>
      </c>
    </row>
    <row r="299" spans="1:11" x14ac:dyDescent="0.25">
      <c r="A299" s="43">
        <v>1993</v>
      </c>
      <c r="B299" s="36" t="s">
        <v>1750</v>
      </c>
      <c r="C299" s="36">
        <v>22</v>
      </c>
      <c r="D299" s="38" t="s">
        <v>319</v>
      </c>
      <c r="E299" s="38" t="s">
        <v>1107</v>
      </c>
      <c r="F299" s="36">
        <v>3450</v>
      </c>
      <c r="G299" s="44" t="s">
        <v>989</v>
      </c>
      <c r="H299" s="43">
        <v>0</v>
      </c>
      <c r="I299" s="43">
        <v>0</v>
      </c>
      <c r="J299" s="43">
        <v>0</v>
      </c>
      <c r="K299" s="43">
        <v>0</v>
      </c>
    </row>
    <row r="300" spans="1:11" x14ac:dyDescent="0.25">
      <c r="A300" s="43">
        <v>1993</v>
      </c>
      <c r="B300" s="36" t="s">
        <v>1750</v>
      </c>
      <c r="C300" s="36">
        <v>23</v>
      </c>
      <c r="D300" s="38" t="s">
        <v>319</v>
      </c>
      <c r="E300" s="38" t="s">
        <v>1107</v>
      </c>
      <c r="F300" s="36">
        <v>3450</v>
      </c>
      <c r="G300" s="44" t="s">
        <v>989</v>
      </c>
      <c r="H300" s="43">
        <v>0</v>
      </c>
      <c r="I300" s="43">
        <v>0</v>
      </c>
      <c r="J300" s="43">
        <v>0</v>
      </c>
      <c r="K300" s="43">
        <v>0</v>
      </c>
    </row>
    <row r="301" spans="1:11" x14ac:dyDescent="0.25">
      <c r="A301" s="43">
        <v>1993</v>
      </c>
      <c r="B301" s="36" t="s">
        <v>1750</v>
      </c>
      <c r="C301" s="36">
        <v>24</v>
      </c>
      <c r="D301" s="38" t="s">
        <v>319</v>
      </c>
      <c r="E301" s="38" t="s">
        <v>1107</v>
      </c>
      <c r="F301" s="36">
        <v>3450</v>
      </c>
      <c r="G301" s="44" t="s">
        <v>989</v>
      </c>
      <c r="H301" s="43">
        <v>0</v>
      </c>
      <c r="I301" s="43">
        <v>0</v>
      </c>
      <c r="J301" s="43">
        <v>0</v>
      </c>
      <c r="K301" s="43">
        <v>0</v>
      </c>
    </row>
    <row r="302" spans="1:11" x14ac:dyDescent="0.25">
      <c r="A302" s="43">
        <v>1993</v>
      </c>
      <c r="B302" s="36" t="s">
        <v>1750</v>
      </c>
      <c r="C302" s="36">
        <v>25</v>
      </c>
      <c r="D302" s="38" t="s">
        <v>319</v>
      </c>
      <c r="E302" s="38" t="s">
        <v>1107</v>
      </c>
      <c r="F302" s="36">
        <v>3450</v>
      </c>
      <c r="G302" s="44" t="s">
        <v>989</v>
      </c>
      <c r="H302" s="43">
        <v>0</v>
      </c>
      <c r="I302" s="43">
        <v>0</v>
      </c>
      <c r="J302" s="43">
        <v>0</v>
      </c>
      <c r="K302" s="43">
        <v>0</v>
      </c>
    </row>
    <row r="303" spans="1:11" x14ac:dyDescent="0.25">
      <c r="A303" s="43">
        <v>1993</v>
      </c>
      <c r="B303" s="36" t="s">
        <v>1750</v>
      </c>
      <c r="C303" s="36">
        <v>26</v>
      </c>
      <c r="D303" s="38" t="s">
        <v>317</v>
      </c>
      <c r="E303" s="38" t="s">
        <v>1106</v>
      </c>
      <c r="F303" s="38" t="s">
        <v>975</v>
      </c>
      <c r="G303" s="44" t="s">
        <v>1112</v>
      </c>
      <c r="H303" s="43">
        <v>0</v>
      </c>
      <c r="I303" s="43">
        <v>0</v>
      </c>
      <c r="J303" s="43">
        <v>0</v>
      </c>
      <c r="K303" s="43">
        <v>0</v>
      </c>
    </row>
    <row r="304" spans="1:11" x14ac:dyDescent="0.25">
      <c r="A304" s="43">
        <v>1993</v>
      </c>
      <c r="B304" s="36" t="s">
        <v>1750</v>
      </c>
      <c r="C304" s="36">
        <v>27</v>
      </c>
      <c r="D304" s="38" t="s">
        <v>510</v>
      </c>
      <c r="E304" s="38" t="s">
        <v>971</v>
      </c>
      <c r="F304" s="40">
        <v>3600</v>
      </c>
      <c r="G304" s="44" t="s">
        <v>1124</v>
      </c>
      <c r="H304" s="43">
        <v>0</v>
      </c>
      <c r="I304" s="43">
        <v>0</v>
      </c>
      <c r="J304" s="43">
        <v>0</v>
      </c>
      <c r="K304" s="43">
        <v>0</v>
      </c>
    </row>
    <row r="305" spans="1:11" x14ac:dyDescent="0.25">
      <c r="A305" s="43">
        <v>1993</v>
      </c>
      <c r="B305" s="36" t="s">
        <v>1750</v>
      </c>
      <c r="C305" s="36">
        <v>28</v>
      </c>
      <c r="D305" s="38" t="s">
        <v>510</v>
      </c>
      <c r="E305" s="38" t="s">
        <v>971</v>
      </c>
      <c r="F305" s="40">
        <v>3600</v>
      </c>
      <c r="G305" s="44" t="s">
        <v>1124</v>
      </c>
      <c r="H305" s="43">
        <v>0</v>
      </c>
      <c r="I305" s="43">
        <v>0</v>
      </c>
      <c r="J305" s="43">
        <v>0</v>
      </c>
      <c r="K305" s="43">
        <v>0</v>
      </c>
    </row>
    <row r="306" spans="1:11" x14ac:dyDescent="0.25">
      <c r="A306" s="43">
        <v>1993</v>
      </c>
      <c r="B306" s="36" t="s">
        <v>1750</v>
      </c>
      <c r="C306" s="36">
        <v>29</v>
      </c>
      <c r="D306" s="38" t="s">
        <v>304</v>
      </c>
      <c r="E306" s="38" t="s">
        <v>971</v>
      </c>
      <c r="F306" s="40">
        <v>3600</v>
      </c>
      <c r="G306" s="44" t="s">
        <v>1124</v>
      </c>
      <c r="H306" s="43">
        <v>0</v>
      </c>
      <c r="I306" s="43">
        <v>0</v>
      </c>
      <c r="J306" s="43">
        <v>0</v>
      </c>
      <c r="K306" s="43">
        <v>0</v>
      </c>
    </row>
    <row r="307" spans="1:11" x14ac:dyDescent="0.25">
      <c r="A307" s="43">
        <v>1993</v>
      </c>
      <c r="B307" s="36" t="s">
        <v>1750</v>
      </c>
      <c r="C307" s="36">
        <v>30</v>
      </c>
      <c r="D307" s="38" t="s">
        <v>510</v>
      </c>
      <c r="E307" s="38" t="s">
        <v>971</v>
      </c>
      <c r="F307" s="38" t="s">
        <v>1115</v>
      </c>
      <c r="G307" s="44" t="s">
        <v>1124</v>
      </c>
      <c r="H307" s="43">
        <v>0</v>
      </c>
      <c r="I307" s="43">
        <v>0</v>
      </c>
      <c r="J307" s="43">
        <v>0</v>
      </c>
      <c r="K307" s="43">
        <v>0</v>
      </c>
    </row>
    <row r="308" spans="1:11" x14ac:dyDescent="0.25">
      <c r="A308" s="43">
        <v>1993</v>
      </c>
      <c r="B308" s="36" t="s">
        <v>1750</v>
      </c>
      <c r="C308" s="36">
        <v>31</v>
      </c>
      <c r="D308" s="38" t="s">
        <v>510</v>
      </c>
      <c r="E308" s="38" t="s">
        <v>971</v>
      </c>
      <c r="F308" s="38" t="s">
        <v>1115</v>
      </c>
      <c r="G308" s="44" t="s">
        <v>1124</v>
      </c>
      <c r="H308" s="43">
        <v>0</v>
      </c>
      <c r="I308" s="43">
        <v>0</v>
      </c>
      <c r="J308" s="43">
        <v>0</v>
      </c>
      <c r="K308" s="43">
        <v>0</v>
      </c>
    </row>
    <row r="309" spans="1:11" x14ac:dyDescent="0.25">
      <c r="A309" s="43">
        <v>1993</v>
      </c>
      <c r="B309" s="36" t="s">
        <v>32</v>
      </c>
      <c r="C309" s="36">
        <v>1</v>
      </c>
      <c r="D309" s="38" t="s">
        <v>300</v>
      </c>
      <c r="E309" s="38" t="s">
        <v>737</v>
      </c>
      <c r="F309" s="36">
        <v>3700</v>
      </c>
      <c r="G309" s="44">
        <v>4.55</v>
      </c>
      <c r="H309" s="43">
        <v>0</v>
      </c>
      <c r="I309" s="43">
        <v>0</v>
      </c>
      <c r="J309" s="44">
        <v>0</v>
      </c>
      <c r="K309" s="43">
        <v>0</v>
      </c>
    </row>
    <row r="310" spans="1:11" x14ac:dyDescent="0.25">
      <c r="A310" s="43">
        <v>1993</v>
      </c>
      <c r="B310" s="36" t="s">
        <v>32</v>
      </c>
      <c r="C310" s="36">
        <v>2</v>
      </c>
      <c r="D310" s="38" t="s">
        <v>294</v>
      </c>
      <c r="E310" s="38" t="s">
        <v>738</v>
      </c>
      <c r="F310" s="36">
        <v>3800</v>
      </c>
      <c r="G310" s="44">
        <v>4.67</v>
      </c>
      <c r="H310" s="43">
        <v>0</v>
      </c>
      <c r="I310" s="43">
        <v>0</v>
      </c>
      <c r="J310" s="44">
        <v>0</v>
      </c>
      <c r="K310" s="43">
        <v>0</v>
      </c>
    </row>
    <row r="311" spans="1:11" x14ac:dyDescent="0.25">
      <c r="A311" s="43">
        <v>1993</v>
      </c>
      <c r="B311" s="36" t="s">
        <v>32</v>
      </c>
      <c r="C311" s="36">
        <v>3</v>
      </c>
      <c r="D311" s="38" t="s">
        <v>123</v>
      </c>
      <c r="E311" s="38" t="s">
        <v>739</v>
      </c>
      <c r="F311" s="36">
        <v>3900</v>
      </c>
      <c r="G311" s="44">
        <v>4.79</v>
      </c>
      <c r="H311" s="43">
        <v>0</v>
      </c>
      <c r="I311" s="43">
        <v>0</v>
      </c>
      <c r="J311" s="44">
        <v>0</v>
      </c>
      <c r="K311" s="43">
        <v>0</v>
      </c>
    </row>
    <row r="312" spans="1:11" x14ac:dyDescent="0.25">
      <c r="A312" s="43">
        <v>1993</v>
      </c>
      <c r="B312" s="36" t="s">
        <v>32</v>
      </c>
      <c r="C312" s="36">
        <v>4</v>
      </c>
      <c r="D312" s="38" t="s">
        <v>123</v>
      </c>
      <c r="E312" s="38" t="s">
        <v>739</v>
      </c>
      <c r="F312" s="36">
        <v>3900</v>
      </c>
      <c r="G312" s="44">
        <v>4.79</v>
      </c>
      <c r="H312" s="43">
        <v>0</v>
      </c>
      <c r="I312" s="43">
        <v>0</v>
      </c>
      <c r="J312" s="44">
        <v>0</v>
      </c>
      <c r="K312" s="43">
        <v>0</v>
      </c>
    </row>
    <row r="313" spans="1:11" x14ac:dyDescent="0.25">
      <c r="A313" s="43">
        <v>1993</v>
      </c>
      <c r="B313" s="36" t="s">
        <v>32</v>
      </c>
      <c r="C313" s="36">
        <v>5</v>
      </c>
      <c r="D313" s="38" t="s">
        <v>123</v>
      </c>
      <c r="E313" s="38" t="s">
        <v>739</v>
      </c>
      <c r="F313" s="36">
        <v>3900</v>
      </c>
      <c r="G313" s="44">
        <v>4.79</v>
      </c>
      <c r="H313" s="43">
        <v>0</v>
      </c>
      <c r="I313" s="43">
        <v>0</v>
      </c>
      <c r="J313" s="44">
        <v>0</v>
      </c>
      <c r="K313" s="43">
        <v>0</v>
      </c>
    </row>
    <row r="314" spans="1:11" x14ac:dyDescent="0.25">
      <c r="A314" s="43">
        <v>1993</v>
      </c>
      <c r="B314" s="36" t="s">
        <v>32</v>
      </c>
      <c r="C314" s="36">
        <v>6</v>
      </c>
      <c r="D314" s="38" t="s">
        <v>123</v>
      </c>
      <c r="E314" s="38" t="s">
        <v>739</v>
      </c>
      <c r="F314" s="36">
        <v>3900</v>
      </c>
      <c r="G314" s="44">
        <v>4.79</v>
      </c>
      <c r="H314" s="43">
        <v>0</v>
      </c>
      <c r="I314" s="43">
        <v>0</v>
      </c>
      <c r="J314" s="44">
        <v>0</v>
      </c>
      <c r="K314" s="43">
        <v>0</v>
      </c>
    </row>
    <row r="315" spans="1:11" x14ac:dyDescent="0.25">
      <c r="A315" s="43">
        <v>1993</v>
      </c>
      <c r="B315" s="36" t="s">
        <v>32</v>
      </c>
      <c r="C315" s="36">
        <v>7</v>
      </c>
      <c r="D315" s="38" t="s">
        <v>123</v>
      </c>
      <c r="E315" s="38" t="s">
        <v>739</v>
      </c>
      <c r="F315" s="40">
        <v>3900</v>
      </c>
      <c r="G315" s="44">
        <v>4.79</v>
      </c>
      <c r="H315" s="43">
        <v>0</v>
      </c>
      <c r="I315" s="43">
        <v>0</v>
      </c>
      <c r="J315" s="44">
        <v>0</v>
      </c>
      <c r="K315" s="43">
        <v>0</v>
      </c>
    </row>
    <row r="316" spans="1:11" x14ac:dyDescent="0.25">
      <c r="A316" s="43">
        <v>1993</v>
      </c>
      <c r="B316" s="36" t="s">
        <v>32</v>
      </c>
      <c r="C316" s="36">
        <v>8</v>
      </c>
      <c r="D316" s="38" t="s">
        <v>133</v>
      </c>
      <c r="E316" s="38" t="s">
        <v>740</v>
      </c>
      <c r="F316" s="36">
        <v>4500</v>
      </c>
      <c r="G316" s="44">
        <v>5.53</v>
      </c>
      <c r="H316" s="43">
        <v>0</v>
      </c>
      <c r="I316" s="43">
        <v>0</v>
      </c>
      <c r="J316" s="44">
        <v>0</v>
      </c>
      <c r="K316" s="43">
        <v>0</v>
      </c>
    </row>
    <row r="317" spans="1:11" x14ac:dyDescent="0.25">
      <c r="A317" s="43">
        <v>1993</v>
      </c>
      <c r="B317" s="36" t="s">
        <v>32</v>
      </c>
      <c r="C317" s="36">
        <v>9</v>
      </c>
      <c r="D317" s="38" t="s">
        <v>151</v>
      </c>
      <c r="E317" s="38" t="s">
        <v>741</v>
      </c>
      <c r="F317" s="36">
        <v>5300</v>
      </c>
      <c r="G317" s="44">
        <v>6.51</v>
      </c>
      <c r="H317" s="43">
        <v>0</v>
      </c>
      <c r="I317" s="43">
        <v>0</v>
      </c>
      <c r="J317" s="44">
        <v>0</v>
      </c>
      <c r="K317" s="43">
        <v>0</v>
      </c>
    </row>
    <row r="318" spans="1:11" x14ac:dyDescent="0.25">
      <c r="A318" s="43">
        <v>1993</v>
      </c>
      <c r="B318" s="36" t="s">
        <v>32</v>
      </c>
      <c r="C318" s="36">
        <v>10</v>
      </c>
      <c r="D318" s="38" t="s">
        <v>248</v>
      </c>
      <c r="E318" s="38" t="s">
        <v>742</v>
      </c>
      <c r="F318" s="36">
        <v>5400</v>
      </c>
      <c r="G318" s="44">
        <v>6.64</v>
      </c>
      <c r="H318" s="43">
        <v>0</v>
      </c>
      <c r="I318" s="43">
        <v>0</v>
      </c>
      <c r="J318" s="44">
        <v>0</v>
      </c>
      <c r="K318" s="43">
        <v>0</v>
      </c>
    </row>
    <row r="319" spans="1:11" x14ac:dyDescent="0.25">
      <c r="A319" s="43">
        <v>1993</v>
      </c>
      <c r="B319" s="36" t="s">
        <v>32</v>
      </c>
      <c r="C319" s="36">
        <v>11</v>
      </c>
      <c r="D319" s="38" t="s">
        <v>248</v>
      </c>
      <c r="E319" s="38" t="s">
        <v>742</v>
      </c>
      <c r="F319" s="36">
        <v>5400</v>
      </c>
      <c r="G319" s="44">
        <v>6.64</v>
      </c>
      <c r="H319" s="43">
        <v>0</v>
      </c>
      <c r="I319" s="43">
        <v>0</v>
      </c>
      <c r="J319" s="44">
        <v>0</v>
      </c>
      <c r="K319" s="43">
        <v>0</v>
      </c>
    </row>
    <row r="320" spans="1:11" x14ac:dyDescent="0.25">
      <c r="A320" s="43">
        <v>1993</v>
      </c>
      <c r="B320" s="36" t="s">
        <v>32</v>
      </c>
      <c r="C320" s="36">
        <v>12</v>
      </c>
      <c r="D320" s="38" t="s">
        <v>157</v>
      </c>
      <c r="E320" s="38" t="s">
        <v>743</v>
      </c>
      <c r="F320" s="36">
        <v>5500</v>
      </c>
      <c r="G320" s="44">
        <v>6.76</v>
      </c>
      <c r="H320" s="43">
        <v>0</v>
      </c>
      <c r="I320" s="43">
        <v>0</v>
      </c>
      <c r="J320" s="44">
        <v>0</v>
      </c>
      <c r="K320" s="43">
        <v>0</v>
      </c>
    </row>
    <row r="321" spans="1:11" x14ac:dyDescent="0.25">
      <c r="A321" s="43">
        <v>1993</v>
      </c>
      <c r="B321" s="36" t="s">
        <v>32</v>
      </c>
      <c r="C321" s="36">
        <v>13</v>
      </c>
      <c r="D321" s="38" t="s">
        <v>157</v>
      </c>
      <c r="E321" s="38" t="s">
        <v>743</v>
      </c>
      <c r="F321" s="36">
        <v>5500</v>
      </c>
      <c r="G321" s="44">
        <v>6.76</v>
      </c>
      <c r="H321" s="43">
        <v>0</v>
      </c>
      <c r="I321" s="43">
        <v>0</v>
      </c>
      <c r="J321" s="44">
        <v>0</v>
      </c>
      <c r="K321" s="43">
        <v>0</v>
      </c>
    </row>
    <row r="322" spans="1:11" x14ac:dyDescent="0.25">
      <c r="A322" s="43">
        <v>1993</v>
      </c>
      <c r="B322" s="36" t="s">
        <v>32</v>
      </c>
      <c r="C322" s="36">
        <v>14</v>
      </c>
      <c r="D322" s="38" t="s">
        <v>157</v>
      </c>
      <c r="E322" s="38" t="s">
        <v>743</v>
      </c>
      <c r="F322" s="40">
        <v>5500</v>
      </c>
      <c r="G322" s="44">
        <v>6.76</v>
      </c>
      <c r="H322" s="43">
        <v>0</v>
      </c>
      <c r="I322" s="43">
        <v>0</v>
      </c>
      <c r="J322" s="44">
        <v>0</v>
      </c>
      <c r="K322" s="43">
        <v>0</v>
      </c>
    </row>
    <row r="323" spans="1:11" x14ac:dyDescent="0.25">
      <c r="A323" s="43">
        <v>1993</v>
      </c>
      <c r="B323" s="36" t="s">
        <v>32</v>
      </c>
      <c r="C323" s="36">
        <v>15</v>
      </c>
      <c r="D323" s="38" t="s">
        <v>157</v>
      </c>
      <c r="E323" s="38" t="s">
        <v>743</v>
      </c>
      <c r="F323" s="40">
        <v>5500</v>
      </c>
      <c r="G323" s="44">
        <v>6.76</v>
      </c>
      <c r="H323" s="43">
        <v>0</v>
      </c>
      <c r="I323" s="43">
        <v>0</v>
      </c>
      <c r="J323" s="44">
        <v>0</v>
      </c>
      <c r="K323" s="43">
        <v>0</v>
      </c>
    </row>
    <row r="324" spans="1:11" x14ac:dyDescent="0.25">
      <c r="A324" s="43">
        <v>1993</v>
      </c>
      <c r="B324" s="36" t="s">
        <v>32</v>
      </c>
      <c r="C324" s="36">
        <v>16</v>
      </c>
      <c r="D324" s="38" t="s">
        <v>157</v>
      </c>
      <c r="E324" s="38" t="s">
        <v>743</v>
      </c>
      <c r="F324" s="36">
        <v>5500</v>
      </c>
      <c r="G324" s="44">
        <v>6.76</v>
      </c>
      <c r="H324" s="43">
        <v>0</v>
      </c>
      <c r="I324" s="43">
        <v>0</v>
      </c>
      <c r="J324" s="44">
        <v>0</v>
      </c>
      <c r="K324" s="43">
        <v>0</v>
      </c>
    </row>
    <row r="325" spans="1:11" x14ac:dyDescent="0.25">
      <c r="A325" s="43">
        <v>1993</v>
      </c>
      <c r="B325" s="36" t="s">
        <v>32</v>
      </c>
      <c r="C325" s="36">
        <v>17</v>
      </c>
      <c r="D325" s="38" t="s">
        <v>242</v>
      </c>
      <c r="E325" s="38" t="s">
        <v>744</v>
      </c>
      <c r="F325" s="40">
        <v>5600</v>
      </c>
      <c r="G325" s="44">
        <v>6.88</v>
      </c>
      <c r="H325" s="43">
        <v>0</v>
      </c>
      <c r="I325" s="43">
        <v>0</v>
      </c>
      <c r="J325" s="44">
        <v>0</v>
      </c>
      <c r="K325" s="43">
        <v>0</v>
      </c>
    </row>
    <row r="326" spans="1:11" x14ac:dyDescent="0.25">
      <c r="A326" s="43">
        <v>1993</v>
      </c>
      <c r="B326" s="36" t="s">
        <v>32</v>
      </c>
      <c r="C326" s="36">
        <v>18</v>
      </c>
      <c r="D326" s="38" t="s">
        <v>236</v>
      </c>
      <c r="E326" s="38" t="s">
        <v>745</v>
      </c>
      <c r="F326" s="36">
        <v>5800</v>
      </c>
      <c r="G326" s="44">
        <v>7.13</v>
      </c>
      <c r="H326" s="43">
        <v>0</v>
      </c>
      <c r="I326" s="43">
        <v>0</v>
      </c>
      <c r="J326" s="44">
        <v>0</v>
      </c>
      <c r="K326" s="43">
        <v>0</v>
      </c>
    </row>
    <row r="327" spans="1:11" x14ac:dyDescent="0.25">
      <c r="A327" s="43">
        <v>1993</v>
      </c>
      <c r="B327" s="36" t="s">
        <v>32</v>
      </c>
      <c r="C327" s="36">
        <v>19</v>
      </c>
      <c r="D327" s="38" t="s">
        <v>161</v>
      </c>
      <c r="E327" s="38" t="s">
        <v>746</v>
      </c>
      <c r="F327" s="36">
        <v>5850</v>
      </c>
      <c r="G327" s="44">
        <v>7.19</v>
      </c>
      <c r="H327" s="43">
        <v>0</v>
      </c>
      <c r="I327" s="43">
        <v>0</v>
      </c>
      <c r="J327" s="44">
        <v>0</v>
      </c>
      <c r="K327" s="43">
        <v>0</v>
      </c>
    </row>
    <row r="328" spans="1:11" x14ac:dyDescent="0.25">
      <c r="A328" s="43">
        <v>1993</v>
      </c>
      <c r="B328" s="36" t="s">
        <v>32</v>
      </c>
      <c r="C328" s="36">
        <v>20</v>
      </c>
      <c r="D328" s="38" t="s">
        <v>161</v>
      </c>
      <c r="E328" s="38" t="s">
        <v>746</v>
      </c>
      <c r="F328" s="36">
        <v>5850</v>
      </c>
      <c r="G328" s="44">
        <v>7.19</v>
      </c>
      <c r="H328" s="43">
        <v>0</v>
      </c>
      <c r="I328" s="43">
        <v>0</v>
      </c>
      <c r="J328" s="44">
        <v>0</v>
      </c>
      <c r="K328" s="43">
        <v>0</v>
      </c>
    </row>
    <row r="329" spans="1:11" x14ac:dyDescent="0.25">
      <c r="A329" s="43">
        <v>1993</v>
      </c>
      <c r="B329" s="36" t="s">
        <v>32</v>
      </c>
      <c r="C329" s="36">
        <v>21</v>
      </c>
      <c r="D329" s="38" t="s">
        <v>165</v>
      </c>
      <c r="E329" s="38" t="s">
        <v>747</v>
      </c>
      <c r="F329" s="36">
        <v>6100</v>
      </c>
      <c r="G329" s="44">
        <v>7.5</v>
      </c>
      <c r="H329" s="43">
        <v>0</v>
      </c>
      <c r="I329" s="43">
        <v>0</v>
      </c>
      <c r="J329" s="44">
        <v>0</v>
      </c>
      <c r="K329" s="43">
        <v>0</v>
      </c>
    </row>
    <row r="330" spans="1:11" x14ac:dyDescent="0.25">
      <c r="A330" s="43">
        <v>1993</v>
      </c>
      <c r="B330" s="36" t="s">
        <v>32</v>
      </c>
      <c r="C330" s="36">
        <v>22</v>
      </c>
      <c r="D330" s="38" t="s">
        <v>212</v>
      </c>
      <c r="E330" s="38" t="s">
        <v>748</v>
      </c>
      <c r="F330" s="36">
        <v>6400</v>
      </c>
      <c r="G330" s="44">
        <v>7.81</v>
      </c>
      <c r="H330" s="43">
        <v>0</v>
      </c>
      <c r="I330" s="43">
        <v>0</v>
      </c>
      <c r="J330" s="44">
        <v>0</v>
      </c>
      <c r="K330" s="43">
        <v>0</v>
      </c>
    </row>
    <row r="331" spans="1:11" x14ac:dyDescent="0.25">
      <c r="A331" s="43">
        <v>1993</v>
      </c>
      <c r="B331" s="36" t="s">
        <v>32</v>
      </c>
      <c r="C331" s="36">
        <v>23</v>
      </c>
      <c r="D331" s="38" t="s">
        <v>201</v>
      </c>
      <c r="E331" s="38" t="s">
        <v>749</v>
      </c>
      <c r="F331" s="36">
        <v>6600</v>
      </c>
      <c r="G331" s="44">
        <v>8.11</v>
      </c>
      <c r="H331" s="43">
        <v>0</v>
      </c>
      <c r="I331" s="43">
        <v>0</v>
      </c>
      <c r="J331" s="44">
        <v>0</v>
      </c>
      <c r="K331" s="43">
        <v>0</v>
      </c>
    </row>
    <row r="332" spans="1:11" x14ac:dyDescent="0.25">
      <c r="A332" s="43">
        <v>1993</v>
      </c>
      <c r="B332" s="36" t="s">
        <v>32</v>
      </c>
      <c r="C332" s="36">
        <v>24</v>
      </c>
      <c r="D332" s="38" t="s">
        <v>194</v>
      </c>
      <c r="E332" s="38" t="s">
        <v>750</v>
      </c>
      <c r="F332" s="40">
        <v>6800</v>
      </c>
      <c r="G332" s="44">
        <v>8.5399999999999991</v>
      </c>
      <c r="H332" s="43">
        <v>0</v>
      </c>
      <c r="I332" s="43">
        <v>0</v>
      </c>
      <c r="J332" s="44">
        <v>0</v>
      </c>
      <c r="K332" s="43">
        <v>0</v>
      </c>
    </row>
    <row r="333" spans="1:11" x14ac:dyDescent="0.25">
      <c r="A333" s="43">
        <v>1993</v>
      </c>
      <c r="B333" s="36" t="s">
        <v>32</v>
      </c>
      <c r="C333" s="36">
        <v>25</v>
      </c>
      <c r="D333" s="38" t="s">
        <v>118</v>
      </c>
      <c r="E333" s="38" t="s">
        <v>751</v>
      </c>
      <c r="F333" s="36">
        <v>6950</v>
      </c>
      <c r="G333" s="44">
        <v>8.5399999999999991</v>
      </c>
      <c r="H333" s="43">
        <v>0</v>
      </c>
      <c r="I333" s="43">
        <v>0</v>
      </c>
      <c r="J333" s="44">
        <v>0</v>
      </c>
      <c r="K333" s="43">
        <v>0</v>
      </c>
    </row>
    <row r="334" spans="1:11" x14ac:dyDescent="0.25">
      <c r="A334" s="43">
        <v>1993</v>
      </c>
      <c r="B334" s="36" t="s">
        <v>32</v>
      </c>
      <c r="C334" s="36">
        <v>26</v>
      </c>
      <c r="D334" s="38" t="s">
        <v>1</v>
      </c>
      <c r="E334" s="38" t="s">
        <v>752</v>
      </c>
      <c r="F334" s="36">
        <v>7300</v>
      </c>
      <c r="G334" s="44">
        <v>8.9700000000000006</v>
      </c>
      <c r="H334" s="43">
        <v>0</v>
      </c>
      <c r="I334" s="43">
        <v>0</v>
      </c>
      <c r="J334" s="44">
        <v>0</v>
      </c>
      <c r="K334" s="43">
        <v>0</v>
      </c>
    </row>
    <row r="335" spans="1:11" x14ac:dyDescent="0.25">
      <c r="A335" s="43">
        <v>1993</v>
      </c>
      <c r="B335" s="36" t="s">
        <v>32</v>
      </c>
      <c r="C335" s="36">
        <v>27</v>
      </c>
      <c r="D335" s="38" t="s">
        <v>112</v>
      </c>
      <c r="E335" s="38" t="s">
        <v>753</v>
      </c>
      <c r="F335" s="36">
        <v>7500</v>
      </c>
      <c r="G335" s="44">
        <v>9.2200000000000006</v>
      </c>
      <c r="H335" s="43">
        <v>0</v>
      </c>
      <c r="I335" s="43">
        <v>0</v>
      </c>
      <c r="J335" s="44">
        <v>0</v>
      </c>
      <c r="K335" s="43">
        <v>0</v>
      </c>
    </row>
    <row r="336" spans="1:11" x14ac:dyDescent="0.25">
      <c r="A336" s="43">
        <v>1993</v>
      </c>
      <c r="B336" s="36" t="s">
        <v>32</v>
      </c>
      <c r="C336" s="36">
        <v>28</v>
      </c>
      <c r="D336" s="38" t="s">
        <v>511</v>
      </c>
      <c r="E336" s="38" t="s">
        <v>754</v>
      </c>
      <c r="F336" s="36">
        <v>7800</v>
      </c>
      <c r="G336" s="44">
        <v>9.59</v>
      </c>
      <c r="H336" s="43">
        <v>0</v>
      </c>
      <c r="I336" s="43">
        <v>0</v>
      </c>
      <c r="J336" s="44">
        <v>0</v>
      </c>
      <c r="K336" s="43">
        <v>0</v>
      </c>
    </row>
    <row r="337" spans="1:11" x14ac:dyDescent="0.25">
      <c r="A337" s="43">
        <v>1993</v>
      </c>
      <c r="B337" s="36" t="s">
        <v>32</v>
      </c>
      <c r="C337" s="36">
        <v>29</v>
      </c>
      <c r="D337" s="38" t="s">
        <v>98</v>
      </c>
      <c r="E337" s="38" t="s">
        <v>755</v>
      </c>
      <c r="F337" s="40">
        <v>7900</v>
      </c>
      <c r="G337" s="44">
        <v>9.7100000000000009</v>
      </c>
      <c r="H337" s="43">
        <v>0</v>
      </c>
      <c r="I337" s="43">
        <v>0</v>
      </c>
      <c r="J337" s="44">
        <v>0</v>
      </c>
      <c r="K337" s="43">
        <v>0</v>
      </c>
    </row>
    <row r="338" spans="1:11" x14ac:dyDescent="0.25">
      <c r="A338" s="43">
        <v>1993</v>
      </c>
      <c r="B338" s="36" t="s">
        <v>32</v>
      </c>
      <c r="C338" s="36">
        <v>30</v>
      </c>
      <c r="D338" s="38" t="s">
        <v>90</v>
      </c>
      <c r="E338" s="38" t="s">
        <v>756</v>
      </c>
      <c r="F338" s="40">
        <v>8250</v>
      </c>
      <c r="G338" s="44">
        <v>10.14</v>
      </c>
      <c r="H338" s="43">
        <v>0</v>
      </c>
      <c r="I338" s="43">
        <v>0</v>
      </c>
      <c r="J338" s="44">
        <v>0</v>
      </c>
      <c r="K338" s="43">
        <v>0</v>
      </c>
    </row>
    <row r="339" spans="1:11" x14ac:dyDescent="0.25">
      <c r="A339" s="43">
        <v>1993</v>
      </c>
      <c r="B339" s="36" t="s">
        <v>33</v>
      </c>
      <c r="C339" s="36">
        <v>1</v>
      </c>
      <c r="D339" s="38" t="s">
        <v>70</v>
      </c>
      <c r="E339" s="40">
        <v>2.5099999999999998</v>
      </c>
      <c r="F339" s="40">
        <v>9300</v>
      </c>
      <c r="G339" s="44">
        <v>11.43</v>
      </c>
      <c r="H339" s="43">
        <v>0</v>
      </c>
      <c r="I339" s="43">
        <v>0</v>
      </c>
      <c r="J339" s="44">
        <v>0</v>
      </c>
      <c r="K339" s="43">
        <v>0</v>
      </c>
    </row>
    <row r="340" spans="1:11" x14ac:dyDescent="0.25">
      <c r="A340" s="43">
        <v>1993</v>
      </c>
      <c r="B340" s="36" t="s">
        <v>33</v>
      </c>
      <c r="C340" s="36">
        <v>2</v>
      </c>
      <c r="D340" s="38" t="s">
        <v>7</v>
      </c>
      <c r="E340" s="40">
        <v>2.69</v>
      </c>
      <c r="F340" s="40">
        <v>10000</v>
      </c>
      <c r="G340" s="44">
        <v>12.3</v>
      </c>
      <c r="H340" s="43">
        <v>0</v>
      </c>
      <c r="I340" s="43">
        <v>0</v>
      </c>
      <c r="J340" s="44">
        <v>0</v>
      </c>
      <c r="K340" s="43">
        <v>0</v>
      </c>
    </row>
    <row r="341" spans="1:11" x14ac:dyDescent="0.25">
      <c r="A341" s="43">
        <v>1993</v>
      </c>
      <c r="B341" s="36" t="s">
        <v>33</v>
      </c>
      <c r="C341" s="36">
        <v>3</v>
      </c>
      <c r="D341" s="38" t="s">
        <v>9</v>
      </c>
      <c r="E341" s="40">
        <v>2.86</v>
      </c>
      <c r="F341" s="40">
        <v>10700</v>
      </c>
      <c r="G341" s="44">
        <v>13.16</v>
      </c>
      <c r="H341" s="43">
        <v>0</v>
      </c>
      <c r="I341" s="43">
        <v>0</v>
      </c>
      <c r="J341" s="44">
        <v>0</v>
      </c>
      <c r="K341" s="43">
        <v>0</v>
      </c>
    </row>
    <row r="342" spans="1:11" x14ac:dyDescent="0.25">
      <c r="A342" s="43">
        <v>1993</v>
      </c>
      <c r="B342" s="36" t="s">
        <v>33</v>
      </c>
      <c r="C342" s="36">
        <v>4</v>
      </c>
      <c r="D342" s="38" t="s">
        <v>11</v>
      </c>
      <c r="E342" s="40">
        <v>2.97</v>
      </c>
      <c r="F342" s="40">
        <v>11300</v>
      </c>
      <c r="G342" s="44">
        <v>13.89</v>
      </c>
      <c r="H342" s="43">
        <v>0</v>
      </c>
      <c r="I342" s="43">
        <v>0</v>
      </c>
      <c r="J342" s="44">
        <v>0</v>
      </c>
      <c r="K342" s="43">
        <v>0</v>
      </c>
    </row>
    <row r="343" spans="1:11" x14ac:dyDescent="0.25">
      <c r="A343" s="43">
        <v>1993</v>
      </c>
      <c r="B343" s="36" t="s">
        <v>33</v>
      </c>
      <c r="C343" s="36">
        <v>5</v>
      </c>
      <c r="D343" s="38" t="s">
        <v>433</v>
      </c>
      <c r="E343" s="40">
        <v>3.09</v>
      </c>
      <c r="F343" s="40">
        <v>12000</v>
      </c>
      <c r="G343" s="44">
        <v>14.76</v>
      </c>
      <c r="H343" s="43">
        <v>0</v>
      </c>
      <c r="I343" s="43">
        <v>0</v>
      </c>
      <c r="J343" s="44">
        <v>0</v>
      </c>
      <c r="K343" s="43">
        <v>0</v>
      </c>
    </row>
    <row r="344" spans="1:11" x14ac:dyDescent="0.25">
      <c r="A344" s="43">
        <v>1993</v>
      </c>
      <c r="B344" s="36" t="s">
        <v>33</v>
      </c>
      <c r="C344" s="36">
        <v>6</v>
      </c>
      <c r="D344" s="38" t="s">
        <v>434</v>
      </c>
      <c r="E344" s="40">
        <v>3.2</v>
      </c>
      <c r="F344" s="40">
        <v>12500</v>
      </c>
      <c r="G344" s="44">
        <v>15.37</v>
      </c>
      <c r="H344" s="43">
        <v>0</v>
      </c>
      <c r="I344" s="43">
        <v>0</v>
      </c>
      <c r="J344" s="44">
        <v>0</v>
      </c>
      <c r="K344" s="43">
        <v>0</v>
      </c>
    </row>
    <row r="345" spans="1:11" x14ac:dyDescent="0.25">
      <c r="A345" s="43">
        <v>1993</v>
      </c>
      <c r="B345" s="36" t="s">
        <v>33</v>
      </c>
      <c r="C345" s="36">
        <v>7</v>
      </c>
      <c r="D345" s="38" t="s">
        <v>385</v>
      </c>
      <c r="E345" s="40">
        <v>3.35</v>
      </c>
      <c r="F345" s="38" t="s">
        <v>757</v>
      </c>
      <c r="G345" s="44">
        <v>16.600000000000001</v>
      </c>
      <c r="H345" s="43">
        <v>0</v>
      </c>
      <c r="I345" s="43">
        <v>0</v>
      </c>
      <c r="J345" s="44">
        <v>0</v>
      </c>
      <c r="K345" s="43">
        <v>0</v>
      </c>
    </row>
    <row r="346" spans="1:11" x14ac:dyDescent="0.25">
      <c r="A346" s="43">
        <v>1993</v>
      </c>
      <c r="B346" s="36" t="s">
        <v>33</v>
      </c>
      <c r="C346" s="36">
        <v>8</v>
      </c>
      <c r="D346" s="38" t="s">
        <v>435</v>
      </c>
      <c r="E346" s="40">
        <v>3.76</v>
      </c>
      <c r="F346" s="40">
        <v>16200</v>
      </c>
      <c r="G346" s="44">
        <v>19.920000000000002</v>
      </c>
      <c r="H346" s="43">
        <v>0</v>
      </c>
      <c r="I346" s="43">
        <v>0</v>
      </c>
      <c r="J346" s="44">
        <v>0</v>
      </c>
      <c r="K346" s="43">
        <v>0</v>
      </c>
    </row>
    <row r="347" spans="1:11" x14ac:dyDescent="0.25">
      <c r="A347" s="43">
        <v>1993</v>
      </c>
      <c r="B347" s="36" t="s">
        <v>33</v>
      </c>
      <c r="C347" s="36">
        <v>9</v>
      </c>
      <c r="D347" s="38" t="s">
        <v>340</v>
      </c>
      <c r="E347" s="40">
        <v>4.1100000000000003</v>
      </c>
      <c r="F347" s="40">
        <v>18000</v>
      </c>
      <c r="G347" s="44">
        <v>22.14</v>
      </c>
      <c r="H347" s="43">
        <v>0</v>
      </c>
      <c r="I347" s="43">
        <v>0</v>
      </c>
      <c r="J347" s="44">
        <v>0</v>
      </c>
      <c r="K347" s="43">
        <v>0</v>
      </c>
    </row>
    <row r="348" spans="1:11" x14ac:dyDescent="0.25">
      <c r="A348" s="43">
        <v>1993</v>
      </c>
      <c r="B348" s="36" t="s">
        <v>33</v>
      </c>
      <c r="C348" s="36">
        <v>10</v>
      </c>
      <c r="D348" s="38" t="s">
        <v>436</v>
      </c>
      <c r="E348" s="40">
        <v>4.26</v>
      </c>
      <c r="F348" s="40">
        <v>19500</v>
      </c>
      <c r="G348" s="44">
        <v>23.98</v>
      </c>
      <c r="H348" s="43">
        <v>0</v>
      </c>
      <c r="I348" s="43">
        <v>0</v>
      </c>
      <c r="J348" s="44">
        <v>0</v>
      </c>
      <c r="K348" s="43">
        <v>0</v>
      </c>
    </row>
    <row r="349" spans="1:11" x14ac:dyDescent="0.25">
      <c r="A349" s="43">
        <v>1993</v>
      </c>
      <c r="B349" s="36" t="s">
        <v>33</v>
      </c>
      <c r="C349" s="36">
        <v>11</v>
      </c>
      <c r="D349" s="38" t="s">
        <v>358</v>
      </c>
      <c r="E349" s="40">
        <v>4.47</v>
      </c>
      <c r="F349" s="40">
        <v>21400</v>
      </c>
      <c r="G349" s="44">
        <v>26.32</v>
      </c>
      <c r="H349" s="43">
        <v>0</v>
      </c>
      <c r="I349" s="43">
        <v>0</v>
      </c>
      <c r="J349" s="44">
        <v>0</v>
      </c>
      <c r="K349" s="43">
        <v>0</v>
      </c>
    </row>
    <row r="350" spans="1:11" x14ac:dyDescent="0.25">
      <c r="A350" s="43">
        <v>1993</v>
      </c>
      <c r="B350" s="36" t="s">
        <v>33</v>
      </c>
      <c r="C350" s="36">
        <v>12</v>
      </c>
      <c r="D350" s="38" t="s">
        <v>437</v>
      </c>
      <c r="E350" s="40">
        <v>4.7699999999999996</v>
      </c>
      <c r="F350" s="40">
        <v>24500</v>
      </c>
      <c r="G350" s="44">
        <v>30.13</v>
      </c>
      <c r="H350" s="43">
        <v>0</v>
      </c>
      <c r="I350" s="43">
        <v>0</v>
      </c>
      <c r="J350" s="44">
        <v>0</v>
      </c>
      <c r="K350" s="43">
        <v>0</v>
      </c>
    </row>
    <row r="351" spans="1:11" x14ac:dyDescent="0.25">
      <c r="A351" s="43">
        <v>1993</v>
      </c>
      <c r="B351" s="36" t="s">
        <v>33</v>
      </c>
      <c r="C351" s="36">
        <v>13</v>
      </c>
      <c r="D351" s="38" t="s">
        <v>438</v>
      </c>
      <c r="E351" s="40">
        <v>4.97</v>
      </c>
      <c r="F351" s="36">
        <v>26500</v>
      </c>
      <c r="G351" s="44">
        <v>32.590000000000003</v>
      </c>
      <c r="H351" s="43">
        <v>0</v>
      </c>
      <c r="I351" s="43">
        <v>0</v>
      </c>
      <c r="J351" s="44">
        <v>0</v>
      </c>
      <c r="K351" s="43">
        <v>0</v>
      </c>
    </row>
    <row r="352" spans="1:11" x14ac:dyDescent="0.25">
      <c r="A352" s="43">
        <v>1993</v>
      </c>
      <c r="B352" s="36" t="s">
        <v>33</v>
      </c>
      <c r="C352" s="36">
        <v>14</v>
      </c>
      <c r="D352" s="38" t="s">
        <v>439</v>
      </c>
      <c r="E352" s="40">
        <v>5.05</v>
      </c>
      <c r="F352" s="36">
        <v>27500</v>
      </c>
      <c r="G352" s="44">
        <v>33.82</v>
      </c>
      <c r="H352" s="43">
        <v>0</v>
      </c>
      <c r="I352" s="43">
        <v>0</v>
      </c>
      <c r="J352" s="44">
        <v>0</v>
      </c>
      <c r="K352" s="43">
        <v>0</v>
      </c>
    </row>
    <row r="353" spans="1:11" x14ac:dyDescent="0.25">
      <c r="A353" s="43">
        <v>1993</v>
      </c>
      <c r="B353" s="36" t="s">
        <v>33</v>
      </c>
      <c r="C353" s="36">
        <v>15</v>
      </c>
      <c r="D353" s="38" t="s">
        <v>440</v>
      </c>
      <c r="E353" s="40">
        <v>5.13</v>
      </c>
      <c r="F353" s="36">
        <v>28200</v>
      </c>
      <c r="G353" s="44">
        <v>34.68</v>
      </c>
      <c r="H353" s="43">
        <v>0</v>
      </c>
      <c r="I353" s="43">
        <v>0</v>
      </c>
      <c r="J353" s="44">
        <v>0</v>
      </c>
      <c r="K353" s="43">
        <v>0</v>
      </c>
    </row>
    <row r="354" spans="1:11" x14ac:dyDescent="0.25">
      <c r="A354" s="43">
        <v>1993</v>
      </c>
      <c r="B354" s="36" t="s">
        <v>33</v>
      </c>
      <c r="C354" s="36">
        <v>16</v>
      </c>
      <c r="D354" s="38" t="s">
        <v>441</v>
      </c>
      <c r="E354" s="40">
        <v>5.23</v>
      </c>
      <c r="F354" s="36">
        <v>28750</v>
      </c>
      <c r="G354" s="44">
        <v>35.36</v>
      </c>
      <c r="H354" s="43">
        <v>0</v>
      </c>
      <c r="I354" s="43">
        <v>0</v>
      </c>
      <c r="J354" s="44">
        <v>0</v>
      </c>
      <c r="K354" s="43">
        <v>0</v>
      </c>
    </row>
    <row r="355" spans="1:11" x14ac:dyDescent="0.25">
      <c r="A355" s="43">
        <v>1993</v>
      </c>
      <c r="B355" s="36" t="s">
        <v>33</v>
      </c>
      <c r="C355" s="36">
        <v>17</v>
      </c>
      <c r="D355" s="38" t="s">
        <v>442</v>
      </c>
      <c r="E355" s="40">
        <v>5.35</v>
      </c>
      <c r="F355" s="36">
        <v>30500</v>
      </c>
      <c r="G355" s="44">
        <v>37.51</v>
      </c>
      <c r="H355" s="43">
        <v>0</v>
      </c>
      <c r="I355" s="43">
        <v>0</v>
      </c>
      <c r="J355" s="44">
        <v>0</v>
      </c>
      <c r="K355" s="43">
        <v>0</v>
      </c>
    </row>
    <row r="356" spans="1:11" x14ac:dyDescent="0.25">
      <c r="A356" s="43">
        <v>1993</v>
      </c>
      <c r="B356" s="36" t="s">
        <v>33</v>
      </c>
      <c r="C356" s="36">
        <v>18</v>
      </c>
      <c r="D356" s="38" t="s">
        <v>458</v>
      </c>
      <c r="E356" s="40">
        <v>5.66</v>
      </c>
      <c r="F356" s="38" t="s">
        <v>758</v>
      </c>
      <c r="G356" s="44">
        <v>41.69</v>
      </c>
      <c r="H356" s="43">
        <v>0</v>
      </c>
      <c r="I356" s="43">
        <v>0</v>
      </c>
      <c r="J356" s="44">
        <v>0</v>
      </c>
      <c r="K356" s="43">
        <v>0</v>
      </c>
    </row>
    <row r="357" spans="1:11" x14ac:dyDescent="0.25">
      <c r="A357" s="43">
        <v>1993</v>
      </c>
      <c r="B357" s="36" t="s">
        <v>33</v>
      </c>
      <c r="C357" s="36">
        <v>19</v>
      </c>
      <c r="D357" s="38" t="s">
        <v>373</v>
      </c>
      <c r="E357" s="40">
        <v>6.17</v>
      </c>
      <c r="F357" s="40">
        <v>39600</v>
      </c>
      <c r="G357" s="44">
        <v>48.7</v>
      </c>
      <c r="H357" s="43">
        <v>0</v>
      </c>
      <c r="I357" s="43">
        <v>0</v>
      </c>
      <c r="J357" s="44">
        <v>0</v>
      </c>
      <c r="K357" s="43">
        <v>0</v>
      </c>
    </row>
    <row r="358" spans="1:11" x14ac:dyDescent="0.25">
      <c r="A358" s="43">
        <v>1993</v>
      </c>
      <c r="B358" s="36" t="s">
        <v>33</v>
      </c>
      <c r="C358" s="36">
        <v>20</v>
      </c>
      <c r="D358" s="38" t="s">
        <v>377</v>
      </c>
      <c r="E358" s="40">
        <v>6.07</v>
      </c>
      <c r="F358" s="40">
        <v>39000</v>
      </c>
      <c r="G358" s="44">
        <v>47.97</v>
      </c>
      <c r="H358" s="43">
        <v>0</v>
      </c>
      <c r="I358" s="43">
        <v>0</v>
      </c>
      <c r="J358" s="44">
        <v>0</v>
      </c>
      <c r="K358" s="43">
        <v>0</v>
      </c>
    </row>
    <row r="359" spans="1:11" x14ac:dyDescent="0.25">
      <c r="A359" s="43">
        <v>1993</v>
      </c>
      <c r="B359" s="36" t="s">
        <v>33</v>
      </c>
      <c r="C359" s="36">
        <v>21</v>
      </c>
      <c r="D359" s="38" t="s">
        <v>443</v>
      </c>
      <c r="E359" s="40">
        <v>6.94</v>
      </c>
      <c r="F359" s="40">
        <v>37500</v>
      </c>
      <c r="G359" s="44">
        <v>46.12</v>
      </c>
      <c r="H359" s="43">
        <v>0</v>
      </c>
      <c r="I359" s="43">
        <v>0</v>
      </c>
      <c r="J359" s="44">
        <v>0</v>
      </c>
      <c r="K359" s="43">
        <v>0</v>
      </c>
    </row>
    <row r="360" spans="1:11" x14ac:dyDescent="0.25">
      <c r="A360" s="43">
        <v>1993</v>
      </c>
      <c r="B360" s="36" t="s">
        <v>33</v>
      </c>
      <c r="C360" s="36">
        <v>22</v>
      </c>
      <c r="D360" s="38" t="s">
        <v>377</v>
      </c>
      <c r="E360" s="40">
        <v>6.07</v>
      </c>
      <c r="F360" s="36">
        <v>39000</v>
      </c>
      <c r="G360" s="44">
        <v>47.97</v>
      </c>
      <c r="H360" s="43">
        <v>0</v>
      </c>
      <c r="I360" s="43">
        <v>0</v>
      </c>
      <c r="J360" s="44">
        <v>0</v>
      </c>
      <c r="K360" s="43">
        <v>0</v>
      </c>
    </row>
    <row r="361" spans="1:11" x14ac:dyDescent="0.25">
      <c r="A361" s="43">
        <v>1993</v>
      </c>
      <c r="B361" s="36" t="s">
        <v>33</v>
      </c>
      <c r="C361" s="36">
        <v>23</v>
      </c>
      <c r="D361" s="38" t="s">
        <v>444</v>
      </c>
      <c r="E361" s="40">
        <v>5.69</v>
      </c>
      <c r="F361" s="36">
        <v>37600</v>
      </c>
      <c r="G361" s="44">
        <v>46.24</v>
      </c>
      <c r="H361" s="43">
        <v>0</v>
      </c>
      <c r="I361" s="43">
        <v>0</v>
      </c>
      <c r="J361" s="44">
        <v>0</v>
      </c>
      <c r="K361" s="43">
        <v>0</v>
      </c>
    </row>
    <row r="362" spans="1:11" x14ac:dyDescent="0.25">
      <c r="A362" s="43">
        <v>1993</v>
      </c>
      <c r="B362" s="36" t="s">
        <v>33</v>
      </c>
      <c r="C362" s="36">
        <v>24</v>
      </c>
      <c r="D362" s="38" t="s">
        <v>443</v>
      </c>
      <c r="E362" s="40">
        <v>6.94</v>
      </c>
      <c r="F362" s="36">
        <v>37500</v>
      </c>
      <c r="G362" s="44">
        <v>46.12</v>
      </c>
      <c r="H362" s="43">
        <v>0</v>
      </c>
      <c r="I362" s="43">
        <v>0</v>
      </c>
      <c r="J362" s="44">
        <v>0</v>
      </c>
      <c r="K362" s="43">
        <v>0</v>
      </c>
    </row>
    <row r="363" spans="1:11" x14ac:dyDescent="0.25">
      <c r="A363" s="43">
        <v>1993</v>
      </c>
      <c r="B363" s="36" t="s">
        <v>33</v>
      </c>
      <c r="C363" s="36">
        <v>25</v>
      </c>
      <c r="D363" s="38" t="s">
        <v>443</v>
      </c>
      <c r="E363" s="40">
        <v>6.94</v>
      </c>
      <c r="F363" s="36">
        <v>37500</v>
      </c>
      <c r="G363" s="44">
        <v>46.12</v>
      </c>
      <c r="H363" s="43">
        <v>0</v>
      </c>
      <c r="I363" s="43">
        <v>0</v>
      </c>
      <c r="J363" s="44">
        <v>0</v>
      </c>
      <c r="K363" s="43">
        <v>0</v>
      </c>
    </row>
    <row r="364" spans="1:11" x14ac:dyDescent="0.25">
      <c r="A364" s="43">
        <v>1993</v>
      </c>
      <c r="B364" s="36" t="s">
        <v>33</v>
      </c>
      <c r="C364" s="36">
        <v>26</v>
      </c>
      <c r="D364" s="38" t="s">
        <v>446</v>
      </c>
      <c r="E364" s="40">
        <v>5.89</v>
      </c>
      <c r="F364" s="36">
        <v>36300</v>
      </c>
      <c r="G364" s="44">
        <v>44.64</v>
      </c>
      <c r="H364" s="43">
        <v>0</v>
      </c>
      <c r="I364" s="43">
        <v>0</v>
      </c>
      <c r="J364" s="44">
        <v>0</v>
      </c>
      <c r="K364" s="43">
        <v>0</v>
      </c>
    </row>
    <row r="365" spans="1:11" x14ac:dyDescent="0.25">
      <c r="A365" s="43">
        <v>1993</v>
      </c>
      <c r="B365" s="36" t="s">
        <v>33</v>
      </c>
      <c r="C365" s="36">
        <v>27</v>
      </c>
      <c r="D365" s="38" t="s">
        <v>445</v>
      </c>
      <c r="E365" s="40">
        <v>5.91</v>
      </c>
      <c r="F365" s="36">
        <v>36500</v>
      </c>
      <c r="G365" s="44">
        <v>44.89</v>
      </c>
      <c r="H365" s="43">
        <v>0</v>
      </c>
      <c r="I365" s="43">
        <v>0</v>
      </c>
      <c r="J365" s="44">
        <v>0</v>
      </c>
      <c r="K365" s="43">
        <v>0</v>
      </c>
    </row>
    <row r="366" spans="1:11" x14ac:dyDescent="0.25">
      <c r="A366" s="43">
        <v>1993</v>
      </c>
      <c r="B366" s="36" t="s">
        <v>33</v>
      </c>
      <c r="C366" s="36">
        <v>28</v>
      </c>
      <c r="D366" s="38" t="s">
        <v>443</v>
      </c>
      <c r="E366" s="40">
        <v>6.94</v>
      </c>
      <c r="F366" s="38" t="s">
        <v>759</v>
      </c>
      <c r="G366" s="44">
        <v>46.12</v>
      </c>
      <c r="H366" s="43">
        <v>0</v>
      </c>
      <c r="I366" s="43">
        <v>0</v>
      </c>
      <c r="J366" s="44">
        <v>0</v>
      </c>
      <c r="K366" s="43">
        <v>0</v>
      </c>
    </row>
    <row r="367" spans="1:11" x14ac:dyDescent="0.25">
      <c r="A367" s="43">
        <v>1993</v>
      </c>
      <c r="B367" s="36" t="s">
        <v>33</v>
      </c>
      <c r="C367" s="36">
        <v>29</v>
      </c>
      <c r="D367" s="38" t="s">
        <v>378</v>
      </c>
      <c r="E367" s="40">
        <v>6.01</v>
      </c>
      <c r="F367" s="38" t="s">
        <v>760</v>
      </c>
      <c r="G367" s="44">
        <v>46.74</v>
      </c>
      <c r="H367" s="43">
        <v>0</v>
      </c>
      <c r="I367" s="43">
        <v>0</v>
      </c>
      <c r="J367" s="44">
        <v>0</v>
      </c>
      <c r="K367" s="43">
        <v>0</v>
      </c>
    </row>
    <row r="368" spans="1:11" x14ac:dyDescent="0.25">
      <c r="A368" s="43">
        <v>1993</v>
      </c>
      <c r="B368" s="36" t="s">
        <v>33</v>
      </c>
      <c r="C368" s="36">
        <v>30</v>
      </c>
      <c r="D368" s="38" t="s">
        <v>379</v>
      </c>
      <c r="E368" s="40">
        <v>5.99</v>
      </c>
      <c r="F368" s="38" t="s">
        <v>761</v>
      </c>
      <c r="G368" s="44">
        <v>46.61</v>
      </c>
      <c r="H368" s="43">
        <v>0</v>
      </c>
      <c r="I368" s="43">
        <v>0</v>
      </c>
      <c r="J368" s="44">
        <v>0</v>
      </c>
      <c r="K368" s="43">
        <v>0</v>
      </c>
    </row>
    <row r="369" spans="1:11" x14ac:dyDescent="0.25">
      <c r="A369" s="43">
        <v>1993</v>
      </c>
      <c r="B369" s="36" t="s">
        <v>33</v>
      </c>
      <c r="C369" s="36">
        <v>31</v>
      </c>
      <c r="D369" s="38" t="s">
        <v>443</v>
      </c>
      <c r="E369" s="40">
        <v>6.01</v>
      </c>
      <c r="F369" s="38" t="s">
        <v>759</v>
      </c>
      <c r="G369" s="44">
        <v>46.74</v>
      </c>
      <c r="H369" s="43">
        <v>0</v>
      </c>
      <c r="I369" s="43">
        <v>0</v>
      </c>
      <c r="J369" s="44">
        <v>0</v>
      </c>
      <c r="K369" s="43">
        <v>0</v>
      </c>
    </row>
    <row r="370" spans="1:11" x14ac:dyDescent="0.25">
      <c r="A370" s="383" t="s">
        <v>1759</v>
      </c>
      <c r="B370" s="384"/>
      <c r="C370" s="384"/>
      <c r="D370" s="384"/>
      <c r="E370" s="384"/>
      <c r="F370" s="384"/>
      <c r="G370" s="384"/>
      <c r="H370" s="384"/>
      <c r="I370" s="384"/>
      <c r="J370" s="384"/>
      <c r="K370" s="384"/>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E309:E338 F345 F356 F366:F369 E33 E14:E27 F16 G23:G24 E35:E62 G53 G58 G59:G62 J47:J62 J35:J39 E64:E94 G64:G94 F91 F114 F109 F107 F102 E95:E124 G95:G124 F149:F150 F152 F125:F139 G125:G155 G156:G185 E156:E185 E125:E155 F203 F216 F192:F198 E186:E216 G186:G216 E217:E247 F242:F243 F235:F238 G217:G247 F298 F303 F289 E278:E308 G278:G308 F268:F277 F260:F261 E248:E277 G248:G277" numberStoredAsText="1"/>
    <ignoredError sqref="D345 D20 D39 D60 D49 D82:D85 D186:D187 D284 D308 D304:D305 D307 D262:D266" twoDigitTextYear="1"/>
    <ignoredError sqref="F307:F308" twoDigitTextYear="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ySplit="3" topLeftCell="A4" activePane="bottomLeft" state="frozen"/>
      <selection pane="bottomLeft" activeCell="L9" sqref="L9"/>
    </sheetView>
  </sheetViews>
  <sheetFormatPr defaultColWidth="9.140625" defaultRowHeight="14.25" x14ac:dyDescent="0.2"/>
  <cols>
    <col min="1" max="1" width="7" style="2" customWidth="1"/>
    <col min="2" max="2" width="10.140625" style="2" customWidth="1"/>
    <col min="3" max="3" width="6.42578125" style="2" customWidth="1"/>
    <col min="4" max="4" width="9.140625" style="9"/>
    <col min="5" max="5" width="5.85546875" style="9" customWidth="1"/>
    <col min="6" max="6" width="7.28515625" style="9" customWidth="1"/>
    <col min="7" max="7" width="6" style="5" customWidth="1"/>
    <col min="8" max="8" width="6.140625" style="5" customWidth="1"/>
    <col min="9" max="9" width="5.7109375" style="5" customWidth="1"/>
    <col min="10" max="10" width="7.7109375" style="5" customWidth="1"/>
    <col min="11" max="11" width="9.140625" style="5"/>
    <col min="12" max="16384" width="9.140625" style="2"/>
  </cols>
  <sheetData>
    <row r="1" spans="1:11" ht="18" x14ac:dyDescent="0.25">
      <c r="A1" s="403" t="s">
        <v>1754</v>
      </c>
      <c r="B1" s="403"/>
      <c r="C1" s="403"/>
      <c r="D1" s="403"/>
      <c r="E1" s="403"/>
      <c r="F1" s="403"/>
      <c r="G1" s="403"/>
      <c r="H1" s="403"/>
      <c r="I1" s="403"/>
      <c r="J1" s="403"/>
      <c r="K1" s="403"/>
    </row>
    <row r="2" spans="1:11" ht="30" customHeight="1" x14ac:dyDescent="0.25">
      <c r="A2" s="405" t="s">
        <v>532</v>
      </c>
      <c r="B2" s="405" t="s">
        <v>22</v>
      </c>
      <c r="C2" s="405" t="s">
        <v>0</v>
      </c>
      <c r="D2" s="406" t="s">
        <v>728</v>
      </c>
      <c r="E2" s="406"/>
      <c r="F2" s="407" t="s">
        <v>729</v>
      </c>
      <c r="G2" s="407"/>
      <c r="H2" s="404" t="s">
        <v>1757</v>
      </c>
      <c r="I2" s="404"/>
      <c r="J2" s="404" t="s">
        <v>1747</v>
      </c>
      <c r="K2" s="404"/>
    </row>
    <row r="3" spans="1:11" ht="90.75" customHeight="1" x14ac:dyDescent="0.2">
      <c r="A3" s="405"/>
      <c r="B3" s="405"/>
      <c r="C3" s="405"/>
      <c r="D3" s="10" t="s">
        <v>1755</v>
      </c>
      <c r="E3" s="10" t="s">
        <v>1756</v>
      </c>
      <c r="F3" s="10" t="s">
        <v>732</v>
      </c>
      <c r="G3" s="3" t="s">
        <v>733</v>
      </c>
      <c r="H3" s="4" t="s">
        <v>764</v>
      </c>
      <c r="I3" s="11" t="s">
        <v>735</v>
      </c>
      <c r="J3" s="4" t="s">
        <v>764</v>
      </c>
      <c r="K3" s="11" t="s">
        <v>735</v>
      </c>
    </row>
    <row r="4" spans="1:11" x14ac:dyDescent="0.2">
      <c r="A4" s="8">
        <v>1994</v>
      </c>
      <c r="B4" s="8" t="s">
        <v>23</v>
      </c>
      <c r="C4" s="8">
        <v>1</v>
      </c>
      <c r="D4" s="6" t="s">
        <v>445</v>
      </c>
      <c r="E4" s="6">
        <v>5.91</v>
      </c>
      <c r="F4" s="7">
        <v>36500</v>
      </c>
      <c r="G4" s="7">
        <v>44.89</v>
      </c>
      <c r="H4" s="7">
        <v>0</v>
      </c>
      <c r="I4" s="7">
        <v>0</v>
      </c>
      <c r="J4" s="7">
        <v>0</v>
      </c>
      <c r="K4" s="7">
        <v>0</v>
      </c>
    </row>
    <row r="5" spans="1:11" x14ac:dyDescent="0.2">
      <c r="A5" s="8">
        <v>1994</v>
      </c>
      <c r="B5" s="8" t="s">
        <v>23</v>
      </c>
      <c r="C5" s="8">
        <v>2</v>
      </c>
      <c r="D5" s="6" t="s">
        <v>445</v>
      </c>
      <c r="E5" s="6">
        <v>5.91</v>
      </c>
      <c r="F5" s="7">
        <v>36500</v>
      </c>
      <c r="G5" s="7">
        <v>44.89</v>
      </c>
      <c r="H5" s="7">
        <v>0</v>
      </c>
      <c r="I5" s="7">
        <v>0</v>
      </c>
      <c r="J5" s="7">
        <v>0</v>
      </c>
      <c r="K5" s="7">
        <v>0</v>
      </c>
    </row>
    <row r="6" spans="1:11" x14ac:dyDescent="0.2">
      <c r="A6" s="8">
        <v>1994</v>
      </c>
      <c r="B6" s="8" t="s">
        <v>23</v>
      </c>
      <c r="C6" s="8">
        <v>3</v>
      </c>
      <c r="D6" s="6" t="s">
        <v>445</v>
      </c>
      <c r="E6" s="6">
        <v>5.91</v>
      </c>
      <c r="F6" s="6">
        <v>36500</v>
      </c>
      <c r="G6" s="7">
        <v>44.89</v>
      </c>
      <c r="H6" s="7">
        <v>0</v>
      </c>
      <c r="I6" s="7">
        <v>0</v>
      </c>
      <c r="J6" s="7">
        <v>0</v>
      </c>
      <c r="K6" s="7">
        <v>0</v>
      </c>
    </row>
    <row r="7" spans="1:11" x14ac:dyDescent="0.2">
      <c r="A7" s="8">
        <v>1994</v>
      </c>
      <c r="B7" s="8" t="s">
        <v>23</v>
      </c>
      <c r="C7" s="8">
        <v>4</v>
      </c>
      <c r="D7" s="6" t="s">
        <v>450</v>
      </c>
      <c r="E7" s="6">
        <v>5.86</v>
      </c>
      <c r="F7" s="6" t="s">
        <v>762</v>
      </c>
      <c r="G7" s="7">
        <v>44.77</v>
      </c>
      <c r="H7" s="7">
        <v>0</v>
      </c>
      <c r="I7" s="7">
        <v>0</v>
      </c>
      <c r="J7" s="7">
        <v>0</v>
      </c>
      <c r="K7" s="7">
        <v>0</v>
      </c>
    </row>
    <row r="8" spans="1:11" x14ac:dyDescent="0.2">
      <c r="A8" s="8">
        <v>1994</v>
      </c>
      <c r="B8" s="8" t="s">
        <v>23</v>
      </c>
      <c r="C8" s="8">
        <v>5</v>
      </c>
      <c r="D8" s="6" t="s">
        <v>447</v>
      </c>
      <c r="E8" s="6">
        <v>5.85</v>
      </c>
      <c r="F8" s="7">
        <v>36300</v>
      </c>
      <c r="G8" s="7">
        <v>44.64</v>
      </c>
      <c r="H8" s="7">
        <v>0</v>
      </c>
      <c r="I8" s="7">
        <v>0</v>
      </c>
      <c r="J8" s="7">
        <v>0</v>
      </c>
      <c r="K8" s="7">
        <v>0</v>
      </c>
    </row>
    <row r="9" spans="1:11" x14ac:dyDescent="0.2">
      <c r="A9" s="8">
        <v>1994</v>
      </c>
      <c r="B9" s="8" t="s">
        <v>23</v>
      </c>
      <c r="C9" s="8">
        <v>6</v>
      </c>
      <c r="D9" s="6" t="s">
        <v>447</v>
      </c>
      <c r="E9" s="6">
        <v>5.85</v>
      </c>
      <c r="F9" s="7">
        <v>36300</v>
      </c>
      <c r="G9" s="7">
        <v>44.64</v>
      </c>
      <c r="H9" s="7">
        <v>0</v>
      </c>
      <c r="I9" s="7">
        <v>0</v>
      </c>
      <c r="J9" s="7">
        <v>0</v>
      </c>
      <c r="K9" s="7">
        <v>0</v>
      </c>
    </row>
    <row r="10" spans="1:11" x14ac:dyDescent="0.2">
      <c r="A10" s="8">
        <v>1994</v>
      </c>
      <c r="B10" s="8" t="s">
        <v>23</v>
      </c>
      <c r="C10" s="8">
        <v>7</v>
      </c>
      <c r="D10" s="6" t="s">
        <v>445</v>
      </c>
      <c r="E10" s="6">
        <v>5.91</v>
      </c>
      <c r="F10" s="7">
        <v>36500</v>
      </c>
      <c r="G10" s="7">
        <v>44.89</v>
      </c>
      <c r="H10" s="7">
        <v>0</v>
      </c>
      <c r="I10" s="7">
        <v>0</v>
      </c>
      <c r="J10" s="7">
        <v>0</v>
      </c>
      <c r="K10" s="7">
        <v>0</v>
      </c>
    </row>
    <row r="11" spans="1:11" x14ac:dyDescent="0.2">
      <c r="A11" s="8">
        <v>1994</v>
      </c>
      <c r="B11" s="8" t="s">
        <v>23</v>
      </c>
      <c r="C11" s="8">
        <v>8</v>
      </c>
      <c r="D11" s="6" t="s">
        <v>448</v>
      </c>
      <c r="E11" s="6">
        <v>6.07</v>
      </c>
      <c r="F11" s="7">
        <v>38750</v>
      </c>
      <c r="G11" s="7">
        <v>47.66</v>
      </c>
      <c r="H11" s="7">
        <v>0</v>
      </c>
      <c r="I11" s="7">
        <v>0</v>
      </c>
      <c r="J11" s="7">
        <v>0</v>
      </c>
      <c r="K11" s="7">
        <v>0</v>
      </c>
    </row>
    <row r="12" spans="1:11" x14ac:dyDescent="0.2">
      <c r="A12" s="8">
        <v>1994</v>
      </c>
      <c r="B12" s="8" t="s">
        <v>23</v>
      </c>
      <c r="C12" s="8">
        <v>9</v>
      </c>
      <c r="D12" s="6" t="s">
        <v>449</v>
      </c>
      <c r="E12" s="6">
        <v>6.36</v>
      </c>
      <c r="F12" s="7">
        <v>42000</v>
      </c>
      <c r="G12" s="7">
        <v>51.66</v>
      </c>
      <c r="H12" s="7">
        <v>0</v>
      </c>
      <c r="I12" s="7">
        <v>0</v>
      </c>
      <c r="J12" s="7">
        <v>0</v>
      </c>
      <c r="K12" s="7">
        <v>0</v>
      </c>
    </row>
    <row r="13" spans="1:11" x14ac:dyDescent="0.2">
      <c r="A13" s="8">
        <v>1994</v>
      </c>
      <c r="B13" s="8" t="s">
        <v>23</v>
      </c>
      <c r="C13" s="8">
        <v>10</v>
      </c>
      <c r="D13" s="6" t="s">
        <v>377</v>
      </c>
      <c r="E13" s="6">
        <v>6.07</v>
      </c>
      <c r="F13" s="7">
        <v>39000</v>
      </c>
      <c r="G13" s="7">
        <v>47.97</v>
      </c>
      <c r="H13" s="7">
        <v>0</v>
      </c>
      <c r="I13" s="7">
        <v>0</v>
      </c>
      <c r="J13" s="7">
        <v>0</v>
      </c>
      <c r="K13" s="7">
        <v>0</v>
      </c>
    </row>
    <row r="14" spans="1:11" x14ac:dyDescent="0.2">
      <c r="A14" s="8">
        <v>1994</v>
      </c>
      <c r="B14" s="8" t="s">
        <v>23</v>
      </c>
      <c r="C14" s="8">
        <v>11</v>
      </c>
      <c r="D14" s="6" t="s">
        <v>443</v>
      </c>
      <c r="E14" s="6">
        <v>5.94</v>
      </c>
      <c r="F14" s="7">
        <v>37500</v>
      </c>
      <c r="G14" s="7">
        <v>46.12</v>
      </c>
      <c r="H14" s="7">
        <v>0</v>
      </c>
      <c r="I14" s="7">
        <v>0</v>
      </c>
      <c r="J14" s="7">
        <v>0</v>
      </c>
      <c r="K14" s="7">
        <v>0</v>
      </c>
    </row>
    <row r="15" spans="1:11" x14ac:dyDescent="0.2">
      <c r="A15" s="8">
        <v>1994</v>
      </c>
      <c r="B15" s="8" t="s">
        <v>23</v>
      </c>
      <c r="C15" s="8">
        <v>12</v>
      </c>
      <c r="D15" s="6" t="s">
        <v>445</v>
      </c>
      <c r="E15" s="6">
        <v>5.91</v>
      </c>
      <c r="F15" s="6" t="s">
        <v>763</v>
      </c>
      <c r="G15" s="7">
        <v>45.51</v>
      </c>
      <c r="H15" s="7">
        <v>0</v>
      </c>
      <c r="I15" s="7">
        <v>0</v>
      </c>
      <c r="J15" s="7">
        <v>0</v>
      </c>
      <c r="K15" s="7">
        <v>0</v>
      </c>
    </row>
    <row r="16" spans="1:11" x14ac:dyDescent="0.2">
      <c r="A16" s="8">
        <v>1994</v>
      </c>
      <c r="B16" s="8" t="s">
        <v>23</v>
      </c>
      <c r="C16" s="8">
        <v>13</v>
      </c>
      <c r="D16" s="6" t="s">
        <v>446</v>
      </c>
      <c r="E16" s="6">
        <v>5.89</v>
      </c>
      <c r="F16" s="7">
        <v>36500</v>
      </c>
      <c r="G16" s="7">
        <v>44.89</v>
      </c>
      <c r="H16" s="7">
        <v>120</v>
      </c>
      <c r="I16" s="7">
        <v>0</v>
      </c>
      <c r="J16" s="7">
        <v>8</v>
      </c>
      <c r="K16" s="7">
        <v>0</v>
      </c>
    </row>
    <row r="17" spans="1:11" x14ac:dyDescent="0.2">
      <c r="A17" s="8">
        <v>1994</v>
      </c>
      <c r="B17" s="8" t="s">
        <v>23</v>
      </c>
      <c r="C17" s="8">
        <v>14</v>
      </c>
      <c r="D17" s="6" t="s">
        <v>450</v>
      </c>
      <c r="E17" s="6">
        <v>5.86</v>
      </c>
      <c r="F17" s="7">
        <v>36400</v>
      </c>
      <c r="G17" s="7">
        <v>44.77</v>
      </c>
      <c r="H17" s="7">
        <v>170</v>
      </c>
      <c r="I17" s="7">
        <v>0</v>
      </c>
      <c r="J17" s="7">
        <v>1.2</v>
      </c>
      <c r="K17" s="7">
        <v>0</v>
      </c>
    </row>
    <row r="18" spans="1:11" x14ac:dyDescent="0.2">
      <c r="A18" s="8">
        <v>1994</v>
      </c>
      <c r="B18" s="8" t="s">
        <v>23</v>
      </c>
      <c r="C18" s="8">
        <v>15</v>
      </c>
      <c r="D18" s="6" t="s">
        <v>459</v>
      </c>
      <c r="E18" s="6">
        <v>5.48</v>
      </c>
      <c r="F18" s="6">
        <v>39350</v>
      </c>
      <c r="G18" s="7">
        <v>44.71</v>
      </c>
      <c r="H18" s="7">
        <v>170</v>
      </c>
      <c r="I18" s="7">
        <v>0</v>
      </c>
      <c r="J18" s="7">
        <v>1.3</v>
      </c>
      <c r="K18" s="7">
        <v>0</v>
      </c>
    </row>
    <row r="19" spans="1:11" x14ac:dyDescent="0.2">
      <c r="A19" s="8">
        <v>1994</v>
      </c>
      <c r="B19" s="8" t="s">
        <v>23</v>
      </c>
      <c r="C19" s="8">
        <v>16</v>
      </c>
      <c r="D19" s="7" t="s">
        <v>451</v>
      </c>
      <c r="E19" s="7">
        <v>5.82</v>
      </c>
      <c r="F19" s="7">
        <v>36325</v>
      </c>
      <c r="G19" s="7">
        <v>44.67</v>
      </c>
      <c r="H19" s="7">
        <v>180</v>
      </c>
      <c r="I19" s="7">
        <v>0</v>
      </c>
      <c r="J19" s="7">
        <v>1.3</v>
      </c>
      <c r="K19" s="7">
        <v>0</v>
      </c>
    </row>
    <row r="20" spans="1:11" x14ac:dyDescent="0.2">
      <c r="A20" s="8">
        <v>1994</v>
      </c>
      <c r="B20" s="8" t="s">
        <v>23</v>
      </c>
      <c r="C20" s="8">
        <v>17</v>
      </c>
      <c r="D20" s="6" t="s">
        <v>452</v>
      </c>
      <c r="E20" s="6">
        <v>5.81</v>
      </c>
      <c r="F20" s="7">
        <v>36300</v>
      </c>
      <c r="G20" s="7">
        <v>44.64</v>
      </c>
      <c r="H20" s="7">
        <v>180</v>
      </c>
      <c r="I20" s="7">
        <v>0</v>
      </c>
      <c r="J20" s="7">
        <v>1.3</v>
      </c>
      <c r="K20" s="7">
        <v>0</v>
      </c>
    </row>
    <row r="21" spans="1:11" x14ac:dyDescent="0.2">
      <c r="A21" s="8">
        <v>1994</v>
      </c>
      <c r="B21" s="8" t="s">
        <v>23</v>
      </c>
      <c r="C21" s="8">
        <v>18</v>
      </c>
      <c r="D21" s="6" t="s">
        <v>452</v>
      </c>
      <c r="E21" s="6">
        <v>5.81</v>
      </c>
      <c r="F21" s="7">
        <v>36250</v>
      </c>
      <c r="G21" s="7">
        <v>44.58</v>
      </c>
      <c r="H21" s="7">
        <v>180</v>
      </c>
      <c r="I21" s="7">
        <v>0</v>
      </c>
      <c r="J21" s="7">
        <v>1.3</v>
      </c>
      <c r="K21" s="7">
        <v>0</v>
      </c>
    </row>
    <row r="22" spans="1:11" x14ac:dyDescent="0.2">
      <c r="A22" s="8">
        <v>1994</v>
      </c>
      <c r="B22" s="8" t="s">
        <v>23</v>
      </c>
      <c r="C22" s="8">
        <v>19</v>
      </c>
      <c r="D22" s="6" t="s">
        <v>453</v>
      </c>
      <c r="E22" s="6">
        <v>5.79</v>
      </c>
      <c r="F22" s="7">
        <v>36250</v>
      </c>
      <c r="G22" s="7">
        <v>44.58</v>
      </c>
      <c r="H22" s="7">
        <v>180</v>
      </c>
      <c r="I22" s="7">
        <v>0</v>
      </c>
      <c r="J22" s="7">
        <v>1.3</v>
      </c>
      <c r="K22" s="7">
        <v>0</v>
      </c>
    </row>
    <row r="23" spans="1:11" x14ac:dyDescent="0.2">
      <c r="A23" s="8">
        <v>1994</v>
      </c>
      <c r="B23" s="8" t="s">
        <v>23</v>
      </c>
      <c r="C23" s="8">
        <v>20</v>
      </c>
      <c r="D23" s="6" t="s">
        <v>454</v>
      </c>
      <c r="E23" s="6">
        <v>5.76</v>
      </c>
      <c r="F23" s="7">
        <v>35750</v>
      </c>
      <c r="G23" s="7">
        <v>43.97</v>
      </c>
      <c r="H23" s="7">
        <v>180</v>
      </c>
      <c r="I23" s="7">
        <v>0</v>
      </c>
      <c r="J23" s="7">
        <v>1.3</v>
      </c>
      <c r="K23" s="7">
        <v>0</v>
      </c>
    </row>
    <row r="24" spans="1:11" x14ac:dyDescent="0.2">
      <c r="A24" s="8">
        <v>1994</v>
      </c>
      <c r="B24" s="8" t="s">
        <v>23</v>
      </c>
      <c r="C24" s="8">
        <v>21</v>
      </c>
      <c r="D24" s="6" t="s">
        <v>455</v>
      </c>
      <c r="E24" s="6">
        <v>5.74</v>
      </c>
      <c r="F24" s="7">
        <v>35250</v>
      </c>
      <c r="G24" s="7">
        <v>43.35</v>
      </c>
      <c r="H24" s="7">
        <v>180</v>
      </c>
      <c r="I24" s="7">
        <v>0</v>
      </c>
      <c r="J24" s="7">
        <v>1.3</v>
      </c>
      <c r="K24" s="7">
        <v>0</v>
      </c>
    </row>
    <row r="25" spans="1:11" x14ac:dyDescent="0.2">
      <c r="A25" s="8">
        <v>1994</v>
      </c>
      <c r="B25" s="8" t="s">
        <v>23</v>
      </c>
      <c r="C25" s="8">
        <v>22</v>
      </c>
      <c r="D25" s="6" t="s">
        <v>455</v>
      </c>
      <c r="E25" s="6">
        <v>5.74</v>
      </c>
      <c r="F25" s="7">
        <v>35250</v>
      </c>
      <c r="G25" s="7">
        <v>43.35</v>
      </c>
      <c r="H25" s="7">
        <v>130</v>
      </c>
      <c r="I25" s="7">
        <v>0</v>
      </c>
      <c r="J25" s="7" t="s">
        <v>765</v>
      </c>
      <c r="K25" s="7">
        <v>0</v>
      </c>
    </row>
    <row r="26" spans="1:11" x14ac:dyDescent="0.2">
      <c r="A26" s="8">
        <v>1994</v>
      </c>
      <c r="B26" s="8" t="s">
        <v>23</v>
      </c>
      <c r="C26" s="8">
        <v>23</v>
      </c>
      <c r="D26" s="6" t="s">
        <v>454</v>
      </c>
      <c r="E26" s="6">
        <v>5.76</v>
      </c>
      <c r="F26" s="7">
        <v>35750</v>
      </c>
      <c r="G26" s="7">
        <v>43.97</v>
      </c>
      <c r="H26" s="7">
        <v>80</v>
      </c>
      <c r="I26" s="7">
        <v>0</v>
      </c>
      <c r="J26" s="7" t="s">
        <v>736</v>
      </c>
      <c r="K26" s="7">
        <v>0</v>
      </c>
    </row>
    <row r="27" spans="1:11" x14ac:dyDescent="0.2">
      <c r="A27" s="8">
        <v>1994</v>
      </c>
      <c r="B27" s="8" t="s">
        <v>23</v>
      </c>
      <c r="C27" s="8">
        <v>24</v>
      </c>
      <c r="D27" s="6" t="s">
        <v>453</v>
      </c>
      <c r="E27" s="6">
        <v>5.79</v>
      </c>
      <c r="F27" s="7">
        <v>36250</v>
      </c>
      <c r="G27" s="7">
        <v>44.58</v>
      </c>
      <c r="H27" s="7">
        <v>80</v>
      </c>
      <c r="I27" s="7">
        <v>0</v>
      </c>
      <c r="J27" s="7" t="s">
        <v>736</v>
      </c>
      <c r="K27" s="7">
        <v>0</v>
      </c>
    </row>
    <row r="28" spans="1:11" x14ac:dyDescent="0.2">
      <c r="A28" s="8">
        <v>1994</v>
      </c>
      <c r="B28" s="8" t="s">
        <v>23</v>
      </c>
      <c r="C28" s="8">
        <v>25</v>
      </c>
      <c r="D28" s="6" t="s">
        <v>453</v>
      </c>
      <c r="E28" s="6">
        <v>5.79</v>
      </c>
      <c r="F28" s="7">
        <v>36250</v>
      </c>
      <c r="G28" s="7">
        <v>44.58</v>
      </c>
      <c r="H28" s="7">
        <v>80</v>
      </c>
      <c r="I28" s="7">
        <v>0</v>
      </c>
      <c r="J28" s="7" t="s">
        <v>766</v>
      </c>
      <c r="K28" s="7">
        <v>0</v>
      </c>
    </row>
    <row r="29" spans="1:11" x14ac:dyDescent="0.2">
      <c r="A29" s="8">
        <v>1994</v>
      </c>
      <c r="B29" s="8" t="s">
        <v>23</v>
      </c>
      <c r="C29" s="8">
        <v>26</v>
      </c>
      <c r="D29" s="6" t="s">
        <v>453</v>
      </c>
      <c r="E29" s="6">
        <v>5.79</v>
      </c>
      <c r="F29" s="7">
        <v>36250</v>
      </c>
      <c r="G29" s="7">
        <v>44.58</v>
      </c>
      <c r="H29" s="7">
        <v>80</v>
      </c>
      <c r="I29" s="7">
        <v>0</v>
      </c>
      <c r="J29" s="7" t="s">
        <v>766</v>
      </c>
      <c r="K29" s="7">
        <v>0</v>
      </c>
    </row>
    <row r="30" spans="1:11" x14ac:dyDescent="0.2">
      <c r="A30" s="8">
        <v>1994</v>
      </c>
      <c r="B30" s="8" t="s">
        <v>23</v>
      </c>
      <c r="C30" s="8">
        <v>27</v>
      </c>
      <c r="D30" s="6" t="s">
        <v>453</v>
      </c>
      <c r="E30" s="6">
        <v>5.79</v>
      </c>
      <c r="F30" s="6">
        <v>36250</v>
      </c>
      <c r="G30" s="7">
        <v>44.58</v>
      </c>
      <c r="H30" s="7">
        <v>80</v>
      </c>
      <c r="I30" s="7">
        <v>0</v>
      </c>
      <c r="J30" s="7" t="s">
        <v>767</v>
      </c>
      <c r="K30" s="7">
        <v>0</v>
      </c>
    </row>
    <row r="31" spans="1:11" x14ac:dyDescent="0.2">
      <c r="A31" s="8">
        <v>1994</v>
      </c>
      <c r="B31" s="8" t="s">
        <v>23</v>
      </c>
      <c r="C31" s="8">
        <v>28</v>
      </c>
      <c r="D31" s="7" t="s">
        <v>453</v>
      </c>
      <c r="E31" s="6">
        <v>5.79</v>
      </c>
      <c r="F31" s="7">
        <v>36250</v>
      </c>
      <c r="G31" s="7">
        <v>44.58</v>
      </c>
      <c r="H31" s="7">
        <v>140</v>
      </c>
      <c r="I31" s="7">
        <v>0</v>
      </c>
      <c r="J31" s="7" t="s">
        <v>767</v>
      </c>
      <c r="K31" s="7">
        <v>0</v>
      </c>
    </row>
    <row r="32" spans="1:11" x14ac:dyDescent="0.2">
      <c r="A32" s="8">
        <v>1994</v>
      </c>
      <c r="B32" s="8" t="s">
        <v>23</v>
      </c>
      <c r="C32" s="8">
        <v>29</v>
      </c>
      <c r="D32" s="6" t="s">
        <v>453</v>
      </c>
      <c r="E32" s="6">
        <v>5.79</v>
      </c>
      <c r="F32" s="7">
        <v>36250</v>
      </c>
      <c r="G32" s="7">
        <v>44.58</v>
      </c>
      <c r="H32" s="7">
        <v>80</v>
      </c>
      <c r="I32" s="7">
        <v>0</v>
      </c>
      <c r="J32" s="7" t="s">
        <v>767</v>
      </c>
      <c r="K32" s="7">
        <v>0</v>
      </c>
    </row>
    <row r="33" spans="1:11" x14ac:dyDescent="0.2">
      <c r="A33" s="8">
        <v>1994</v>
      </c>
      <c r="B33" s="8" t="s">
        <v>23</v>
      </c>
      <c r="C33" s="8">
        <v>30</v>
      </c>
      <c r="D33" s="6" t="s">
        <v>454</v>
      </c>
      <c r="E33" s="6">
        <v>5.76</v>
      </c>
      <c r="F33" s="7">
        <v>35750</v>
      </c>
      <c r="G33" s="7">
        <v>43.97</v>
      </c>
      <c r="H33" s="7">
        <v>160</v>
      </c>
      <c r="I33" s="7">
        <v>0</v>
      </c>
      <c r="J33" s="7" t="s">
        <v>768</v>
      </c>
      <c r="K33" s="7">
        <v>0</v>
      </c>
    </row>
    <row r="34" spans="1:11" x14ac:dyDescent="0.2">
      <c r="A34" s="8">
        <v>1994</v>
      </c>
      <c r="B34" s="8" t="s">
        <v>23</v>
      </c>
      <c r="C34" s="8">
        <v>31</v>
      </c>
      <c r="D34" s="6" t="s">
        <v>454</v>
      </c>
      <c r="E34" s="6">
        <v>5.76</v>
      </c>
      <c r="F34" s="7">
        <v>35750</v>
      </c>
      <c r="G34" s="7">
        <v>43.97</v>
      </c>
      <c r="H34" s="7">
        <v>160</v>
      </c>
      <c r="I34" s="7">
        <v>0</v>
      </c>
      <c r="J34" s="7" t="s">
        <v>768</v>
      </c>
      <c r="K34" s="7">
        <v>0</v>
      </c>
    </row>
    <row r="35" spans="1:11" x14ac:dyDescent="0.2">
      <c r="A35" s="8">
        <v>1994</v>
      </c>
      <c r="B35" s="1" t="s">
        <v>24</v>
      </c>
      <c r="C35" s="1">
        <v>1</v>
      </c>
      <c r="D35" s="6" t="s">
        <v>455</v>
      </c>
      <c r="E35" s="6">
        <v>5.74</v>
      </c>
      <c r="F35" s="7" t="s">
        <v>769</v>
      </c>
      <c r="G35" s="7">
        <v>43.33</v>
      </c>
      <c r="H35" s="7">
        <v>130</v>
      </c>
      <c r="I35" s="7">
        <v>0</v>
      </c>
      <c r="J35" s="7" t="s">
        <v>770</v>
      </c>
      <c r="K35" s="7">
        <v>0</v>
      </c>
    </row>
    <row r="36" spans="1:11" x14ac:dyDescent="0.2">
      <c r="A36" s="8">
        <v>1994</v>
      </c>
      <c r="B36" s="1" t="s">
        <v>24</v>
      </c>
      <c r="C36" s="1">
        <v>2</v>
      </c>
      <c r="D36" s="6" t="s">
        <v>456</v>
      </c>
      <c r="E36" s="6">
        <v>5.71</v>
      </c>
      <c r="F36" s="7">
        <v>34750</v>
      </c>
      <c r="G36" s="7">
        <v>42.74</v>
      </c>
      <c r="H36" s="7">
        <v>130</v>
      </c>
      <c r="I36" s="7">
        <v>0</v>
      </c>
      <c r="J36" s="7" t="s">
        <v>770</v>
      </c>
      <c r="K36" s="7">
        <v>0</v>
      </c>
    </row>
    <row r="37" spans="1:11" x14ac:dyDescent="0.2">
      <c r="A37" s="8">
        <v>1994</v>
      </c>
      <c r="B37" s="1" t="s">
        <v>24</v>
      </c>
      <c r="C37" s="1">
        <v>3</v>
      </c>
      <c r="D37" s="6" t="s">
        <v>456</v>
      </c>
      <c r="E37" s="6">
        <v>5.71</v>
      </c>
      <c r="F37" s="7">
        <v>34750</v>
      </c>
      <c r="G37" s="7">
        <v>42.74</v>
      </c>
      <c r="H37" s="7">
        <v>160</v>
      </c>
      <c r="I37" s="7">
        <v>0</v>
      </c>
      <c r="J37" s="7" t="s">
        <v>771</v>
      </c>
      <c r="K37" s="7">
        <v>0</v>
      </c>
    </row>
    <row r="38" spans="1:11" x14ac:dyDescent="0.2">
      <c r="A38" s="8">
        <v>1994</v>
      </c>
      <c r="B38" s="1" t="s">
        <v>24</v>
      </c>
      <c r="C38" s="1">
        <v>4</v>
      </c>
      <c r="D38" s="6" t="s">
        <v>457</v>
      </c>
      <c r="E38" s="6">
        <v>5.68</v>
      </c>
      <c r="F38" s="7">
        <v>34250</v>
      </c>
      <c r="G38" s="7">
        <v>42.12</v>
      </c>
      <c r="H38" s="7">
        <v>160</v>
      </c>
      <c r="I38" s="7">
        <v>0</v>
      </c>
      <c r="J38" s="7" t="s">
        <v>771</v>
      </c>
      <c r="K38" s="7">
        <v>0</v>
      </c>
    </row>
    <row r="39" spans="1:11" x14ac:dyDescent="0.2">
      <c r="A39" s="8">
        <v>1994</v>
      </c>
      <c r="B39" s="1" t="s">
        <v>24</v>
      </c>
      <c r="C39" s="1">
        <v>5</v>
      </c>
      <c r="D39" s="6" t="s">
        <v>457</v>
      </c>
      <c r="E39" s="6">
        <v>5.68</v>
      </c>
      <c r="F39" s="7">
        <v>34250</v>
      </c>
      <c r="G39" s="7">
        <v>42.12</v>
      </c>
      <c r="H39" s="7">
        <v>160</v>
      </c>
      <c r="I39" s="7">
        <v>0</v>
      </c>
      <c r="J39" s="7" t="s">
        <v>771</v>
      </c>
      <c r="K39" s="7">
        <v>0</v>
      </c>
    </row>
    <row r="40" spans="1:11" x14ac:dyDescent="0.2">
      <c r="A40" s="8">
        <v>1994</v>
      </c>
      <c r="B40" s="1" t="s">
        <v>24</v>
      </c>
      <c r="C40" s="1">
        <v>6</v>
      </c>
      <c r="D40" s="6" t="s">
        <v>456</v>
      </c>
      <c r="E40" s="6">
        <v>5.71</v>
      </c>
      <c r="F40" s="7">
        <v>34750</v>
      </c>
      <c r="G40" s="7">
        <v>42.74</v>
      </c>
      <c r="H40" s="7">
        <v>130</v>
      </c>
      <c r="I40" s="7">
        <v>0</v>
      </c>
      <c r="J40" s="7" t="s">
        <v>771</v>
      </c>
      <c r="K40" s="7">
        <v>0</v>
      </c>
    </row>
    <row r="41" spans="1:11" x14ac:dyDescent="0.2">
      <c r="A41" s="8">
        <v>1994</v>
      </c>
      <c r="B41" s="1" t="s">
        <v>24</v>
      </c>
      <c r="C41" s="1">
        <v>7</v>
      </c>
      <c r="D41" s="6" t="s">
        <v>458</v>
      </c>
      <c r="E41" s="6">
        <v>5.66</v>
      </c>
      <c r="F41" s="7">
        <v>33900</v>
      </c>
      <c r="G41" s="7">
        <v>41.69</v>
      </c>
      <c r="H41" s="7">
        <v>160</v>
      </c>
      <c r="I41" s="7">
        <v>0</v>
      </c>
      <c r="J41" s="7" t="s">
        <v>771</v>
      </c>
      <c r="K41" s="7">
        <v>0</v>
      </c>
    </row>
    <row r="42" spans="1:11" x14ac:dyDescent="0.2">
      <c r="A42" s="8">
        <v>1994</v>
      </c>
      <c r="B42" s="1" t="s">
        <v>24</v>
      </c>
      <c r="C42" s="1">
        <v>8</v>
      </c>
      <c r="D42" s="6" t="s">
        <v>456</v>
      </c>
      <c r="E42" s="6">
        <v>5.71</v>
      </c>
      <c r="F42" s="7">
        <v>34750</v>
      </c>
      <c r="G42" s="7">
        <v>42.74</v>
      </c>
      <c r="H42" s="7">
        <v>170</v>
      </c>
      <c r="I42" s="7">
        <v>0</v>
      </c>
      <c r="J42" s="7" t="s">
        <v>771</v>
      </c>
      <c r="K42" s="7">
        <v>0</v>
      </c>
    </row>
    <row r="43" spans="1:11" x14ac:dyDescent="0.2">
      <c r="A43" s="8">
        <v>1994</v>
      </c>
      <c r="B43" s="1" t="s">
        <v>24</v>
      </c>
      <c r="C43" s="1">
        <v>9</v>
      </c>
      <c r="D43" s="6" t="s">
        <v>450</v>
      </c>
      <c r="E43" s="6">
        <v>5.86</v>
      </c>
      <c r="F43" s="7">
        <v>36400</v>
      </c>
      <c r="G43" s="7">
        <v>44.77</v>
      </c>
      <c r="H43" s="7">
        <v>0</v>
      </c>
      <c r="I43" s="7">
        <v>0</v>
      </c>
      <c r="J43" s="7" t="s">
        <v>736</v>
      </c>
      <c r="K43" s="7">
        <v>0</v>
      </c>
    </row>
    <row r="44" spans="1:11" x14ac:dyDescent="0.2">
      <c r="A44" s="8">
        <v>1994</v>
      </c>
      <c r="B44" s="1" t="s">
        <v>24</v>
      </c>
      <c r="C44" s="1">
        <v>10</v>
      </c>
      <c r="D44" s="6" t="s">
        <v>444</v>
      </c>
      <c r="E44" s="6">
        <v>5.96</v>
      </c>
      <c r="F44" s="7">
        <v>37600</v>
      </c>
      <c r="G44" s="7">
        <v>46.24</v>
      </c>
      <c r="H44" s="7">
        <v>0</v>
      </c>
      <c r="I44" s="7">
        <v>0</v>
      </c>
      <c r="J44" s="7" t="s">
        <v>736</v>
      </c>
      <c r="K44" s="7">
        <v>0</v>
      </c>
    </row>
    <row r="45" spans="1:11" x14ac:dyDescent="0.2">
      <c r="A45" s="8">
        <v>1994</v>
      </c>
      <c r="B45" s="1" t="s">
        <v>24</v>
      </c>
      <c r="C45" s="1">
        <v>11</v>
      </c>
      <c r="D45" s="6" t="s">
        <v>379</v>
      </c>
      <c r="E45" s="6">
        <v>5.99</v>
      </c>
      <c r="F45" s="7">
        <v>37900</v>
      </c>
      <c r="G45" s="7">
        <v>46.61</v>
      </c>
      <c r="H45" s="7">
        <v>0</v>
      </c>
      <c r="I45" s="7">
        <v>0</v>
      </c>
      <c r="J45" s="7" t="s">
        <v>736</v>
      </c>
      <c r="K45" s="7">
        <v>0</v>
      </c>
    </row>
    <row r="46" spans="1:11" x14ac:dyDescent="0.2">
      <c r="A46" s="8">
        <v>1994</v>
      </c>
      <c r="B46" s="1" t="s">
        <v>24</v>
      </c>
      <c r="C46" s="1">
        <v>12</v>
      </c>
      <c r="D46" s="6" t="s">
        <v>378</v>
      </c>
      <c r="E46" s="6">
        <v>6.01</v>
      </c>
      <c r="F46" s="7">
        <v>38000</v>
      </c>
      <c r="G46" s="7">
        <v>46.74</v>
      </c>
      <c r="H46" s="7">
        <v>0</v>
      </c>
      <c r="I46" s="7">
        <v>0</v>
      </c>
      <c r="J46" s="7" t="s">
        <v>736</v>
      </c>
      <c r="K46" s="7">
        <v>0</v>
      </c>
    </row>
    <row r="47" spans="1:11" x14ac:dyDescent="0.2">
      <c r="A47" s="8">
        <v>1994</v>
      </c>
      <c r="B47" s="1" t="s">
        <v>24</v>
      </c>
      <c r="C47" s="1">
        <v>13</v>
      </c>
      <c r="D47" s="6" t="s">
        <v>443</v>
      </c>
      <c r="E47" s="6">
        <v>6.94</v>
      </c>
      <c r="F47" s="7">
        <v>37500</v>
      </c>
      <c r="G47" s="7">
        <v>46.12</v>
      </c>
      <c r="H47" s="7">
        <v>120</v>
      </c>
      <c r="I47" s="7">
        <v>0</v>
      </c>
      <c r="J47" s="7" t="s">
        <v>766</v>
      </c>
      <c r="K47" s="7">
        <v>0</v>
      </c>
    </row>
    <row r="48" spans="1:11" x14ac:dyDescent="0.2">
      <c r="A48" s="8">
        <v>1994</v>
      </c>
      <c r="B48" s="1" t="s">
        <v>24</v>
      </c>
      <c r="C48" s="1">
        <v>14</v>
      </c>
      <c r="D48" s="6" t="s">
        <v>445</v>
      </c>
      <c r="E48" s="6">
        <v>5.91</v>
      </c>
      <c r="F48" s="7">
        <v>37000</v>
      </c>
      <c r="G48" s="7">
        <v>45.51</v>
      </c>
      <c r="H48" s="7">
        <v>120</v>
      </c>
      <c r="I48" s="7">
        <v>0</v>
      </c>
      <c r="J48" s="7" t="s">
        <v>766</v>
      </c>
      <c r="K48" s="7">
        <v>0</v>
      </c>
    </row>
    <row r="49" spans="1:11" x14ac:dyDescent="0.2">
      <c r="A49" s="8">
        <v>1994</v>
      </c>
      <c r="B49" s="1" t="s">
        <v>24</v>
      </c>
      <c r="C49" s="1">
        <v>15</v>
      </c>
      <c r="D49" s="6" t="s">
        <v>446</v>
      </c>
      <c r="E49" s="6">
        <v>5.89</v>
      </c>
      <c r="F49" s="7">
        <v>36500</v>
      </c>
      <c r="G49" s="7">
        <v>44.89</v>
      </c>
      <c r="H49" s="7">
        <v>170</v>
      </c>
      <c r="I49" s="7">
        <v>0</v>
      </c>
      <c r="J49" s="7" t="s">
        <v>766</v>
      </c>
      <c r="K49" s="7">
        <v>0</v>
      </c>
    </row>
    <row r="50" spans="1:11" x14ac:dyDescent="0.2">
      <c r="A50" s="8">
        <v>1994</v>
      </c>
      <c r="B50" s="1" t="s">
        <v>24</v>
      </c>
      <c r="C50" s="1">
        <v>16</v>
      </c>
      <c r="D50" s="6" t="s">
        <v>459</v>
      </c>
      <c r="E50" s="6">
        <v>5.84</v>
      </c>
      <c r="F50" s="7">
        <v>36350</v>
      </c>
      <c r="G50" s="7">
        <v>44.71</v>
      </c>
      <c r="H50" s="7">
        <v>170</v>
      </c>
      <c r="I50" s="7">
        <v>0</v>
      </c>
      <c r="J50" s="7" t="s">
        <v>767</v>
      </c>
      <c r="K50" s="7">
        <v>0</v>
      </c>
    </row>
    <row r="51" spans="1:11" x14ac:dyDescent="0.2">
      <c r="A51" s="8">
        <v>1994</v>
      </c>
      <c r="B51" s="1" t="s">
        <v>24</v>
      </c>
      <c r="C51" s="1">
        <v>17</v>
      </c>
      <c r="D51" s="6" t="s">
        <v>459</v>
      </c>
      <c r="E51" s="6">
        <v>5.84</v>
      </c>
      <c r="F51" s="7">
        <v>36350</v>
      </c>
      <c r="G51" s="7">
        <v>44.71</v>
      </c>
      <c r="H51" s="7">
        <v>170</v>
      </c>
      <c r="I51" s="7">
        <v>0</v>
      </c>
      <c r="J51" s="7" t="s">
        <v>767</v>
      </c>
      <c r="K51" s="7">
        <v>0</v>
      </c>
    </row>
    <row r="52" spans="1:11" x14ac:dyDescent="0.2">
      <c r="A52" s="8">
        <v>1994</v>
      </c>
      <c r="B52" s="1" t="s">
        <v>24</v>
      </c>
      <c r="C52" s="1">
        <v>18</v>
      </c>
      <c r="D52" s="6" t="s">
        <v>452</v>
      </c>
      <c r="E52" s="6">
        <v>5.81</v>
      </c>
      <c r="F52" s="7" t="s">
        <v>772</v>
      </c>
      <c r="G52" s="7">
        <v>44.64</v>
      </c>
      <c r="H52" s="7">
        <v>170</v>
      </c>
      <c r="I52" s="7">
        <v>0</v>
      </c>
      <c r="J52" s="7" t="s">
        <v>771</v>
      </c>
      <c r="K52" s="7">
        <v>0</v>
      </c>
    </row>
    <row r="53" spans="1:11" x14ac:dyDescent="0.2">
      <c r="A53" s="8">
        <v>1994</v>
      </c>
      <c r="B53" s="1" t="s">
        <v>24</v>
      </c>
      <c r="C53" s="1">
        <v>19</v>
      </c>
      <c r="D53" s="6" t="s">
        <v>452</v>
      </c>
      <c r="E53" s="6">
        <v>5.81</v>
      </c>
      <c r="F53" s="7" t="s">
        <v>772</v>
      </c>
      <c r="G53" s="7">
        <v>4.6399999999999997</v>
      </c>
      <c r="H53" s="7">
        <v>180</v>
      </c>
      <c r="I53" s="7">
        <v>0</v>
      </c>
      <c r="J53" s="7" t="s">
        <v>766</v>
      </c>
      <c r="K53" s="7">
        <v>0</v>
      </c>
    </row>
    <row r="54" spans="1:11" x14ac:dyDescent="0.2">
      <c r="A54" s="8">
        <v>1994</v>
      </c>
      <c r="B54" s="1" t="s">
        <v>24</v>
      </c>
      <c r="C54" s="1">
        <v>20</v>
      </c>
      <c r="D54" s="6" t="s">
        <v>445</v>
      </c>
      <c r="E54" s="6">
        <v>5.91</v>
      </c>
      <c r="F54" s="7" t="s">
        <v>763</v>
      </c>
      <c r="G54" s="7">
        <v>45.51</v>
      </c>
      <c r="H54" s="7">
        <v>0</v>
      </c>
      <c r="I54" s="7">
        <v>0</v>
      </c>
      <c r="J54" s="7" t="s">
        <v>736</v>
      </c>
      <c r="K54" s="7">
        <v>0</v>
      </c>
    </row>
    <row r="55" spans="1:11" x14ac:dyDescent="0.2">
      <c r="A55" s="8">
        <v>1994</v>
      </c>
      <c r="B55" s="1" t="s">
        <v>24</v>
      </c>
      <c r="C55" s="1">
        <v>21</v>
      </c>
      <c r="D55" s="6" t="s">
        <v>445</v>
      </c>
      <c r="E55" s="6">
        <v>5.91</v>
      </c>
      <c r="F55" s="7">
        <v>37000</v>
      </c>
      <c r="G55" s="7">
        <v>45.51</v>
      </c>
      <c r="H55" s="7">
        <v>0</v>
      </c>
      <c r="I55" s="7">
        <v>0</v>
      </c>
      <c r="J55" s="7" t="s">
        <v>736</v>
      </c>
      <c r="K55" s="7">
        <v>0</v>
      </c>
    </row>
    <row r="56" spans="1:11" x14ac:dyDescent="0.2">
      <c r="A56" s="8">
        <v>1994</v>
      </c>
      <c r="B56" s="1" t="s">
        <v>24</v>
      </c>
      <c r="C56" s="1">
        <v>22</v>
      </c>
      <c r="D56" s="6" t="s">
        <v>445</v>
      </c>
      <c r="E56" s="6">
        <v>5.91</v>
      </c>
      <c r="F56" s="7" t="s">
        <v>763</v>
      </c>
      <c r="G56" s="7">
        <v>45.51</v>
      </c>
      <c r="H56" s="7">
        <v>0</v>
      </c>
      <c r="I56" s="7">
        <v>0</v>
      </c>
      <c r="J56" s="7" t="s">
        <v>736</v>
      </c>
      <c r="K56" s="7">
        <v>0</v>
      </c>
    </row>
    <row r="57" spans="1:11" x14ac:dyDescent="0.2">
      <c r="A57" s="8">
        <v>1994</v>
      </c>
      <c r="B57" s="1" t="s">
        <v>24</v>
      </c>
      <c r="C57" s="1">
        <v>23</v>
      </c>
      <c r="D57" s="6" t="s">
        <v>446</v>
      </c>
      <c r="E57" s="6">
        <v>5.84</v>
      </c>
      <c r="F57" s="6" t="s">
        <v>773</v>
      </c>
      <c r="G57" s="7">
        <v>44.89</v>
      </c>
      <c r="H57" s="7">
        <v>140</v>
      </c>
      <c r="I57" s="7">
        <v>0</v>
      </c>
      <c r="J57" s="7" t="s">
        <v>766</v>
      </c>
      <c r="K57" s="7">
        <v>0</v>
      </c>
    </row>
    <row r="58" spans="1:11" x14ac:dyDescent="0.2">
      <c r="A58" s="8">
        <v>1994</v>
      </c>
      <c r="B58" s="1" t="s">
        <v>24</v>
      </c>
      <c r="C58" s="1">
        <v>24</v>
      </c>
      <c r="D58" s="6" t="s">
        <v>450</v>
      </c>
      <c r="E58" s="6">
        <v>5.86</v>
      </c>
      <c r="F58" s="7" t="s">
        <v>762</v>
      </c>
      <c r="G58" s="7">
        <v>44.77</v>
      </c>
      <c r="H58" s="7">
        <v>140</v>
      </c>
      <c r="I58" s="7">
        <v>0</v>
      </c>
      <c r="J58" s="7" t="s">
        <v>766</v>
      </c>
      <c r="K58" s="7">
        <v>0</v>
      </c>
    </row>
    <row r="59" spans="1:11" x14ac:dyDescent="0.2">
      <c r="A59" s="8">
        <v>1994</v>
      </c>
      <c r="B59" s="1" t="s">
        <v>24</v>
      </c>
      <c r="C59" s="1">
        <v>25</v>
      </c>
      <c r="D59" s="6" t="s">
        <v>450</v>
      </c>
      <c r="E59" s="6">
        <v>5.86</v>
      </c>
      <c r="F59" s="7" t="s">
        <v>762</v>
      </c>
      <c r="G59" s="7">
        <v>44.77</v>
      </c>
      <c r="H59" s="7">
        <v>140</v>
      </c>
      <c r="I59" s="7">
        <v>0</v>
      </c>
      <c r="J59" s="7" t="s">
        <v>765</v>
      </c>
      <c r="K59" s="7">
        <v>0</v>
      </c>
    </row>
    <row r="60" spans="1:11" x14ac:dyDescent="0.2">
      <c r="A60" s="8">
        <v>1994</v>
      </c>
      <c r="B60" s="1" t="s">
        <v>24</v>
      </c>
      <c r="C60" s="1">
        <v>26</v>
      </c>
      <c r="D60" s="6" t="s">
        <v>452</v>
      </c>
      <c r="E60" s="6">
        <v>5.81</v>
      </c>
      <c r="F60" s="7" t="s">
        <v>772</v>
      </c>
      <c r="G60" s="7">
        <v>44.64</v>
      </c>
      <c r="H60" s="7">
        <v>140</v>
      </c>
      <c r="I60" s="7">
        <v>0</v>
      </c>
      <c r="J60" s="7" t="s">
        <v>770</v>
      </c>
      <c r="K60" s="7">
        <v>0</v>
      </c>
    </row>
    <row r="61" spans="1:11" x14ac:dyDescent="0.2">
      <c r="A61" s="8">
        <v>1994</v>
      </c>
      <c r="B61" s="1" t="s">
        <v>24</v>
      </c>
      <c r="C61" s="1">
        <v>27</v>
      </c>
      <c r="D61" s="6" t="s">
        <v>453</v>
      </c>
      <c r="E61" s="6">
        <v>5.79</v>
      </c>
      <c r="F61" s="7">
        <v>36250</v>
      </c>
      <c r="G61" s="7">
        <v>44.58</v>
      </c>
      <c r="H61" s="7">
        <v>80</v>
      </c>
      <c r="I61" s="7">
        <v>0</v>
      </c>
      <c r="J61" s="7" t="s">
        <v>767</v>
      </c>
      <c r="K61" s="7">
        <v>0</v>
      </c>
    </row>
    <row r="62" spans="1:11" x14ac:dyDescent="0.2">
      <c r="A62" s="8">
        <v>1994</v>
      </c>
      <c r="B62" s="1" t="s">
        <v>24</v>
      </c>
      <c r="C62" s="1">
        <v>28</v>
      </c>
      <c r="D62" s="6" t="s">
        <v>453</v>
      </c>
      <c r="E62" s="6">
        <v>5.79</v>
      </c>
      <c r="F62" s="7">
        <v>36250</v>
      </c>
      <c r="G62" s="7">
        <v>44.58</v>
      </c>
      <c r="H62" s="7">
        <v>140</v>
      </c>
      <c r="I62" s="7">
        <v>0</v>
      </c>
      <c r="J62" s="7" t="s">
        <v>770</v>
      </c>
      <c r="K62" s="7">
        <v>0</v>
      </c>
    </row>
    <row r="63" spans="1:11" x14ac:dyDescent="0.2">
      <c r="A63" s="8">
        <v>1994</v>
      </c>
      <c r="B63" s="1" t="s">
        <v>24</v>
      </c>
      <c r="C63" s="1">
        <v>29</v>
      </c>
      <c r="D63" s="7"/>
      <c r="E63" s="7"/>
      <c r="F63" s="7"/>
      <c r="G63" s="7"/>
      <c r="H63" s="7"/>
      <c r="I63" s="7"/>
      <c r="J63" s="7"/>
      <c r="K63" s="7"/>
    </row>
    <row r="64" spans="1:11" x14ac:dyDescent="0.2">
      <c r="A64" s="8">
        <v>1994</v>
      </c>
      <c r="B64" s="1" t="s">
        <v>25</v>
      </c>
      <c r="C64" s="1">
        <v>1</v>
      </c>
      <c r="D64" s="6" t="s">
        <v>454</v>
      </c>
      <c r="E64" s="6">
        <v>5.76</v>
      </c>
      <c r="F64" s="7" t="s">
        <v>774</v>
      </c>
      <c r="G64" s="7">
        <v>43.97</v>
      </c>
      <c r="H64" s="7">
        <v>170</v>
      </c>
      <c r="I64" s="7">
        <v>0</v>
      </c>
      <c r="J64" s="7" t="s">
        <v>775</v>
      </c>
      <c r="K64" s="7">
        <v>0</v>
      </c>
    </row>
    <row r="65" spans="1:11" x14ac:dyDescent="0.2">
      <c r="A65" s="8">
        <v>1994</v>
      </c>
      <c r="B65" s="1" t="s">
        <v>25</v>
      </c>
      <c r="C65" s="1">
        <v>2</v>
      </c>
      <c r="D65" s="6" t="s">
        <v>454</v>
      </c>
      <c r="E65" s="6">
        <v>5.76</v>
      </c>
      <c r="F65" s="7" t="s">
        <v>774</v>
      </c>
      <c r="G65" s="7">
        <v>43.97</v>
      </c>
      <c r="H65" s="7">
        <v>120</v>
      </c>
      <c r="I65" s="7">
        <v>0</v>
      </c>
      <c r="J65" s="7" t="s">
        <v>775</v>
      </c>
      <c r="K65" s="7">
        <v>0</v>
      </c>
    </row>
    <row r="66" spans="1:11" x14ac:dyDescent="0.2">
      <c r="A66" s="8">
        <v>1994</v>
      </c>
      <c r="B66" s="1" t="s">
        <v>25</v>
      </c>
      <c r="C66" s="1">
        <v>3</v>
      </c>
      <c r="D66" s="6" t="s">
        <v>455</v>
      </c>
      <c r="E66" s="6">
        <v>5.74</v>
      </c>
      <c r="F66" s="7" t="s">
        <v>769</v>
      </c>
      <c r="G66" s="7">
        <v>43.35</v>
      </c>
      <c r="H66" s="7">
        <v>120</v>
      </c>
      <c r="I66" s="7">
        <v>0</v>
      </c>
      <c r="J66" s="7" t="s">
        <v>775</v>
      </c>
      <c r="K66" s="7">
        <v>0</v>
      </c>
    </row>
    <row r="67" spans="1:11" x14ac:dyDescent="0.2">
      <c r="A67" s="8">
        <v>1994</v>
      </c>
      <c r="B67" s="1" t="s">
        <v>25</v>
      </c>
      <c r="C67" s="1">
        <v>4</v>
      </c>
      <c r="D67" s="6" t="s">
        <v>456</v>
      </c>
      <c r="E67" s="6">
        <v>5.71</v>
      </c>
      <c r="F67" s="7">
        <v>34750</v>
      </c>
      <c r="G67" s="7">
        <v>42.74</v>
      </c>
      <c r="H67" s="7">
        <v>80</v>
      </c>
      <c r="I67" s="7">
        <v>0</v>
      </c>
      <c r="J67" s="7" t="s">
        <v>771</v>
      </c>
      <c r="K67" s="7">
        <v>0</v>
      </c>
    </row>
    <row r="68" spans="1:11" x14ac:dyDescent="0.2">
      <c r="A68" s="8">
        <v>1994</v>
      </c>
      <c r="B68" s="1" t="s">
        <v>25</v>
      </c>
      <c r="C68" s="1">
        <v>5</v>
      </c>
      <c r="D68" s="6" t="s">
        <v>457</v>
      </c>
      <c r="E68" s="6">
        <v>5.68</v>
      </c>
      <c r="F68" s="7">
        <v>34250</v>
      </c>
      <c r="G68" s="7">
        <v>42.12</v>
      </c>
      <c r="H68" s="7">
        <v>80</v>
      </c>
      <c r="I68" s="7">
        <v>0</v>
      </c>
      <c r="J68" s="7" t="s">
        <v>771</v>
      </c>
      <c r="K68" s="7">
        <v>0</v>
      </c>
    </row>
    <row r="69" spans="1:11" x14ac:dyDescent="0.2">
      <c r="A69" s="8">
        <v>1994</v>
      </c>
      <c r="B69" s="1" t="s">
        <v>25</v>
      </c>
      <c r="C69" s="1">
        <v>6</v>
      </c>
      <c r="D69" s="6" t="s">
        <v>458</v>
      </c>
      <c r="E69" s="6">
        <v>5.66</v>
      </c>
      <c r="F69" s="7">
        <v>33900</v>
      </c>
      <c r="G69" s="7">
        <v>41.69</v>
      </c>
      <c r="H69" s="7">
        <v>80</v>
      </c>
      <c r="I69" s="7">
        <v>0</v>
      </c>
      <c r="J69" s="7" t="s">
        <v>771</v>
      </c>
      <c r="K69" s="7">
        <v>0</v>
      </c>
    </row>
    <row r="70" spans="1:11" x14ac:dyDescent="0.2">
      <c r="A70" s="8">
        <v>1994</v>
      </c>
      <c r="B70" s="1" t="s">
        <v>25</v>
      </c>
      <c r="C70" s="1">
        <v>7</v>
      </c>
      <c r="D70" s="6" t="s">
        <v>460</v>
      </c>
      <c r="E70" s="6">
        <v>5.63</v>
      </c>
      <c r="F70" s="7">
        <v>33800</v>
      </c>
      <c r="G70" s="7">
        <v>41.57</v>
      </c>
      <c r="H70" s="7">
        <v>150</v>
      </c>
      <c r="I70" s="7">
        <v>0</v>
      </c>
      <c r="J70" s="7" t="s">
        <v>771</v>
      </c>
      <c r="K70" s="7">
        <v>0</v>
      </c>
    </row>
    <row r="71" spans="1:11" x14ac:dyDescent="0.2">
      <c r="A71" s="8">
        <v>1994</v>
      </c>
      <c r="B71" s="1" t="s">
        <v>25</v>
      </c>
      <c r="C71" s="1">
        <v>8</v>
      </c>
      <c r="D71" s="6" t="s">
        <v>460</v>
      </c>
      <c r="E71" s="6">
        <v>5.63</v>
      </c>
      <c r="F71" s="7">
        <v>33800</v>
      </c>
      <c r="G71" s="7">
        <v>41.57</v>
      </c>
      <c r="H71" s="7">
        <v>150</v>
      </c>
      <c r="I71" s="7">
        <v>0</v>
      </c>
      <c r="J71" s="7" t="s">
        <v>771</v>
      </c>
      <c r="K71" s="7">
        <v>0</v>
      </c>
    </row>
    <row r="72" spans="1:11" x14ac:dyDescent="0.2">
      <c r="A72" s="8">
        <v>1994</v>
      </c>
      <c r="B72" s="1" t="s">
        <v>25</v>
      </c>
      <c r="C72" s="1">
        <v>9</v>
      </c>
      <c r="D72" s="6" t="s">
        <v>461</v>
      </c>
      <c r="E72" s="6">
        <v>5.61</v>
      </c>
      <c r="F72" s="7">
        <v>33500</v>
      </c>
      <c r="G72" s="7" t="s">
        <v>776</v>
      </c>
      <c r="H72" s="7">
        <v>150</v>
      </c>
      <c r="I72" s="7">
        <v>0</v>
      </c>
      <c r="J72" s="7" t="s">
        <v>771</v>
      </c>
      <c r="K72" s="7">
        <v>0</v>
      </c>
    </row>
    <row r="73" spans="1:11" x14ac:dyDescent="0.2">
      <c r="A73" s="8">
        <v>1994</v>
      </c>
      <c r="B73" s="1" t="s">
        <v>25</v>
      </c>
      <c r="C73" s="1">
        <v>10</v>
      </c>
      <c r="D73" s="6" t="s">
        <v>462</v>
      </c>
      <c r="E73" s="6">
        <v>5.58</v>
      </c>
      <c r="F73" s="7">
        <v>33000</v>
      </c>
      <c r="G73" s="7">
        <v>40.590000000000003</v>
      </c>
      <c r="H73" s="7">
        <v>150</v>
      </c>
      <c r="I73" s="7">
        <v>0</v>
      </c>
      <c r="J73" s="7" t="s">
        <v>771</v>
      </c>
      <c r="K73" s="7">
        <v>0</v>
      </c>
    </row>
    <row r="74" spans="1:11" x14ac:dyDescent="0.2">
      <c r="A74" s="8">
        <v>1994</v>
      </c>
      <c r="B74" s="1" t="s">
        <v>25</v>
      </c>
      <c r="C74" s="1">
        <v>11</v>
      </c>
      <c r="D74" s="6" t="s">
        <v>463</v>
      </c>
      <c r="E74" s="6">
        <v>5.59</v>
      </c>
      <c r="F74" s="7">
        <v>32800</v>
      </c>
      <c r="G74" s="7">
        <v>40.340000000000003</v>
      </c>
      <c r="H74" s="7">
        <v>150</v>
      </c>
      <c r="I74" s="7">
        <v>0</v>
      </c>
      <c r="J74" s="7" t="s">
        <v>771</v>
      </c>
      <c r="K74" s="7">
        <v>0</v>
      </c>
    </row>
    <row r="75" spans="1:11" x14ac:dyDescent="0.2">
      <c r="A75" s="8">
        <v>1994</v>
      </c>
      <c r="B75" s="1" t="s">
        <v>25</v>
      </c>
      <c r="C75" s="1">
        <v>12</v>
      </c>
      <c r="D75" s="6" t="s">
        <v>463</v>
      </c>
      <c r="E75" s="6">
        <v>5.53</v>
      </c>
      <c r="F75" s="7" t="s">
        <v>777</v>
      </c>
      <c r="G75" s="7">
        <v>40.090000000000003</v>
      </c>
      <c r="H75" s="7">
        <v>160</v>
      </c>
      <c r="I75" s="7">
        <v>0</v>
      </c>
      <c r="J75" s="7" t="s">
        <v>771</v>
      </c>
      <c r="K75" s="7">
        <v>0</v>
      </c>
    </row>
    <row r="76" spans="1:11" x14ac:dyDescent="0.2">
      <c r="A76" s="8">
        <v>1994</v>
      </c>
      <c r="B76" s="1" t="s">
        <v>25</v>
      </c>
      <c r="C76" s="1">
        <v>13</v>
      </c>
      <c r="D76" s="6" t="s">
        <v>464</v>
      </c>
      <c r="E76" s="6">
        <v>5.51</v>
      </c>
      <c r="F76" s="7">
        <v>32400</v>
      </c>
      <c r="G76" s="7">
        <v>39.85</v>
      </c>
      <c r="H76" s="7">
        <v>160</v>
      </c>
      <c r="I76" s="7">
        <v>0</v>
      </c>
      <c r="J76" s="7" t="s">
        <v>771</v>
      </c>
      <c r="K76" s="7">
        <v>0</v>
      </c>
    </row>
    <row r="77" spans="1:11" x14ac:dyDescent="0.2">
      <c r="A77" s="8">
        <v>1994</v>
      </c>
      <c r="B77" s="1" t="s">
        <v>25</v>
      </c>
      <c r="C77" s="1">
        <v>14</v>
      </c>
      <c r="D77" s="6" t="s">
        <v>465</v>
      </c>
      <c r="E77" s="6">
        <v>5.48</v>
      </c>
      <c r="F77" s="7">
        <v>32100</v>
      </c>
      <c r="G77" s="7">
        <v>39.479999999999997</v>
      </c>
      <c r="H77" s="7">
        <v>160</v>
      </c>
      <c r="I77" s="7">
        <v>0</v>
      </c>
      <c r="J77" s="7" t="s">
        <v>771</v>
      </c>
      <c r="K77" s="7">
        <v>0</v>
      </c>
    </row>
    <row r="78" spans="1:11" x14ac:dyDescent="0.2">
      <c r="A78" s="8">
        <v>1994</v>
      </c>
      <c r="B78" s="1" t="s">
        <v>25</v>
      </c>
      <c r="C78" s="12">
        <v>15</v>
      </c>
      <c r="D78" s="6" t="s">
        <v>466</v>
      </c>
      <c r="E78" s="6">
        <v>5.46</v>
      </c>
      <c r="F78" s="7">
        <v>32000</v>
      </c>
      <c r="G78" s="7">
        <v>39.36</v>
      </c>
      <c r="H78" s="7">
        <v>100</v>
      </c>
      <c r="I78" s="7">
        <v>0</v>
      </c>
      <c r="J78" s="7" t="s">
        <v>771</v>
      </c>
      <c r="K78" s="7">
        <v>0</v>
      </c>
    </row>
    <row r="79" spans="1:11" x14ac:dyDescent="0.2">
      <c r="A79" s="8">
        <v>1994</v>
      </c>
      <c r="B79" s="1" t="s">
        <v>25</v>
      </c>
      <c r="C79" s="1">
        <v>16</v>
      </c>
      <c r="D79" s="6" t="s">
        <v>466</v>
      </c>
      <c r="E79" s="6">
        <v>5.46</v>
      </c>
      <c r="F79" s="7">
        <v>32000</v>
      </c>
      <c r="G79" s="7">
        <v>39.36</v>
      </c>
      <c r="H79" s="7">
        <v>80</v>
      </c>
      <c r="I79" s="7">
        <v>0</v>
      </c>
      <c r="J79" s="7" t="s">
        <v>771</v>
      </c>
      <c r="K79" s="7">
        <v>0</v>
      </c>
    </row>
    <row r="80" spans="1:11" x14ac:dyDescent="0.2">
      <c r="A80" s="8">
        <v>1994</v>
      </c>
      <c r="B80" s="1" t="s">
        <v>25</v>
      </c>
      <c r="C80" s="1">
        <v>17</v>
      </c>
      <c r="D80" s="6" t="s">
        <v>467</v>
      </c>
      <c r="E80" s="6">
        <v>5.43</v>
      </c>
      <c r="F80" s="7">
        <v>31500</v>
      </c>
      <c r="G80" s="7">
        <v>38.74</v>
      </c>
      <c r="H80" s="7">
        <v>0</v>
      </c>
      <c r="I80" s="7">
        <v>0</v>
      </c>
      <c r="J80" s="7" t="s">
        <v>775</v>
      </c>
      <c r="K80" s="7">
        <v>0</v>
      </c>
    </row>
    <row r="81" spans="1:11" x14ac:dyDescent="0.2">
      <c r="A81" s="8">
        <v>1994</v>
      </c>
      <c r="B81" s="1" t="s">
        <v>25</v>
      </c>
      <c r="C81" s="1">
        <v>18</v>
      </c>
      <c r="D81" s="6" t="s">
        <v>467</v>
      </c>
      <c r="E81" s="6">
        <v>5.43</v>
      </c>
      <c r="F81" s="7">
        <v>31500</v>
      </c>
      <c r="G81" s="7">
        <v>38.74</v>
      </c>
      <c r="H81" s="7">
        <v>120</v>
      </c>
      <c r="I81" s="7">
        <v>0</v>
      </c>
      <c r="J81" s="7" t="s">
        <v>770</v>
      </c>
      <c r="K81" s="7">
        <v>0</v>
      </c>
    </row>
    <row r="82" spans="1:11" x14ac:dyDescent="0.2">
      <c r="A82" s="8">
        <v>1994</v>
      </c>
      <c r="B82" s="1" t="s">
        <v>25</v>
      </c>
      <c r="C82" s="1">
        <v>19</v>
      </c>
      <c r="D82" s="6" t="s">
        <v>468</v>
      </c>
      <c r="E82" s="6">
        <v>5.41</v>
      </c>
      <c r="F82" s="7">
        <v>31000</v>
      </c>
      <c r="G82" s="7">
        <v>38.130000000000003</v>
      </c>
      <c r="H82" s="7">
        <v>0</v>
      </c>
      <c r="I82" s="7">
        <v>0</v>
      </c>
      <c r="J82" s="7" t="s">
        <v>736</v>
      </c>
      <c r="K82" s="7">
        <v>0</v>
      </c>
    </row>
    <row r="83" spans="1:11" x14ac:dyDescent="0.2">
      <c r="A83" s="8">
        <v>1994</v>
      </c>
      <c r="B83" s="1" t="s">
        <v>25</v>
      </c>
      <c r="C83" s="1">
        <v>20</v>
      </c>
      <c r="D83" s="6" t="s">
        <v>468</v>
      </c>
      <c r="E83" s="6">
        <v>5.41</v>
      </c>
      <c r="F83" s="6">
        <v>31000</v>
      </c>
      <c r="G83" s="7">
        <v>38.130000000000003</v>
      </c>
      <c r="H83" s="7">
        <v>0</v>
      </c>
      <c r="I83" s="7">
        <v>0</v>
      </c>
      <c r="J83" s="7" t="s">
        <v>736</v>
      </c>
      <c r="K83" s="7">
        <v>0</v>
      </c>
    </row>
    <row r="84" spans="1:11" x14ac:dyDescent="0.2">
      <c r="A84" s="8">
        <v>1994</v>
      </c>
      <c r="B84" s="1" t="s">
        <v>25</v>
      </c>
      <c r="C84" s="1">
        <v>21</v>
      </c>
      <c r="D84" s="6" t="s">
        <v>468</v>
      </c>
      <c r="E84" s="6">
        <v>5.41</v>
      </c>
      <c r="F84" s="6">
        <v>31000</v>
      </c>
      <c r="G84" s="7">
        <v>38.130000000000003</v>
      </c>
      <c r="H84" s="7">
        <v>0</v>
      </c>
      <c r="I84" s="7">
        <v>0</v>
      </c>
      <c r="J84" s="7" t="s">
        <v>736</v>
      </c>
      <c r="K84" s="7">
        <v>0</v>
      </c>
    </row>
    <row r="85" spans="1:11" x14ac:dyDescent="0.2">
      <c r="A85" s="8">
        <v>1994</v>
      </c>
      <c r="B85" s="1" t="s">
        <v>25</v>
      </c>
      <c r="C85" s="1">
        <v>22</v>
      </c>
      <c r="D85" s="6" t="s">
        <v>468</v>
      </c>
      <c r="E85" s="6">
        <v>5.41</v>
      </c>
      <c r="F85" s="6">
        <v>31000</v>
      </c>
      <c r="G85" s="7">
        <v>38.130000000000003</v>
      </c>
      <c r="H85" s="7">
        <v>0</v>
      </c>
      <c r="I85" s="7">
        <v>0</v>
      </c>
      <c r="J85" s="7" t="s">
        <v>736</v>
      </c>
      <c r="K85" s="7">
        <v>0</v>
      </c>
    </row>
    <row r="86" spans="1:11" x14ac:dyDescent="0.2">
      <c r="A86" s="8">
        <v>1994</v>
      </c>
      <c r="B86" s="1" t="s">
        <v>25</v>
      </c>
      <c r="C86" s="1">
        <v>23</v>
      </c>
      <c r="D86" s="6" t="s">
        <v>468</v>
      </c>
      <c r="E86" s="6">
        <v>5.41</v>
      </c>
      <c r="F86" s="6">
        <v>31000</v>
      </c>
      <c r="G86" s="7">
        <v>38.130000000000003</v>
      </c>
      <c r="H86" s="7">
        <v>0</v>
      </c>
      <c r="I86" s="7">
        <v>0</v>
      </c>
      <c r="J86" s="7" t="s">
        <v>736</v>
      </c>
      <c r="K86" s="7">
        <v>0</v>
      </c>
    </row>
    <row r="87" spans="1:11" x14ac:dyDescent="0.2">
      <c r="A87" s="8">
        <v>1994</v>
      </c>
      <c r="B87" s="1" t="s">
        <v>25</v>
      </c>
      <c r="C87" s="1">
        <v>24</v>
      </c>
      <c r="D87" s="6" t="s">
        <v>468</v>
      </c>
      <c r="E87" s="6">
        <v>5.41</v>
      </c>
      <c r="F87" s="6">
        <v>31000</v>
      </c>
      <c r="G87" s="7">
        <v>38.130000000000003</v>
      </c>
      <c r="H87" s="7">
        <v>0</v>
      </c>
      <c r="I87" s="7">
        <v>0</v>
      </c>
      <c r="J87" s="7" t="s">
        <v>736</v>
      </c>
      <c r="K87" s="7">
        <v>0</v>
      </c>
    </row>
    <row r="88" spans="1:11" x14ac:dyDescent="0.2">
      <c r="A88" s="8">
        <v>1994</v>
      </c>
      <c r="B88" s="1" t="s">
        <v>25</v>
      </c>
      <c r="C88" s="1">
        <v>25</v>
      </c>
      <c r="D88" s="6" t="s">
        <v>468</v>
      </c>
      <c r="E88" s="6">
        <v>5.41</v>
      </c>
      <c r="F88" s="6">
        <v>31000</v>
      </c>
      <c r="G88" s="7">
        <v>38.130000000000003</v>
      </c>
      <c r="H88" s="7">
        <v>0</v>
      </c>
      <c r="I88" s="7">
        <v>0</v>
      </c>
      <c r="J88" s="7" t="s">
        <v>736</v>
      </c>
      <c r="K88" s="7">
        <v>0</v>
      </c>
    </row>
    <row r="89" spans="1:11" x14ac:dyDescent="0.2">
      <c r="A89" s="8">
        <v>1994</v>
      </c>
      <c r="B89" s="1" t="s">
        <v>25</v>
      </c>
      <c r="C89" s="1">
        <v>26</v>
      </c>
      <c r="D89" s="6" t="s">
        <v>468</v>
      </c>
      <c r="E89" s="6">
        <v>5.41</v>
      </c>
      <c r="F89" s="6">
        <v>31000</v>
      </c>
      <c r="G89" s="7">
        <v>38.130000000000003</v>
      </c>
      <c r="H89" s="7">
        <v>0</v>
      </c>
      <c r="I89" s="7">
        <v>0</v>
      </c>
      <c r="J89" s="7" t="s">
        <v>736</v>
      </c>
      <c r="K89" s="7">
        <v>0</v>
      </c>
    </row>
    <row r="90" spans="1:11" x14ac:dyDescent="0.2">
      <c r="A90" s="8">
        <v>1994</v>
      </c>
      <c r="B90" s="1" t="s">
        <v>25</v>
      </c>
      <c r="C90" s="1">
        <v>27</v>
      </c>
      <c r="D90" s="6" t="s">
        <v>468</v>
      </c>
      <c r="E90" s="6">
        <v>5.41</v>
      </c>
      <c r="F90" s="6">
        <v>31000</v>
      </c>
      <c r="G90" s="7">
        <v>38.130000000000003</v>
      </c>
      <c r="H90" s="7">
        <v>0</v>
      </c>
      <c r="I90" s="7">
        <v>0</v>
      </c>
      <c r="J90" s="7" t="s">
        <v>736</v>
      </c>
      <c r="K90" s="7">
        <v>0</v>
      </c>
    </row>
    <row r="91" spans="1:11" x14ac:dyDescent="0.2">
      <c r="A91" s="8">
        <v>1994</v>
      </c>
      <c r="B91" s="1" t="s">
        <v>25</v>
      </c>
      <c r="C91" s="1">
        <v>28</v>
      </c>
      <c r="D91" s="6" t="s">
        <v>468</v>
      </c>
      <c r="E91" s="6">
        <v>5.41</v>
      </c>
      <c r="F91" s="6" t="s">
        <v>778</v>
      </c>
      <c r="G91" s="7">
        <v>38.130000000000003</v>
      </c>
      <c r="H91" s="7">
        <v>0</v>
      </c>
      <c r="I91" s="7">
        <v>0</v>
      </c>
      <c r="J91" s="7" t="s">
        <v>736</v>
      </c>
      <c r="K91" s="7">
        <v>0</v>
      </c>
    </row>
    <row r="92" spans="1:11" x14ac:dyDescent="0.2">
      <c r="A92" s="8">
        <v>1994</v>
      </c>
      <c r="B92" s="1" t="s">
        <v>25</v>
      </c>
      <c r="C92" s="1">
        <v>29</v>
      </c>
      <c r="D92" s="6" t="s">
        <v>469</v>
      </c>
      <c r="E92" s="6">
        <v>5.38</v>
      </c>
      <c r="F92" s="6" t="s">
        <v>779</v>
      </c>
      <c r="G92" s="7">
        <v>37.82</v>
      </c>
      <c r="H92" s="7">
        <v>130</v>
      </c>
      <c r="I92" s="7">
        <v>0</v>
      </c>
      <c r="J92" s="7" t="s">
        <v>771</v>
      </c>
      <c r="K92" s="7">
        <v>0</v>
      </c>
    </row>
    <row r="93" spans="1:11" x14ac:dyDescent="0.2">
      <c r="A93" s="8">
        <v>1994</v>
      </c>
      <c r="B93" s="1" t="s">
        <v>25</v>
      </c>
      <c r="C93" s="1">
        <v>30</v>
      </c>
      <c r="D93" s="6" t="s">
        <v>442</v>
      </c>
      <c r="E93" s="6">
        <v>5.35</v>
      </c>
      <c r="F93" s="6" t="s">
        <v>780</v>
      </c>
      <c r="G93" s="7">
        <v>37.51</v>
      </c>
      <c r="H93" s="7">
        <v>130</v>
      </c>
      <c r="I93" s="7">
        <v>0</v>
      </c>
      <c r="J93" s="7" t="s">
        <v>771</v>
      </c>
      <c r="K93" s="7">
        <v>0</v>
      </c>
    </row>
    <row r="94" spans="1:11" x14ac:dyDescent="0.2">
      <c r="A94" s="8">
        <v>1994</v>
      </c>
      <c r="B94" s="1" t="s">
        <v>25</v>
      </c>
      <c r="C94" s="1">
        <v>31</v>
      </c>
      <c r="D94" s="6" t="s">
        <v>471</v>
      </c>
      <c r="E94" s="6">
        <v>5.33</v>
      </c>
      <c r="F94" s="6" t="s">
        <v>781</v>
      </c>
      <c r="G94" s="7">
        <v>37.26</v>
      </c>
      <c r="H94" s="7">
        <v>130</v>
      </c>
      <c r="I94" s="7">
        <v>0</v>
      </c>
      <c r="J94" s="7" t="s">
        <v>775</v>
      </c>
      <c r="K94" s="7">
        <v>0</v>
      </c>
    </row>
    <row r="95" spans="1:11" x14ac:dyDescent="0.2">
      <c r="A95" s="8">
        <v>1994</v>
      </c>
      <c r="B95" s="1" t="s">
        <v>26</v>
      </c>
      <c r="C95" s="1">
        <v>1</v>
      </c>
      <c r="D95" s="6" t="s">
        <v>470</v>
      </c>
      <c r="E95" s="6">
        <v>5.3</v>
      </c>
      <c r="F95" s="6">
        <v>30200</v>
      </c>
      <c r="G95" s="7">
        <v>37.14</v>
      </c>
      <c r="H95" s="7">
        <v>0</v>
      </c>
      <c r="I95" s="7">
        <v>0</v>
      </c>
      <c r="J95" s="7" t="s">
        <v>736</v>
      </c>
      <c r="K95" s="7">
        <v>0</v>
      </c>
    </row>
    <row r="96" spans="1:11" x14ac:dyDescent="0.2">
      <c r="A96" s="8">
        <v>1994</v>
      </c>
      <c r="B96" s="1" t="s">
        <v>26</v>
      </c>
      <c r="C96" s="1">
        <v>2</v>
      </c>
      <c r="D96" s="6" t="s">
        <v>470</v>
      </c>
      <c r="E96" s="6">
        <v>5.3</v>
      </c>
      <c r="F96" s="6">
        <v>30200</v>
      </c>
      <c r="G96" s="7">
        <v>37.14</v>
      </c>
      <c r="H96" s="7">
        <v>0</v>
      </c>
      <c r="I96" s="7">
        <v>0</v>
      </c>
      <c r="J96" s="7" t="s">
        <v>736</v>
      </c>
      <c r="K96" s="7">
        <v>0</v>
      </c>
    </row>
    <row r="97" spans="1:11" x14ac:dyDescent="0.2">
      <c r="A97" s="8">
        <v>1994</v>
      </c>
      <c r="B97" s="1" t="s">
        <v>26</v>
      </c>
      <c r="C97" s="1">
        <v>3</v>
      </c>
      <c r="D97" s="6" t="s">
        <v>470</v>
      </c>
      <c r="E97" s="6">
        <v>5.3</v>
      </c>
      <c r="F97" s="6">
        <v>30200</v>
      </c>
      <c r="G97" s="7">
        <v>37.14</v>
      </c>
      <c r="H97" s="7">
        <v>0</v>
      </c>
      <c r="I97" s="7">
        <v>0</v>
      </c>
      <c r="J97" s="7" t="s">
        <v>736</v>
      </c>
      <c r="K97" s="7">
        <v>0</v>
      </c>
    </row>
    <row r="98" spans="1:11" x14ac:dyDescent="0.2">
      <c r="A98" s="8">
        <v>1994</v>
      </c>
      <c r="B98" s="1" t="s">
        <v>26</v>
      </c>
      <c r="C98" s="1">
        <v>4</v>
      </c>
      <c r="D98" s="6" t="s">
        <v>470</v>
      </c>
      <c r="E98" s="6">
        <v>5.3</v>
      </c>
      <c r="F98" s="6">
        <v>30200</v>
      </c>
      <c r="G98" s="7">
        <v>37.14</v>
      </c>
      <c r="H98" s="7">
        <v>0</v>
      </c>
      <c r="I98" s="7">
        <v>0</v>
      </c>
      <c r="J98" s="7" t="s">
        <v>736</v>
      </c>
      <c r="K98" s="7">
        <v>0</v>
      </c>
    </row>
    <row r="99" spans="1:11" x14ac:dyDescent="0.2">
      <c r="A99" s="8">
        <v>1994</v>
      </c>
      <c r="B99" s="1" t="s">
        <v>26</v>
      </c>
      <c r="C99" s="1">
        <v>5</v>
      </c>
      <c r="D99" s="6" t="s">
        <v>470</v>
      </c>
      <c r="E99" s="6">
        <v>5.3</v>
      </c>
      <c r="F99" s="6">
        <v>30200</v>
      </c>
      <c r="G99" s="7">
        <v>37.14</v>
      </c>
      <c r="H99" s="7">
        <v>0</v>
      </c>
      <c r="I99" s="7">
        <v>0</v>
      </c>
      <c r="J99" s="7" t="s">
        <v>736</v>
      </c>
      <c r="K99" s="7">
        <v>0</v>
      </c>
    </row>
    <row r="100" spans="1:11" x14ac:dyDescent="0.2">
      <c r="A100" s="8">
        <v>1994</v>
      </c>
      <c r="B100" s="1" t="s">
        <v>26</v>
      </c>
      <c r="C100" s="1">
        <v>6</v>
      </c>
      <c r="D100" s="6" t="s">
        <v>470</v>
      </c>
      <c r="E100" s="6">
        <v>5.3</v>
      </c>
      <c r="F100" s="6" t="s">
        <v>782</v>
      </c>
      <c r="G100" s="7">
        <v>37.14</v>
      </c>
      <c r="H100" s="7">
        <v>0</v>
      </c>
      <c r="I100" s="7">
        <v>0</v>
      </c>
      <c r="J100" s="7" t="s">
        <v>736</v>
      </c>
      <c r="K100" s="7">
        <v>0</v>
      </c>
    </row>
    <row r="101" spans="1:11" x14ac:dyDescent="0.2">
      <c r="A101" s="8">
        <v>1994</v>
      </c>
      <c r="B101" s="1" t="s">
        <v>26</v>
      </c>
      <c r="C101" s="1">
        <v>7</v>
      </c>
      <c r="D101" s="6" t="s">
        <v>470</v>
      </c>
      <c r="E101" s="6">
        <v>5.3</v>
      </c>
      <c r="F101" s="6" t="s">
        <v>470</v>
      </c>
      <c r="G101" s="7">
        <v>37.14</v>
      </c>
      <c r="H101" s="7">
        <v>0</v>
      </c>
      <c r="I101" s="7">
        <v>0</v>
      </c>
      <c r="J101" s="7" t="s">
        <v>736</v>
      </c>
      <c r="K101" s="7">
        <v>0</v>
      </c>
    </row>
    <row r="102" spans="1:11" x14ac:dyDescent="0.2">
      <c r="A102" s="8">
        <v>1994</v>
      </c>
      <c r="B102" s="1" t="s">
        <v>26</v>
      </c>
      <c r="C102" s="1">
        <v>8</v>
      </c>
      <c r="D102" s="6" t="s">
        <v>470</v>
      </c>
      <c r="E102" s="6">
        <v>5.3</v>
      </c>
      <c r="F102" s="6" t="s">
        <v>470</v>
      </c>
      <c r="G102" s="7">
        <v>37.14</v>
      </c>
      <c r="H102" s="7">
        <v>0</v>
      </c>
      <c r="I102" s="7">
        <v>0</v>
      </c>
      <c r="J102" s="7" t="s">
        <v>736</v>
      </c>
      <c r="K102" s="7">
        <v>0</v>
      </c>
    </row>
    <row r="103" spans="1:11" x14ac:dyDescent="0.2">
      <c r="A103" s="8">
        <v>1994</v>
      </c>
      <c r="B103" s="1" t="s">
        <v>26</v>
      </c>
      <c r="C103" s="1">
        <v>9</v>
      </c>
      <c r="D103" s="6" t="s">
        <v>470</v>
      </c>
      <c r="E103" s="6">
        <v>5.3</v>
      </c>
      <c r="F103" s="6" t="s">
        <v>470</v>
      </c>
      <c r="G103" s="7">
        <v>37.14</v>
      </c>
      <c r="H103" s="7">
        <v>0</v>
      </c>
      <c r="I103" s="7">
        <v>0</v>
      </c>
      <c r="J103" s="7" t="s">
        <v>736</v>
      </c>
      <c r="K103" s="7">
        <v>0</v>
      </c>
    </row>
    <row r="104" spans="1:11" x14ac:dyDescent="0.2">
      <c r="A104" s="8">
        <v>1994</v>
      </c>
      <c r="B104" s="1" t="s">
        <v>26</v>
      </c>
      <c r="C104" s="1">
        <v>10</v>
      </c>
      <c r="D104" s="6" t="s">
        <v>470</v>
      </c>
      <c r="E104" s="6">
        <v>5.3</v>
      </c>
      <c r="F104" s="6" t="s">
        <v>470</v>
      </c>
      <c r="G104" s="7">
        <v>37.14</v>
      </c>
      <c r="H104" s="7">
        <v>0</v>
      </c>
      <c r="I104" s="7">
        <v>0</v>
      </c>
      <c r="J104" s="7" t="s">
        <v>736</v>
      </c>
      <c r="K104" s="7">
        <v>0</v>
      </c>
    </row>
    <row r="105" spans="1:11" x14ac:dyDescent="0.2">
      <c r="A105" s="8">
        <v>1994</v>
      </c>
      <c r="B105" s="1" t="s">
        <v>26</v>
      </c>
      <c r="C105" s="1">
        <v>11</v>
      </c>
      <c r="D105" s="6" t="s">
        <v>471</v>
      </c>
      <c r="E105" s="6">
        <v>5.33</v>
      </c>
      <c r="F105" s="6">
        <v>30300</v>
      </c>
      <c r="G105" s="7">
        <v>37.26</v>
      </c>
      <c r="H105" s="7">
        <v>0</v>
      </c>
      <c r="I105" s="7">
        <v>0</v>
      </c>
      <c r="J105" s="7" t="s">
        <v>736</v>
      </c>
      <c r="K105" s="7">
        <v>0</v>
      </c>
    </row>
    <row r="106" spans="1:11" x14ac:dyDescent="0.2">
      <c r="A106" s="8">
        <v>1994</v>
      </c>
      <c r="B106" s="1" t="s">
        <v>26</v>
      </c>
      <c r="C106" s="1">
        <v>12</v>
      </c>
      <c r="D106" s="6" t="s">
        <v>471</v>
      </c>
      <c r="E106" s="6">
        <v>5.33</v>
      </c>
      <c r="F106" s="6">
        <v>30300</v>
      </c>
      <c r="G106" s="7">
        <v>37.26</v>
      </c>
      <c r="H106" s="7">
        <v>0</v>
      </c>
      <c r="I106" s="7">
        <v>0</v>
      </c>
      <c r="J106" s="7" t="s">
        <v>736</v>
      </c>
      <c r="K106" s="7">
        <v>0</v>
      </c>
    </row>
    <row r="107" spans="1:11" x14ac:dyDescent="0.2">
      <c r="A107" s="8">
        <v>1994</v>
      </c>
      <c r="B107" s="1" t="s">
        <v>26</v>
      </c>
      <c r="C107" s="1">
        <v>13</v>
      </c>
      <c r="D107" s="6" t="s">
        <v>471</v>
      </c>
      <c r="E107" s="6">
        <v>5.33</v>
      </c>
      <c r="F107" s="6">
        <v>30300</v>
      </c>
      <c r="G107" s="7">
        <v>37.26</v>
      </c>
      <c r="H107" s="7">
        <v>0</v>
      </c>
      <c r="I107" s="7">
        <v>0</v>
      </c>
      <c r="J107" s="7" t="s">
        <v>736</v>
      </c>
      <c r="K107" s="7">
        <v>0</v>
      </c>
    </row>
    <row r="108" spans="1:11" x14ac:dyDescent="0.2">
      <c r="A108" s="8">
        <v>1994</v>
      </c>
      <c r="B108" s="1" t="s">
        <v>26</v>
      </c>
      <c r="C108" s="1">
        <v>14</v>
      </c>
      <c r="D108" s="6" t="s">
        <v>471</v>
      </c>
      <c r="E108" s="6">
        <v>5.33</v>
      </c>
      <c r="F108" s="6">
        <v>30300</v>
      </c>
      <c r="G108" s="7">
        <v>37.26</v>
      </c>
      <c r="H108" s="7">
        <v>0</v>
      </c>
      <c r="I108" s="7">
        <v>0</v>
      </c>
      <c r="J108" s="7" t="s">
        <v>736</v>
      </c>
      <c r="K108" s="7">
        <v>0</v>
      </c>
    </row>
    <row r="109" spans="1:11" x14ac:dyDescent="0.2">
      <c r="A109" s="8">
        <v>1994</v>
      </c>
      <c r="B109" s="1" t="s">
        <v>26</v>
      </c>
      <c r="C109" s="1">
        <v>15</v>
      </c>
      <c r="D109" s="6" t="s">
        <v>471</v>
      </c>
      <c r="E109" s="6">
        <v>5.33</v>
      </c>
      <c r="F109" s="6">
        <v>30300</v>
      </c>
      <c r="G109" s="7">
        <v>37.26</v>
      </c>
      <c r="H109" s="7">
        <v>0</v>
      </c>
      <c r="I109" s="7">
        <v>0</v>
      </c>
      <c r="J109" s="7" t="s">
        <v>736</v>
      </c>
      <c r="K109" s="7">
        <v>0</v>
      </c>
    </row>
    <row r="110" spans="1:11" x14ac:dyDescent="0.2">
      <c r="A110" s="8">
        <v>1994</v>
      </c>
      <c r="B110" s="1" t="s">
        <v>26</v>
      </c>
      <c r="C110" s="1">
        <v>16</v>
      </c>
      <c r="D110" s="6" t="s">
        <v>471</v>
      </c>
      <c r="E110" s="6">
        <v>5.33</v>
      </c>
      <c r="F110" s="6">
        <v>30300</v>
      </c>
      <c r="G110" s="7">
        <v>37.26</v>
      </c>
      <c r="H110" s="7">
        <v>0</v>
      </c>
      <c r="I110" s="7">
        <v>0</v>
      </c>
      <c r="J110" s="7" t="s">
        <v>736</v>
      </c>
      <c r="K110" s="7">
        <v>0</v>
      </c>
    </row>
    <row r="111" spans="1:11" x14ac:dyDescent="0.2">
      <c r="A111" s="8">
        <v>1994</v>
      </c>
      <c r="B111" s="1" t="s">
        <v>26</v>
      </c>
      <c r="C111" s="1">
        <v>17</v>
      </c>
      <c r="D111" s="6" t="s">
        <v>471</v>
      </c>
      <c r="E111" s="6">
        <v>5.33</v>
      </c>
      <c r="F111" s="6">
        <v>30300</v>
      </c>
      <c r="G111" s="7">
        <v>37.26</v>
      </c>
      <c r="H111" s="7">
        <v>0</v>
      </c>
      <c r="I111" s="7">
        <v>0</v>
      </c>
      <c r="J111" s="7" t="s">
        <v>736</v>
      </c>
      <c r="K111" s="7">
        <v>0</v>
      </c>
    </row>
    <row r="112" spans="1:11" x14ac:dyDescent="0.2">
      <c r="A112" s="8">
        <v>1994</v>
      </c>
      <c r="B112" s="1" t="s">
        <v>26</v>
      </c>
      <c r="C112" s="1">
        <v>18</v>
      </c>
      <c r="D112" s="6" t="s">
        <v>471</v>
      </c>
      <c r="E112" s="6">
        <v>5.33</v>
      </c>
      <c r="F112" s="6">
        <v>30300</v>
      </c>
      <c r="G112" s="7">
        <v>37.26</v>
      </c>
      <c r="H112" s="7">
        <v>0</v>
      </c>
      <c r="I112" s="7">
        <v>0</v>
      </c>
      <c r="J112" s="7" t="s">
        <v>736</v>
      </c>
      <c r="K112" s="7">
        <v>0</v>
      </c>
    </row>
    <row r="113" spans="1:11" x14ac:dyDescent="0.2">
      <c r="A113" s="8">
        <v>1994</v>
      </c>
      <c r="B113" s="1" t="s">
        <v>26</v>
      </c>
      <c r="C113" s="1">
        <v>19</v>
      </c>
      <c r="D113" s="6" t="s">
        <v>471</v>
      </c>
      <c r="E113" s="6">
        <v>5.33</v>
      </c>
      <c r="F113" s="6">
        <v>30300</v>
      </c>
      <c r="G113" s="7">
        <v>37.26</v>
      </c>
      <c r="H113" s="7">
        <v>0</v>
      </c>
      <c r="I113" s="7">
        <v>0</v>
      </c>
      <c r="J113" s="7" t="s">
        <v>736</v>
      </c>
      <c r="K113" s="7">
        <v>0</v>
      </c>
    </row>
    <row r="114" spans="1:11" x14ac:dyDescent="0.2">
      <c r="A114" s="8">
        <v>1994</v>
      </c>
      <c r="B114" s="1" t="s">
        <v>26</v>
      </c>
      <c r="C114" s="1">
        <v>20</v>
      </c>
      <c r="D114" s="6" t="s">
        <v>471</v>
      </c>
      <c r="E114" s="6">
        <v>5.33</v>
      </c>
      <c r="F114" s="6">
        <v>30300</v>
      </c>
      <c r="G114" s="7">
        <v>37.26</v>
      </c>
      <c r="H114" s="7">
        <v>50</v>
      </c>
      <c r="I114" s="7">
        <v>0</v>
      </c>
      <c r="J114" s="7" t="s">
        <v>783</v>
      </c>
      <c r="K114" s="7">
        <v>0</v>
      </c>
    </row>
    <row r="115" spans="1:11" x14ac:dyDescent="0.2">
      <c r="A115" s="8">
        <v>1994</v>
      </c>
      <c r="B115" s="1" t="s">
        <v>26</v>
      </c>
      <c r="C115" s="1">
        <v>21</v>
      </c>
      <c r="D115" s="6" t="s">
        <v>470</v>
      </c>
      <c r="E115" s="6">
        <v>5.3</v>
      </c>
      <c r="F115" s="6">
        <v>30300</v>
      </c>
      <c r="G115" s="7">
        <v>37.26</v>
      </c>
      <c r="H115" s="7">
        <v>0</v>
      </c>
      <c r="I115" s="7">
        <v>0</v>
      </c>
      <c r="J115" s="7" t="s">
        <v>736</v>
      </c>
      <c r="K115" s="7">
        <v>0</v>
      </c>
    </row>
    <row r="116" spans="1:11" x14ac:dyDescent="0.2">
      <c r="A116" s="8">
        <v>1994</v>
      </c>
      <c r="B116" s="1" t="s">
        <v>26</v>
      </c>
      <c r="C116" s="1">
        <v>22</v>
      </c>
      <c r="D116" s="6" t="s">
        <v>472</v>
      </c>
      <c r="E116" s="6">
        <v>5.28</v>
      </c>
      <c r="F116" s="7" t="s">
        <v>784</v>
      </c>
      <c r="G116" s="7">
        <v>36.9</v>
      </c>
      <c r="H116" s="7">
        <v>0</v>
      </c>
      <c r="I116" s="7">
        <v>0</v>
      </c>
      <c r="J116" s="7" t="s">
        <v>736</v>
      </c>
      <c r="K116" s="7">
        <v>0</v>
      </c>
    </row>
    <row r="117" spans="1:11" x14ac:dyDescent="0.2">
      <c r="A117" s="8">
        <v>1994</v>
      </c>
      <c r="B117" s="1" t="s">
        <v>26</v>
      </c>
      <c r="C117" s="1">
        <v>23</v>
      </c>
      <c r="D117" s="6" t="s">
        <v>472</v>
      </c>
      <c r="E117" s="6">
        <v>5.28</v>
      </c>
      <c r="F117" s="7">
        <v>30000</v>
      </c>
      <c r="G117" s="7">
        <v>36.9</v>
      </c>
      <c r="H117" s="7">
        <v>160</v>
      </c>
      <c r="I117" s="7">
        <v>0</v>
      </c>
      <c r="J117" s="7" t="s">
        <v>771</v>
      </c>
      <c r="K117" s="7">
        <v>0</v>
      </c>
    </row>
    <row r="118" spans="1:11" x14ac:dyDescent="0.2">
      <c r="A118" s="8">
        <v>1994</v>
      </c>
      <c r="B118" s="1" t="s">
        <v>26</v>
      </c>
      <c r="C118" s="1">
        <v>24</v>
      </c>
      <c r="D118" s="6" t="s">
        <v>473</v>
      </c>
      <c r="E118" s="6">
        <v>5.25</v>
      </c>
      <c r="F118" s="6">
        <v>28850</v>
      </c>
      <c r="G118" s="7">
        <v>35.479999999999997</v>
      </c>
      <c r="H118" s="7">
        <v>60</v>
      </c>
      <c r="I118" s="7">
        <v>0</v>
      </c>
      <c r="J118" s="7" t="s">
        <v>771</v>
      </c>
      <c r="K118" s="7">
        <v>0</v>
      </c>
    </row>
    <row r="119" spans="1:11" x14ac:dyDescent="0.2">
      <c r="A119" s="8">
        <v>1994</v>
      </c>
      <c r="B119" s="1" t="s">
        <v>26</v>
      </c>
      <c r="C119" s="1">
        <v>25</v>
      </c>
      <c r="D119" s="6" t="s">
        <v>473</v>
      </c>
      <c r="E119" s="6">
        <v>5.25</v>
      </c>
      <c r="F119" s="6">
        <v>28850</v>
      </c>
      <c r="G119" s="7">
        <v>35.479999999999997</v>
      </c>
      <c r="H119" s="7">
        <v>120</v>
      </c>
      <c r="I119" s="7">
        <v>0</v>
      </c>
      <c r="J119" s="7" t="s">
        <v>771</v>
      </c>
      <c r="K119" s="7">
        <v>0</v>
      </c>
    </row>
    <row r="120" spans="1:11" x14ac:dyDescent="0.2">
      <c r="A120" s="8">
        <v>1994</v>
      </c>
      <c r="B120" s="1" t="s">
        <v>26</v>
      </c>
      <c r="C120" s="1">
        <v>26</v>
      </c>
      <c r="D120" s="6" t="s">
        <v>441</v>
      </c>
      <c r="E120" s="6">
        <v>5.23</v>
      </c>
      <c r="F120" s="6">
        <v>28750</v>
      </c>
      <c r="G120" s="7">
        <v>35.36</v>
      </c>
      <c r="H120" s="7">
        <v>160</v>
      </c>
      <c r="I120" s="7">
        <v>0</v>
      </c>
      <c r="J120" s="7" t="s">
        <v>765</v>
      </c>
      <c r="K120" s="7">
        <v>0</v>
      </c>
    </row>
    <row r="121" spans="1:11" x14ac:dyDescent="0.2">
      <c r="A121" s="8">
        <v>1994</v>
      </c>
      <c r="B121" s="1" t="s">
        <v>26</v>
      </c>
      <c r="C121" s="1">
        <v>27</v>
      </c>
      <c r="D121" s="6" t="s">
        <v>474</v>
      </c>
      <c r="E121" s="6" t="s">
        <v>785</v>
      </c>
      <c r="F121" s="6">
        <v>28600</v>
      </c>
      <c r="G121" s="7">
        <v>35.17</v>
      </c>
      <c r="H121" s="7">
        <v>160</v>
      </c>
      <c r="I121" s="7">
        <v>0</v>
      </c>
      <c r="J121" s="7" t="s">
        <v>765</v>
      </c>
      <c r="K121" s="7">
        <v>0</v>
      </c>
    </row>
    <row r="122" spans="1:11" x14ac:dyDescent="0.2">
      <c r="A122" s="8">
        <v>1994</v>
      </c>
      <c r="B122" s="1" t="s">
        <v>26</v>
      </c>
      <c r="C122" s="1">
        <v>28</v>
      </c>
      <c r="D122" s="6" t="s">
        <v>474</v>
      </c>
      <c r="E122" s="6">
        <v>5.2</v>
      </c>
      <c r="F122" s="6">
        <v>28600</v>
      </c>
      <c r="G122" s="7">
        <v>35.17</v>
      </c>
      <c r="H122" s="7">
        <v>160</v>
      </c>
      <c r="I122" s="7">
        <v>0</v>
      </c>
      <c r="J122" s="7" t="s">
        <v>775</v>
      </c>
      <c r="K122" s="7">
        <v>0</v>
      </c>
    </row>
    <row r="123" spans="1:11" x14ac:dyDescent="0.2">
      <c r="A123" s="8">
        <v>1994</v>
      </c>
      <c r="B123" s="1" t="s">
        <v>26</v>
      </c>
      <c r="C123" s="1">
        <v>29</v>
      </c>
      <c r="D123" s="6" t="s">
        <v>475</v>
      </c>
      <c r="E123" s="6">
        <v>5.18</v>
      </c>
      <c r="F123" s="6">
        <v>28500</v>
      </c>
      <c r="G123" s="7">
        <v>35.049999999999997</v>
      </c>
      <c r="H123" s="7">
        <v>160</v>
      </c>
      <c r="I123" s="7">
        <v>0</v>
      </c>
      <c r="J123" s="7" t="s">
        <v>775</v>
      </c>
      <c r="K123" s="7">
        <v>0</v>
      </c>
    </row>
    <row r="124" spans="1:11" x14ac:dyDescent="0.2">
      <c r="A124" s="8">
        <v>1994</v>
      </c>
      <c r="B124" s="1" t="s">
        <v>26</v>
      </c>
      <c r="C124" s="1">
        <v>30</v>
      </c>
      <c r="D124" s="6" t="s">
        <v>476</v>
      </c>
      <c r="E124" s="6">
        <v>5.15</v>
      </c>
      <c r="F124" s="6">
        <v>28400</v>
      </c>
      <c r="G124" s="7">
        <v>34.93</v>
      </c>
      <c r="H124" s="7">
        <v>160</v>
      </c>
      <c r="I124" s="7">
        <v>0</v>
      </c>
      <c r="J124" s="7" t="s">
        <v>771</v>
      </c>
      <c r="K124" s="7">
        <v>0</v>
      </c>
    </row>
    <row r="125" spans="1:11" x14ac:dyDescent="0.2">
      <c r="A125" s="8">
        <v>1994</v>
      </c>
      <c r="B125" s="1" t="s">
        <v>27</v>
      </c>
      <c r="C125" s="1">
        <v>1</v>
      </c>
      <c r="D125" s="6" t="s">
        <v>440</v>
      </c>
      <c r="E125" s="6">
        <v>5.12</v>
      </c>
      <c r="F125" s="7">
        <v>28200</v>
      </c>
      <c r="G125" s="7">
        <v>34.68</v>
      </c>
      <c r="H125" s="7" t="s">
        <v>786</v>
      </c>
      <c r="I125" s="7">
        <v>0</v>
      </c>
      <c r="J125" s="7" t="s">
        <v>771</v>
      </c>
      <c r="K125" s="7">
        <v>0</v>
      </c>
    </row>
    <row r="126" spans="1:11" x14ac:dyDescent="0.2">
      <c r="A126" s="8">
        <v>1994</v>
      </c>
      <c r="B126" s="1" t="s">
        <v>27</v>
      </c>
      <c r="C126" s="1">
        <v>2</v>
      </c>
      <c r="D126" s="6" t="s">
        <v>477</v>
      </c>
      <c r="E126" s="6">
        <v>5.0999999999999996</v>
      </c>
      <c r="F126" s="7">
        <v>28000</v>
      </c>
      <c r="G126" s="7">
        <v>34.44</v>
      </c>
      <c r="H126" s="7" t="s">
        <v>787</v>
      </c>
      <c r="I126" s="7">
        <v>0</v>
      </c>
      <c r="J126" s="7" t="s">
        <v>768</v>
      </c>
      <c r="K126" s="7">
        <v>0</v>
      </c>
    </row>
    <row r="127" spans="1:11" x14ac:dyDescent="0.2">
      <c r="A127" s="8">
        <v>1994</v>
      </c>
      <c r="B127" s="1" t="s">
        <v>27</v>
      </c>
      <c r="C127" s="1">
        <v>3</v>
      </c>
      <c r="D127" s="6" t="s">
        <v>478</v>
      </c>
      <c r="E127" s="6">
        <v>5.07</v>
      </c>
      <c r="F127" s="7">
        <v>27750</v>
      </c>
      <c r="G127" s="7">
        <v>34.130000000000003</v>
      </c>
      <c r="H127" s="7" t="s">
        <v>787</v>
      </c>
      <c r="I127" s="7">
        <v>0</v>
      </c>
      <c r="J127" s="7" t="s">
        <v>768</v>
      </c>
      <c r="K127" s="7">
        <v>0</v>
      </c>
    </row>
    <row r="128" spans="1:11" x14ac:dyDescent="0.2">
      <c r="A128" s="8">
        <v>1994</v>
      </c>
      <c r="B128" s="1" t="s">
        <v>27</v>
      </c>
      <c r="C128" s="1">
        <v>4</v>
      </c>
      <c r="D128" s="6" t="s">
        <v>479</v>
      </c>
      <c r="E128" s="6">
        <v>5.04</v>
      </c>
      <c r="F128" s="7" t="s">
        <v>793</v>
      </c>
      <c r="G128" s="7">
        <v>33.51</v>
      </c>
      <c r="H128" s="7" t="s">
        <v>788</v>
      </c>
      <c r="I128" s="7">
        <v>0</v>
      </c>
      <c r="J128" s="7" t="s">
        <v>768</v>
      </c>
      <c r="K128" s="7">
        <v>0</v>
      </c>
    </row>
    <row r="129" spans="1:11" x14ac:dyDescent="0.2">
      <c r="A129" s="8">
        <v>1994</v>
      </c>
      <c r="B129" s="1" t="s">
        <v>27</v>
      </c>
      <c r="C129" s="1">
        <v>5</v>
      </c>
      <c r="D129" s="6" t="s">
        <v>480</v>
      </c>
      <c r="E129" s="6">
        <v>5</v>
      </c>
      <c r="F129" s="7">
        <v>26750</v>
      </c>
      <c r="G129" s="7" t="s">
        <v>794</v>
      </c>
      <c r="H129" s="7" t="s">
        <v>789</v>
      </c>
      <c r="I129" s="7">
        <v>0</v>
      </c>
      <c r="J129" s="7" t="s">
        <v>768</v>
      </c>
      <c r="K129" s="7">
        <v>0</v>
      </c>
    </row>
    <row r="130" spans="1:11" x14ac:dyDescent="0.2">
      <c r="A130" s="8">
        <v>1994</v>
      </c>
      <c r="B130" s="1" t="s">
        <v>27</v>
      </c>
      <c r="C130" s="1">
        <v>6</v>
      </c>
      <c r="D130" s="6" t="s">
        <v>721</v>
      </c>
      <c r="E130" s="6">
        <v>4.95</v>
      </c>
      <c r="F130" s="6" t="s">
        <v>795</v>
      </c>
      <c r="G130" s="7" t="s">
        <v>796</v>
      </c>
      <c r="H130" s="7" t="s">
        <v>736</v>
      </c>
      <c r="I130" s="7">
        <v>0</v>
      </c>
      <c r="J130" s="7" t="s">
        <v>736</v>
      </c>
      <c r="K130" s="7">
        <v>0</v>
      </c>
    </row>
    <row r="131" spans="1:11" x14ac:dyDescent="0.2">
      <c r="A131" s="8">
        <v>1994</v>
      </c>
      <c r="B131" s="1" t="s">
        <v>27</v>
      </c>
      <c r="C131" s="1">
        <v>7</v>
      </c>
      <c r="D131" s="6" t="s">
        <v>481</v>
      </c>
      <c r="E131" s="6">
        <v>4.91</v>
      </c>
      <c r="F131" s="7">
        <v>25775</v>
      </c>
      <c r="G131" s="7" t="s">
        <v>797</v>
      </c>
      <c r="H131" s="7" t="s">
        <v>790</v>
      </c>
      <c r="I131" s="7">
        <v>0</v>
      </c>
      <c r="J131" s="7" t="s">
        <v>771</v>
      </c>
      <c r="K131" s="7">
        <v>0</v>
      </c>
    </row>
    <row r="132" spans="1:11" x14ac:dyDescent="0.2">
      <c r="A132" s="8">
        <v>1994</v>
      </c>
      <c r="B132" s="1" t="s">
        <v>27</v>
      </c>
      <c r="C132" s="1">
        <v>8</v>
      </c>
      <c r="D132" s="6" t="s">
        <v>482</v>
      </c>
      <c r="E132" s="6">
        <v>4.87</v>
      </c>
      <c r="F132" s="7">
        <v>25500</v>
      </c>
      <c r="G132" s="7" t="s">
        <v>798</v>
      </c>
      <c r="H132" s="7" t="s">
        <v>790</v>
      </c>
      <c r="I132" s="7">
        <v>0</v>
      </c>
      <c r="J132" s="7" t="s">
        <v>771</v>
      </c>
      <c r="K132" s="7">
        <v>0</v>
      </c>
    </row>
    <row r="133" spans="1:11" x14ac:dyDescent="0.2">
      <c r="A133" s="8">
        <v>1994</v>
      </c>
      <c r="B133" s="1" t="s">
        <v>27</v>
      </c>
      <c r="C133" s="1">
        <v>9</v>
      </c>
      <c r="D133" s="6" t="s">
        <v>483</v>
      </c>
      <c r="E133" s="6">
        <v>4.83</v>
      </c>
      <c r="F133" s="7">
        <v>25300</v>
      </c>
      <c r="G133" s="7" t="s">
        <v>799</v>
      </c>
      <c r="H133" s="7" t="s">
        <v>790</v>
      </c>
      <c r="I133" s="7">
        <v>0</v>
      </c>
      <c r="J133" s="7" t="s">
        <v>771</v>
      </c>
      <c r="K133" s="7">
        <v>0</v>
      </c>
    </row>
    <row r="134" spans="1:11" x14ac:dyDescent="0.2">
      <c r="A134" s="8">
        <v>1994</v>
      </c>
      <c r="B134" s="1" t="s">
        <v>27</v>
      </c>
      <c r="C134" s="1">
        <v>10</v>
      </c>
      <c r="D134" s="6" t="s">
        <v>484</v>
      </c>
      <c r="E134" s="6" t="s">
        <v>800</v>
      </c>
      <c r="F134" s="7">
        <v>25000</v>
      </c>
      <c r="G134" s="7" t="s">
        <v>801</v>
      </c>
      <c r="H134" s="7" t="s">
        <v>789</v>
      </c>
      <c r="I134" s="7">
        <v>0</v>
      </c>
      <c r="J134" s="7" t="s">
        <v>771</v>
      </c>
      <c r="K134" s="7">
        <v>0</v>
      </c>
    </row>
    <row r="135" spans="1:11" x14ac:dyDescent="0.2">
      <c r="A135" s="8">
        <v>1994</v>
      </c>
      <c r="B135" s="1" t="s">
        <v>27</v>
      </c>
      <c r="C135" s="1">
        <v>11</v>
      </c>
      <c r="D135" s="6" t="s">
        <v>437</v>
      </c>
      <c r="E135" s="6">
        <v>4.7699999999999996</v>
      </c>
      <c r="F135" s="7">
        <v>24500</v>
      </c>
      <c r="G135" s="7" t="s">
        <v>802</v>
      </c>
      <c r="H135" s="7" t="s">
        <v>789</v>
      </c>
      <c r="I135" s="7">
        <v>0</v>
      </c>
      <c r="J135" s="7" t="s">
        <v>768</v>
      </c>
      <c r="K135" s="7">
        <v>0</v>
      </c>
    </row>
    <row r="136" spans="1:11" x14ac:dyDescent="0.2">
      <c r="A136" s="8">
        <v>1994</v>
      </c>
      <c r="B136" s="1" t="s">
        <v>27</v>
      </c>
      <c r="C136" s="1">
        <v>12</v>
      </c>
      <c r="D136" s="6" t="s">
        <v>485</v>
      </c>
      <c r="E136" s="6">
        <v>4.72</v>
      </c>
      <c r="F136" s="7">
        <v>23500</v>
      </c>
      <c r="G136" s="7" t="s">
        <v>803</v>
      </c>
      <c r="H136" s="7" t="s">
        <v>791</v>
      </c>
      <c r="I136" s="7">
        <v>0</v>
      </c>
      <c r="J136" s="8">
        <v>1.6</v>
      </c>
      <c r="K136" s="7">
        <v>0</v>
      </c>
    </row>
    <row r="137" spans="1:11" x14ac:dyDescent="0.2">
      <c r="A137" s="8">
        <v>1994</v>
      </c>
      <c r="B137" s="1" t="s">
        <v>27</v>
      </c>
      <c r="C137" s="1">
        <v>13</v>
      </c>
      <c r="D137" s="6" t="s">
        <v>486</v>
      </c>
      <c r="E137" s="6">
        <v>4.68</v>
      </c>
      <c r="F137" s="7">
        <v>22425</v>
      </c>
      <c r="G137" s="7" t="s">
        <v>804</v>
      </c>
      <c r="H137" s="7" t="s">
        <v>789</v>
      </c>
      <c r="I137" s="7">
        <v>0</v>
      </c>
      <c r="J137" s="8">
        <v>1.6</v>
      </c>
      <c r="K137" s="7">
        <v>0</v>
      </c>
    </row>
    <row r="138" spans="1:11" x14ac:dyDescent="0.2">
      <c r="A138" s="8">
        <v>1994</v>
      </c>
      <c r="B138" s="1" t="s">
        <v>27</v>
      </c>
      <c r="C138" s="1">
        <v>14</v>
      </c>
      <c r="D138" s="6" t="s">
        <v>487</v>
      </c>
      <c r="E138" s="6">
        <v>4.6399999999999997</v>
      </c>
      <c r="F138" s="7">
        <v>22350</v>
      </c>
      <c r="G138" s="7" t="s">
        <v>805</v>
      </c>
      <c r="H138" s="7" t="s">
        <v>789</v>
      </c>
      <c r="I138" s="7">
        <v>0</v>
      </c>
      <c r="J138" s="8">
        <v>1.6</v>
      </c>
      <c r="K138" s="7">
        <v>0</v>
      </c>
    </row>
    <row r="139" spans="1:11" x14ac:dyDescent="0.2">
      <c r="A139" s="8">
        <v>1994</v>
      </c>
      <c r="B139" s="1" t="s">
        <v>27</v>
      </c>
      <c r="C139" s="1">
        <v>15</v>
      </c>
      <c r="D139" s="6" t="s">
        <v>352</v>
      </c>
      <c r="E139" s="6">
        <v>4.5999999999999996</v>
      </c>
      <c r="F139" s="7">
        <v>22312</v>
      </c>
      <c r="G139" s="7" t="s">
        <v>806</v>
      </c>
      <c r="H139" s="7" t="s">
        <v>789</v>
      </c>
      <c r="I139" s="7">
        <v>0</v>
      </c>
      <c r="J139" s="8">
        <v>1.6</v>
      </c>
      <c r="K139" s="7">
        <v>0</v>
      </c>
    </row>
    <row r="140" spans="1:11" x14ac:dyDescent="0.2">
      <c r="A140" s="8">
        <v>1994</v>
      </c>
      <c r="B140" s="1" t="s">
        <v>27</v>
      </c>
      <c r="C140" s="1">
        <v>16</v>
      </c>
      <c r="D140" s="6" t="s">
        <v>344</v>
      </c>
      <c r="E140" s="6">
        <v>4.57</v>
      </c>
      <c r="F140" s="7">
        <v>22250</v>
      </c>
      <c r="G140" s="7" t="s">
        <v>807</v>
      </c>
      <c r="H140" s="7" t="s">
        <v>789</v>
      </c>
      <c r="I140" s="7">
        <v>0</v>
      </c>
      <c r="J140" s="8">
        <v>1.6</v>
      </c>
      <c r="K140" s="7">
        <v>0</v>
      </c>
    </row>
    <row r="141" spans="1:11" x14ac:dyDescent="0.2">
      <c r="A141" s="8">
        <v>1994</v>
      </c>
      <c r="B141" s="1" t="s">
        <v>27</v>
      </c>
      <c r="C141" s="1">
        <v>17</v>
      </c>
      <c r="D141" s="6" t="s">
        <v>488</v>
      </c>
      <c r="E141" s="6">
        <v>4.54</v>
      </c>
      <c r="F141" s="7">
        <v>22000</v>
      </c>
      <c r="G141" s="7" t="s">
        <v>808</v>
      </c>
      <c r="H141" s="7" t="s">
        <v>789</v>
      </c>
      <c r="I141" s="7">
        <v>0</v>
      </c>
      <c r="J141" s="8">
        <v>1.6</v>
      </c>
      <c r="K141" s="7">
        <v>0</v>
      </c>
    </row>
    <row r="142" spans="1:11" x14ac:dyDescent="0.2">
      <c r="A142" s="8">
        <v>1994</v>
      </c>
      <c r="B142" s="1" t="s">
        <v>27</v>
      </c>
      <c r="C142" s="1">
        <v>18</v>
      </c>
      <c r="D142" s="6" t="s">
        <v>356</v>
      </c>
      <c r="E142" s="6">
        <v>4.5199999999999996</v>
      </c>
      <c r="F142" s="7">
        <v>21750</v>
      </c>
      <c r="G142" s="7" t="s">
        <v>809</v>
      </c>
      <c r="H142" s="7" t="s">
        <v>791</v>
      </c>
      <c r="I142" s="7">
        <v>0</v>
      </c>
      <c r="J142" s="8">
        <v>1.6</v>
      </c>
      <c r="K142" s="7">
        <v>0</v>
      </c>
    </row>
    <row r="143" spans="1:11" x14ac:dyDescent="0.2">
      <c r="A143" s="8">
        <v>1994</v>
      </c>
      <c r="B143" s="1" t="s">
        <v>27</v>
      </c>
      <c r="C143" s="1">
        <v>19</v>
      </c>
      <c r="D143" s="6" t="s">
        <v>489</v>
      </c>
      <c r="E143" s="6">
        <v>4.4800000000000004</v>
      </c>
      <c r="F143" s="7">
        <v>21450</v>
      </c>
      <c r="G143" s="7" t="s">
        <v>810</v>
      </c>
      <c r="H143" s="7" t="s">
        <v>791</v>
      </c>
      <c r="I143" s="7">
        <v>0</v>
      </c>
      <c r="J143" s="7" t="s">
        <v>792</v>
      </c>
      <c r="K143" s="7">
        <v>0</v>
      </c>
    </row>
    <row r="144" spans="1:11" x14ac:dyDescent="0.2">
      <c r="A144" s="8">
        <v>1994</v>
      </c>
      <c r="B144" s="1" t="s">
        <v>27</v>
      </c>
      <c r="C144" s="1">
        <v>20</v>
      </c>
      <c r="D144" s="6" t="s">
        <v>490</v>
      </c>
      <c r="E144" s="6">
        <v>4.45</v>
      </c>
      <c r="F144" s="7">
        <v>21350</v>
      </c>
      <c r="G144" s="7" t="s">
        <v>811</v>
      </c>
      <c r="H144" s="7" t="s">
        <v>789</v>
      </c>
      <c r="I144" s="7">
        <v>0</v>
      </c>
      <c r="J144" s="7" t="s">
        <v>771</v>
      </c>
      <c r="K144" s="7">
        <v>0</v>
      </c>
    </row>
    <row r="145" spans="1:11" x14ac:dyDescent="0.2">
      <c r="A145" s="8">
        <v>1994</v>
      </c>
      <c r="B145" s="1" t="s">
        <v>27</v>
      </c>
      <c r="C145" s="1">
        <v>21</v>
      </c>
      <c r="D145" s="6" t="s">
        <v>360</v>
      </c>
      <c r="E145" s="6">
        <v>4.41</v>
      </c>
      <c r="F145" s="6">
        <v>21000</v>
      </c>
      <c r="G145" s="7" t="s">
        <v>812</v>
      </c>
      <c r="H145" s="7" t="s">
        <v>736</v>
      </c>
      <c r="I145" s="7">
        <v>0</v>
      </c>
      <c r="J145" s="7" t="s">
        <v>736</v>
      </c>
      <c r="K145" s="7">
        <v>0</v>
      </c>
    </row>
    <row r="146" spans="1:11" x14ac:dyDescent="0.2">
      <c r="A146" s="8">
        <v>1994</v>
      </c>
      <c r="B146" s="1" t="s">
        <v>27</v>
      </c>
      <c r="C146" s="1">
        <v>22</v>
      </c>
      <c r="D146" s="6" t="s">
        <v>360</v>
      </c>
      <c r="E146" s="6">
        <v>4.41</v>
      </c>
      <c r="F146" s="6">
        <v>21000</v>
      </c>
      <c r="G146" s="7" t="s">
        <v>812</v>
      </c>
      <c r="H146" s="7" t="s">
        <v>736</v>
      </c>
      <c r="I146" s="7">
        <v>0</v>
      </c>
      <c r="J146" s="7" t="s">
        <v>736</v>
      </c>
      <c r="K146" s="7">
        <v>0</v>
      </c>
    </row>
    <row r="147" spans="1:11" x14ac:dyDescent="0.2">
      <c r="A147" s="8">
        <v>1994</v>
      </c>
      <c r="B147" s="1" t="s">
        <v>27</v>
      </c>
      <c r="C147" s="1">
        <v>23</v>
      </c>
      <c r="D147" s="6" t="s">
        <v>360</v>
      </c>
      <c r="E147" s="6">
        <v>4.41</v>
      </c>
      <c r="F147" s="6">
        <v>21000</v>
      </c>
      <c r="G147" s="7" t="s">
        <v>812</v>
      </c>
      <c r="H147" s="7" t="s">
        <v>736</v>
      </c>
      <c r="I147" s="7">
        <v>0</v>
      </c>
      <c r="J147" s="7" t="s">
        <v>736</v>
      </c>
      <c r="K147" s="7">
        <v>0</v>
      </c>
    </row>
    <row r="148" spans="1:11" x14ac:dyDescent="0.2">
      <c r="A148" s="8">
        <v>1994</v>
      </c>
      <c r="B148" s="1" t="s">
        <v>27</v>
      </c>
      <c r="C148" s="1">
        <v>24</v>
      </c>
      <c r="D148" s="6" t="s">
        <v>361</v>
      </c>
      <c r="E148" s="6">
        <v>4.3899999999999997</v>
      </c>
      <c r="F148" s="7">
        <v>20650</v>
      </c>
      <c r="G148" s="7" t="s">
        <v>813</v>
      </c>
      <c r="H148" s="7" t="s">
        <v>789</v>
      </c>
      <c r="I148" s="7">
        <v>0</v>
      </c>
      <c r="J148" s="7" t="s">
        <v>771</v>
      </c>
      <c r="K148" s="7">
        <v>0</v>
      </c>
    </row>
    <row r="149" spans="1:11" x14ac:dyDescent="0.2">
      <c r="A149" s="8">
        <v>1994</v>
      </c>
      <c r="B149" s="1" t="s">
        <v>27</v>
      </c>
      <c r="C149" s="1">
        <v>25</v>
      </c>
      <c r="D149" s="6" t="s">
        <v>363</v>
      </c>
      <c r="E149" s="6">
        <v>4.34</v>
      </c>
      <c r="F149" s="7">
        <v>20000</v>
      </c>
      <c r="G149" s="7" t="s">
        <v>814</v>
      </c>
      <c r="H149" s="7" t="s">
        <v>789</v>
      </c>
      <c r="I149" s="7">
        <v>0</v>
      </c>
      <c r="J149" s="7" t="s">
        <v>771</v>
      </c>
      <c r="K149" s="7">
        <v>0</v>
      </c>
    </row>
    <row r="150" spans="1:11" x14ac:dyDescent="0.2">
      <c r="A150" s="8">
        <v>1994</v>
      </c>
      <c r="B150" s="1" t="s">
        <v>27</v>
      </c>
      <c r="C150" s="1">
        <v>26</v>
      </c>
      <c r="D150" s="6" t="s">
        <v>491</v>
      </c>
      <c r="E150" s="6">
        <v>4.29</v>
      </c>
      <c r="F150" s="6">
        <v>19700</v>
      </c>
      <c r="G150" s="7" t="s">
        <v>815</v>
      </c>
      <c r="H150" s="7" t="s">
        <v>791</v>
      </c>
      <c r="I150" s="7">
        <v>0</v>
      </c>
      <c r="J150" s="7" t="s">
        <v>771</v>
      </c>
      <c r="K150" s="7">
        <v>0</v>
      </c>
    </row>
    <row r="151" spans="1:11" x14ac:dyDescent="0.2">
      <c r="A151" s="8">
        <v>1994</v>
      </c>
      <c r="B151" s="1" t="s">
        <v>27</v>
      </c>
      <c r="C151" s="1">
        <v>27</v>
      </c>
      <c r="D151" s="6" t="s">
        <v>436</v>
      </c>
      <c r="E151" s="6">
        <v>4.26</v>
      </c>
      <c r="F151" s="6">
        <v>19500</v>
      </c>
      <c r="G151" s="7" t="s">
        <v>816</v>
      </c>
      <c r="H151" s="7" t="s">
        <v>789</v>
      </c>
      <c r="I151" s="7">
        <v>0</v>
      </c>
      <c r="J151" s="7" t="s">
        <v>766</v>
      </c>
      <c r="K151" s="7">
        <v>0</v>
      </c>
    </row>
    <row r="152" spans="1:11" x14ac:dyDescent="0.2">
      <c r="A152" s="8">
        <v>1994</v>
      </c>
      <c r="B152" s="1" t="s">
        <v>27</v>
      </c>
      <c r="C152" s="1">
        <v>28</v>
      </c>
      <c r="D152" s="6" t="s">
        <v>492</v>
      </c>
      <c r="E152" s="6">
        <v>4.2300000000000004</v>
      </c>
      <c r="F152" s="6">
        <v>19300</v>
      </c>
      <c r="G152" s="7" t="s">
        <v>817</v>
      </c>
      <c r="H152" s="7" t="s">
        <v>789</v>
      </c>
      <c r="I152" s="7">
        <v>0</v>
      </c>
      <c r="J152" s="7" t="s">
        <v>771</v>
      </c>
      <c r="K152" s="7">
        <v>0</v>
      </c>
    </row>
    <row r="153" spans="1:11" x14ac:dyDescent="0.2">
      <c r="A153" s="8">
        <v>1994</v>
      </c>
      <c r="B153" s="1" t="s">
        <v>27</v>
      </c>
      <c r="C153" s="1">
        <v>29</v>
      </c>
      <c r="D153" s="6" t="s">
        <v>493</v>
      </c>
      <c r="E153" s="6">
        <v>4.21</v>
      </c>
      <c r="F153" s="6">
        <v>19200</v>
      </c>
      <c r="G153" s="7" t="s">
        <v>818</v>
      </c>
      <c r="H153" s="7" t="s">
        <v>789</v>
      </c>
      <c r="I153" s="7">
        <v>0</v>
      </c>
      <c r="J153" s="7" t="s">
        <v>771</v>
      </c>
      <c r="K153" s="7">
        <v>0</v>
      </c>
    </row>
    <row r="154" spans="1:11" x14ac:dyDescent="0.2">
      <c r="A154" s="8">
        <v>1994</v>
      </c>
      <c r="B154" s="1" t="s">
        <v>27</v>
      </c>
      <c r="C154" s="1">
        <v>30</v>
      </c>
      <c r="D154" s="6" t="s">
        <v>494</v>
      </c>
      <c r="E154" s="6">
        <v>4.1900000000000004</v>
      </c>
      <c r="F154" s="6">
        <v>19000</v>
      </c>
      <c r="G154" s="7" t="s">
        <v>819</v>
      </c>
      <c r="H154" s="7" t="s">
        <v>789</v>
      </c>
      <c r="I154" s="7">
        <v>0</v>
      </c>
      <c r="J154" s="7" t="s">
        <v>771</v>
      </c>
      <c r="K154" s="7">
        <v>0</v>
      </c>
    </row>
    <row r="155" spans="1:11" x14ac:dyDescent="0.2">
      <c r="A155" s="8">
        <v>1994</v>
      </c>
      <c r="B155" s="1" t="s">
        <v>27</v>
      </c>
      <c r="C155" s="1">
        <v>31</v>
      </c>
      <c r="D155" s="6" t="s">
        <v>495</v>
      </c>
      <c r="E155" s="6">
        <v>4.16</v>
      </c>
      <c r="F155" s="7">
        <v>18700</v>
      </c>
      <c r="G155" s="7" t="s">
        <v>820</v>
      </c>
      <c r="H155" s="7" t="s">
        <v>821</v>
      </c>
      <c r="I155" s="7">
        <v>0</v>
      </c>
      <c r="J155" s="7" t="s">
        <v>771</v>
      </c>
      <c r="K155" s="7">
        <v>0</v>
      </c>
    </row>
    <row r="156" spans="1:11" x14ac:dyDescent="0.2">
      <c r="A156" s="8">
        <v>1994</v>
      </c>
      <c r="B156" s="1" t="s">
        <v>28</v>
      </c>
      <c r="C156" s="1">
        <v>1</v>
      </c>
      <c r="D156" s="6" t="s">
        <v>495</v>
      </c>
      <c r="E156" s="6">
        <v>4.16</v>
      </c>
      <c r="F156" s="7">
        <v>18600</v>
      </c>
      <c r="G156" s="7" t="s">
        <v>820</v>
      </c>
      <c r="H156" s="8">
        <v>0</v>
      </c>
      <c r="I156" s="8">
        <v>0</v>
      </c>
      <c r="J156" s="7" t="s">
        <v>736</v>
      </c>
      <c r="K156" s="7" t="s">
        <v>736</v>
      </c>
    </row>
    <row r="157" spans="1:11" x14ac:dyDescent="0.2">
      <c r="A157" s="8">
        <v>1994</v>
      </c>
      <c r="B157" s="1" t="s">
        <v>28</v>
      </c>
      <c r="C157" s="1">
        <v>2</v>
      </c>
      <c r="D157" s="6" t="s">
        <v>341</v>
      </c>
      <c r="E157" s="6">
        <v>4.13</v>
      </c>
      <c r="F157" s="7">
        <v>18250</v>
      </c>
      <c r="G157" s="7" t="s">
        <v>822</v>
      </c>
      <c r="H157" s="8">
        <v>0</v>
      </c>
      <c r="I157" s="8">
        <v>0</v>
      </c>
      <c r="J157" s="7" t="s">
        <v>736</v>
      </c>
      <c r="K157" s="7" t="s">
        <v>736</v>
      </c>
    </row>
    <row r="158" spans="1:11" x14ac:dyDescent="0.2">
      <c r="A158" s="8">
        <v>1994</v>
      </c>
      <c r="B158" s="1" t="s">
        <v>28</v>
      </c>
      <c r="C158" s="1">
        <v>3</v>
      </c>
      <c r="D158" s="6" t="s">
        <v>341</v>
      </c>
      <c r="E158" s="6">
        <v>4.13</v>
      </c>
      <c r="F158" s="7">
        <v>18250</v>
      </c>
      <c r="G158" s="7" t="s">
        <v>822</v>
      </c>
      <c r="H158" s="8">
        <v>40</v>
      </c>
      <c r="I158" s="8">
        <v>0</v>
      </c>
      <c r="J158" s="7" t="s">
        <v>823</v>
      </c>
      <c r="K158" s="8">
        <v>0</v>
      </c>
    </row>
    <row r="159" spans="1:11" x14ac:dyDescent="0.2">
      <c r="A159" s="8">
        <v>1994</v>
      </c>
      <c r="B159" s="1" t="s">
        <v>28</v>
      </c>
      <c r="C159" s="1">
        <v>4</v>
      </c>
      <c r="D159" s="6" t="s">
        <v>340</v>
      </c>
      <c r="E159" s="6">
        <v>4.1100000000000003</v>
      </c>
      <c r="F159" s="7">
        <v>18000</v>
      </c>
      <c r="G159" s="7" t="s">
        <v>828</v>
      </c>
      <c r="H159" s="8">
        <v>40</v>
      </c>
      <c r="I159" s="8">
        <v>0</v>
      </c>
      <c r="J159" s="7" t="s">
        <v>823</v>
      </c>
      <c r="K159" s="8">
        <v>0</v>
      </c>
    </row>
    <row r="160" spans="1:11" x14ac:dyDescent="0.2">
      <c r="A160" s="8">
        <v>1994</v>
      </c>
      <c r="B160" s="1" t="s">
        <v>28</v>
      </c>
      <c r="C160" s="1">
        <v>5</v>
      </c>
      <c r="D160" s="6" t="s">
        <v>496</v>
      </c>
      <c r="E160" s="6">
        <v>4.09</v>
      </c>
      <c r="F160" s="7">
        <v>17900</v>
      </c>
      <c r="G160" s="7" t="s">
        <v>829</v>
      </c>
      <c r="H160" s="8">
        <v>40</v>
      </c>
      <c r="I160" s="8">
        <v>0</v>
      </c>
      <c r="J160" s="7" t="s">
        <v>823</v>
      </c>
      <c r="K160" s="8">
        <v>0</v>
      </c>
    </row>
    <row r="161" spans="1:11" x14ac:dyDescent="0.2">
      <c r="A161" s="8">
        <v>1994</v>
      </c>
      <c r="B161" s="1" t="s">
        <v>28</v>
      </c>
      <c r="C161" s="1">
        <v>6</v>
      </c>
      <c r="D161" s="6" t="s">
        <v>339</v>
      </c>
      <c r="E161" s="6">
        <v>4.08</v>
      </c>
      <c r="F161" s="7">
        <v>17800</v>
      </c>
      <c r="G161" s="7" t="s">
        <v>830</v>
      </c>
      <c r="H161" s="8">
        <v>80</v>
      </c>
      <c r="I161" s="8">
        <v>0</v>
      </c>
      <c r="J161" s="7" t="s">
        <v>824</v>
      </c>
      <c r="K161" s="8">
        <v>0</v>
      </c>
    </row>
    <row r="162" spans="1:11" x14ac:dyDescent="0.2">
      <c r="A162" s="8">
        <v>1994</v>
      </c>
      <c r="B162" s="1" t="s">
        <v>28</v>
      </c>
      <c r="C162" s="1">
        <v>7</v>
      </c>
      <c r="D162" s="6" t="s">
        <v>338</v>
      </c>
      <c r="E162" s="6">
        <v>4.03</v>
      </c>
      <c r="F162" s="7">
        <v>17500</v>
      </c>
      <c r="G162" s="7" t="s">
        <v>831</v>
      </c>
      <c r="H162" s="8">
        <v>100</v>
      </c>
      <c r="I162" s="8">
        <v>0</v>
      </c>
      <c r="J162" s="7" t="s">
        <v>824</v>
      </c>
      <c r="K162" s="8">
        <v>0</v>
      </c>
    </row>
    <row r="163" spans="1:11" x14ac:dyDescent="0.2">
      <c r="A163" s="8">
        <v>1994</v>
      </c>
      <c r="B163" s="1" t="s">
        <v>28</v>
      </c>
      <c r="C163" s="1">
        <v>8</v>
      </c>
      <c r="D163" s="6" t="s">
        <v>497</v>
      </c>
      <c r="E163" s="6">
        <v>4.01</v>
      </c>
      <c r="F163" s="7">
        <v>17400</v>
      </c>
      <c r="G163" s="7" t="s">
        <v>832</v>
      </c>
      <c r="H163" s="8">
        <v>160</v>
      </c>
      <c r="I163" s="8">
        <v>0</v>
      </c>
      <c r="J163" s="7" t="s">
        <v>765</v>
      </c>
      <c r="K163" s="8">
        <v>0</v>
      </c>
    </row>
    <row r="164" spans="1:11" x14ac:dyDescent="0.2">
      <c r="A164" s="8">
        <v>1994</v>
      </c>
      <c r="B164" s="1" t="s">
        <v>28</v>
      </c>
      <c r="C164" s="1">
        <v>9</v>
      </c>
      <c r="D164" s="6" t="s">
        <v>498</v>
      </c>
      <c r="E164" s="6">
        <v>3.96</v>
      </c>
      <c r="F164" s="7">
        <v>17000</v>
      </c>
      <c r="G164" s="7" t="s">
        <v>833</v>
      </c>
      <c r="H164" s="8">
        <v>160</v>
      </c>
      <c r="I164" s="8">
        <v>0</v>
      </c>
      <c r="J164" s="7" t="s">
        <v>825</v>
      </c>
      <c r="K164" s="8">
        <v>0</v>
      </c>
    </row>
    <row r="165" spans="1:11" x14ac:dyDescent="0.2">
      <c r="A165" s="8">
        <v>1994</v>
      </c>
      <c r="B165" s="1" t="s">
        <v>28</v>
      </c>
      <c r="C165" s="1">
        <v>10</v>
      </c>
      <c r="D165" s="6" t="s">
        <v>499</v>
      </c>
      <c r="E165" s="6">
        <v>3.93</v>
      </c>
      <c r="F165" s="7">
        <v>16900</v>
      </c>
      <c r="G165" s="7" t="s">
        <v>834</v>
      </c>
      <c r="H165" s="8">
        <v>160</v>
      </c>
      <c r="I165" s="8">
        <v>0</v>
      </c>
      <c r="J165" s="7" t="s">
        <v>768</v>
      </c>
      <c r="K165" s="8">
        <v>0</v>
      </c>
    </row>
    <row r="166" spans="1:11" x14ac:dyDescent="0.2">
      <c r="A166" s="8">
        <v>1994</v>
      </c>
      <c r="B166" s="1" t="s">
        <v>28</v>
      </c>
      <c r="C166" s="1">
        <v>11</v>
      </c>
      <c r="D166" s="6" t="s">
        <v>336</v>
      </c>
      <c r="E166" s="6">
        <v>3.88</v>
      </c>
      <c r="F166" s="7">
        <v>16700</v>
      </c>
      <c r="G166" s="7" t="s">
        <v>835</v>
      </c>
      <c r="H166" s="8">
        <v>160</v>
      </c>
      <c r="I166" s="8">
        <v>0</v>
      </c>
      <c r="J166" s="7" t="s">
        <v>768</v>
      </c>
      <c r="K166" s="8">
        <v>0</v>
      </c>
    </row>
    <row r="167" spans="1:11" x14ac:dyDescent="0.2">
      <c r="A167" s="8">
        <v>1994</v>
      </c>
      <c r="B167" s="1" t="s">
        <v>28</v>
      </c>
      <c r="C167" s="1">
        <v>12</v>
      </c>
      <c r="D167" s="6" t="s">
        <v>500</v>
      </c>
      <c r="E167" s="6">
        <v>3.85</v>
      </c>
      <c r="F167" s="6">
        <v>16600</v>
      </c>
      <c r="G167" s="7" t="s">
        <v>836</v>
      </c>
      <c r="H167" s="8">
        <v>160</v>
      </c>
      <c r="I167" s="8">
        <v>0</v>
      </c>
      <c r="J167" s="7" t="s">
        <v>765</v>
      </c>
      <c r="K167" s="8">
        <v>0</v>
      </c>
    </row>
    <row r="168" spans="1:11" x14ac:dyDescent="0.2">
      <c r="A168" s="8">
        <v>1994</v>
      </c>
      <c r="B168" s="1" t="s">
        <v>28</v>
      </c>
      <c r="C168" s="1">
        <v>13</v>
      </c>
      <c r="D168" s="6" t="s">
        <v>501</v>
      </c>
      <c r="E168" s="6">
        <v>3.85</v>
      </c>
      <c r="F168" s="6">
        <v>16500</v>
      </c>
      <c r="G168" s="7" t="s">
        <v>837</v>
      </c>
      <c r="H168" s="8">
        <v>160</v>
      </c>
      <c r="I168" s="8">
        <v>0</v>
      </c>
      <c r="J168" s="7" t="s">
        <v>765</v>
      </c>
      <c r="K168" s="8">
        <v>0</v>
      </c>
    </row>
    <row r="169" spans="1:11" x14ac:dyDescent="0.2">
      <c r="A169" s="8">
        <v>1994</v>
      </c>
      <c r="B169" s="1" t="s">
        <v>28</v>
      </c>
      <c r="C169" s="1">
        <v>14</v>
      </c>
      <c r="D169" s="6" t="s">
        <v>335</v>
      </c>
      <c r="E169" s="6">
        <v>3.81</v>
      </c>
      <c r="F169" s="7">
        <v>16400</v>
      </c>
      <c r="G169" s="7" t="s">
        <v>838</v>
      </c>
      <c r="H169" s="8">
        <v>160</v>
      </c>
      <c r="I169" s="8">
        <v>0</v>
      </c>
      <c r="J169" s="7" t="s">
        <v>765</v>
      </c>
      <c r="K169" s="8">
        <v>0</v>
      </c>
    </row>
    <row r="170" spans="1:11" x14ac:dyDescent="0.2">
      <c r="A170" s="8">
        <v>1994</v>
      </c>
      <c r="B170" s="1" t="s">
        <v>28</v>
      </c>
      <c r="C170" s="1">
        <v>15</v>
      </c>
      <c r="D170" s="6" t="s">
        <v>435</v>
      </c>
      <c r="E170" s="6">
        <v>3.78</v>
      </c>
      <c r="F170" s="7" t="s">
        <v>839</v>
      </c>
      <c r="G170" s="7" t="s">
        <v>840</v>
      </c>
      <c r="H170" s="8">
        <v>0</v>
      </c>
      <c r="I170" s="8">
        <v>0</v>
      </c>
      <c r="J170" s="7" t="s">
        <v>736</v>
      </c>
      <c r="K170" s="8">
        <v>0</v>
      </c>
    </row>
    <row r="171" spans="1:11" x14ac:dyDescent="0.2">
      <c r="A171" s="8">
        <v>1994</v>
      </c>
      <c r="B171" s="1" t="s">
        <v>28</v>
      </c>
      <c r="C171" s="1">
        <v>16</v>
      </c>
      <c r="D171" s="6" t="s">
        <v>435</v>
      </c>
      <c r="E171" s="6">
        <v>3.78</v>
      </c>
      <c r="F171" s="7" t="s">
        <v>839</v>
      </c>
      <c r="G171" s="7" t="s">
        <v>840</v>
      </c>
      <c r="H171" s="8">
        <v>0</v>
      </c>
      <c r="I171" s="8">
        <v>0</v>
      </c>
      <c r="J171" s="7" t="s">
        <v>736</v>
      </c>
      <c r="K171" s="8">
        <v>0</v>
      </c>
    </row>
    <row r="172" spans="1:11" x14ac:dyDescent="0.2">
      <c r="A172" s="8">
        <v>1994</v>
      </c>
      <c r="B172" s="1" t="s">
        <v>28</v>
      </c>
      <c r="C172" s="1">
        <v>17</v>
      </c>
      <c r="D172" s="6" t="s">
        <v>502</v>
      </c>
      <c r="E172" s="6">
        <v>3.73</v>
      </c>
      <c r="F172" s="7">
        <v>15750</v>
      </c>
      <c r="G172" s="7" t="s">
        <v>841</v>
      </c>
      <c r="H172" s="8">
        <v>0</v>
      </c>
      <c r="I172" s="8">
        <v>0</v>
      </c>
      <c r="J172" s="7" t="s">
        <v>736</v>
      </c>
      <c r="K172" s="8">
        <v>0</v>
      </c>
    </row>
    <row r="173" spans="1:11" x14ac:dyDescent="0.2">
      <c r="A173" s="8">
        <v>1994</v>
      </c>
      <c r="B173" s="1" t="s">
        <v>28</v>
      </c>
      <c r="C173" s="1">
        <v>18</v>
      </c>
      <c r="D173" s="6" t="s">
        <v>334</v>
      </c>
      <c r="E173" s="6">
        <v>3.68</v>
      </c>
      <c r="F173" s="7" t="s">
        <v>843</v>
      </c>
      <c r="G173" s="7" t="s">
        <v>842</v>
      </c>
      <c r="H173" s="8">
        <v>160</v>
      </c>
      <c r="I173" s="8">
        <v>0</v>
      </c>
      <c r="J173" s="7" t="s">
        <v>825</v>
      </c>
      <c r="K173" s="8">
        <v>0</v>
      </c>
    </row>
    <row r="174" spans="1:11" x14ac:dyDescent="0.2">
      <c r="A174" s="8">
        <v>1994</v>
      </c>
      <c r="B174" s="1" t="s">
        <v>28</v>
      </c>
      <c r="C174" s="1">
        <v>19</v>
      </c>
      <c r="D174" s="6" t="s">
        <v>316</v>
      </c>
      <c r="E174" s="6">
        <v>3.63</v>
      </c>
      <c r="F174" s="6">
        <v>15200</v>
      </c>
      <c r="G174" s="7" t="s">
        <v>844</v>
      </c>
      <c r="H174" s="8">
        <v>160</v>
      </c>
      <c r="I174" s="8">
        <v>0</v>
      </c>
      <c r="J174" s="7" t="s">
        <v>825</v>
      </c>
      <c r="K174" s="8">
        <v>0</v>
      </c>
    </row>
    <row r="175" spans="1:11" x14ac:dyDescent="0.2">
      <c r="A175" s="8">
        <v>1994</v>
      </c>
      <c r="B175" s="1" t="s">
        <v>28</v>
      </c>
      <c r="C175" s="1">
        <v>20</v>
      </c>
      <c r="D175" s="6" t="s">
        <v>503</v>
      </c>
      <c r="E175" s="6">
        <v>3.58</v>
      </c>
      <c r="F175" s="6">
        <v>14900</v>
      </c>
      <c r="G175" s="7" t="s">
        <v>845</v>
      </c>
      <c r="H175" s="8">
        <v>160</v>
      </c>
      <c r="I175" s="8">
        <v>0</v>
      </c>
      <c r="J175" s="7" t="s">
        <v>792</v>
      </c>
      <c r="K175" s="8">
        <v>0</v>
      </c>
    </row>
    <row r="176" spans="1:11" x14ac:dyDescent="0.2">
      <c r="A176" s="8">
        <v>1994</v>
      </c>
      <c r="B176" s="1" t="s">
        <v>28</v>
      </c>
      <c r="C176" s="1">
        <v>21</v>
      </c>
      <c r="D176" s="6" t="s">
        <v>522</v>
      </c>
      <c r="E176" s="6">
        <v>3.52</v>
      </c>
      <c r="F176" s="7" t="s">
        <v>846</v>
      </c>
      <c r="G176" s="7" t="s">
        <v>847</v>
      </c>
      <c r="H176" s="8">
        <v>160</v>
      </c>
      <c r="I176" s="8">
        <v>0</v>
      </c>
      <c r="J176" s="7" t="s">
        <v>792</v>
      </c>
      <c r="K176" s="8">
        <v>0</v>
      </c>
    </row>
    <row r="177" spans="1:11" x14ac:dyDescent="0.2">
      <c r="A177" s="8">
        <v>1994</v>
      </c>
      <c r="B177" s="1" t="s">
        <v>28</v>
      </c>
      <c r="C177" s="1">
        <v>22</v>
      </c>
      <c r="D177" s="6" t="s">
        <v>504</v>
      </c>
      <c r="E177" s="6" t="s">
        <v>849</v>
      </c>
      <c r="F177" s="7">
        <v>14400</v>
      </c>
      <c r="G177" s="7" t="s">
        <v>848</v>
      </c>
      <c r="H177" s="8">
        <v>160</v>
      </c>
      <c r="I177" s="8">
        <v>0</v>
      </c>
      <c r="J177" s="7" t="s">
        <v>792</v>
      </c>
      <c r="K177" s="8">
        <v>0</v>
      </c>
    </row>
    <row r="178" spans="1:11" x14ac:dyDescent="0.2">
      <c r="A178" s="8">
        <v>1994</v>
      </c>
      <c r="B178" s="1" t="s">
        <v>28</v>
      </c>
      <c r="C178" s="1">
        <v>23</v>
      </c>
      <c r="D178" s="6" t="s">
        <v>505</v>
      </c>
      <c r="E178" s="6" t="s">
        <v>850</v>
      </c>
      <c r="F178" s="7">
        <v>14000</v>
      </c>
      <c r="G178" s="7" t="s">
        <v>851</v>
      </c>
      <c r="H178" s="8">
        <v>130</v>
      </c>
      <c r="I178" s="8">
        <v>0</v>
      </c>
      <c r="J178" s="7" t="s">
        <v>771</v>
      </c>
      <c r="K178" s="8">
        <v>0</v>
      </c>
    </row>
    <row r="179" spans="1:11" x14ac:dyDescent="0.2">
      <c r="A179" s="8">
        <v>1994</v>
      </c>
      <c r="B179" s="1" t="s">
        <v>28</v>
      </c>
      <c r="C179" s="1">
        <v>24</v>
      </c>
      <c r="D179" s="6" t="s">
        <v>333</v>
      </c>
      <c r="E179" s="6" t="s">
        <v>853</v>
      </c>
      <c r="F179" s="7">
        <v>13800</v>
      </c>
      <c r="G179" s="7" t="s">
        <v>852</v>
      </c>
      <c r="H179" s="8">
        <v>130</v>
      </c>
      <c r="I179" s="8">
        <v>0</v>
      </c>
      <c r="J179" s="7" t="s">
        <v>826</v>
      </c>
      <c r="K179" s="8">
        <v>0</v>
      </c>
    </row>
    <row r="180" spans="1:11" x14ac:dyDescent="0.2">
      <c r="A180" s="8">
        <v>1994</v>
      </c>
      <c r="B180" s="1" t="s">
        <v>28</v>
      </c>
      <c r="C180" s="1">
        <v>25</v>
      </c>
      <c r="D180" s="6" t="s">
        <v>506</v>
      </c>
      <c r="E180" s="6" t="s">
        <v>854</v>
      </c>
      <c r="F180" s="6">
        <v>13700</v>
      </c>
      <c r="G180" s="7" t="s">
        <v>855</v>
      </c>
      <c r="H180" s="8">
        <v>0</v>
      </c>
      <c r="I180" s="8">
        <v>0</v>
      </c>
      <c r="J180" s="7" t="s">
        <v>736</v>
      </c>
      <c r="K180" s="8">
        <v>0</v>
      </c>
    </row>
    <row r="181" spans="1:11" x14ac:dyDescent="0.2">
      <c r="A181" s="8">
        <v>1994</v>
      </c>
      <c r="B181" s="1" t="s">
        <v>28</v>
      </c>
      <c r="C181" s="1">
        <v>26</v>
      </c>
      <c r="D181" s="6" t="s">
        <v>385</v>
      </c>
      <c r="E181" s="6" t="s">
        <v>857</v>
      </c>
      <c r="F181" s="6" t="s">
        <v>757</v>
      </c>
      <c r="G181" s="7" t="s">
        <v>856</v>
      </c>
      <c r="H181" s="8">
        <v>0</v>
      </c>
      <c r="I181" s="8">
        <v>0</v>
      </c>
      <c r="J181" s="7" t="s">
        <v>736</v>
      </c>
      <c r="K181" s="8">
        <v>0</v>
      </c>
    </row>
    <row r="182" spans="1:11" x14ac:dyDescent="0.2">
      <c r="A182" s="8">
        <v>1994</v>
      </c>
      <c r="B182" s="1" t="s">
        <v>28</v>
      </c>
      <c r="C182" s="1">
        <v>27</v>
      </c>
      <c r="D182" s="6" t="s">
        <v>524</v>
      </c>
      <c r="E182" s="6" t="s">
        <v>858</v>
      </c>
      <c r="F182" s="6" t="s">
        <v>859</v>
      </c>
      <c r="G182" s="7" t="s">
        <v>860</v>
      </c>
      <c r="H182" s="8">
        <v>0</v>
      </c>
      <c r="I182" s="8">
        <v>0</v>
      </c>
      <c r="J182" s="7" t="s">
        <v>736</v>
      </c>
      <c r="K182" s="8">
        <v>0</v>
      </c>
    </row>
    <row r="183" spans="1:11" x14ac:dyDescent="0.2">
      <c r="A183" s="8">
        <v>1994</v>
      </c>
      <c r="B183" s="1" t="s">
        <v>28</v>
      </c>
      <c r="C183" s="1">
        <v>28</v>
      </c>
      <c r="D183" s="6" t="s">
        <v>386</v>
      </c>
      <c r="E183" s="6" t="s">
        <v>863</v>
      </c>
      <c r="F183" s="6" t="s">
        <v>862</v>
      </c>
      <c r="G183" s="7" t="s">
        <v>861</v>
      </c>
      <c r="H183" s="8">
        <v>0</v>
      </c>
      <c r="I183" s="8">
        <v>0</v>
      </c>
      <c r="J183" s="7" t="s">
        <v>736</v>
      </c>
      <c r="K183" s="8">
        <v>0</v>
      </c>
    </row>
    <row r="184" spans="1:11" x14ac:dyDescent="0.2">
      <c r="A184" s="8">
        <v>1994</v>
      </c>
      <c r="B184" s="1" t="s">
        <v>28</v>
      </c>
      <c r="C184" s="1">
        <v>29</v>
      </c>
      <c r="D184" s="6" t="s">
        <v>507</v>
      </c>
      <c r="E184" s="6" t="s">
        <v>864</v>
      </c>
      <c r="F184" s="6">
        <v>12900</v>
      </c>
      <c r="G184" s="7" t="s">
        <v>865</v>
      </c>
      <c r="H184" s="8">
        <v>160</v>
      </c>
      <c r="I184" s="8">
        <v>0</v>
      </c>
      <c r="J184" s="7" t="s">
        <v>827</v>
      </c>
      <c r="K184" s="8">
        <v>0</v>
      </c>
    </row>
    <row r="185" spans="1:11" x14ac:dyDescent="0.2">
      <c r="A185" s="8">
        <v>1994</v>
      </c>
      <c r="B185" s="1" t="s">
        <v>28</v>
      </c>
      <c r="C185" s="1">
        <v>30</v>
      </c>
      <c r="D185" s="6" t="s">
        <v>387</v>
      </c>
      <c r="E185" s="6" t="s">
        <v>867</v>
      </c>
      <c r="F185" s="6">
        <v>12800</v>
      </c>
      <c r="G185" s="7" t="s">
        <v>866</v>
      </c>
      <c r="H185" s="8">
        <v>160</v>
      </c>
      <c r="I185" s="8">
        <v>0</v>
      </c>
      <c r="J185" s="7" t="s">
        <v>827</v>
      </c>
      <c r="K185" s="8">
        <v>0</v>
      </c>
    </row>
    <row r="186" spans="1:11" x14ac:dyDescent="0.2">
      <c r="A186" s="8">
        <v>1994</v>
      </c>
      <c r="B186" s="1" t="s">
        <v>29</v>
      </c>
      <c r="C186" s="1">
        <v>1</v>
      </c>
      <c r="D186" s="6" t="s">
        <v>434</v>
      </c>
      <c r="E186" s="6" t="s">
        <v>434</v>
      </c>
      <c r="F186" s="6">
        <v>12500</v>
      </c>
      <c r="G186" s="7" t="s">
        <v>869</v>
      </c>
      <c r="H186" s="8">
        <v>160</v>
      </c>
      <c r="I186" s="8">
        <v>0</v>
      </c>
      <c r="J186" s="7" t="s">
        <v>827</v>
      </c>
      <c r="K186" s="8">
        <v>0</v>
      </c>
    </row>
    <row r="187" spans="1:11" x14ac:dyDescent="0.2">
      <c r="A187" s="8">
        <v>1994</v>
      </c>
      <c r="B187" s="1" t="s">
        <v>29</v>
      </c>
      <c r="C187" s="1">
        <v>2</v>
      </c>
      <c r="D187" s="6" t="s">
        <v>390</v>
      </c>
      <c r="E187" s="6" t="s">
        <v>871</v>
      </c>
      <c r="F187" s="6">
        <v>12300</v>
      </c>
      <c r="G187" s="7" t="s">
        <v>870</v>
      </c>
      <c r="H187" s="8">
        <v>160</v>
      </c>
      <c r="I187" s="8">
        <v>0</v>
      </c>
      <c r="J187" s="7" t="s">
        <v>826</v>
      </c>
      <c r="K187" s="8">
        <v>0</v>
      </c>
    </row>
    <row r="188" spans="1:11" x14ac:dyDescent="0.2">
      <c r="A188" s="8">
        <v>1994</v>
      </c>
      <c r="B188" s="1" t="s">
        <v>29</v>
      </c>
      <c r="C188" s="1">
        <v>3</v>
      </c>
      <c r="D188" s="6" t="s">
        <v>433</v>
      </c>
      <c r="E188" s="6" t="s">
        <v>872</v>
      </c>
      <c r="F188" s="6">
        <v>12000</v>
      </c>
      <c r="G188" s="7" t="s">
        <v>873</v>
      </c>
      <c r="H188" s="8">
        <v>160</v>
      </c>
      <c r="I188" s="8">
        <v>0</v>
      </c>
      <c r="J188" s="7" t="s">
        <v>827</v>
      </c>
      <c r="K188" s="8">
        <v>0</v>
      </c>
    </row>
    <row r="189" spans="1:11" x14ac:dyDescent="0.2">
      <c r="A189" s="8">
        <v>1994</v>
      </c>
      <c r="B189" s="1" t="s">
        <v>29</v>
      </c>
      <c r="C189" s="1">
        <v>4</v>
      </c>
      <c r="D189" s="6" t="s">
        <v>17</v>
      </c>
      <c r="E189" s="6" t="s">
        <v>875</v>
      </c>
      <c r="F189" s="6">
        <v>11600</v>
      </c>
      <c r="G189" s="7" t="s">
        <v>874</v>
      </c>
      <c r="H189" s="7" t="s">
        <v>736</v>
      </c>
      <c r="I189" s="8">
        <v>0</v>
      </c>
      <c r="J189" s="7" t="s">
        <v>736</v>
      </c>
      <c r="K189" s="8">
        <v>0</v>
      </c>
    </row>
    <row r="190" spans="1:11" x14ac:dyDescent="0.2">
      <c r="A190" s="8">
        <v>1994</v>
      </c>
      <c r="B190" s="1" t="s">
        <v>29</v>
      </c>
      <c r="C190" s="1">
        <v>5</v>
      </c>
      <c r="D190" s="6" t="s">
        <v>20</v>
      </c>
      <c r="E190" s="6" t="s">
        <v>876</v>
      </c>
      <c r="F190" s="6">
        <v>11400</v>
      </c>
      <c r="G190" s="7" t="s">
        <v>877</v>
      </c>
      <c r="H190" s="7" t="s">
        <v>789</v>
      </c>
      <c r="I190" s="8">
        <v>0</v>
      </c>
      <c r="J190" s="7" t="s">
        <v>827</v>
      </c>
      <c r="K190" s="8">
        <v>0</v>
      </c>
    </row>
    <row r="191" spans="1:11" x14ac:dyDescent="0.2">
      <c r="A191" s="8">
        <v>1994</v>
      </c>
      <c r="B191" s="1" t="s">
        <v>29</v>
      </c>
      <c r="C191" s="1">
        <v>6</v>
      </c>
      <c r="D191" s="6" t="s">
        <v>36</v>
      </c>
      <c r="E191" s="6" t="s">
        <v>879</v>
      </c>
      <c r="F191" s="7">
        <v>11200</v>
      </c>
      <c r="G191" s="7" t="s">
        <v>878</v>
      </c>
      <c r="H191" s="7" t="s">
        <v>736</v>
      </c>
      <c r="I191" s="8">
        <v>0</v>
      </c>
      <c r="J191" s="7" t="s">
        <v>736</v>
      </c>
      <c r="K191" s="8">
        <v>0</v>
      </c>
    </row>
    <row r="192" spans="1:11" x14ac:dyDescent="0.2">
      <c r="A192" s="8">
        <v>1994</v>
      </c>
      <c r="B192" s="1" t="s">
        <v>29</v>
      </c>
      <c r="C192" s="1">
        <v>7</v>
      </c>
      <c r="D192" s="6" t="s">
        <v>40</v>
      </c>
      <c r="E192" s="6" t="s">
        <v>880</v>
      </c>
      <c r="F192" s="6">
        <v>11100</v>
      </c>
      <c r="G192" s="7" t="s">
        <v>881</v>
      </c>
      <c r="H192" s="7" t="s">
        <v>868</v>
      </c>
      <c r="I192" s="8">
        <v>0</v>
      </c>
      <c r="J192" s="7" t="s">
        <v>736</v>
      </c>
      <c r="K192" s="8">
        <v>0</v>
      </c>
    </row>
    <row r="193" spans="1:11" x14ac:dyDescent="0.2">
      <c r="A193" s="8">
        <v>1994</v>
      </c>
      <c r="B193" s="1" t="s">
        <v>29</v>
      </c>
      <c r="C193" s="1">
        <v>8</v>
      </c>
      <c r="D193" s="6" t="s">
        <v>508</v>
      </c>
      <c r="E193" s="6" t="s">
        <v>883</v>
      </c>
      <c r="F193" s="6">
        <v>10800</v>
      </c>
      <c r="G193" s="7" t="s">
        <v>882</v>
      </c>
      <c r="H193" s="7" t="s">
        <v>736</v>
      </c>
      <c r="I193" s="8">
        <v>0</v>
      </c>
      <c r="J193" s="7" t="s">
        <v>736</v>
      </c>
      <c r="K193" s="8">
        <v>0</v>
      </c>
    </row>
    <row r="194" spans="1:11" x14ac:dyDescent="0.2">
      <c r="A194" s="8">
        <v>1994</v>
      </c>
      <c r="B194" s="1" t="s">
        <v>29</v>
      </c>
      <c r="C194" s="1">
        <v>9</v>
      </c>
      <c r="D194" s="6" t="s">
        <v>508</v>
      </c>
      <c r="E194" s="6" t="s">
        <v>883</v>
      </c>
      <c r="F194" s="6">
        <v>10800</v>
      </c>
      <c r="G194" s="7" t="s">
        <v>882</v>
      </c>
      <c r="H194" s="7" t="s">
        <v>736</v>
      </c>
      <c r="I194" s="8">
        <v>0</v>
      </c>
      <c r="J194" s="7" t="s">
        <v>736</v>
      </c>
      <c r="K194" s="8">
        <v>0</v>
      </c>
    </row>
    <row r="195" spans="1:11" x14ac:dyDescent="0.2">
      <c r="A195" s="8">
        <v>1994</v>
      </c>
      <c r="B195" s="1" t="s">
        <v>29</v>
      </c>
      <c r="C195" s="1">
        <v>10</v>
      </c>
      <c r="D195" s="6" t="s">
        <v>508</v>
      </c>
      <c r="E195" s="6" t="s">
        <v>883</v>
      </c>
      <c r="F195" s="6">
        <v>10800</v>
      </c>
      <c r="G195" s="7" t="s">
        <v>882</v>
      </c>
      <c r="H195" s="7" t="s">
        <v>736</v>
      </c>
      <c r="I195" s="8">
        <v>0</v>
      </c>
      <c r="J195" s="7" t="s">
        <v>736</v>
      </c>
      <c r="K195" s="8">
        <v>0</v>
      </c>
    </row>
    <row r="196" spans="1:11" x14ac:dyDescent="0.2">
      <c r="A196" s="8">
        <v>1994</v>
      </c>
      <c r="B196" s="1" t="s">
        <v>29</v>
      </c>
      <c r="C196" s="1">
        <v>11</v>
      </c>
      <c r="D196" s="6" t="s">
        <v>9</v>
      </c>
      <c r="E196" s="6" t="s">
        <v>884</v>
      </c>
      <c r="F196" s="6">
        <v>10700</v>
      </c>
      <c r="G196" s="7" t="s">
        <v>885</v>
      </c>
      <c r="H196" s="7" t="s">
        <v>736</v>
      </c>
      <c r="I196" s="8">
        <v>0</v>
      </c>
      <c r="J196" s="7" t="s">
        <v>736</v>
      </c>
      <c r="K196" s="8">
        <v>0</v>
      </c>
    </row>
    <row r="197" spans="1:11" x14ac:dyDescent="0.2">
      <c r="A197" s="8">
        <v>1994</v>
      </c>
      <c r="B197" s="1" t="s">
        <v>29</v>
      </c>
      <c r="C197" s="1">
        <v>12</v>
      </c>
      <c r="D197" s="6" t="s">
        <v>45</v>
      </c>
      <c r="E197" s="6" t="s">
        <v>887</v>
      </c>
      <c r="F197" s="6">
        <v>10600</v>
      </c>
      <c r="G197" s="7" t="s">
        <v>886</v>
      </c>
      <c r="H197" s="7" t="s">
        <v>736</v>
      </c>
      <c r="I197" s="8">
        <v>0</v>
      </c>
      <c r="J197" s="8">
        <v>1.6</v>
      </c>
      <c r="K197" s="8">
        <v>0</v>
      </c>
    </row>
    <row r="198" spans="1:11" x14ac:dyDescent="0.2">
      <c r="A198" s="8">
        <v>1994</v>
      </c>
      <c r="B198" s="1" t="s">
        <v>29</v>
      </c>
      <c r="C198" s="1">
        <v>13</v>
      </c>
      <c r="D198" s="6" t="s">
        <v>509</v>
      </c>
      <c r="E198" s="6" t="s">
        <v>888</v>
      </c>
      <c r="F198" s="7">
        <v>10500</v>
      </c>
      <c r="G198" s="7" t="s">
        <v>889</v>
      </c>
      <c r="H198" s="7" t="s">
        <v>736</v>
      </c>
      <c r="I198" s="8">
        <v>0</v>
      </c>
      <c r="J198" s="8">
        <v>1.6</v>
      </c>
      <c r="K198" s="8">
        <v>0</v>
      </c>
    </row>
    <row r="199" spans="1:11" x14ac:dyDescent="0.2">
      <c r="A199" s="8">
        <v>1994</v>
      </c>
      <c r="B199" s="1" t="s">
        <v>29</v>
      </c>
      <c r="C199" s="1">
        <v>14</v>
      </c>
      <c r="D199" s="6" t="s">
        <v>49</v>
      </c>
      <c r="E199" s="6" t="s">
        <v>891</v>
      </c>
      <c r="F199" s="6">
        <v>10300</v>
      </c>
      <c r="G199" s="7" t="s">
        <v>890</v>
      </c>
      <c r="H199" s="8">
        <v>170</v>
      </c>
      <c r="I199" s="8">
        <v>0</v>
      </c>
      <c r="J199" s="8">
        <v>1.6</v>
      </c>
      <c r="K199" s="8">
        <v>0</v>
      </c>
    </row>
    <row r="200" spans="1:11" x14ac:dyDescent="0.2">
      <c r="A200" s="8">
        <v>1994</v>
      </c>
      <c r="B200" s="1" t="s">
        <v>29</v>
      </c>
      <c r="C200" s="1">
        <v>15</v>
      </c>
      <c r="D200" s="6" t="s">
        <v>51</v>
      </c>
      <c r="E200" s="6" t="s">
        <v>892</v>
      </c>
      <c r="F200" s="6">
        <v>10100</v>
      </c>
      <c r="G200" s="7" t="s">
        <v>893</v>
      </c>
      <c r="H200" s="8">
        <v>170</v>
      </c>
      <c r="I200" s="8">
        <v>0</v>
      </c>
      <c r="J200" s="8">
        <v>1.6</v>
      </c>
      <c r="K200" s="8">
        <v>0</v>
      </c>
    </row>
    <row r="201" spans="1:11" x14ac:dyDescent="0.2">
      <c r="A201" s="8">
        <v>1994</v>
      </c>
      <c r="B201" s="1" t="s">
        <v>29</v>
      </c>
      <c r="C201" s="1">
        <v>16</v>
      </c>
      <c r="D201" s="6" t="s">
        <v>56</v>
      </c>
      <c r="E201" s="6" t="s">
        <v>895</v>
      </c>
      <c r="F201" s="7">
        <v>9900</v>
      </c>
      <c r="G201" s="7" t="s">
        <v>894</v>
      </c>
      <c r="H201" s="8">
        <v>170</v>
      </c>
      <c r="I201" s="8">
        <v>0</v>
      </c>
      <c r="J201" s="8">
        <v>1.6</v>
      </c>
      <c r="K201" s="8">
        <v>0</v>
      </c>
    </row>
    <row r="202" spans="1:11" x14ac:dyDescent="0.2">
      <c r="A202" s="8">
        <v>1994</v>
      </c>
      <c r="B202" s="1" t="s">
        <v>29</v>
      </c>
      <c r="C202" s="1">
        <v>17</v>
      </c>
      <c r="D202" s="6" t="s">
        <v>62</v>
      </c>
      <c r="E202" s="6" t="s">
        <v>896</v>
      </c>
      <c r="F202" s="6">
        <v>9600</v>
      </c>
      <c r="G202" s="7" t="s">
        <v>897</v>
      </c>
      <c r="H202" s="8">
        <v>170</v>
      </c>
      <c r="I202" s="8">
        <v>0</v>
      </c>
      <c r="J202" s="8">
        <v>1.6</v>
      </c>
      <c r="K202" s="8">
        <v>0</v>
      </c>
    </row>
    <row r="203" spans="1:11" x14ac:dyDescent="0.2">
      <c r="A203" s="8">
        <v>1994</v>
      </c>
      <c r="B203" s="1" t="s">
        <v>29</v>
      </c>
      <c r="C203" s="1">
        <v>18</v>
      </c>
      <c r="D203" s="6" t="s">
        <v>70</v>
      </c>
      <c r="E203" s="6" t="s">
        <v>899</v>
      </c>
      <c r="F203" s="6">
        <v>9300</v>
      </c>
      <c r="G203" s="7" t="s">
        <v>898</v>
      </c>
      <c r="H203" s="8">
        <v>170</v>
      </c>
      <c r="I203" s="8">
        <v>0</v>
      </c>
      <c r="J203" s="8">
        <v>1.6</v>
      </c>
      <c r="K203" s="8">
        <v>0</v>
      </c>
    </row>
    <row r="204" spans="1:11" x14ac:dyDescent="0.2">
      <c r="A204" s="8">
        <v>1994</v>
      </c>
      <c r="B204" s="1" t="s">
        <v>29</v>
      </c>
      <c r="C204" s="1">
        <v>19</v>
      </c>
      <c r="D204" s="6" t="s">
        <v>80</v>
      </c>
      <c r="E204" s="6" t="s">
        <v>900</v>
      </c>
      <c r="F204" s="6">
        <v>9000</v>
      </c>
      <c r="G204" s="7" t="s">
        <v>901</v>
      </c>
      <c r="H204" s="8">
        <v>170</v>
      </c>
      <c r="I204" s="8">
        <v>0</v>
      </c>
      <c r="J204" s="8">
        <v>0</v>
      </c>
      <c r="K204" s="8">
        <v>0</v>
      </c>
    </row>
    <row r="205" spans="1:11" x14ac:dyDescent="0.2">
      <c r="A205" s="8">
        <v>1994</v>
      </c>
      <c r="B205" s="1" t="s">
        <v>29</v>
      </c>
      <c r="C205" s="1">
        <v>20</v>
      </c>
      <c r="D205" s="6" t="s">
        <v>82</v>
      </c>
      <c r="E205" s="6" t="s">
        <v>903</v>
      </c>
      <c r="F205" s="6">
        <v>8800</v>
      </c>
      <c r="G205" s="7" t="s">
        <v>902</v>
      </c>
      <c r="H205" s="8">
        <v>170</v>
      </c>
      <c r="I205" s="8">
        <v>0</v>
      </c>
      <c r="J205" s="8">
        <v>0</v>
      </c>
      <c r="K205" s="8">
        <v>0</v>
      </c>
    </row>
    <row r="206" spans="1:11" x14ac:dyDescent="0.2">
      <c r="A206" s="8">
        <v>1994</v>
      </c>
      <c r="B206" s="1" t="s">
        <v>29</v>
      </c>
      <c r="C206" s="1">
        <v>21</v>
      </c>
      <c r="D206" s="6" t="s">
        <v>326</v>
      </c>
      <c r="E206" s="6" t="s">
        <v>904</v>
      </c>
      <c r="F206" s="6">
        <v>8700</v>
      </c>
      <c r="G206" s="7" t="s">
        <v>905</v>
      </c>
      <c r="H206" s="8">
        <v>170</v>
      </c>
      <c r="I206" s="8">
        <v>0</v>
      </c>
      <c r="J206" s="8">
        <v>0</v>
      </c>
      <c r="K206" s="8">
        <v>0</v>
      </c>
    </row>
    <row r="207" spans="1:11" x14ac:dyDescent="0.2">
      <c r="A207" s="8">
        <v>1994</v>
      </c>
      <c r="B207" s="1" t="s">
        <v>29</v>
      </c>
      <c r="C207" s="1">
        <v>22</v>
      </c>
      <c r="D207" s="6" t="s">
        <v>325</v>
      </c>
      <c r="E207" s="6" t="s">
        <v>907</v>
      </c>
      <c r="F207" s="6">
        <v>8500</v>
      </c>
      <c r="G207" s="7" t="s">
        <v>906</v>
      </c>
      <c r="H207" s="8">
        <v>170</v>
      </c>
      <c r="I207" s="8">
        <v>0</v>
      </c>
      <c r="J207" s="8">
        <v>0</v>
      </c>
      <c r="K207" s="8">
        <v>0</v>
      </c>
    </row>
    <row r="208" spans="1:11" x14ac:dyDescent="0.2">
      <c r="A208" s="8">
        <v>1994</v>
      </c>
      <c r="B208" s="1" t="s">
        <v>29</v>
      </c>
      <c r="C208" s="1">
        <v>23</v>
      </c>
      <c r="D208" s="6" t="s">
        <v>86</v>
      </c>
      <c r="E208" s="6" t="s">
        <v>908</v>
      </c>
      <c r="F208" s="6" t="s">
        <v>909</v>
      </c>
      <c r="G208" s="7" t="s">
        <v>910</v>
      </c>
      <c r="H208" s="8">
        <v>80</v>
      </c>
      <c r="I208" s="8">
        <v>0</v>
      </c>
      <c r="J208" s="7" t="s">
        <v>736</v>
      </c>
      <c r="K208" s="8">
        <v>0</v>
      </c>
    </row>
    <row r="209" spans="1:11" x14ac:dyDescent="0.2">
      <c r="A209" s="8">
        <v>1994</v>
      </c>
      <c r="B209" s="1" t="s">
        <v>29</v>
      </c>
      <c r="C209" s="1">
        <v>24</v>
      </c>
      <c r="D209" s="6" t="s">
        <v>88</v>
      </c>
      <c r="E209" s="6" t="s">
        <v>912</v>
      </c>
      <c r="F209" s="6">
        <v>8300</v>
      </c>
      <c r="G209" s="7" t="s">
        <v>911</v>
      </c>
      <c r="H209" s="8">
        <v>0</v>
      </c>
      <c r="I209" s="8">
        <v>0</v>
      </c>
      <c r="J209" s="8">
        <v>1.6</v>
      </c>
      <c r="K209" s="8">
        <v>0</v>
      </c>
    </row>
    <row r="210" spans="1:11" x14ac:dyDescent="0.2">
      <c r="A210" s="8">
        <v>1994</v>
      </c>
      <c r="B210" s="1" t="s">
        <v>29</v>
      </c>
      <c r="C210" s="1">
        <v>25</v>
      </c>
      <c r="D210" s="6" t="s">
        <v>90</v>
      </c>
      <c r="E210" s="6" t="s">
        <v>756</v>
      </c>
      <c r="F210" s="6">
        <v>8250</v>
      </c>
      <c r="G210" s="7" t="s">
        <v>913</v>
      </c>
      <c r="H210" s="8">
        <v>0</v>
      </c>
      <c r="I210" s="8">
        <v>0</v>
      </c>
      <c r="J210" s="8">
        <v>1.6</v>
      </c>
      <c r="K210" s="8">
        <v>0</v>
      </c>
    </row>
    <row r="211" spans="1:11" x14ac:dyDescent="0.2">
      <c r="A211" s="8">
        <v>1994</v>
      </c>
      <c r="B211" s="1" t="s">
        <v>29</v>
      </c>
      <c r="C211" s="1">
        <v>26</v>
      </c>
      <c r="D211" s="6" t="s">
        <v>94</v>
      </c>
      <c r="E211" s="6" t="s">
        <v>915</v>
      </c>
      <c r="F211" s="6">
        <v>8100</v>
      </c>
      <c r="G211" s="7" t="s">
        <v>914</v>
      </c>
      <c r="H211" s="8">
        <v>0</v>
      </c>
      <c r="I211" s="8">
        <v>0</v>
      </c>
      <c r="J211" s="8">
        <v>1.6</v>
      </c>
      <c r="K211" s="8">
        <v>0</v>
      </c>
    </row>
    <row r="212" spans="1:11" x14ac:dyDescent="0.2">
      <c r="A212" s="8">
        <v>1994</v>
      </c>
      <c r="B212" s="1" t="s">
        <v>29</v>
      </c>
      <c r="C212" s="1">
        <v>27</v>
      </c>
      <c r="D212" s="6" t="s">
        <v>98</v>
      </c>
      <c r="E212" s="6" t="s">
        <v>755</v>
      </c>
      <c r="F212" s="6">
        <v>7900</v>
      </c>
      <c r="G212" s="7" t="s">
        <v>916</v>
      </c>
      <c r="H212" s="8">
        <v>0</v>
      </c>
      <c r="I212" s="8">
        <v>0</v>
      </c>
      <c r="J212" s="8">
        <v>1.6</v>
      </c>
      <c r="K212" s="8">
        <v>0</v>
      </c>
    </row>
    <row r="213" spans="1:11" x14ac:dyDescent="0.2">
      <c r="A213" s="8">
        <v>1994</v>
      </c>
      <c r="B213" s="1" t="s">
        <v>29</v>
      </c>
      <c r="C213" s="1">
        <v>28</v>
      </c>
      <c r="D213" s="6" t="s">
        <v>100</v>
      </c>
      <c r="E213" s="6" t="s">
        <v>918</v>
      </c>
      <c r="F213" s="6">
        <v>7700</v>
      </c>
      <c r="G213" s="7" t="s">
        <v>917</v>
      </c>
      <c r="H213" s="8">
        <v>160</v>
      </c>
      <c r="I213" s="8">
        <v>0</v>
      </c>
      <c r="J213" s="8">
        <v>1.6</v>
      </c>
      <c r="K213" s="8">
        <v>0</v>
      </c>
    </row>
    <row r="214" spans="1:11" x14ac:dyDescent="0.2">
      <c r="A214" s="8">
        <v>1994</v>
      </c>
      <c r="B214" s="1" t="s">
        <v>29</v>
      </c>
      <c r="C214" s="1">
        <v>29</v>
      </c>
      <c r="D214" s="6" t="s">
        <v>112</v>
      </c>
      <c r="E214" s="6" t="s">
        <v>919</v>
      </c>
      <c r="F214" s="6">
        <v>7500</v>
      </c>
      <c r="G214" s="7" t="s">
        <v>920</v>
      </c>
      <c r="H214" s="8">
        <v>160</v>
      </c>
      <c r="I214" s="8">
        <v>0</v>
      </c>
      <c r="J214" s="8">
        <v>1.6</v>
      </c>
      <c r="K214" s="8">
        <v>0</v>
      </c>
    </row>
    <row r="215" spans="1:11" x14ac:dyDescent="0.2">
      <c r="A215" s="8">
        <v>1994</v>
      </c>
      <c r="B215" s="1" t="s">
        <v>29</v>
      </c>
      <c r="C215" s="1">
        <v>30</v>
      </c>
      <c r="D215" s="6" t="s">
        <v>1</v>
      </c>
      <c r="E215" s="6" t="s">
        <v>752</v>
      </c>
      <c r="F215" s="6">
        <v>7300</v>
      </c>
      <c r="G215" s="7" t="s">
        <v>921</v>
      </c>
      <c r="H215" s="8">
        <v>160</v>
      </c>
      <c r="I215" s="8">
        <v>0</v>
      </c>
      <c r="J215" s="8">
        <v>1.6</v>
      </c>
      <c r="K215" s="8">
        <v>0</v>
      </c>
    </row>
    <row r="216" spans="1:11" x14ac:dyDescent="0.2">
      <c r="A216" s="8">
        <v>1994</v>
      </c>
      <c r="B216" s="1" t="s">
        <v>29</v>
      </c>
      <c r="C216" s="1">
        <v>31</v>
      </c>
      <c r="D216" s="6" t="s">
        <v>108</v>
      </c>
      <c r="E216" s="6" t="s">
        <v>922</v>
      </c>
      <c r="F216" s="6">
        <v>7000</v>
      </c>
      <c r="G216" s="7" t="s">
        <v>923</v>
      </c>
      <c r="H216" s="8">
        <v>160</v>
      </c>
      <c r="I216" s="8">
        <v>0</v>
      </c>
      <c r="J216" s="8">
        <v>1.6</v>
      </c>
      <c r="K216" s="8">
        <v>0</v>
      </c>
    </row>
    <row r="217" spans="1:11" x14ac:dyDescent="0.2">
      <c r="A217" s="8">
        <v>1994</v>
      </c>
      <c r="B217" s="1" t="s">
        <v>30</v>
      </c>
      <c r="C217" s="1">
        <v>1</v>
      </c>
      <c r="D217" s="6" t="s">
        <v>194</v>
      </c>
      <c r="E217" s="6" t="s">
        <v>750</v>
      </c>
      <c r="F217" s="7">
        <v>6800</v>
      </c>
      <c r="G217" s="7" t="s">
        <v>929</v>
      </c>
      <c r="H217" s="7" t="s">
        <v>786</v>
      </c>
      <c r="I217" s="8">
        <v>0</v>
      </c>
      <c r="J217" s="7" t="s">
        <v>771</v>
      </c>
      <c r="K217" s="8">
        <v>0</v>
      </c>
    </row>
    <row r="218" spans="1:11" x14ac:dyDescent="0.2">
      <c r="A218" s="8">
        <v>1994</v>
      </c>
      <c r="B218" s="1" t="s">
        <v>30</v>
      </c>
      <c r="C218" s="1">
        <v>2</v>
      </c>
      <c r="D218" s="6" t="s">
        <v>208</v>
      </c>
      <c r="E218" s="6" t="s">
        <v>788</v>
      </c>
      <c r="F218" s="7">
        <v>6450</v>
      </c>
      <c r="G218" s="7" t="s">
        <v>930</v>
      </c>
      <c r="H218" s="7" t="s">
        <v>786</v>
      </c>
      <c r="I218" s="8">
        <v>0</v>
      </c>
      <c r="J218" s="7" t="s">
        <v>771</v>
      </c>
      <c r="K218" s="8">
        <v>0</v>
      </c>
    </row>
    <row r="219" spans="1:11" x14ac:dyDescent="0.2">
      <c r="A219" s="8">
        <v>1994</v>
      </c>
      <c r="B219" s="1" t="s">
        <v>30</v>
      </c>
      <c r="C219" s="1">
        <v>3</v>
      </c>
      <c r="D219" s="6" t="s">
        <v>171</v>
      </c>
      <c r="E219" s="6" t="s">
        <v>924</v>
      </c>
      <c r="F219" s="7">
        <v>6250</v>
      </c>
      <c r="G219" s="7" t="s">
        <v>931</v>
      </c>
      <c r="H219" s="7" t="s">
        <v>786</v>
      </c>
      <c r="I219" s="8">
        <v>0</v>
      </c>
      <c r="J219" s="7" t="s">
        <v>771</v>
      </c>
      <c r="K219" s="8">
        <v>0</v>
      </c>
    </row>
    <row r="220" spans="1:11" x14ac:dyDescent="0.2">
      <c r="A220" s="8">
        <v>1994</v>
      </c>
      <c r="B220" s="1" t="s">
        <v>30</v>
      </c>
      <c r="C220" s="1">
        <v>4</v>
      </c>
      <c r="D220" s="6" t="s">
        <v>165</v>
      </c>
      <c r="E220" s="6" t="s">
        <v>747</v>
      </c>
      <c r="F220" s="7">
        <v>6100</v>
      </c>
      <c r="G220" s="7" t="s">
        <v>932</v>
      </c>
      <c r="H220" s="7" t="s">
        <v>786</v>
      </c>
      <c r="I220" s="8">
        <v>0</v>
      </c>
      <c r="J220" s="7" t="s">
        <v>736</v>
      </c>
      <c r="K220" s="8">
        <v>0</v>
      </c>
    </row>
    <row r="221" spans="1:11" x14ac:dyDescent="0.2">
      <c r="A221" s="8">
        <v>1994</v>
      </c>
      <c r="B221" s="1" t="s">
        <v>30</v>
      </c>
      <c r="C221" s="1">
        <v>5</v>
      </c>
      <c r="D221" s="6" t="s">
        <v>229</v>
      </c>
      <c r="E221" s="6" t="s">
        <v>933</v>
      </c>
      <c r="F221" s="7">
        <v>5900</v>
      </c>
      <c r="G221" s="7" t="s">
        <v>934</v>
      </c>
      <c r="H221" s="7" t="s">
        <v>786</v>
      </c>
      <c r="I221" s="8">
        <v>0</v>
      </c>
      <c r="J221" s="7" t="s">
        <v>736</v>
      </c>
      <c r="K221" s="8">
        <v>0</v>
      </c>
    </row>
    <row r="222" spans="1:11" x14ac:dyDescent="0.2">
      <c r="A222" s="8">
        <v>1994</v>
      </c>
      <c r="B222" s="1" t="s">
        <v>30</v>
      </c>
      <c r="C222" s="1">
        <v>6</v>
      </c>
      <c r="D222" s="6" t="s">
        <v>236</v>
      </c>
      <c r="E222" s="6" t="s">
        <v>745</v>
      </c>
      <c r="F222" s="7">
        <v>5800</v>
      </c>
      <c r="G222" s="7" t="s">
        <v>935</v>
      </c>
      <c r="H222" s="7" t="s">
        <v>786</v>
      </c>
      <c r="I222" s="8">
        <v>0</v>
      </c>
      <c r="J222" s="7" t="s">
        <v>771</v>
      </c>
      <c r="K222" s="8">
        <v>0</v>
      </c>
    </row>
    <row r="223" spans="1:11" x14ac:dyDescent="0.2">
      <c r="A223" s="8">
        <v>1994</v>
      </c>
      <c r="B223" s="1" t="s">
        <v>30</v>
      </c>
      <c r="C223" s="1">
        <v>7</v>
      </c>
      <c r="D223" s="6" t="s">
        <v>242</v>
      </c>
      <c r="E223" s="6" t="s">
        <v>744</v>
      </c>
      <c r="F223" s="7">
        <v>5600</v>
      </c>
      <c r="G223" s="7" t="s">
        <v>936</v>
      </c>
      <c r="H223" s="7" t="s">
        <v>786</v>
      </c>
      <c r="I223" s="8">
        <v>0</v>
      </c>
      <c r="J223" s="7" t="s">
        <v>771</v>
      </c>
      <c r="K223" s="8">
        <v>0</v>
      </c>
    </row>
    <row r="224" spans="1:11" x14ac:dyDescent="0.2">
      <c r="A224" s="8">
        <v>1994</v>
      </c>
      <c r="B224" s="1" t="s">
        <v>30</v>
      </c>
      <c r="C224" s="1">
        <v>8</v>
      </c>
      <c r="D224" s="6" t="s">
        <v>248</v>
      </c>
      <c r="E224" s="6" t="s">
        <v>742</v>
      </c>
      <c r="F224" s="7">
        <v>5400</v>
      </c>
      <c r="G224" s="7" t="s">
        <v>937</v>
      </c>
      <c r="H224" s="7" t="s">
        <v>786</v>
      </c>
      <c r="I224" s="8">
        <v>0</v>
      </c>
      <c r="J224" s="7" t="s">
        <v>771</v>
      </c>
      <c r="K224" s="8">
        <v>0</v>
      </c>
    </row>
    <row r="225" spans="1:11" x14ac:dyDescent="0.2">
      <c r="A225" s="8">
        <v>1994</v>
      </c>
      <c r="B225" s="1" t="s">
        <v>30</v>
      </c>
      <c r="C225" s="1">
        <v>9</v>
      </c>
      <c r="D225" s="6" t="s">
        <v>151</v>
      </c>
      <c r="E225" s="6" t="s">
        <v>741</v>
      </c>
      <c r="F225" s="7">
        <v>5300</v>
      </c>
      <c r="G225" s="7" t="s">
        <v>938</v>
      </c>
      <c r="H225" s="7" t="s">
        <v>868</v>
      </c>
      <c r="I225" s="8">
        <v>0</v>
      </c>
      <c r="J225" s="7" t="s">
        <v>767</v>
      </c>
      <c r="K225" s="8">
        <v>0</v>
      </c>
    </row>
    <row r="226" spans="1:11" x14ac:dyDescent="0.2">
      <c r="A226" s="8">
        <v>1994</v>
      </c>
      <c r="B226" s="1" t="s">
        <v>30</v>
      </c>
      <c r="C226" s="1">
        <v>10</v>
      </c>
      <c r="D226" s="6" t="s">
        <v>262</v>
      </c>
      <c r="E226" s="6" t="s">
        <v>940</v>
      </c>
      <c r="F226" s="7">
        <v>5200</v>
      </c>
      <c r="G226" s="7" t="s">
        <v>939</v>
      </c>
      <c r="H226" s="7" t="s">
        <v>736</v>
      </c>
      <c r="I226" s="8">
        <v>0</v>
      </c>
      <c r="J226" s="7" t="s">
        <v>765</v>
      </c>
      <c r="K226" s="8">
        <v>0</v>
      </c>
    </row>
    <row r="227" spans="1:11" x14ac:dyDescent="0.2">
      <c r="A227" s="8">
        <v>1994</v>
      </c>
      <c r="B227" s="1" t="s">
        <v>30</v>
      </c>
      <c r="C227" s="1">
        <v>11</v>
      </c>
      <c r="D227" s="6" t="s">
        <v>423</v>
      </c>
      <c r="E227" s="6" t="s">
        <v>941</v>
      </c>
      <c r="F227" s="7">
        <v>5100</v>
      </c>
      <c r="G227" s="7" t="s">
        <v>942</v>
      </c>
      <c r="H227" s="7" t="s">
        <v>736</v>
      </c>
      <c r="I227" s="8">
        <v>0</v>
      </c>
      <c r="J227" s="7" t="s">
        <v>765</v>
      </c>
      <c r="K227" s="8">
        <v>0</v>
      </c>
    </row>
    <row r="228" spans="1:11" x14ac:dyDescent="0.2">
      <c r="A228" s="8">
        <v>1994</v>
      </c>
      <c r="B228" s="1" t="s">
        <v>30</v>
      </c>
      <c r="C228" s="1">
        <v>12</v>
      </c>
      <c r="D228" s="6" t="s">
        <v>143</v>
      </c>
      <c r="E228" s="6" t="s">
        <v>944</v>
      </c>
      <c r="F228" s="7">
        <v>5000</v>
      </c>
      <c r="G228" s="7" t="s">
        <v>943</v>
      </c>
      <c r="H228" s="7" t="s">
        <v>868</v>
      </c>
      <c r="I228" s="8">
        <v>0</v>
      </c>
      <c r="J228" s="7" t="s">
        <v>765</v>
      </c>
      <c r="K228" s="8">
        <v>0</v>
      </c>
    </row>
    <row r="229" spans="1:11" x14ac:dyDescent="0.2">
      <c r="A229" s="8">
        <v>1994</v>
      </c>
      <c r="B229" s="1" t="s">
        <v>30</v>
      </c>
      <c r="C229" s="1">
        <v>13</v>
      </c>
      <c r="D229" s="6" t="s">
        <v>139</v>
      </c>
      <c r="E229" s="6" t="s">
        <v>945</v>
      </c>
      <c r="F229" s="7">
        <v>4800</v>
      </c>
      <c r="G229" s="7" t="s">
        <v>946</v>
      </c>
      <c r="H229" s="7" t="s">
        <v>925</v>
      </c>
      <c r="I229" s="8">
        <v>0</v>
      </c>
      <c r="J229" s="7" t="s">
        <v>770</v>
      </c>
      <c r="K229" s="8">
        <v>0</v>
      </c>
    </row>
    <row r="230" spans="1:11" x14ac:dyDescent="0.2">
      <c r="A230" s="8">
        <v>1994</v>
      </c>
      <c r="B230" s="1" t="s">
        <v>30</v>
      </c>
      <c r="C230" s="1">
        <v>14</v>
      </c>
      <c r="D230" s="6" t="s">
        <v>281</v>
      </c>
      <c r="E230" s="6" t="s">
        <v>949</v>
      </c>
      <c r="F230" s="7" t="s">
        <v>948</v>
      </c>
      <c r="G230" s="7" t="s">
        <v>947</v>
      </c>
      <c r="H230" s="7" t="s">
        <v>925</v>
      </c>
      <c r="I230" s="8">
        <v>0</v>
      </c>
      <c r="J230" s="7" t="s">
        <v>770</v>
      </c>
      <c r="K230" s="8">
        <v>0</v>
      </c>
    </row>
    <row r="231" spans="1:11" x14ac:dyDescent="0.2">
      <c r="A231" s="8">
        <v>1994</v>
      </c>
      <c r="B231" s="1" t="s">
        <v>30</v>
      </c>
      <c r="C231" s="1">
        <v>15</v>
      </c>
      <c r="D231" s="6" t="s">
        <v>133</v>
      </c>
      <c r="E231" s="6" t="s">
        <v>740</v>
      </c>
      <c r="F231" s="7">
        <v>4500</v>
      </c>
      <c r="G231" s="7" t="s">
        <v>950</v>
      </c>
      <c r="H231" s="7" t="s">
        <v>925</v>
      </c>
      <c r="I231" s="8">
        <v>0</v>
      </c>
      <c r="J231" s="7" t="s">
        <v>770</v>
      </c>
      <c r="K231" s="8">
        <v>0</v>
      </c>
    </row>
    <row r="232" spans="1:11" x14ac:dyDescent="0.2">
      <c r="A232" s="8">
        <v>1994</v>
      </c>
      <c r="B232" s="1" t="s">
        <v>30</v>
      </c>
      <c r="C232" s="1">
        <v>16</v>
      </c>
      <c r="D232" s="6" t="s">
        <v>424</v>
      </c>
      <c r="E232" s="6" t="s">
        <v>952</v>
      </c>
      <c r="F232" s="7">
        <v>4400</v>
      </c>
      <c r="G232" s="7" t="s">
        <v>951</v>
      </c>
      <c r="H232" s="7" t="s">
        <v>926</v>
      </c>
      <c r="I232" s="8">
        <v>0</v>
      </c>
      <c r="J232" s="7" t="s">
        <v>928</v>
      </c>
      <c r="K232" s="8">
        <v>0</v>
      </c>
    </row>
    <row r="233" spans="1:11" x14ac:dyDescent="0.2">
      <c r="A233" s="8">
        <v>1994</v>
      </c>
      <c r="B233" s="1" t="s">
        <v>30</v>
      </c>
      <c r="C233" s="1">
        <v>17</v>
      </c>
      <c r="D233" s="6" t="s">
        <v>128</v>
      </c>
      <c r="E233" s="6" t="s">
        <v>953</v>
      </c>
      <c r="F233" s="7">
        <v>4300</v>
      </c>
      <c r="G233" s="7" t="s">
        <v>954</v>
      </c>
      <c r="H233" s="7" t="s">
        <v>926</v>
      </c>
      <c r="I233" s="8">
        <v>0</v>
      </c>
      <c r="J233" s="7" t="s">
        <v>928</v>
      </c>
      <c r="K233" s="8">
        <v>0</v>
      </c>
    </row>
    <row r="234" spans="1:11" x14ac:dyDescent="0.2">
      <c r="A234" s="8">
        <v>1994</v>
      </c>
      <c r="B234" s="1" t="s">
        <v>30</v>
      </c>
      <c r="C234" s="1">
        <v>18</v>
      </c>
      <c r="D234" s="6" t="s">
        <v>127</v>
      </c>
      <c r="E234" s="6" t="s">
        <v>956</v>
      </c>
      <c r="F234" s="7">
        <v>4200</v>
      </c>
      <c r="G234" s="7" t="s">
        <v>955</v>
      </c>
      <c r="H234" s="7" t="s">
        <v>926</v>
      </c>
      <c r="I234" s="8">
        <v>0</v>
      </c>
      <c r="J234" s="7" t="s">
        <v>928</v>
      </c>
      <c r="K234" s="8">
        <v>0</v>
      </c>
    </row>
    <row r="235" spans="1:11" x14ac:dyDescent="0.2">
      <c r="A235" s="8">
        <v>1994</v>
      </c>
      <c r="B235" s="1" t="s">
        <v>30</v>
      </c>
      <c r="C235" s="1">
        <v>19</v>
      </c>
      <c r="D235" s="6" t="s">
        <v>290</v>
      </c>
      <c r="E235" s="6" t="s">
        <v>957</v>
      </c>
      <c r="F235" s="7">
        <v>4100</v>
      </c>
      <c r="G235" s="7" t="s">
        <v>958</v>
      </c>
      <c r="H235" s="7" t="s">
        <v>926</v>
      </c>
      <c r="I235" s="8">
        <v>0</v>
      </c>
      <c r="J235" s="7" t="s">
        <v>928</v>
      </c>
      <c r="K235" s="8">
        <v>0</v>
      </c>
    </row>
    <row r="236" spans="1:11" x14ac:dyDescent="0.2">
      <c r="A236" s="8">
        <v>1994</v>
      </c>
      <c r="B236" s="1" t="s">
        <v>30</v>
      </c>
      <c r="C236" s="1">
        <v>20</v>
      </c>
      <c r="D236" s="6" t="s">
        <v>124</v>
      </c>
      <c r="E236" s="6" t="s">
        <v>960</v>
      </c>
      <c r="F236" s="7">
        <v>4000</v>
      </c>
      <c r="G236" s="7" t="s">
        <v>959</v>
      </c>
      <c r="H236" s="7" t="s">
        <v>926</v>
      </c>
      <c r="I236" s="8">
        <v>0</v>
      </c>
      <c r="J236" s="7" t="s">
        <v>928</v>
      </c>
      <c r="K236" s="8">
        <v>0</v>
      </c>
    </row>
    <row r="237" spans="1:11" x14ac:dyDescent="0.2">
      <c r="A237" s="8">
        <v>1994</v>
      </c>
      <c r="B237" s="1" t="s">
        <v>30</v>
      </c>
      <c r="C237" s="1">
        <v>21</v>
      </c>
      <c r="D237" s="6" t="s">
        <v>123</v>
      </c>
      <c r="E237" s="6" t="s">
        <v>739</v>
      </c>
      <c r="F237" s="7">
        <v>3900</v>
      </c>
      <c r="G237" s="7" t="s">
        <v>961</v>
      </c>
      <c r="H237" s="7" t="s">
        <v>926</v>
      </c>
      <c r="I237" s="8">
        <v>0</v>
      </c>
      <c r="J237" s="7" t="s">
        <v>928</v>
      </c>
      <c r="K237" s="8">
        <v>0</v>
      </c>
    </row>
    <row r="238" spans="1:11" x14ac:dyDescent="0.2">
      <c r="A238" s="8">
        <v>1994</v>
      </c>
      <c r="B238" s="1" t="s">
        <v>30</v>
      </c>
      <c r="C238" s="1">
        <v>22</v>
      </c>
      <c r="D238" s="6" t="s">
        <v>123</v>
      </c>
      <c r="E238" s="6" t="s">
        <v>739</v>
      </c>
      <c r="F238" s="7">
        <v>3900</v>
      </c>
      <c r="G238" s="7" t="s">
        <v>961</v>
      </c>
      <c r="H238" s="7" t="s">
        <v>736</v>
      </c>
      <c r="I238" s="8">
        <v>0</v>
      </c>
      <c r="J238" s="8">
        <v>0</v>
      </c>
      <c r="K238" s="8">
        <v>0</v>
      </c>
    </row>
    <row r="239" spans="1:11" x14ac:dyDescent="0.2">
      <c r="A239" s="8">
        <v>1994</v>
      </c>
      <c r="B239" s="1" t="s">
        <v>30</v>
      </c>
      <c r="C239" s="1">
        <v>23</v>
      </c>
      <c r="D239" s="6" t="s">
        <v>123</v>
      </c>
      <c r="E239" s="6" t="s">
        <v>739</v>
      </c>
      <c r="F239" s="7">
        <v>3900</v>
      </c>
      <c r="G239" s="7" t="s">
        <v>961</v>
      </c>
      <c r="H239" s="7" t="s">
        <v>927</v>
      </c>
      <c r="I239" s="8">
        <v>0</v>
      </c>
      <c r="J239" s="8">
        <v>0</v>
      </c>
      <c r="K239" s="8">
        <v>0</v>
      </c>
    </row>
    <row r="240" spans="1:11" x14ac:dyDescent="0.2">
      <c r="A240" s="8">
        <v>1994</v>
      </c>
      <c r="B240" s="1" t="s">
        <v>30</v>
      </c>
      <c r="C240" s="1">
        <v>24</v>
      </c>
      <c r="D240" s="6" t="s">
        <v>294</v>
      </c>
      <c r="E240" s="6" t="s">
        <v>738</v>
      </c>
      <c r="F240" s="7">
        <v>3800</v>
      </c>
      <c r="G240" s="7" t="s">
        <v>962</v>
      </c>
      <c r="H240" s="7" t="s">
        <v>927</v>
      </c>
      <c r="I240" s="8">
        <v>0</v>
      </c>
      <c r="J240" s="8">
        <v>0</v>
      </c>
      <c r="K240" s="8">
        <v>0</v>
      </c>
    </row>
    <row r="241" spans="1:11" x14ac:dyDescent="0.2">
      <c r="A241" s="8">
        <v>1994</v>
      </c>
      <c r="B241" s="1" t="s">
        <v>30</v>
      </c>
      <c r="C241" s="1">
        <v>25</v>
      </c>
      <c r="D241" s="6" t="s">
        <v>296</v>
      </c>
      <c r="E241" s="6" t="s">
        <v>963</v>
      </c>
      <c r="F241" s="7">
        <v>3750</v>
      </c>
      <c r="G241" s="7" t="s">
        <v>964</v>
      </c>
      <c r="H241" s="7" t="s">
        <v>927</v>
      </c>
      <c r="I241" s="8">
        <v>0</v>
      </c>
      <c r="J241" s="8">
        <v>0</v>
      </c>
      <c r="K241" s="8">
        <v>0</v>
      </c>
    </row>
    <row r="242" spans="1:11" x14ac:dyDescent="0.2">
      <c r="A242" s="8">
        <v>1994</v>
      </c>
      <c r="B242" s="1" t="s">
        <v>30</v>
      </c>
      <c r="C242" s="1">
        <v>26</v>
      </c>
      <c r="D242" s="6" t="s">
        <v>300</v>
      </c>
      <c r="E242" s="6" t="s">
        <v>967</v>
      </c>
      <c r="F242" s="7" t="s">
        <v>966</v>
      </c>
      <c r="G242" s="7" t="s">
        <v>965</v>
      </c>
      <c r="H242" s="7" t="s">
        <v>927</v>
      </c>
      <c r="I242" s="8">
        <v>0</v>
      </c>
      <c r="J242" s="8">
        <v>0</v>
      </c>
      <c r="K242" s="8">
        <v>0</v>
      </c>
    </row>
    <row r="243" spans="1:11" x14ac:dyDescent="0.2">
      <c r="A243" s="8">
        <v>1994</v>
      </c>
      <c r="B243" s="1" t="s">
        <v>30</v>
      </c>
      <c r="C243" s="1">
        <v>27</v>
      </c>
      <c r="D243" s="6" t="s">
        <v>304</v>
      </c>
      <c r="E243" s="6" t="s">
        <v>968</v>
      </c>
      <c r="F243" s="7">
        <v>3600</v>
      </c>
      <c r="G243" s="7" t="s">
        <v>969</v>
      </c>
      <c r="H243" s="7" t="s">
        <v>736</v>
      </c>
      <c r="I243" s="8">
        <v>0</v>
      </c>
      <c r="J243" s="8">
        <v>0</v>
      </c>
      <c r="K243" s="8">
        <v>0</v>
      </c>
    </row>
    <row r="244" spans="1:11" x14ac:dyDescent="0.2">
      <c r="A244" s="8">
        <v>1994</v>
      </c>
      <c r="B244" s="1" t="s">
        <v>30</v>
      </c>
      <c r="C244" s="1">
        <v>28</v>
      </c>
      <c r="D244" s="6" t="s">
        <v>510</v>
      </c>
      <c r="E244" s="6" t="s">
        <v>971</v>
      </c>
      <c r="F244" s="7">
        <v>3600</v>
      </c>
      <c r="G244" s="7" t="s">
        <v>970</v>
      </c>
      <c r="H244" s="7" t="s">
        <v>736</v>
      </c>
      <c r="I244" s="8">
        <v>0</v>
      </c>
      <c r="J244" s="8">
        <v>0</v>
      </c>
      <c r="K244" s="8">
        <v>0</v>
      </c>
    </row>
    <row r="245" spans="1:11" x14ac:dyDescent="0.2">
      <c r="A245" s="8">
        <v>1994</v>
      </c>
      <c r="B245" s="1" t="s">
        <v>30</v>
      </c>
      <c r="C245" s="1">
        <v>29</v>
      </c>
      <c r="D245" s="6" t="s">
        <v>510</v>
      </c>
      <c r="E245" s="6" t="s">
        <v>971</v>
      </c>
      <c r="F245" s="7">
        <v>3600</v>
      </c>
      <c r="G245" s="7" t="s">
        <v>972</v>
      </c>
      <c r="H245" s="7" t="s">
        <v>736</v>
      </c>
      <c r="I245" s="8">
        <v>0</v>
      </c>
      <c r="J245" s="8">
        <v>0</v>
      </c>
      <c r="K245" s="8">
        <v>0</v>
      </c>
    </row>
    <row r="246" spans="1:11" x14ac:dyDescent="0.2">
      <c r="A246" s="8">
        <v>1994</v>
      </c>
      <c r="B246" s="1" t="s">
        <v>30</v>
      </c>
      <c r="C246" s="1">
        <v>30</v>
      </c>
      <c r="D246" s="6" t="s">
        <v>510</v>
      </c>
      <c r="E246" s="6" t="s">
        <v>971</v>
      </c>
      <c r="F246" s="7">
        <v>3600</v>
      </c>
      <c r="G246" s="7" t="s">
        <v>970</v>
      </c>
      <c r="H246" s="7" t="s">
        <v>736</v>
      </c>
      <c r="I246" s="8">
        <v>0</v>
      </c>
      <c r="J246" s="8">
        <v>0</v>
      </c>
      <c r="K246" s="8">
        <v>0</v>
      </c>
    </row>
    <row r="247" spans="1:11" x14ac:dyDescent="0.2">
      <c r="A247" s="8">
        <v>1994</v>
      </c>
      <c r="B247" s="1" t="s">
        <v>30</v>
      </c>
      <c r="C247" s="1">
        <v>31</v>
      </c>
      <c r="D247" s="6" t="s">
        <v>311</v>
      </c>
      <c r="E247" s="6" t="s">
        <v>973</v>
      </c>
      <c r="F247" s="7">
        <v>3550</v>
      </c>
      <c r="G247" s="7" t="s">
        <v>974</v>
      </c>
      <c r="H247" s="7" t="s">
        <v>736</v>
      </c>
      <c r="I247" s="8">
        <v>0</v>
      </c>
      <c r="J247" s="8">
        <v>0</v>
      </c>
      <c r="K247" s="8">
        <v>0</v>
      </c>
    </row>
    <row r="248" spans="1:11" x14ac:dyDescent="0.2">
      <c r="A248" s="8">
        <v>1994</v>
      </c>
      <c r="B248" s="1" t="s">
        <v>31</v>
      </c>
      <c r="C248" s="1">
        <v>1</v>
      </c>
      <c r="D248" s="6" t="s">
        <v>317</v>
      </c>
      <c r="E248" s="6"/>
      <c r="F248" s="6">
        <v>3500</v>
      </c>
      <c r="G248" s="8"/>
      <c r="H248" s="8">
        <v>0</v>
      </c>
      <c r="I248" s="8">
        <v>0</v>
      </c>
      <c r="J248" s="8">
        <v>0</v>
      </c>
      <c r="K248" s="8">
        <v>0</v>
      </c>
    </row>
    <row r="249" spans="1:11" x14ac:dyDescent="0.2">
      <c r="A249" s="8">
        <v>1994</v>
      </c>
      <c r="B249" s="1" t="s">
        <v>31</v>
      </c>
      <c r="C249" s="1">
        <v>2</v>
      </c>
      <c r="D249" s="6" t="s">
        <v>317</v>
      </c>
      <c r="E249" s="6"/>
      <c r="F249" s="6">
        <v>3500</v>
      </c>
      <c r="G249" s="8"/>
      <c r="H249" s="8">
        <v>0</v>
      </c>
      <c r="I249" s="8">
        <v>0</v>
      </c>
      <c r="J249" s="8">
        <v>0</v>
      </c>
      <c r="K249" s="8">
        <v>0</v>
      </c>
    </row>
    <row r="250" spans="1:11" x14ac:dyDescent="0.2">
      <c r="A250" s="8">
        <v>1994</v>
      </c>
      <c r="B250" s="1" t="s">
        <v>31</v>
      </c>
      <c r="C250" s="1">
        <v>3</v>
      </c>
      <c r="D250" s="6" t="s">
        <v>317</v>
      </c>
      <c r="E250" s="6"/>
      <c r="F250" s="6">
        <v>3500</v>
      </c>
      <c r="G250" s="8"/>
      <c r="H250" s="8">
        <v>0</v>
      </c>
      <c r="I250" s="8">
        <v>0</v>
      </c>
      <c r="J250" s="8">
        <v>0</v>
      </c>
      <c r="K250" s="8">
        <v>0</v>
      </c>
    </row>
    <row r="251" spans="1:11" x14ac:dyDescent="0.2">
      <c r="A251" s="8">
        <v>1994</v>
      </c>
      <c r="B251" s="1" t="s">
        <v>31</v>
      </c>
      <c r="C251" s="1">
        <v>4</v>
      </c>
      <c r="D251" s="6" t="s">
        <v>317</v>
      </c>
      <c r="E251" s="6"/>
      <c r="F251" s="6">
        <v>3500</v>
      </c>
      <c r="G251" s="8"/>
      <c r="H251" s="8">
        <v>0</v>
      </c>
      <c r="I251" s="8">
        <v>0</v>
      </c>
      <c r="J251" s="8">
        <v>0</v>
      </c>
      <c r="K251" s="8">
        <v>0</v>
      </c>
    </row>
    <row r="252" spans="1:11" x14ac:dyDescent="0.2">
      <c r="A252" s="8">
        <v>1994</v>
      </c>
      <c r="B252" s="1" t="s">
        <v>31</v>
      </c>
      <c r="C252" s="1">
        <v>5</v>
      </c>
      <c r="D252" s="6" t="s">
        <v>317</v>
      </c>
      <c r="E252" s="6"/>
      <c r="F252" s="6">
        <v>3500</v>
      </c>
      <c r="G252" s="8"/>
      <c r="H252" s="8">
        <v>0</v>
      </c>
      <c r="I252" s="8">
        <v>0</v>
      </c>
      <c r="J252" s="8">
        <v>0</v>
      </c>
      <c r="K252" s="8">
        <v>0</v>
      </c>
    </row>
    <row r="253" spans="1:11" x14ac:dyDescent="0.2">
      <c r="A253" s="8">
        <v>1994</v>
      </c>
      <c r="B253" s="1" t="s">
        <v>31</v>
      </c>
      <c r="C253" s="1">
        <v>6</v>
      </c>
      <c r="D253" s="6" t="s">
        <v>317</v>
      </c>
      <c r="E253" s="6"/>
      <c r="F253" s="6">
        <v>3500</v>
      </c>
      <c r="G253" s="8"/>
      <c r="H253" s="8">
        <v>0</v>
      </c>
      <c r="I253" s="8">
        <v>0</v>
      </c>
      <c r="J253" s="8">
        <v>0</v>
      </c>
      <c r="K253" s="8">
        <v>0</v>
      </c>
    </row>
    <row r="254" spans="1:11" x14ac:dyDescent="0.2">
      <c r="A254" s="8">
        <v>1994</v>
      </c>
      <c r="B254" s="1" t="s">
        <v>31</v>
      </c>
      <c r="C254" s="1">
        <v>7</v>
      </c>
      <c r="D254" s="6" t="s">
        <v>317</v>
      </c>
      <c r="E254" s="6"/>
      <c r="F254" s="6">
        <v>3500</v>
      </c>
      <c r="G254" s="8"/>
      <c r="H254" s="8">
        <v>0</v>
      </c>
      <c r="I254" s="8">
        <v>0</v>
      </c>
      <c r="J254" s="8">
        <v>0</v>
      </c>
      <c r="K254" s="8">
        <v>0</v>
      </c>
    </row>
    <row r="255" spans="1:11" x14ac:dyDescent="0.2">
      <c r="A255" s="8">
        <v>1994</v>
      </c>
      <c r="B255" s="1" t="s">
        <v>31</v>
      </c>
      <c r="C255" s="1">
        <v>8</v>
      </c>
      <c r="D255" s="6" t="s">
        <v>317</v>
      </c>
      <c r="E255" s="6"/>
      <c r="F255" s="6" t="s">
        <v>975</v>
      </c>
      <c r="G255" s="8"/>
      <c r="H255" s="8">
        <v>0</v>
      </c>
      <c r="I255" s="8">
        <v>0</v>
      </c>
      <c r="J255" s="8">
        <v>0</v>
      </c>
      <c r="K255" s="8">
        <v>0</v>
      </c>
    </row>
    <row r="256" spans="1:11" x14ac:dyDescent="0.2">
      <c r="A256" s="8">
        <v>1994</v>
      </c>
      <c r="B256" s="1" t="s">
        <v>31</v>
      </c>
      <c r="C256" s="1">
        <v>9</v>
      </c>
      <c r="D256" s="6" t="s">
        <v>317</v>
      </c>
      <c r="E256" s="6"/>
      <c r="F256" s="6" t="s">
        <v>975</v>
      </c>
      <c r="G256" s="8"/>
      <c r="H256" s="8">
        <v>0</v>
      </c>
      <c r="I256" s="8">
        <v>0</v>
      </c>
      <c r="J256" s="8">
        <v>0</v>
      </c>
      <c r="K256" s="8">
        <v>0</v>
      </c>
    </row>
    <row r="257" spans="1:11" x14ac:dyDescent="0.2">
      <c r="A257" s="8">
        <v>1994</v>
      </c>
      <c r="B257" s="1" t="s">
        <v>31</v>
      </c>
      <c r="C257" s="1">
        <v>10</v>
      </c>
      <c r="D257" s="6" t="s">
        <v>317</v>
      </c>
      <c r="E257" s="6"/>
      <c r="F257" s="6" t="s">
        <v>975</v>
      </c>
      <c r="G257" s="8"/>
      <c r="H257" s="8">
        <v>0</v>
      </c>
      <c r="I257" s="8">
        <v>0</v>
      </c>
      <c r="J257" s="8">
        <v>0</v>
      </c>
      <c r="K257" s="8">
        <v>0</v>
      </c>
    </row>
    <row r="258" spans="1:11" x14ac:dyDescent="0.2">
      <c r="A258" s="8">
        <v>1994</v>
      </c>
      <c r="B258" s="1" t="s">
        <v>31</v>
      </c>
      <c r="C258" s="1">
        <v>11</v>
      </c>
      <c r="D258" s="6" t="s">
        <v>124</v>
      </c>
      <c r="E258" s="6"/>
      <c r="F258" s="7">
        <v>4000</v>
      </c>
      <c r="G258" s="8"/>
      <c r="H258" s="8">
        <v>0</v>
      </c>
      <c r="I258" s="8">
        <v>0</v>
      </c>
      <c r="J258" s="8">
        <v>0</v>
      </c>
      <c r="K258" s="8">
        <v>0</v>
      </c>
    </row>
    <row r="259" spans="1:11" x14ac:dyDescent="0.2">
      <c r="A259" s="8">
        <v>1994</v>
      </c>
      <c r="B259" s="1" t="s">
        <v>31</v>
      </c>
      <c r="C259" s="1">
        <v>12</v>
      </c>
      <c r="D259" s="6" t="s">
        <v>294</v>
      </c>
      <c r="E259" s="6"/>
      <c r="F259" s="7">
        <v>3800</v>
      </c>
      <c r="G259" s="8"/>
      <c r="H259" s="8">
        <v>0</v>
      </c>
      <c r="I259" s="8">
        <v>0</v>
      </c>
      <c r="J259" s="8">
        <v>0</v>
      </c>
      <c r="K259" s="8">
        <v>0</v>
      </c>
    </row>
    <row r="260" spans="1:11" x14ac:dyDescent="0.2">
      <c r="A260" s="8">
        <v>1994</v>
      </c>
      <c r="B260" s="1" t="s">
        <v>31</v>
      </c>
      <c r="C260" s="1">
        <v>13</v>
      </c>
      <c r="D260" s="6" t="s">
        <v>294</v>
      </c>
      <c r="E260" s="6"/>
      <c r="F260" s="7">
        <v>3800</v>
      </c>
      <c r="G260" s="8"/>
      <c r="H260" s="8">
        <v>0</v>
      </c>
      <c r="I260" s="8">
        <v>0</v>
      </c>
      <c r="J260" s="8">
        <v>0</v>
      </c>
      <c r="K260" s="8">
        <v>0</v>
      </c>
    </row>
    <row r="261" spans="1:11" x14ac:dyDescent="0.2">
      <c r="A261" s="8">
        <v>1994</v>
      </c>
      <c r="B261" s="1" t="s">
        <v>31</v>
      </c>
      <c r="C261" s="1">
        <v>14</v>
      </c>
      <c r="D261" s="6" t="s">
        <v>294</v>
      </c>
      <c r="E261" s="6"/>
      <c r="F261" s="7">
        <v>3800</v>
      </c>
      <c r="G261" s="8"/>
      <c r="H261" s="8">
        <v>0</v>
      </c>
      <c r="I261" s="8">
        <v>0</v>
      </c>
      <c r="J261" s="8">
        <v>0</v>
      </c>
      <c r="K261" s="8">
        <v>0</v>
      </c>
    </row>
    <row r="262" spans="1:11" x14ac:dyDescent="0.2">
      <c r="A262" s="8">
        <v>1994</v>
      </c>
      <c r="B262" s="1" t="s">
        <v>31</v>
      </c>
      <c r="C262" s="1">
        <v>15</v>
      </c>
      <c r="D262" s="6" t="s">
        <v>294</v>
      </c>
      <c r="E262" s="6"/>
      <c r="F262" s="7">
        <v>3800</v>
      </c>
      <c r="G262" s="8"/>
      <c r="H262" s="8">
        <v>0</v>
      </c>
      <c r="I262" s="8">
        <v>0</v>
      </c>
      <c r="J262" s="8">
        <v>0</v>
      </c>
      <c r="K262" s="8">
        <v>0</v>
      </c>
    </row>
    <row r="263" spans="1:11" x14ac:dyDescent="0.2">
      <c r="A263" s="8">
        <v>1994</v>
      </c>
      <c r="B263" s="1" t="s">
        <v>31</v>
      </c>
      <c r="C263" s="1">
        <v>16</v>
      </c>
      <c r="D263" s="6" t="s">
        <v>296</v>
      </c>
      <c r="E263" s="6"/>
      <c r="F263" s="7">
        <v>3750</v>
      </c>
      <c r="G263" s="8"/>
      <c r="H263" s="8">
        <v>0</v>
      </c>
      <c r="I263" s="8">
        <v>0</v>
      </c>
      <c r="J263" s="8">
        <v>0</v>
      </c>
      <c r="K263" s="8">
        <v>0</v>
      </c>
    </row>
    <row r="264" spans="1:11" x14ac:dyDescent="0.2">
      <c r="A264" s="8">
        <v>1994</v>
      </c>
      <c r="B264" s="1" t="s">
        <v>31</v>
      </c>
      <c r="C264" s="1">
        <v>17</v>
      </c>
      <c r="D264" s="6" t="s">
        <v>296</v>
      </c>
      <c r="E264" s="6"/>
      <c r="F264" s="7">
        <v>3750</v>
      </c>
      <c r="G264" s="8"/>
      <c r="H264" s="8">
        <v>0</v>
      </c>
      <c r="I264" s="8">
        <v>0</v>
      </c>
      <c r="J264" s="8">
        <v>0</v>
      </c>
      <c r="K264" s="8">
        <v>0</v>
      </c>
    </row>
    <row r="265" spans="1:11" x14ac:dyDescent="0.2">
      <c r="A265" s="8">
        <v>1994</v>
      </c>
      <c r="B265" s="1" t="s">
        <v>31</v>
      </c>
      <c r="C265" s="1">
        <v>18</v>
      </c>
      <c r="D265" s="6" t="s">
        <v>296</v>
      </c>
      <c r="E265" s="6"/>
      <c r="F265" s="7">
        <v>3750</v>
      </c>
      <c r="G265" s="8"/>
      <c r="H265" s="8">
        <v>0</v>
      </c>
      <c r="I265" s="8">
        <v>0</v>
      </c>
      <c r="J265" s="8">
        <v>0</v>
      </c>
      <c r="K265" s="8">
        <v>0</v>
      </c>
    </row>
    <row r="266" spans="1:11" x14ac:dyDescent="0.2">
      <c r="A266" s="8">
        <v>1994</v>
      </c>
      <c r="B266" s="1" t="s">
        <v>31</v>
      </c>
      <c r="C266" s="1">
        <v>19</v>
      </c>
      <c r="D266" s="6" t="s">
        <v>296</v>
      </c>
      <c r="E266" s="6"/>
      <c r="F266" s="7">
        <v>3750</v>
      </c>
      <c r="G266" s="8"/>
      <c r="H266" s="8">
        <v>0</v>
      </c>
      <c r="I266" s="8">
        <v>0</v>
      </c>
      <c r="J266" s="8">
        <v>0</v>
      </c>
      <c r="K266" s="8">
        <v>0</v>
      </c>
    </row>
    <row r="267" spans="1:11" x14ac:dyDescent="0.2">
      <c r="A267" s="8">
        <v>1994</v>
      </c>
      <c r="B267" s="1" t="s">
        <v>31</v>
      </c>
      <c r="C267" s="1">
        <v>20</v>
      </c>
      <c r="D267" s="6" t="s">
        <v>296</v>
      </c>
      <c r="E267" s="6"/>
      <c r="F267" s="7">
        <v>3750</v>
      </c>
      <c r="G267" s="8"/>
      <c r="H267" s="8">
        <v>0</v>
      </c>
      <c r="I267" s="8">
        <v>0</v>
      </c>
      <c r="J267" s="8">
        <v>0</v>
      </c>
      <c r="K267" s="8">
        <v>0</v>
      </c>
    </row>
    <row r="268" spans="1:11" x14ac:dyDescent="0.2">
      <c r="A268" s="8">
        <v>1994</v>
      </c>
      <c r="B268" s="1" t="s">
        <v>31</v>
      </c>
      <c r="C268" s="1">
        <v>21</v>
      </c>
      <c r="D268" s="6" t="s">
        <v>296</v>
      </c>
      <c r="E268" s="6"/>
      <c r="F268" s="7">
        <v>3750</v>
      </c>
      <c r="G268" s="8"/>
      <c r="H268" s="8">
        <v>0</v>
      </c>
      <c r="I268" s="8">
        <v>0</v>
      </c>
      <c r="J268" s="8">
        <v>0</v>
      </c>
      <c r="K268" s="8">
        <v>0</v>
      </c>
    </row>
    <row r="269" spans="1:11" x14ac:dyDescent="0.2">
      <c r="A269" s="8">
        <v>1994</v>
      </c>
      <c r="B269" s="1" t="s">
        <v>31</v>
      </c>
      <c r="C269" s="1">
        <v>22</v>
      </c>
      <c r="D269" s="6" t="s">
        <v>296</v>
      </c>
      <c r="E269" s="6"/>
      <c r="F269" s="7">
        <v>3750</v>
      </c>
      <c r="G269" s="8"/>
      <c r="H269" s="8">
        <v>0</v>
      </c>
      <c r="I269" s="8">
        <v>0</v>
      </c>
      <c r="J269" s="8">
        <v>0</v>
      </c>
      <c r="K269" s="8">
        <v>0</v>
      </c>
    </row>
    <row r="270" spans="1:11" x14ac:dyDescent="0.2">
      <c r="A270" s="8">
        <v>1994</v>
      </c>
      <c r="B270" s="1" t="s">
        <v>31</v>
      </c>
      <c r="C270" s="1">
        <v>23</v>
      </c>
      <c r="D270" s="6" t="s">
        <v>296</v>
      </c>
      <c r="E270" s="6"/>
      <c r="F270" s="7">
        <v>3750</v>
      </c>
      <c r="G270" s="8"/>
      <c r="H270" s="8">
        <v>0</v>
      </c>
      <c r="I270" s="8">
        <v>0</v>
      </c>
      <c r="J270" s="8">
        <v>0</v>
      </c>
      <c r="K270" s="8">
        <v>0</v>
      </c>
    </row>
    <row r="271" spans="1:11" x14ac:dyDescent="0.2">
      <c r="A271" s="8">
        <v>1994</v>
      </c>
      <c r="B271" s="1" t="s">
        <v>31</v>
      </c>
      <c r="C271" s="1">
        <v>24</v>
      </c>
      <c r="D271" s="6" t="s">
        <v>127</v>
      </c>
      <c r="E271" s="6"/>
      <c r="F271" s="7">
        <v>4200</v>
      </c>
      <c r="G271" s="8"/>
      <c r="H271" s="8">
        <v>0</v>
      </c>
      <c r="I271" s="8">
        <v>0</v>
      </c>
      <c r="J271" s="8">
        <v>0</v>
      </c>
      <c r="K271" s="8">
        <v>0</v>
      </c>
    </row>
    <row r="272" spans="1:11" x14ac:dyDescent="0.2">
      <c r="A272" s="8">
        <v>1994</v>
      </c>
      <c r="B272" s="1" t="s">
        <v>31</v>
      </c>
      <c r="C272" s="1">
        <v>25</v>
      </c>
      <c r="D272" s="6" t="s">
        <v>127</v>
      </c>
      <c r="E272" s="6"/>
      <c r="F272" s="7">
        <v>4200</v>
      </c>
      <c r="G272" s="8"/>
      <c r="H272" s="8">
        <v>0</v>
      </c>
      <c r="I272" s="8">
        <v>0</v>
      </c>
      <c r="J272" s="8">
        <v>0</v>
      </c>
      <c r="K272" s="8">
        <v>0</v>
      </c>
    </row>
    <row r="273" spans="1:11" x14ac:dyDescent="0.2">
      <c r="A273" s="8">
        <v>1994</v>
      </c>
      <c r="B273" s="1" t="s">
        <v>31</v>
      </c>
      <c r="C273" s="1">
        <v>26</v>
      </c>
      <c r="D273" s="6" t="s">
        <v>127</v>
      </c>
      <c r="E273" s="6"/>
      <c r="F273" s="7">
        <v>4200</v>
      </c>
      <c r="G273" s="8"/>
      <c r="H273" s="8">
        <v>0</v>
      </c>
      <c r="I273" s="8">
        <v>0</v>
      </c>
      <c r="J273" s="8">
        <v>0</v>
      </c>
      <c r="K273" s="8">
        <v>0</v>
      </c>
    </row>
    <row r="274" spans="1:11" x14ac:dyDescent="0.2">
      <c r="A274" s="8">
        <v>1994</v>
      </c>
      <c r="B274" s="1" t="s">
        <v>31</v>
      </c>
      <c r="C274" s="1">
        <v>27</v>
      </c>
      <c r="D274" s="6" t="s">
        <v>127</v>
      </c>
      <c r="E274" s="6"/>
      <c r="F274" s="7">
        <v>4200</v>
      </c>
      <c r="G274" s="8"/>
      <c r="H274" s="8">
        <v>0</v>
      </c>
      <c r="I274" s="8">
        <v>0</v>
      </c>
      <c r="J274" s="8">
        <v>0</v>
      </c>
      <c r="K274" s="8">
        <v>0</v>
      </c>
    </row>
    <row r="275" spans="1:11" x14ac:dyDescent="0.2">
      <c r="A275" s="8">
        <v>1994</v>
      </c>
      <c r="B275" s="1" t="s">
        <v>31</v>
      </c>
      <c r="C275" s="1">
        <v>28</v>
      </c>
      <c r="D275" s="6" t="s">
        <v>127</v>
      </c>
      <c r="E275" s="6"/>
      <c r="F275" s="7">
        <v>4200</v>
      </c>
      <c r="G275" s="8"/>
      <c r="H275" s="8">
        <v>0</v>
      </c>
      <c r="I275" s="8">
        <v>0</v>
      </c>
      <c r="J275" s="8">
        <v>0</v>
      </c>
      <c r="K275" s="8">
        <v>0</v>
      </c>
    </row>
    <row r="276" spans="1:11" x14ac:dyDescent="0.2">
      <c r="A276" s="8">
        <v>1994</v>
      </c>
      <c r="B276" s="1" t="s">
        <v>31</v>
      </c>
      <c r="C276" s="1">
        <v>29</v>
      </c>
      <c r="D276" s="6" t="s">
        <v>127</v>
      </c>
      <c r="E276" s="6"/>
      <c r="F276" s="7">
        <v>4200</v>
      </c>
      <c r="G276" s="8"/>
      <c r="H276" s="8">
        <v>0</v>
      </c>
      <c r="I276" s="8">
        <v>0</v>
      </c>
      <c r="J276" s="8">
        <v>0</v>
      </c>
      <c r="K276" s="8">
        <v>0</v>
      </c>
    </row>
    <row r="277" spans="1:11" x14ac:dyDescent="0.2">
      <c r="A277" s="8">
        <v>1994</v>
      </c>
      <c r="B277" s="1" t="s">
        <v>31</v>
      </c>
      <c r="C277" s="1">
        <v>30</v>
      </c>
      <c r="D277" s="6" t="s">
        <v>127</v>
      </c>
      <c r="E277" s="6"/>
      <c r="F277" s="7">
        <v>4200</v>
      </c>
      <c r="G277" s="8"/>
      <c r="H277" s="8">
        <v>0</v>
      </c>
      <c r="I277" s="8">
        <v>0</v>
      </c>
      <c r="J277" s="8">
        <v>0</v>
      </c>
      <c r="K277" s="8">
        <v>0</v>
      </c>
    </row>
    <row r="278" spans="1:11" x14ac:dyDescent="0.2">
      <c r="A278" s="8">
        <v>1994</v>
      </c>
      <c r="B278" s="1" t="s">
        <v>1750</v>
      </c>
      <c r="C278" s="1">
        <v>1</v>
      </c>
      <c r="D278" s="6" t="s">
        <v>127</v>
      </c>
      <c r="E278" s="6"/>
      <c r="F278" s="6">
        <v>4200</v>
      </c>
      <c r="G278" s="8"/>
      <c r="H278" s="8">
        <v>0</v>
      </c>
      <c r="I278" s="8">
        <v>0</v>
      </c>
      <c r="J278" s="8">
        <v>0</v>
      </c>
      <c r="K278" s="8">
        <v>0</v>
      </c>
    </row>
    <row r="279" spans="1:11" x14ac:dyDescent="0.2">
      <c r="A279" s="8">
        <v>1994</v>
      </c>
      <c r="B279" s="1" t="s">
        <v>1750</v>
      </c>
      <c r="C279" s="1">
        <v>2</v>
      </c>
      <c r="D279" s="6" t="s">
        <v>127</v>
      </c>
      <c r="E279" s="6"/>
      <c r="F279" s="6">
        <v>4200</v>
      </c>
      <c r="G279" s="8"/>
      <c r="H279" s="8">
        <v>0</v>
      </c>
      <c r="I279" s="8">
        <v>0</v>
      </c>
      <c r="J279" s="8">
        <v>0</v>
      </c>
      <c r="K279" s="8">
        <v>0</v>
      </c>
    </row>
    <row r="280" spans="1:11" x14ac:dyDescent="0.2">
      <c r="A280" s="8">
        <v>1994</v>
      </c>
      <c r="B280" s="1" t="s">
        <v>1750</v>
      </c>
      <c r="C280" s="1">
        <v>3</v>
      </c>
      <c r="D280" s="6" t="s">
        <v>132</v>
      </c>
      <c r="E280" s="6"/>
      <c r="F280" s="6">
        <v>4250</v>
      </c>
      <c r="G280" s="8"/>
      <c r="H280" s="8">
        <v>0</v>
      </c>
      <c r="I280" s="8">
        <v>0</v>
      </c>
      <c r="J280" s="8">
        <v>0</v>
      </c>
      <c r="K280" s="8">
        <v>0</v>
      </c>
    </row>
    <row r="281" spans="1:11" x14ac:dyDescent="0.2">
      <c r="A281" s="8">
        <v>1994</v>
      </c>
      <c r="B281" s="1" t="s">
        <v>1750</v>
      </c>
      <c r="C281" s="1">
        <v>4</v>
      </c>
      <c r="D281" s="6" t="s">
        <v>132</v>
      </c>
      <c r="E281" s="6"/>
      <c r="F281" s="6">
        <v>4250</v>
      </c>
      <c r="G281" s="8"/>
      <c r="H281" s="8">
        <v>0</v>
      </c>
      <c r="I281" s="8">
        <v>0</v>
      </c>
      <c r="J281" s="8">
        <v>0</v>
      </c>
      <c r="K281" s="8">
        <v>0</v>
      </c>
    </row>
    <row r="282" spans="1:11" x14ac:dyDescent="0.2">
      <c r="A282" s="8">
        <v>1994</v>
      </c>
      <c r="B282" s="1" t="s">
        <v>1750</v>
      </c>
      <c r="C282" s="1">
        <v>5</v>
      </c>
      <c r="D282" s="6" t="s">
        <v>128</v>
      </c>
      <c r="E282" s="6"/>
      <c r="F282" s="6">
        <v>4300</v>
      </c>
      <c r="G282" s="8"/>
      <c r="H282" s="8">
        <v>0</v>
      </c>
      <c r="I282" s="8">
        <v>0</v>
      </c>
      <c r="J282" s="8">
        <v>0</v>
      </c>
      <c r="K282" s="8">
        <v>0</v>
      </c>
    </row>
    <row r="283" spans="1:11" x14ac:dyDescent="0.2">
      <c r="A283" s="8">
        <v>1994</v>
      </c>
      <c r="B283" s="1" t="s">
        <v>1750</v>
      </c>
      <c r="C283" s="1">
        <v>6</v>
      </c>
      <c r="D283" s="6" t="s">
        <v>128</v>
      </c>
      <c r="E283" s="6"/>
      <c r="F283" s="6">
        <v>4300</v>
      </c>
      <c r="G283" s="8"/>
      <c r="H283" s="8">
        <v>0</v>
      </c>
      <c r="I283" s="8">
        <v>0</v>
      </c>
      <c r="J283" s="8">
        <v>0</v>
      </c>
      <c r="K283" s="8">
        <v>0</v>
      </c>
    </row>
    <row r="284" spans="1:11" x14ac:dyDescent="0.2">
      <c r="A284" s="8">
        <v>1994</v>
      </c>
      <c r="B284" s="1" t="s">
        <v>1750</v>
      </c>
      <c r="C284" s="1">
        <v>7</v>
      </c>
      <c r="D284" s="6" t="s">
        <v>128</v>
      </c>
      <c r="E284" s="6"/>
      <c r="F284" s="6" t="s">
        <v>976</v>
      </c>
      <c r="G284" s="8"/>
      <c r="H284" s="8">
        <v>0</v>
      </c>
      <c r="I284" s="8">
        <v>0</v>
      </c>
      <c r="J284" s="8">
        <v>0</v>
      </c>
      <c r="K284" s="8">
        <v>0</v>
      </c>
    </row>
    <row r="285" spans="1:11" x14ac:dyDescent="0.2">
      <c r="A285" s="8">
        <v>1994</v>
      </c>
      <c r="B285" s="1" t="s">
        <v>1750</v>
      </c>
      <c r="C285" s="1">
        <v>8</v>
      </c>
      <c r="D285" s="6" t="s">
        <v>128</v>
      </c>
      <c r="E285" s="6"/>
      <c r="F285" s="6">
        <v>4300</v>
      </c>
      <c r="G285" s="8"/>
      <c r="H285" s="8">
        <v>0</v>
      </c>
      <c r="I285" s="8">
        <v>0</v>
      </c>
      <c r="J285" s="8">
        <v>0</v>
      </c>
      <c r="K285" s="8">
        <v>0</v>
      </c>
    </row>
    <row r="286" spans="1:11" x14ac:dyDescent="0.2">
      <c r="A286" s="8">
        <v>1994</v>
      </c>
      <c r="B286" s="1" t="s">
        <v>1750</v>
      </c>
      <c r="C286" s="1">
        <v>9</v>
      </c>
      <c r="D286" s="6" t="s">
        <v>128</v>
      </c>
      <c r="E286" s="6"/>
      <c r="F286" s="6">
        <v>4300</v>
      </c>
      <c r="G286" s="8"/>
      <c r="H286" s="8">
        <v>0</v>
      </c>
      <c r="I286" s="8">
        <v>0</v>
      </c>
      <c r="J286" s="8">
        <v>0</v>
      </c>
      <c r="K286" s="8">
        <v>0</v>
      </c>
    </row>
    <row r="287" spans="1:11" x14ac:dyDescent="0.2">
      <c r="A287" s="8">
        <v>1994</v>
      </c>
      <c r="B287" s="1" t="s">
        <v>1750</v>
      </c>
      <c r="C287" s="1">
        <v>10</v>
      </c>
      <c r="D287" s="6" t="s">
        <v>128</v>
      </c>
      <c r="E287" s="6"/>
      <c r="F287" s="6">
        <v>4300</v>
      </c>
      <c r="G287" s="8"/>
      <c r="H287" s="8">
        <v>0</v>
      </c>
      <c r="I287" s="8">
        <v>0</v>
      </c>
      <c r="J287" s="8">
        <v>0</v>
      </c>
      <c r="K287" s="8">
        <v>0</v>
      </c>
    </row>
    <row r="288" spans="1:11" x14ac:dyDescent="0.2">
      <c r="A288" s="8">
        <v>1994</v>
      </c>
      <c r="B288" s="1" t="s">
        <v>1750</v>
      </c>
      <c r="C288" s="1">
        <v>11</v>
      </c>
      <c r="D288" s="6" t="s">
        <v>425</v>
      </c>
      <c r="E288" s="6"/>
      <c r="F288" s="6">
        <v>4350</v>
      </c>
      <c r="G288" s="8"/>
      <c r="H288" s="8">
        <v>0</v>
      </c>
      <c r="I288" s="8">
        <v>0</v>
      </c>
      <c r="J288" s="8">
        <v>0</v>
      </c>
      <c r="K288" s="8">
        <v>0</v>
      </c>
    </row>
    <row r="289" spans="1:11" x14ac:dyDescent="0.2">
      <c r="A289" s="8">
        <v>1994</v>
      </c>
      <c r="B289" s="1" t="s">
        <v>1750</v>
      </c>
      <c r="C289" s="1">
        <v>12</v>
      </c>
      <c r="D289" s="6" t="s">
        <v>425</v>
      </c>
      <c r="E289" s="6"/>
      <c r="F289" s="6">
        <v>4350</v>
      </c>
      <c r="G289" s="8"/>
      <c r="H289" s="8">
        <v>0</v>
      </c>
      <c r="I289" s="8">
        <v>0</v>
      </c>
      <c r="J289" s="8">
        <v>0</v>
      </c>
      <c r="K289" s="8">
        <v>0</v>
      </c>
    </row>
    <row r="290" spans="1:11" x14ac:dyDescent="0.2">
      <c r="A290" s="8">
        <v>1994</v>
      </c>
      <c r="B290" s="1" t="s">
        <v>1750</v>
      </c>
      <c r="C290" s="1">
        <v>13</v>
      </c>
      <c r="D290" s="6" t="s">
        <v>425</v>
      </c>
      <c r="E290" s="6"/>
      <c r="F290" s="6">
        <v>4350</v>
      </c>
      <c r="G290" s="8"/>
      <c r="H290" s="8">
        <v>0</v>
      </c>
      <c r="I290" s="8">
        <v>0</v>
      </c>
      <c r="J290" s="8">
        <v>0</v>
      </c>
      <c r="K290" s="8">
        <v>0</v>
      </c>
    </row>
    <row r="291" spans="1:11" x14ac:dyDescent="0.2">
      <c r="A291" s="8">
        <v>1994</v>
      </c>
      <c r="B291" s="1" t="s">
        <v>1750</v>
      </c>
      <c r="C291" s="1">
        <v>14</v>
      </c>
      <c r="D291" s="6" t="s">
        <v>425</v>
      </c>
      <c r="E291" s="6"/>
      <c r="F291" s="6">
        <v>4350</v>
      </c>
      <c r="G291" s="8"/>
      <c r="H291" s="8">
        <v>0</v>
      </c>
      <c r="I291" s="8">
        <v>0</v>
      </c>
      <c r="J291" s="8">
        <v>0</v>
      </c>
      <c r="K291" s="8">
        <v>0</v>
      </c>
    </row>
    <row r="292" spans="1:11" x14ac:dyDescent="0.2">
      <c r="A292" s="8">
        <v>1994</v>
      </c>
      <c r="B292" s="1" t="s">
        <v>1750</v>
      </c>
      <c r="C292" s="1">
        <v>15</v>
      </c>
      <c r="D292" s="6" t="s">
        <v>425</v>
      </c>
      <c r="E292" s="6"/>
      <c r="F292" s="6">
        <v>4350</v>
      </c>
      <c r="G292" s="8"/>
      <c r="H292" s="8">
        <v>0</v>
      </c>
      <c r="I292" s="8">
        <v>0</v>
      </c>
      <c r="J292" s="8">
        <v>0</v>
      </c>
      <c r="K292" s="8">
        <v>0</v>
      </c>
    </row>
    <row r="293" spans="1:11" x14ac:dyDescent="0.2">
      <c r="A293" s="8">
        <v>1994</v>
      </c>
      <c r="B293" s="1" t="s">
        <v>1750</v>
      </c>
      <c r="C293" s="1">
        <v>16</v>
      </c>
      <c r="D293" s="6" t="s">
        <v>425</v>
      </c>
      <c r="E293" s="6"/>
      <c r="F293" s="6">
        <v>4350</v>
      </c>
      <c r="G293" s="8"/>
      <c r="H293" s="8">
        <v>0</v>
      </c>
      <c r="I293" s="8">
        <v>0</v>
      </c>
      <c r="J293" s="8">
        <v>0</v>
      </c>
      <c r="K293" s="8">
        <v>0</v>
      </c>
    </row>
    <row r="294" spans="1:11" x14ac:dyDescent="0.2">
      <c r="A294" s="8">
        <v>1994</v>
      </c>
      <c r="B294" s="1" t="s">
        <v>1750</v>
      </c>
      <c r="C294" s="1">
        <v>17</v>
      </c>
      <c r="D294" s="6" t="s">
        <v>425</v>
      </c>
      <c r="E294" s="6"/>
      <c r="F294" s="6">
        <v>4350</v>
      </c>
      <c r="G294" s="8"/>
      <c r="H294" s="8">
        <v>0</v>
      </c>
      <c r="I294" s="8">
        <v>0</v>
      </c>
      <c r="J294" s="8">
        <v>0</v>
      </c>
      <c r="K294" s="8">
        <v>0</v>
      </c>
    </row>
    <row r="295" spans="1:11" x14ac:dyDescent="0.2">
      <c r="A295" s="8">
        <v>1994</v>
      </c>
      <c r="B295" s="1" t="s">
        <v>1750</v>
      </c>
      <c r="C295" s="1">
        <v>18</v>
      </c>
      <c r="D295" s="6" t="s">
        <v>135</v>
      </c>
      <c r="E295" s="6"/>
      <c r="F295" s="7">
        <v>4600</v>
      </c>
      <c r="G295" s="8"/>
      <c r="H295" s="8">
        <v>0</v>
      </c>
      <c r="I295" s="8">
        <v>0</v>
      </c>
      <c r="J295" s="8">
        <v>0</v>
      </c>
      <c r="K295" s="8">
        <v>0</v>
      </c>
    </row>
    <row r="296" spans="1:11" x14ac:dyDescent="0.2">
      <c r="A296" s="8">
        <v>1994</v>
      </c>
      <c r="B296" s="1" t="s">
        <v>1750</v>
      </c>
      <c r="C296" s="1">
        <v>19</v>
      </c>
      <c r="D296" s="6" t="s">
        <v>139</v>
      </c>
      <c r="E296" s="6"/>
      <c r="F296" s="7">
        <v>4800</v>
      </c>
      <c r="G296" s="8"/>
      <c r="H296" s="8">
        <v>0</v>
      </c>
      <c r="I296" s="8">
        <v>0</v>
      </c>
      <c r="J296" s="8">
        <v>0</v>
      </c>
      <c r="K296" s="8">
        <v>0</v>
      </c>
    </row>
    <row r="297" spans="1:11" x14ac:dyDescent="0.2">
      <c r="A297" s="8">
        <v>1994</v>
      </c>
      <c r="B297" s="1" t="s">
        <v>1750</v>
      </c>
      <c r="C297" s="1">
        <v>20</v>
      </c>
      <c r="D297" s="6" t="s">
        <v>141</v>
      </c>
      <c r="E297" s="6"/>
      <c r="F297" s="7">
        <v>4900</v>
      </c>
      <c r="G297" s="8"/>
      <c r="H297" s="8">
        <v>0</v>
      </c>
      <c r="I297" s="8">
        <v>0</v>
      </c>
      <c r="J297" s="8">
        <v>0</v>
      </c>
      <c r="K297" s="8">
        <v>0</v>
      </c>
    </row>
    <row r="298" spans="1:11" x14ac:dyDescent="0.2">
      <c r="A298" s="8">
        <v>1994</v>
      </c>
      <c r="B298" s="1" t="s">
        <v>1750</v>
      </c>
      <c r="C298" s="1">
        <v>21</v>
      </c>
      <c r="D298" s="6" t="s">
        <v>143</v>
      </c>
      <c r="E298" s="6"/>
      <c r="F298" s="7">
        <v>5000</v>
      </c>
      <c r="G298" s="8"/>
      <c r="H298" s="8">
        <v>0</v>
      </c>
      <c r="I298" s="8">
        <v>0</v>
      </c>
      <c r="J298" s="8">
        <v>0</v>
      </c>
      <c r="K298" s="8">
        <v>0</v>
      </c>
    </row>
    <row r="299" spans="1:11" x14ac:dyDescent="0.2">
      <c r="A299" s="8">
        <v>1994</v>
      </c>
      <c r="B299" s="1" t="s">
        <v>1750</v>
      </c>
      <c r="C299" s="1">
        <v>22</v>
      </c>
      <c r="D299" s="6" t="s">
        <v>143</v>
      </c>
      <c r="E299" s="6"/>
      <c r="F299" s="7">
        <v>5000</v>
      </c>
      <c r="G299" s="8"/>
      <c r="H299" s="8">
        <v>0</v>
      </c>
      <c r="I299" s="8">
        <v>0</v>
      </c>
      <c r="J299" s="8">
        <v>0</v>
      </c>
      <c r="K299" s="8">
        <v>0</v>
      </c>
    </row>
    <row r="300" spans="1:11" x14ac:dyDescent="0.2">
      <c r="A300" s="8">
        <v>1994</v>
      </c>
      <c r="B300" s="1" t="s">
        <v>1750</v>
      </c>
      <c r="C300" s="1">
        <v>23</v>
      </c>
      <c r="D300" s="6" t="s">
        <v>145</v>
      </c>
      <c r="E300" s="6"/>
      <c r="F300" s="7">
        <v>5050</v>
      </c>
      <c r="G300" s="8"/>
      <c r="H300" s="8">
        <v>0</v>
      </c>
      <c r="I300" s="8">
        <v>0</v>
      </c>
      <c r="J300" s="8">
        <v>0</v>
      </c>
      <c r="K300" s="8">
        <v>0</v>
      </c>
    </row>
    <row r="301" spans="1:11" x14ac:dyDescent="0.2">
      <c r="A301" s="8">
        <v>1994</v>
      </c>
      <c r="B301" s="1" t="s">
        <v>1750</v>
      </c>
      <c r="C301" s="1">
        <v>24</v>
      </c>
      <c r="D301" s="6" t="s">
        <v>149</v>
      </c>
      <c r="E301" s="6"/>
      <c r="F301" s="7">
        <v>5150</v>
      </c>
      <c r="G301" s="8"/>
      <c r="H301" s="8">
        <v>0</v>
      </c>
      <c r="I301" s="8">
        <v>0</v>
      </c>
      <c r="J301" s="8">
        <v>0</v>
      </c>
      <c r="K301" s="8">
        <v>0</v>
      </c>
    </row>
    <row r="302" spans="1:11" x14ac:dyDescent="0.2">
      <c r="A302" s="8">
        <v>1994</v>
      </c>
      <c r="B302" s="1" t="s">
        <v>1750</v>
      </c>
      <c r="C302" s="1">
        <v>25</v>
      </c>
      <c r="D302" s="6" t="s">
        <v>239</v>
      </c>
      <c r="E302" s="6"/>
      <c r="F302" s="6">
        <v>5100</v>
      </c>
      <c r="G302" s="8"/>
      <c r="H302" s="8">
        <v>0</v>
      </c>
      <c r="I302" s="8">
        <v>0</v>
      </c>
      <c r="J302" s="8">
        <v>0</v>
      </c>
      <c r="K302" s="8">
        <v>0</v>
      </c>
    </row>
    <row r="303" spans="1:11" x14ac:dyDescent="0.2">
      <c r="A303" s="8">
        <v>1994</v>
      </c>
      <c r="B303" s="1" t="s">
        <v>1750</v>
      </c>
      <c r="C303" s="1">
        <v>26</v>
      </c>
      <c r="D303" s="6" t="s">
        <v>229</v>
      </c>
      <c r="E303" s="6"/>
      <c r="F303" s="6">
        <v>5900</v>
      </c>
      <c r="G303" s="8"/>
      <c r="H303" s="8">
        <v>0</v>
      </c>
      <c r="I303" s="8">
        <v>0</v>
      </c>
      <c r="J303" s="8">
        <v>0</v>
      </c>
      <c r="K303" s="8">
        <v>0</v>
      </c>
    </row>
    <row r="304" spans="1:11" x14ac:dyDescent="0.2">
      <c r="A304" s="8">
        <v>1994</v>
      </c>
      <c r="B304" s="1" t="s">
        <v>1750</v>
      </c>
      <c r="C304" s="1">
        <v>27</v>
      </c>
      <c r="D304" s="6" t="s">
        <v>212</v>
      </c>
      <c r="E304" s="6"/>
      <c r="F304" s="6">
        <v>6400</v>
      </c>
      <c r="G304" s="8"/>
      <c r="H304" s="8">
        <v>0</v>
      </c>
      <c r="I304" s="8">
        <v>0</v>
      </c>
      <c r="J304" s="8">
        <v>0</v>
      </c>
      <c r="K304" s="8">
        <v>0</v>
      </c>
    </row>
    <row r="305" spans="1:11" x14ac:dyDescent="0.2">
      <c r="A305" s="8">
        <v>1994</v>
      </c>
      <c r="B305" s="1" t="s">
        <v>1750</v>
      </c>
      <c r="C305" s="1">
        <v>28</v>
      </c>
      <c r="D305" s="6" t="s">
        <v>177</v>
      </c>
      <c r="E305" s="6"/>
      <c r="F305" s="6">
        <v>6500</v>
      </c>
      <c r="G305" s="8"/>
      <c r="H305" s="8">
        <v>0</v>
      </c>
      <c r="I305" s="8">
        <v>0</v>
      </c>
      <c r="J305" s="8">
        <v>0</v>
      </c>
      <c r="K305" s="8">
        <v>0</v>
      </c>
    </row>
    <row r="306" spans="1:11" x14ac:dyDescent="0.2">
      <c r="A306" s="8">
        <v>1994</v>
      </c>
      <c r="B306" s="1" t="s">
        <v>1750</v>
      </c>
      <c r="C306" s="1">
        <v>29</v>
      </c>
      <c r="D306" s="6" t="s">
        <v>3</v>
      </c>
      <c r="E306" s="6"/>
      <c r="F306" s="6">
        <v>7400</v>
      </c>
      <c r="G306" s="8"/>
      <c r="H306" s="8">
        <v>0</v>
      </c>
      <c r="I306" s="8">
        <v>0</v>
      </c>
      <c r="J306" s="8">
        <v>0</v>
      </c>
      <c r="K306" s="8">
        <v>0</v>
      </c>
    </row>
    <row r="307" spans="1:11" x14ac:dyDescent="0.2">
      <c r="A307" s="8">
        <v>1994</v>
      </c>
      <c r="B307" s="1" t="s">
        <v>1750</v>
      </c>
      <c r="C307" s="1">
        <v>30</v>
      </c>
      <c r="D307" s="6" t="s">
        <v>112</v>
      </c>
      <c r="E307" s="6"/>
      <c r="F307" s="6">
        <v>7500</v>
      </c>
      <c r="G307" s="8"/>
      <c r="H307" s="8">
        <v>0</v>
      </c>
      <c r="I307" s="8">
        <v>0</v>
      </c>
      <c r="J307" s="8">
        <v>0</v>
      </c>
      <c r="K307" s="8">
        <v>0</v>
      </c>
    </row>
    <row r="308" spans="1:11" x14ac:dyDescent="0.2">
      <c r="A308" s="8">
        <v>1994</v>
      </c>
      <c r="B308" s="1" t="s">
        <v>1750</v>
      </c>
      <c r="C308" s="1">
        <v>31</v>
      </c>
      <c r="D308" s="6" t="s">
        <v>112</v>
      </c>
      <c r="E308" s="6"/>
      <c r="F308" s="6">
        <v>7500</v>
      </c>
      <c r="G308" s="8"/>
      <c r="H308" s="8">
        <v>0</v>
      </c>
      <c r="I308" s="8">
        <v>0</v>
      </c>
      <c r="J308" s="8">
        <v>0</v>
      </c>
      <c r="K308" s="8">
        <v>0</v>
      </c>
    </row>
    <row r="309" spans="1:11" x14ac:dyDescent="0.2">
      <c r="A309" s="8">
        <v>1994</v>
      </c>
      <c r="B309" s="1" t="s">
        <v>32</v>
      </c>
      <c r="C309" s="1">
        <v>1</v>
      </c>
      <c r="D309" s="6" t="s">
        <v>102</v>
      </c>
      <c r="E309" s="6"/>
      <c r="F309" s="7">
        <v>7600</v>
      </c>
      <c r="G309" s="8"/>
      <c r="H309" s="8">
        <v>0</v>
      </c>
      <c r="I309" s="8">
        <v>0</v>
      </c>
      <c r="J309" s="8">
        <v>0</v>
      </c>
      <c r="K309" s="8">
        <v>0</v>
      </c>
    </row>
    <row r="310" spans="1:11" x14ac:dyDescent="0.2">
      <c r="A310" s="8">
        <v>1994</v>
      </c>
      <c r="B310" s="1" t="s">
        <v>32</v>
      </c>
      <c r="C310" s="1">
        <v>2</v>
      </c>
      <c r="D310" s="6" t="s">
        <v>100</v>
      </c>
      <c r="E310" s="6"/>
      <c r="F310" s="7">
        <v>7700</v>
      </c>
      <c r="G310" s="8"/>
      <c r="H310" s="8">
        <v>0</v>
      </c>
      <c r="I310" s="8">
        <v>0</v>
      </c>
      <c r="J310" s="8">
        <v>0</v>
      </c>
      <c r="K310" s="8">
        <v>0</v>
      </c>
    </row>
    <row r="311" spans="1:11" x14ac:dyDescent="0.2">
      <c r="A311" s="8">
        <v>1994</v>
      </c>
      <c r="B311" s="1" t="s">
        <v>32</v>
      </c>
      <c r="C311" s="1">
        <v>3</v>
      </c>
      <c r="D311" s="6" t="s">
        <v>511</v>
      </c>
      <c r="E311" s="6"/>
      <c r="F311" s="7">
        <v>7800</v>
      </c>
      <c r="G311" s="8"/>
      <c r="H311" s="8">
        <v>0</v>
      </c>
      <c r="I311" s="8">
        <v>0</v>
      </c>
      <c r="J311" s="8">
        <v>0</v>
      </c>
      <c r="K311" s="8">
        <v>0</v>
      </c>
    </row>
    <row r="312" spans="1:11" x14ac:dyDescent="0.2">
      <c r="A312" s="8">
        <v>1994</v>
      </c>
      <c r="B312" s="1" t="s">
        <v>32</v>
      </c>
      <c r="C312" s="1">
        <v>4</v>
      </c>
      <c r="D312" s="6" t="s">
        <v>5</v>
      </c>
      <c r="E312" s="6"/>
      <c r="F312" s="7">
        <v>8000</v>
      </c>
      <c r="G312" s="8"/>
      <c r="H312" s="8">
        <v>0</v>
      </c>
      <c r="I312" s="8">
        <v>0</v>
      </c>
      <c r="J312" s="8">
        <v>0</v>
      </c>
      <c r="K312" s="8">
        <v>0</v>
      </c>
    </row>
    <row r="313" spans="1:11" x14ac:dyDescent="0.2">
      <c r="A313" s="8">
        <v>1994</v>
      </c>
      <c r="B313" s="1" t="s">
        <v>32</v>
      </c>
      <c r="C313" s="1">
        <v>5</v>
      </c>
      <c r="D313" s="6" t="s">
        <v>94</v>
      </c>
      <c r="E313" s="6"/>
      <c r="F313" s="6" t="s">
        <v>101</v>
      </c>
      <c r="G313" s="8"/>
      <c r="H313" s="8">
        <v>0</v>
      </c>
      <c r="I313" s="8">
        <v>0</v>
      </c>
      <c r="J313" s="8">
        <v>0</v>
      </c>
      <c r="K313" s="8">
        <v>0</v>
      </c>
    </row>
    <row r="314" spans="1:11" x14ac:dyDescent="0.2">
      <c r="A314" s="8">
        <v>1994</v>
      </c>
      <c r="B314" s="1" t="s">
        <v>32</v>
      </c>
      <c r="C314" s="1">
        <v>6</v>
      </c>
      <c r="D314" s="6" t="s">
        <v>90</v>
      </c>
      <c r="E314" s="6"/>
      <c r="F314" s="6" t="s">
        <v>977</v>
      </c>
      <c r="G314" s="8"/>
      <c r="H314" s="8">
        <v>0</v>
      </c>
      <c r="I314" s="8">
        <v>0</v>
      </c>
      <c r="J314" s="8">
        <v>0</v>
      </c>
      <c r="K314" s="8">
        <v>0</v>
      </c>
    </row>
    <row r="315" spans="1:11" x14ac:dyDescent="0.2">
      <c r="A315" s="8">
        <v>1994</v>
      </c>
      <c r="B315" s="1" t="s">
        <v>32</v>
      </c>
      <c r="C315" s="1">
        <v>7</v>
      </c>
      <c r="D315" s="6" t="s">
        <v>86</v>
      </c>
      <c r="E315" s="6"/>
      <c r="F315" s="6" t="s">
        <v>909</v>
      </c>
      <c r="G315" s="8"/>
      <c r="H315" s="8">
        <v>0</v>
      </c>
      <c r="I315" s="8">
        <v>0</v>
      </c>
      <c r="J315" s="8">
        <v>0</v>
      </c>
      <c r="K315" s="8">
        <v>0</v>
      </c>
    </row>
    <row r="316" spans="1:11" x14ac:dyDescent="0.2">
      <c r="A316" s="8">
        <v>1994</v>
      </c>
      <c r="B316" s="1" t="s">
        <v>32</v>
      </c>
      <c r="C316" s="1">
        <v>8</v>
      </c>
      <c r="D316" s="6" t="s">
        <v>72</v>
      </c>
      <c r="E316" s="6"/>
      <c r="F316" s="7">
        <v>9200</v>
      </c>
      <c r="G316" s="8"/>
      <c r="H316" s="8">
        <v>0</v>
      </c>
      <c r="I316" s="8">
        <v>0</v>
      </c>
      <c r="J316" s="8">
        <v>0</v>
      </c>
      <c r="K316" s="8">
        <v>0</v>
      </c>
    </row>
    <row r="317" spans="1:11" x14ac:dyDescent="0.2">
      <c r="A317" s="8">
        <v>1994</v>
      </c>
      <c r="B317" s="1" t="s">
        <v>32</v>
      </c>
      <c r="C317" s="1">
        <v>9</v>
      </c>
      <c r="D317" s="6" t="s">
        <v>395</v>
      </c>
      <c r="E317" s="6"/>
      <c r="F317" s="7">
        <v>10400</v>
      </c>
      <c r="G317" s="8"/>
      <c r="H317" s="8">
        <v>0</v>
      </c>
      <c r="I317" s="8">
        <v>0</v>
      </c>
      <c r="J317" s="8">
        <v>0</v>
      </c>
      <c r="K317" s="8">
        <v>0</v>
      </c>
    </row>
    <row r="318" spans="1:11" x14ac:dyDescent="0.2">
      <c r="A318" s="8">
        <v>1994</v>
      </c>
      <c r="B318" s="1" t="s">
        <v>32</v>
      </c>
      <c r="C318" s="1">
        <v>10</v>
      </c>
      <c r="D318" s="6" t="s">
        <v>508</v>
      </c>
      <c r="E318" s="6"/>
      <c r="F318" s="7">
        <v>10800</v>
      </c>
      <c r="G318" s="8"/>
      <c r="H318" s="8">
        <v>0</v>
      </c>
      <c r="I318" s="8">
        <v>0</v>
      </c>
      <c r="J318" s="8">
        <v>0</v>
      </c>
      <c r="K318" s="8">
        <v>0</v>
      </c>
    </row>
    <row r="319" spans="1:11" x14ac:dyDescent="0.2">
      <c r="A319" s="8">
        <v>1994</v>
      </c>
      <c r="B319" s="1" t="s">
        <v>32</v>
      </c>
      <c r="C319" s="1">
        <v>11</v>
      </c>
      <c r="D319" s="6" t="s">
        <v>11</v>
      </c>
      <c r="E319" s="6"/>
      <c r="F319" s="7">
        <v>11300</v>
      </c>
      <c r="G319" s="8"/>
      <c r="H319" s="8">
        <v>0</v>
      </c>
      <c r="I319" s="8">
        <v>0</v>
      </c>
      <c r="J319" s="8">
        <v>0</v>
      </c>
      <c r="K319" s="8">
        <v>0</v>
      </c>
    </row>
    <row r="320" spans="1:11" x14ac:dyDescent="0.2">
      <c r="A320" s="8">
        <v>1994</v>
      </c>
      <c r="B320" s="1" t="s">
        <v>32</v>
      </c>
      <c r="C320" s="1">
        <v>12</v>
      </c>
      <c r="D320" s="6" t="s">
        <v>515</v>
      </c>
      <c r="E320" s="6"/>
      <c r="F320" s="7">
        <v>11600</v>
      </c>
      <c r="G320" s="8"/>
      <c r="H320" s="8">
        <v>0</v>
      </c>
      <c r="I320" s="8">
        <v>0</v>
      </c>
      <c r="J320" s="8">
        <v>0</v>
      </c>
      <c r="K320" s="8">
        <v>0</v>
      </c>
    </row>
    <row r="321" spans="1:11" x14ac:dyDescent="0.2">
      <c r="A321" s="8">
        <v>1994</v>
      </c>
      <c r="B321" s="1" t="s">
        <v>32</v>
      </c>
      <c r="C321" s="1">
        <v>13</v>
      </c>
      <c r="D321" s="6" t="s">
        <v>387</v>
      </c>
      <c r="E321" s="6"/>
      <c r="F321" s="6">
        <v>12800</v>
      </c>
      <c r="G321" s="8"/>
      <c r="H321" s="8">
        <v>0</v>
      </c>
      <c r="I321" s="8">
        <v>0</v>
      </c>
      <c r="J321" s="8">
        <v>0</v>
      </c>
      <c r="K321" s="8">
        <v>0</v>
      </c>
    </row>
    <row r="322" spans="1:11" x14ac:dyDescent="0.2">
      <c r="A322" s="8">
        <v>1994</v>
      </c>
      <c r="B322" s="1" t="s">
        <v>32</v>
      </c>
      <c r="C322" s="1">
        <v>14</v>
      </c>
      <c r="D322" s="6" t="s">
        <v>384</v>
      </c>
      <c r="E322" s="6"/>
      <c r="F322" s="6">
        <v>13600</v>
      </c>
      <c r="G322" s="8"/>
      <c r="H322" s="8">
        <v>0</v>
      </c>
      <c r="I322" s="8">
        <v>0</v>
      </c>
      <c r="J322" s="8">
        <v>0</v>
      </c>
      <c r="K322" s="8">
        <v>0</v>
      </c>
    </row>
    <row r="323" spans="1:11" x14ac:dyDescent="0.2">
      <c r="A323" s="8">
        <v>1994</v>
      </c>
      <c r="B323" s="1" t="s">
        <v>32</v>
      </c>
      <c r="C323" s="1">
        <v>15</v>
      </c>
      <c r="D323" s="6" t="s">
        <v>505</v>
      </c>
      <c r="E323" s="6"/>
      <c r="F323" s="7">
        <v>14000</v>
      </c>
      <c r="G323" s="8"/>
      <c r="H323" s="8">
        <v>0</v>
      </c>
      <c r="I323" s="8">
        <v>0</v>
      </c>
      <c r="J323" s="8">
        <v>0</v>
      </c>
      <c r="K323" s="8">
        <v>0</v>
      </c>
    </row>
    <row r="324" spans="1:11" x14ac:dyDescent="0.2">
      <c r="A324" s="8">
        <v>1994</v>
      </c>
      <c r="B324" s="1" t="s">
        <v>32</v>
      </c>
      <c r="C324" s="1">
        <v>16</v>
      </c>
      <c r="D324" s="6" t="s">
        <v>504</v>
      </c>
      <c r="E324" s="6"/>
      <c r="F324" s="7">
        <v>14400</v>
      </c>
      <c r="G324" s="8"/>
      <c r="H324" s="8">
        <v>0</v>
      </c>
      <c r="I324" s="8">
        <v>0</v>
      </c>
      <c r="J324" s="8">
        <v>0</v>
      </c>
      <c r="K324" s="8">
        <v>0</v>
      </c>
    </row>
    <row r="325" spans="1:11" x14ac:dyDescent="0.2">
      <c r="A325" s="8">
        <v>1994</v>
      </c>
      <c r="B325" s="1" t="s">
        <v>32</v>
      </c>
      <c r="C325" s="1">
        <v>17</v>
      </c>
      <c r="D325" s="6" t="s">
        <v>380</v>
      </c>
      <c r="E325" s="6"/>
      <c r="F325" s="7">
        <v>14740</v>
      </c>
      <c r="G325" s="8"/>
      <c r="H325" s="8">
        <v>0</v>
      </c>
      <c r="I325" s="8">
        <v>0</v>
      </c>
      <c r="J325" s="8">
        <v>0</v>
      </c>
      <c r="K325" s="8">
        <v>0</v>
      </c>
    </row>
    <row r="326" spans="1:11" x14ac:dyDescent="0.2">
      <c r="A326" s="8">
        <v>1994</v>
      </c>
      <c r="B326" s="1" t="s">
        <v>32</v>
      </c>
      <c r="C326" s="1">
        <v>18</v>
      </c>
      <c r="D326" s="6" t="s">
        <v>512</v>
      </c>
      <c r="E326" s="6"/>
      <c r="F326" s="7">
        <v>15000</v>
      </c>
      <c r="G326" s="8"/>
      <c r="H326" s="8">
        <v>0</v>
      </c>
      <c r="I326" s="8">
        <v>0</v>
      </c>
      <c r="J326" s="8">
        <v>0</v>
      </c>
      <c r="K326" s="8">
        <v>0</v>
      </c>
    </row>
    <row r="327" spans="1:11" x14ac:dyDescent="0.2">
      <c r="A327" s="8">
        <v>1994</v>
      </c>
      <c r="B327" s="1" t="s">
        <v>32</v>
      </c>
      <c r="C327" s="1">
        <v>19</v>
      </c>
      <c r="D327" s="6" t="s">
        <v>316</v>
      </c>
      <c r="E327" s="6"/>
      <c r="F327" s="7">
        <v>15200</v>
      </c>
      <c r="G327" s="8"/>
      <c r="H327" s="8">
        <v>0</v>
      </c>
      <c r="I327" s="8">
        <v>0</v>
      </c>
      <c r="J327" s="8">
        <v>0</v>
      </c>
      <c r="K327" s="8">
        <v>0</v>
      </c>
    </row>
    <row r="328" spans="1:11" x14ac:dyDescent="0.2">
      <c r="A328" s="8">
        <v>1994</v>
      </c>
      <c r="B328" s="1" t="s">
        <v>32</v>
      </c>
      <c r="C328" s="1">
        <v>20</v>
      </c>
      <c r="D328" s="6" t="s">
        <v>516</v>
      </c>
      <c r="E328" s="6"/>
      <c r="F328" s="7">
        <v>15400</v>
      </c>
      <c r="G328" s="8"/>
      <c r="H328" s="8">
        <v>0</v>
      </c>
      <c r="I328" s="8">
        <v>0</v>
      </c>
      <c r="J328" s="8">
        <v>0</v>
      </c>
      <c r="K328" s="8">
        <v>0</v>
      </c>
    </row>
    <row r="329" spans="1:11" x14ac:dyDescent="0.2">
      <c r="A329" s="8">
        <v>1994</v>
      </c>
      <c r="B329" s="1" t="s">
        <v>32</v>
      </c>
      <c r="C329" s="1">
        <v>21</v>
      </c>
      <c r="D329" s="6" t="s">
        <v>334</v>
      </c>
      <c r="E329" s="6"/>
      <c r="F329" s="7">
        <v>15500</v>
      </c>
      <c r="G329" s="8"/>
      <c r="H329" s="8">
        <v>0</v>
      </c>
      <c r="I329" s="8">
        <v>0</v>
      </c>
      <c r="J329" s="8">
        <v>0</v>
      </c>
      <c r="K329" s="8">
        <v>0</v>
      </c>
    </row>
    <row r="330" spans="1:11" x14ac:dyDescent="0.2">
      <c r="A330" s="8">
        <v>1994</v>
      </c>
      <c r="B330" s="1" t="s">
        <v>32</v>
      </c>
      <c r="C330" s="1">
        <v>22</v>
      </c>
      <c r="D330" s="6" t="s">
        <v>334</v>
      </c>
      <c r="E330" s="6"/>
      <c r="F330" s="7">
        <v>15500</v>
      </c>
      <c r="G330" s="8"/>
      <c r="H330" s="8">
        <v>0</v>
      </c>
      <c r="I330" s="8">
        <v>0</v>
      </c>
      <c r="J330" s="8">
        <v>0</v>
      </c>
      <c r="K330" s="8">
        <v>0</v>
      </c>
    </row>
    <row r="331" spans="1:11" x14ac:dyDescent="0.2">
      <c r="A331" s="8">
        <v>1994</v>
      </c>
      <c r="B331" s="1" t="s">
        <v>32</v>
      </c>
      <c r="C331" s="1">
        <v>23</v>
      </c>
      <c r="D331" s="6" t="s">
        <v>502</v>
      </c>
      <c r="E331" s="6"/>
      <c r="F331" s="7">
        <v>15150</v>
      </c>
      <c r="G331" s="8"/>
      <c r="H331" s="8">
        <v>0</v>
      </c>
      <c r="I331" s="8">
        <v>0</v>
      </c>
      <c r="J331" s="8">
        <v>0</v>
      </c>
      <c r="K331" s="8">
        <v>0</v>
      </c>
    </row>
    <row r="332" spans="1:11" x14ac:dyDescent="0.2">
      <c r="A332" s="8">
        <v>1994</v>
      </c>
      <c r="B332" s="1" t="s">
        <v>32</v>
      </c>
      <c r="C332" s="1">
        <v>24</v>
      </c>
      <c r="D332" s="6" t="s">
        <v>502</v>
      </c>
      <c r="E332" s="6"/>
      <c r="F332" s="7">
        <v>15150</v>
      </c>
      <c r="G332" s="8"/>
      <c r="H332" s="8">
        <v>0</v>
      </c>
      <c r="I332" s="8">
        <v>0</v>
      </c>
      <c r="J332" s="8">
        <v>0</v>
      </c>
      <c r="K332" s="8">
        <v>0</v>
      </c>
    </row>
    <row r="333" spans="1:11" x14ac:dyDescent="0.2">
      <c r="A333" s="8">
        <v>1994</v>
      </c>
      <c r="B333" s="1" t="s">
        <v>32</v>
      </c>
      <c r="C333" s="1">
        <v>25</v>
      </c>
      <c r="D333" s="6" t="s">
        <v>502</v>
      </c>
      <c r="E333" s="6"/>
      <c r="F333" s="7">
        <v>15150</v>
      </c>
      <c r="G333" s="8"/>
      <c r="H333" s="8">
        <v>0</v>
      </c>
      <c r="I333" s="8">
        <v>0</v>
      </c>
      <c r="J333" s="8">
        <v>0</v>
      </c>
      <c r="K333" s="8">
        <v>0</v>
      </c>
    </row>
    <row r="334" spans="1:11" x14ac:dyDescent="0.2">
      <c r="A334" s="8">
        <v>1994</v>
      </c>
      <c r="B334" s="1" t="s">
        <v>32</v>
      </c>
      <c r="C334" s="1">
        <v>26</v>
      </c>
      <c r="D334" s="6" t="s">
        <v>513</v>
      </c>
      <c r="E334" s="6"/>
      <c r="F334" s="7">
        <v>16000</v>
      </c>
      <c r="G334" s="8"/>
      <c r="H334" s="8">
        <v>0</v>
      </c>
      <c r="I334" s="8">
        <v>0</v>
      </c>
      <c r="J334" s="8">
        <v>0</v>
      </c>
      <c r="K334" s="8">
        <v>0</v>
      </c>
    </row>
    <row r="335" spans="1:11" x14ac:dyDescent="0.2">
      <c r="A335" s="8">
        <v>1994</v>
      </c>
      <c r="B335" s="1" t="s">
        <v>32</v>
      </c>
      <c r="C335" s="1">
        <v>27</v>
      </c>
      <c r="D335" s="6" t="s">
        <v>335</v>
      </c>
      <c r="E335" s="6"/>
      <c r="F335" s="7">
        <v>16400</v>
      </c>
      <c r="G335" s="8"/>
      <c r="H335" s="8">
        <v>0</v>
      </c>
      <c r="I335" s="8">
        <v>0</v>
      </c>
      <c r="J335" s="8">
        <v>0</v>
      </c>
      <c r="K335" s="8">
        <v>0</v>
      </c>
    </row>
    <row r="336" spans="1:11" x14ac:dyDescent="0.2">
      <c r="A336" s="8">
        <v>1994</v>
      </c>
      <c r="B336" s="1" t="s">
        <v>32</v>
      </c>
      <c r="C336" s="1">
        <v>28</v>
      </c>
      <c r="D336" s="6" t="s">
        <v>501</v>
      </c>
      <c r="E336" s="6"/>
      <c r="F336" s="7">
        <v>16500</v>
      </c>
      <c r="G336" s="8"/>
      <c r="H336" s="8">
        <v>0</v>
      </c>
      <c r="I336" s="8">
        <v>0</v>
      </c>
      <c r="J336" s="8">
        <v>0</v>
      </c>
      <c r="K336" s="8">
        <v>0</v>
      </c>
    </row>
    <row r="337" spans="1:11" x14ac:dyDescent="0.2">
      <c r="A337" s="8">
        <v>1994</v>
      </c>
      <c r="B337" s="1" t="s">
        <v>32</v>
      </c>
      <c r="C337" s="1">
        <v>29</v>
      </c>
      <c r="D337" s="6" t="s">
        <v>336</v>
      </c>
      <c r="E337" s="6"/>
      <c r="F337" s="6">
        <v>16700</v>
      </c>
      <c r="G337" s="8"/>
      <c r="H337" s="8">
        <v>0</v>
      </c>
      <c r="I337" s="8">
        <v>0</v>
      </c>
      <c r="J337" s="8">
        <v>0</v>
      </c>
      <c r="K337" s="8">
        <v>0</v>
      </c>
    </row>
    <row r="338" spans="1:11" x14ac:dyDescent="0.2">
      <c r="A338" s="8">
        <v>1994</v>
      </c>
      <c r="B338" s="1" t="s">
        <v>32</v>
      </c>
      <c r="C338" s="1">
        <v>30</v>
      </c>
      <c r="D338" s="6" t="s">
        <v>338</v>
      </c>
      <c r="E338" s="6"/>
      <c r="F338" s="6">
        <v>17500</v>
      </c>
      <c r="G338" s="8"/>
      <c r="H338" s="8">
        <v>0</v>
      </c>
      <c r="I338" s="8">
        <v>0</v>
      </c>
      <c r="J338" s="8">
        <v>0</v>
      </c>
      <c r="K338" s="8">
        <v>0</v>
      </c>
    </row>
    <row r="339" spans="1:11" x14ac:dyDescent="0.2">
      <c r="A339" s="8">
        <v>1994</v>
      </c>
      <c r="B339" s="1" t="s">
        <v>33</v>
      </c>
      <c r="C339" s="1">
        <v>1</v>
      </c>
      <c r="D339" s="6" t="s">
        <v>341</v>
      </c>
      <c r="E339" s="6"/>
      <c r="F339" s="6">
        <v>18250</v>
      </c>
      <c r="G339" s="7"/>
      <c r="H339" s="8">
        <v>20</v>
      </c>
      <c r="I339" s="8">
        <v>0</v>
      </c>
      <c r="J339" s="7" t="s">
        <v>765</v>
      </c>
      <c r="K339" s="8">
        <v>0</v>
      </c>
    </row>
    <row r="340" spans="1:11" x14ac:dyDescent="0.2">
      <c r="A340" s="8">
        <v>1994</v>
      </c>
      <c r="B340" s="1" t="s">
        <v>33</v>
      </c>
      <c r="C340" s="1">
        <v>2</v>
      </c>
      <c r="D340" s="6" t="s">
        <v>494</v>
      </c>
      <c r="E340" s="6"/>
      <c r="F340" s="6">
        <v>19000</v>
      </c>
      <c r="G340" s="7"/>
      <c r="H340" s="8">
        <v>20</v>
      </c>
      <c r="I340" s="8">
        <v>0</v>
      </c>
      <c r="J340" s="7" t="s">
        <v>765</v>
      </c>
      <c r="K340" s="8">
        <v>0</v>
      </c>
    </row>
    <row r="341" spans="1:11" x14ac:dyDescent="0.2">
      <c r="A341" s="8">
        <v>1994</v>
      </c>
      <c r="B341" s="1" t="s">
        <v>33</v>
      </c>
      <c r="C341" s="1">
        <v>3</v>
      </c>
      <c r="D341" s="6" t="s">
        <v>493</v>
      </c>
      <c r="E341" s="6"/>
      <c r="F341" s="6">
        <v>19200</v>
      </c>
      <c r="G341" s="7"/>
      <c r="H341" s="8">
        <v>20</v>
      </c>
      <c r="I341" s="8">
        <v>0</v>
      </c>
      <c r="J341" s="7" t="s">
        <v>765</v>
      </c>
      <c r="K341" s="8">
        <v>0</v>
      </c>
    </row>
    <row r="342" spans="1:11" x14ac:dyDescent="0.2">
      <c r="A342" s="8">
        <v>1994</v>
      </c>
      <c r="B342" s="1" t="s">
        <v>33</v>
      </c>
      <c r="C342" s="1">
        <v>4</v>
      </c>
      <c r="D342" s="6" t="s">
        <v>493</v>
      </c>
      <c r="E342" s="6"/>
      <c r="F342" s="6">
        <v>19200</v>
      </c>
      <c r="G342" s="7"/>
      <c r="H342" s="8">
        <v>20</v>
      </c>
      <c r="I342" s="8">
        <v>0</v>
      </c>
      <c r="J342" s="7" t="s">
        <v>765</v>
      </c>
      <c r="K342" s="8">
        <v>0</v>
      </c>
    </row>
    <row r="343" spans="1:11" x14ac:dyDescent="0.2">
      <c r="A343" s="8">
        <v>1994</v>
      </c>
      <c r="B343" s="1" t="s">
        <v>33</v>
      </c>
      <c r="C343" s="1">
        <v>5</v>
      </c>
      <c r="D343" s="6" t="s">
        <v>493</v>
      </c>
      <c r="E343" s="6"/>
      <c r="F343" s="6">
        <v>19000</v>
      </c>
      <c r="G343" s="7"/>
      <c r="H343" s="8">
        <v>30</v>
      </c>
      <c r="I343" s="8">
        <v>0</v>
      </c>
      <c r="J343" s="7" t="s">
        <v>765</v>
      </c>
      <c r="K343" s="8">
        <v>0</v>
      </c>
    </row>
    <row r="344" spans="1:11" x14ac:dyDescent="0.2">
      <c r="A344" s="8">
        <v>1994</v>
      </c>
      <c r="B344" s="1" t="s">
        <v>33</v>
      </c>
      <c r="C344" s="1">
        <v>6</v>
      </c>
      <c r="D344" s="6" t="s">
        <v>494</v>
      </c>
      <c r="E344" s="6"/>
      <c r="F344" s="6">
        <v>19000</v>
      </c>
      <c r="G344" s="7"/>
      <c r="H344" s="8">
        <v>160</v>
      </c>
      <c r="I344" s="8">
        <v>0</v>
      </c>
      <c r="J344" s="7" t="s">
        <v>765</v>
      </c>
      <c r="K344" s="8">
        <v>0</v>
      </c>
    </row>
    <row r="345" spans="1:11" x14ac:dyDescent="0.2">
      <c r="A345" s="8">
        <v>1994</v>
      </c>
      <c r="B345" s="1" t="s">
        <v>33</v>
      </c>
      <c r="C345" s="1">
        <v>7</v>
      </c>
      <c r="D345" s="6" t="s">
        <v>494</v>
      </c>
      <c r="E345" s="6"/>
      <c r="F345" s="6">
        <v>19000</v>
      </c>
      <c r="G345" s="7"/>
      <c r="H345" s="8">
        <v>160</v>
      </c>
      <c r="I345" s="8">
        <v>0</v>
      </c>
      <c r="J345" s="7" t="s">
        <v>765</v>
      </c>
      <c r="K345" s="8">
        <v>0</v>
      </c>
    </row>
    <row r="346" spans="1:11" x14ac:dyDescent="0.2">
      <c r="A346" s="8">
        <v>1994</v>
      </c>
      <c r="B346" s="1" t="s">
        <v>33</v>
      </c>
      <c r="C346" s="1">
        <v>8</v>
      </c>
      <c r="D346" s="6" t="s">
        <v>495</v>
      </c>
      <c r="E346" s="6"/>
      <c r="F346" s="6">
        <v>18600</v>
      </c>
      <c r="G346" s="7"/>
      <c r="H346" s="8">
        <v>160</v>
      </c>
      <c r="I346" s="8">
        <v>0</v>
      </c>
      <c r="J346" s="7" t="s">
        <v>765</v>
      </c>
      <c r="K346" s="8">
        <v>0</v>
      </c>
    </row>
    <row r="347" spans="1:11" x14ac:dyDescent="0.2">
      <c r="A347" s="8">
        <v>1994</v>
      </c>
      <c r="B347" s="1" t="s">
        <v>33</v>
      </c>
      <c r="C347" s="1">
        <v>9</v>
      </c>
      <c r="D347" s="6" t="s">
        <v>341</v>
      </c>
      <c r="E347" s="6"/>
      <c r="F347" s="6">
        <v>18250</v>
      </c>
      <c r="G347" s="7"/>
      <c r="H347" s="8">
        <v>160</v>
      </c>
      <c r="I347" s="8">
        <v>0</v>
      </c>
      <c r="J347" s="7" t="s">
        <v>765</v>
      </c>
      <c r="K347" s="8">
        <v>0</v>
      </c>
    </row>
    <row r="348" spans="1:11" x14ac:dyDescent="0.2">
      <c r="A348" s="8">
        <v>1994</v>
      </c>
      <c r="B348" s="1" t="s">
        <v>33</v>
      </c>
      <c r="C348" s="1">
        <v>10</v>
      </c>
      <c r="D348" s="6" t="s">
        <v>340</v>
      </c>
      <c r="E348" s="6"/>
      <c r="F348" s="6">
        <v>18000</v>
      </c>
      <c r="G348" s="7"/>
      <c r="H348" s="8">
        <v>160</v>
      </c>
      <c r="I348" s="8">
        <v>0</v>
      </c>
      <c r="J348" s="7" t="s">
        <v>765</v>
      </c>
      <c r="K348" s="8">
        <v>0</v>
      </c>
    </row>
    <row r="349" spans="1:11" x14ac:dyDescent="0.2">
      <c r="A349" s="8">
        <v>1994</v>
      </c>
      <c r="B349" s="1" t="s">
        <v>33</v>
      </c>
      <c r="C349" s="1">
        <v>11</v>
      </c>
      <c r="D349" s="6" t="s">
        <v>339</v>
      </c>
      <c r="E349" s="6"/>
      <c r="F349" s="6">
        <v>17800</v>
      </c>
      <c r="G349" s="7"/>
      <c r="H349" s="8">
        <v>160</v>
      </c>
      <c r="I349" s="8">
        <v>0</v>
      </c>
      <c r="J349" s="7" t="s">
        <v>765</v>
      </c>
      <c r="K349" s="8">
        <v>0</v>
      </c>
    </row>
    <row r="350" spans="1:11" x14ac:dyDescent="0.2">
      <c r="A350" s="8">
        <v>1994</v>
      </c>
      <c r="B350" s="1" t="s">
        <v>33</v>
      </c>
      <c r="C350" s="1">
        <v>12</v>
      </c>
      <c r="D350" s="6" t="s">
        <v>342</v>
      </c>
      <c r="E350" s="6"/>
      <c r="F350" s="6">
        <v>17500</v>
      </c>
      <c r="G350" s="7"/>
      <c r="H350" s="8">
        <v>160</v>
      </c>
      <c r="I350" s="8">
        <v>0</v>
      </c>
      <c r="J350" s="7" t="s">
        <v>765</v>
      </c>
      <c r="K350" s="8">
        <v>0</v>
      </c>
    </row>
    <row r="351" spans="1:11" x14ac:dyDescent="0.2">
      <c r="A351" s="8">
        <v>1994</v>
      </c>
      <c r="B351" s="1" t="s">
        <v>33</v>
      </c>
      <c r="C351" s="1">
        <v>13</v>
      </c>
      <c r="D351" s="6" t="s">
        <v>338</v>
      </c>
      <c r="E351" s="6"/>
      <c r="F351" s="7">
        <v>17500</v>
      </c>
      <c r="G351" s="7"/>
      <c r="H351" s="8">
        <v>160</v>
      </c>
      <c r="I351" s="8">
        <v>0</v>
      </c>
      <c r="J351" s="7" t="s">
        <v>765</v>
      </c>
      <c r="K351" s="8">
        <v>0</v>
      </c>
    </row>
    <row r="352" spans="1:11" x14ac:dyDescent="0.2">
      <c r="A352" s="8">
        <v>1994</v>
      </c>
      <c r="B352" s="1" t="s">
        <v>33</v>
      </c>
      <c r="C352" s="1">
        <v>14</v>
      </c>
      <c r="D352" s="6" t="s">
        <v>497</v>
      </c>
      <c r="E352" s="6"/>
      <c r="F352" s="7">
        <v>17400</v>
      </c>
      <c r="G352" s="7"/>
      <c r="H352" s="8">
        <v>160</v>
      </c>
      <c r="I352" s="8">
        <v>0</v>
      </c>
      <c r="J352" s="7" t="s">
        <v>775</v>
      </c>
      <c r="K352" s="8">
        <v>0</v>
      </c>
    </row>
    <row r="353" spans="1:11" x14ac:dyDescent="0.2">
      <c r="A353" s="8">
        <v>1994</v>
      </c>
      <c r="B353" s="1" t="s">
        <v>33</v>
      </c>
      <c r="C353" s="1">
        <v>15</v>
      </c>
      <c r="D353" s="6" t="s">
        <v>514</v>
      </c>
      <c r="E353" s="6"/>
      <c r="F353" s="7">
        <v>17250</v>
      </c>
      <c r="G353" s="7"/>
      <c r="H353" s="8">
        <v>160</v>
      </c>
      <c r="I353" s="8">
        <v>0</v>
      </c>
      <c r="J353" s="7" t="s">
        <v>765</v>
      </c>
      <c r="K353" s="8">
        <v>0</v>
      </c>
    </row>
    <row r="354" spans="1:11" x14ac:dyDescent="0.2">
      <c r="A354" s="8">
        <v>1994</v>
      </c>
      <c r="B354" s="1" t="s">
        <v>33</v>
      </c>
      <c r="C354" s="1">
        <v>16</v>
      </c>
      <c r="D354" s="6" t="s">
        <v>498</v>
      </c>
      <c r="E354" s="6"/>
      <c r="F354" s="7">
        <v>17000</v>
      </c>
      <c r="G354" s="7"/>
      <c r="H354" s="8">
        <v>100</v>
      </c>
      <c r="I354" s="8">
        <v>0</v>
      </c>
      <c r="J354" s="7" t="s">
        <v>981</v>
      </c>
      <c r="K354" s="8">
        <v>0</v>
      </c>
    </row>
    <row r="355" spans="1:11" x14ac:dyDescent="0.2">
      <c r="A355" s="8">
        <v>1994</v>
      </c>
      <c r="B355" s="1" t="s">
        <v>33</v>
      </c>
      <c r="C355" s="1">
        <v>17</v>
      </c>
      <c r="D355" s="6" t="s">
        <v>514</v>
      </c>
      <c r="E355" s="6"/>
      <c r="F355" s="7">
        <v>17250</v>
      </c>
      <c r="G355" s="7"/>
      <c r="H355" s="8">
        <v>100</v>
      </c>
      <c r="I355" s="8">
        <v>0</v>
      </c>
      <c r="J355" s="7" t="s">
        <v>981</v>
      </c>
      <c r="K355" s="8">
        <v>0</v>
      </c>
    </row>
    <row r="356" spans="1:11" x14ac:dyDescent="0.2">
      <c r="A356" s="8">
        <v>1994</v>
      </c>
      <c r="B356" s="1" t="s">
        <v>33</v>
      </c>
      <c r="C356" s="1">
        <v>18</v>
      </c>
      <c r="D356" s="6" t="s">
        <v>497</v>
      </c>
      <c r="E356" s="6"/>
      <c r="F356" s="7">
        <v>17200</v>
      </c>
      <c r="G356" s="7"/>
      <c r="H356" s="8">
        <v>100</v>
      </c>
      <c r="I356" s="8">
        <v>0</v>
      </c>
      <c r="J356" s="7" t="s">
        <v>981</v>
      </c>
      <c r="K356" s="8">
        <v>0</v>
      </c>
    </row>
    <row r="357" spans="1:11" x14ac:dyDescent="0.2">
      <c r="A357" s="8">
        <v>1994</v>
      </c>
      <c r="B357" s="1" t="s">
        <v>33</v>
      </c>
      <c r="C357" s="1">
        <v>19</v>
      </c>
      <c r="D357" s="6" t="s">
        <v>338</v>
      </c>
      <c r="E357" s="6"/>
      <c r="F357" s="6">
        <v>17500</v>
      </c>
      <c r="G357" s="7"/>
      <c r="H357" s="8">
        <v>100</v>
      </c>
      <c r="I357" s="8">
        <v>0</v>
      </c>
      <c r="J357" s="7" t="s">
        <v>981</v>
      </c>
      <c r="K357" s="8">
        <v>0</v>
      </c>
    </row>
    <row r="358" spans="1:11" x14ac:dyDescent="0.2">
      <c r="A358" s="8">
        <v>1994</v>
      </c>
      <c r="B358" s="1" t="s">
        <v>33</v>
      </c>
      <c r="C358" s="1">
        <v>20</v>
      </c>
      <c r="D358" s="6" t="s">
        <v>338</v>
      </c>
      <c r="E358" s="6"/>
      <c r="F358" s="13">
        <v>17500</v>
      </c>
      <c r="G358" s="7"/>
      <c r="H358" s="8">
        <v>0</v>
      </c>
      <c r="I358" s="8">
        <v>0</v>
      </c>
      <c r="J358" s="7" t="s">
        <v>736</v>
      </c>
      <c r="K358" s="8">
        <v>0</v>
      </c>
    </row>
    <row r="359" spans="1:11" x14ac:dyDescent="0.2">
      <c r="A359" s="8">
        <v>1994</v>
      </c>
      <c r="B359" s="1" t="s">
        <v>33</v>
      </c>
      <c r="C359" s="1">
        <v>21</v>
      </c>
      <c r="D359" s="6" t="s">
        <v>342</v>
      </c>
      <c r="E359" s="6"/>
      <c r="F359" s="6">
        <v>17600</v>
      </c>
      <c r="G359" s="7"/>
      <c r="H359" s="8">
        <v>0</v>
      </c>
      <c r="I359" s="8">
        <v>0</v>
      </c>
      <c r="J359" s="7" t="s">
        <v>736</v>
      </c>
      <c r="K359" s="8">
        <v>0</v>
      </c>
    </row>
    <row r="360" spans="1:11" x14ac:dyDescent="0.2">
      <c r="A360" s="8">
        <v>1994</v>
      </c>
      <c r="B360" s="1" t="s">
        <v>33</v>
      </c>
      <c r="C360" s="1">
        <v>22</v>
      </c>
      <c r="D360" s="6" t="s">
        <v>342</v>
      </c>
      <c r="E360" s="6"/>
      <c r="F360" s="7">
        <v>17600</v>
      </c>
      <c r="G360" s="7"/>
      <c r="H360" s="8">
        <v>0</v>
      </c>
      <c r="I360" s="8">
        <v>0</v>
      </c>
      <c r="J360" s="7" t="s">
        <v>736</v>
      </c>
      <c r="K360" s="8">
        <v>0</v>
      </c>
    </row>
    <row r="361" spans="1:11" x14ac:dyDescent="0.2">
      <c r="A361" s="8">
        <v>1994</v>
      </c>
      <c r="B361" s="1" t="s">
        <v>33</v>
      </c>
      <c r="C361" s="1">
        <v>23</v>
      </c>
      <c r="D361" s="6" t="s">
        <v>339</v>
      </c>
      <c r="E361" s="6"/>
      <c r="F361" s="7">
        <v>17800</v>
      </c>
      <c r="G361" s="7"/>
      <c r="H361" s="8">
        <v>0</v>
      </c>
      <c r="I361" s="8">
        <v>0</v>
      </c>
      <c r="J361" s="7" t="s">
        <v>736</v>
      </c>
      <c r="K361" s="8">
        <v>0</v>
      </c>
    </row>
    <row r="362" spans="1:11" x14ac:dyDescent="0.2">
      <c r="A362" s="8">
        <v>1994</v>
      </c>
      <c r="B362" s="1" t="s">
        <v>33</v>
      </c>
      <c r="C362" s="1">
        <v>24</v>
      </c>
      <c r="D362" s="6" t="s">
        <v>339</v>
      </c>
      <c r="E362" s="6"/>
      <c r="F362" s="7">
        <v>17800</v>
      </c>
      <c r="G362" s="7"/>
      <c r="H362" s="8">
        <v>90</v>
      </c>
      <c r="I362" s="8">
        <v>0</v>
      </c>
      <c r="J362" s="7" t="s">
        <v>736</v>
      </c>
      <c r="K362" s="8">
        <v>0</v>
      </c>
    </row>
    <row r="363" spans="1:11" x14ac:dyDescent="0.2">
      <c r="A363" s="8">
        <v>1994</v>
      </c>
      <c r="B363" s="1" t="s">
        <v>33</v>
      </c>
      <c r="C363" s="1">
        <v>25</v>
      </c>
      <c r="D363" s="6" t="s">
        <v>342</v>
      </c>
      <c r="E363" s="6"/>
      <c r="F363" s="7">
        <v>17600</v>
      </c>
      <c r="G363" s="7"/>
      <c r="H363" s="8">
        <v>130</v>
      </c>
      <c r="I363" s="8">
        <v>0</v>
      </c>
      <c r="J363" s="7" t="s">
        <v>982</v>
      </c>
      <c r="K363" s="8">
        <v>0</v>
      </c>
    </row>
    <row r="364" spans="1:11" x14ac:dyDescent="0.2">
      <c r="A364" s="8">
        <v>1994</v>
      </c>
      <c r="B364" s="1" t="s">
        <v>33</v>
      </c>
      <c r="C364" s="1">
        <v>26</v>
      </c>
      <c r="D364" s="6" t="s">
        <v>342</v>
      </c>
      <c r="E364" s="6"/>
      <c r="F364" s="7">
        <v>17600</v>
      </c>
      <c r="G364" s="7"/>
      <c r="H364" s="8">
        <v>130</v>
      </c>
      <c r="I364" s="8">
        <v>0</v>
      </c>
      <c r="J364" s="7" t="s">
        <v>982</v>
      </c>
      <c r="K364" s="8">
        <v>0</v>
      </c>
    </row>
    <row r="365" spans="1:11" x14ac:dyDescent="0.2">
      <c r="A365" s="8">
        <v>1994</v>
      </c>
      <c r="B365" s="1" t="s">
        <v>33</v>
      </c>
      <c r="C365" s="1">
        <v>27</v>
      </c>
      <c r="D365" s="6" t="s">
        <v>497</v>
      </c>
      <c r="E365" s="6"/>
      <c r="F365" s="7">
        <v>17400</v>
      </c>
      <c r="G365" s="7"/>
      <c r="H365" s="8">
        <v>130</v>
      </c>
      <c r="I365" s="8">
        <v>0</v>
      </c>
      <c r="J365" s="7" t="s">
        <v>983</v>
      </c>
      <c r="K365" s="8">
        <v>0</v>
      </c>
    </row>
    <row r="366" spans="1:11" x14ac:dyDescent="0.2">
      <c r="A366" s="8">
        <v>1994</v>
      </c>
      <c r="B366" s="1" t="s">
        <v>33</v>
      </c>
      <c r="C366" s="1">
        <v>28</v>
      </c>
      <c r="D366" s="6" t="s">
        <v>497</v>
      </c>
      <c r="E366" s="6"/>
      <c r="F366" s="6" t="s">
        <v>978</v>
      </c>
      <c r="G366" s="7"/>
      <c r="H366" s="8">
        <v>130</v>
      </c>
      <c r="I366" s="8">
        <v>0</v>
      </c>
      <c r="J366" s="7" t="s">
        <v>983</v>
      </c>
      <c r="K366" s="8">
        <v>0</v>
      </c>
    </row>
    <row r="367" spans="1:11" x14ac:dyDescent="0.2">
      <c r="A367" s="8">
        <v>1994</v>
      </c>
      <c r="B367" s="1" t="s">
        <v>33</v>
      </c>
      <c r="C367" s="1">
        <v>29</v>
      </c>
      <c r="D367" s="6" t="s">
        <v>514</v>
      </c>
      <c r="E367" s="6"/>
      <c r="F367" s="6" t="s">
        <v>979</v>
      </c>
      <c r="G367" s="7"/>
      <c r="H367" s="8">
        <v>130</v>
      </c>
      <c r="I367" s="8">
        <v>0</v>
      </c>
      <c r="J367" s="7" t="s">
        <v>983</v>
      </c>
      <c r="K367" s="8">
        <v>0</v>
      </c>
    </row>
    <row r="368" spans="1:11" x14ac:dyDescent="0.2">
      <c r="A368" s="8">
        <v>1994</v>
      </c>
      <c r="B368" s="1" t="s">
        <v>33</v>
      </c>
      <c r="C368" s="1">
        <v>30</v>
      </c>
      <c r="D368" s="6" t="s">
        <v>498</v>
      </c>
      <c r="E368" s="6"/>
      <c r="F368" s="6" t="s">
        <v>980</v>
      </c>
      <c r="G368" s="7"/>
      <c r="H368" s="8">
        <v>130</v>
      </c>
      <c r="I368" s="8">
        <v>0</v>
      </c>
      <c r="J368" s="7" t="s">
        <v>983</v>
      </c>
      <c r="K368" s="8">
        <v>0</v>
      </c>
    </row>
    <row r="369" spans="1:11" x14ac:dyDescent="0.2">
      <c r="A369" s="8">
        <v>1994</v>
      </c>
      <c r="B369" s="1" t="s">
        <v>33</v>
      </c>
      <c r="C369" s="1">
        <v>31</v>
      </c>
      <c r="D369" s="6" t="s">
        <v>499</v>
      </c>
      <c r="E369" s="6"/>
      <c r="F369" s="6">
        <v>16900</v>
      </c>
      <c r="G369" s="7"/>
      <c r="H369" s="8">
        <v>90</v>
      </c>
      <c r="I369" s="8">
        <v>0</v>
      </c>
      <c r="J369" s="7" t="s">
        <v>982</v>
      </c>
      <c r="K369" s="8">
        <v>0</v>
      </c>
    </row>
    <row r="370" spans="1:11" ht="15" x14ac:dyDescent="0.2">
      <c r="A370" s="401" t="s">
        <v>1759</v>
      </c>
      <c r="B370" s="402"/>
      <c r="C370" s="402"/>
      <c r="D370" s="402"/>
      <c r="E370" s="402"/>
      <c r="F370" s="402"/>
      <c r="G370" s="402"/>
      <c r="H370" s="402"/>
      <c r="I370" s="402"/>
      <c r="J370" s="402"/>
      <c r="K370" s="402"/>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F7 F15 J25:J35 F35 J36:J62 F56:F60 F52:F54 J64:J95 G72 F75 F91:F94 F64:F66 J96:J113 F100 J114:J124 F116 E121 E134 F128:F130 G129:G155 H125:J155 E177:E185 F170:F183 G156:J185 K156:K157 J186:J196 H189:H198 E187:E216 F208 G186:G216 H217 J217:J237 H218:H247 E217:E247 G217:G247 F242 F230 F255:F257 F284 F313:F315 F366:F368 J339 J340:J369" numberStoredAsText="1"/>
    <ignoredError sqref="D181 D189 D204 D212 D244:D246 D288:D294 D301"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ySplit="3" topLeftCell="A4" activePane="bottomLeft" state="frozen"/>
      <selection pane="bottomLeft" activeCell="G11" sqref="G11"/>
    </sheetView>
  </sheetViews>
  <sheetFormatPr defaultColWidth="9.140625" defaultRowHeight="15" x14ac:dyDescent="0.25"/>
  <cols>
    <col min="1" max="1" width="5.28515625" style="14" customWidth="1"/>
    <col min="2" max="2" width="9.7109375" style="14" customWidth="1"/>
    <col min="3" max="3" width="6.85546875" style="14" customWidth="1"/>
    <col min="4" max="4" width="9.140625" style="14"/>
    <col min="5" max="5" width="6" style="55" customWidth="1"/>
    <col min="6" max="6" width="11.5703125" style="14" customWidth="1"/>
    <col min="7" max="7" width="6.7109375" style="14" customWidth="1"/>
    <col min="8" max="8" width="6.28515625" style="37" customWidth="1"/>
    <col min="9" max="9" width="5.85546875" style="37" customWidth="1"/>
    <col min="10" max="10" width="7.42578125" style="37" customWidth="1"/>
    <col min="11" max="11" width="6.85546875" style="37" customWidth="1"/>
    <col min="12" max="16384" width="9.140625" style="14"/>
  </cols>
  <sheetData>
    <row r="1" spans="1:11" ht="17.45" x14ac:dyDescent="0.3">
      <c r="A1" s="385" t="s">
        <v>1754</v>
      </c>
      <c r="B1" s="385"/>
      <c r="C1" s="385"/>
      <c r="D1" s="385"/>
      <c r="E1" s="385"/>
      <c r="F1" s="385"/>
      <c r="G1" s="385"/>
      <c r="H1" s="385"/>
      <c r="I1" s="385"/>
      <c r="J1" s="385"/>
      <c r="K1" s="385"/>
    </row>
    <row r="2" spans="1:11" ht="30" customHeight="1" x14ac:dyDescent="0.25">
      <c r="A2" s="396" t="s">
        <v>532</v>
      </c>
      <c r="B2" s="396" t="s">
        <v>22</v>
      </c>
      <c r="C2" s="387" t="s">
        <v>0</v>
      </c>
      <c r="D2" s="397" t="s">
        <v>728</v>
      </c>
      <c r="E2" s="397"/>
      <c r="F2" s="398" t="s">
        <v>729</v>
      </c>
      <c r="G2" s="398"/>
      <c r="H2" s="408" t="s">
        <v>1746</v>
      </c>
      <c r="I2" s="408"/>
      <c r="J2" s="408" t="s">
        <v>1747</v>
      </c>
      <c r="K2" s="408"/>
    </row>
    <row r="3" spans="1:11" ht="81.75" customHeight="1" x14ac:dyDescent="0.25">
      <c r="A3" s="396"/>
      <c r="B3" s="396"/>
      <c r="C3" s="388"/>
      <c r="D3" s="15" t="s">
        <v>1755</v>
      </c>
      <c r="E3" s="49" t="s">
        <v>1756</v>
      </c>
      <c r="F3" s="15" t="s">
        <v>732</v>
      </c>
      <c r="G3" s="15" t="s">
        <v>733</v>
      </c>
      <c r="H3" s="33" t="s">
        <v>734</v>
      </c>
      <c r="I3" s="50" t="s">
        <v>735</v>
      </c>
      <c r="J3" s="33" t="s">
        <v>734</v>
      </c>
      <c r="K3" s="50" t="s">
        <v>735</v>
      </c>
    </row>
    <row r="4" spans="1:11" ht="13.9" x14ac:dyDescent="0.25">
      <c r="A4" s="34">
        <v>1995</v>
      </c>
      <c r="B4" s="34" t="s">
        <v>23</v>
      </c>
      <c r="C4" s="43">
        <v>1</v>
      </c>
      <c r="D4" s="35" t="s">
        <v>517</v>
      </c>
      <c r="E4" s="51">
        <v>0</v>
      </c>
      <c r="F4" s="36">
        <v>16800</v>
      </c>
      <c r="G4" s="34">
        <v>0</v>
      </c>
      <c r="H4" s="47">
        <v>90</v>
      </c>
      <c r="I4" s="47">
        <v>0</v>
      </c>
      <c r="J4" s="47">
        <v>12</v>
      </c>
      <c r="K4" s="47"/>
    </row>
    <row r="5" spans="1:11" ht="13.9" x14ac:dyDescent="0.25">
      <c r="A5" s="34">
        <v>1995</v>
      </c>
      <c r="B5" s="34" t="s">
        <v>23</v>
      </c>
      <c r="C5" s="43">
        <v>2</v>
      </c>
      <c r="D5" s="35" t="s">
        <v>336</v>
      </c>
      <c r="E5" s="51">
        <v>0</v>
      </c>
      <c r="F5" s="36">
        <v>16700</v>
      </c>
      <c r="G5" s="34">
        <v>0</v>
      </c>
      <c r="H5" s="47">
        <v>90</v>
      </c>
      <c r="I5" s="47">
        <v>0</v>
      </c>
      <c r="J5" s="47">
        <v>10</v>
      </c>
      <c r="K5" s="47"/>
    </row>
    <row r="6" spans="1:11" ht="13.9" x14ac:dyDescent="0.25">
      <c r="A6" s="34">
        <v>1995</v>
      </c>
      <c r="B6" s="34" t="s">
        <v>23</v>
      </c>
      <c r="C6" s="43">
        <v>3</v>
      </c>
      <c r="D6" s="35" t="s">
        <v>500</v>
      </c>
      <c r="E6" s="51">
        <v>0</v>
      </c>
      <c r="F6" s="36">
        <v>16600</v>
      </c>
      <c r="G6" s="34">
        <v>0</v>
      </c>
      <c r="H6" s="47">
        <v>90</v>
      </c>
      <c r="I6" s="47">
        <v>0</v>
      </c>
      <c r="J6" s="47">
        <v>10</v>
      </c>
      <c r="K6" s="47"/>
    </row>
    <row r="7" spans="1:11" ht="13.9" x14ac:dyDescent="0.25">
      <c r="A7" s="34">
        <v>1995</v>
      </c>
      <c r="B7" s="34" t="s">
        <v>23</v>
      </c>
      <c r="C7" s="43">
        <v>4</v>
      </c>
      <c r="D7" s="35" t="s">
        <v>501</v>
      </c>
      <c r="E7" s="51">
        <v>0</v>
      </c>
      <c r="F7" s="36">
        <v>16500</v>
      </c>
      <c r="G7" s="34">
        <v>0</v>
      </c>
      <c r="H7" s="47">
        <v>0</v>
      </c>
      <c r="I7" s="47">
        <v>0</v>
      </c>
      <c r="J7" s="47">
        <v>10</v>
      </c>
      <c r="K7" s="47"/>
    </row>
    <row r="8" spans="1:11" ht="13.9" x14ac:dyDescent="0.25">
      <c r="A8" s="34">
        <v>1995</v>
      </c>
      <c r="B8" s="34" t="s">
        <v>23</v>
      </c>
      <c r="C8" s="43">
        <v>5</v>
      </c>
      <c r="D8" s="35" t="s">
        <v>335</v>
      </c>
      <c r="E8" s="51">
        <v>0</v>
      </c>
      <c r="F8" s="36">
        <v>16400</v>
      </c>
      <c r="G8" s="34">
        <v>0</v>
      </c>
      <c r="H8" s="47">
        <v>0</v>
      </c>
      <c r="I8" s="47">
        <v>0</v>
      </c>
      <c r="J8" s="47">
        <v>0</v>
      </c>
      <c r="K8" s="47"/>
    </row>
    <row r="9" spans="1:11" ht="13.9" x14ac:dyDescent="0.25">
      <c r="A9" s="34">
        <v>1995</v>
      </c>
      <c r="B9" s="34" t="s">
        <v>23</v>
      </c>
      <c r="C9" s="43">
        <v>6</v>
      </c>
      <c r="D9" s="35" t="s">
        <v>335</v>
      </c>
      <c r="E9" s="51">
        <v>0</v>
      </c>
      <c r="F9" s="36">
        <v>16400</v>
      </c>
      <c r="G9" s="34">
        <v>0</v>
      </c>
      <c r="H9" s="47">
        <v>0</v>
      </c>
      <c r="I9" s="47">
        <v>0</v>
      </c>
      <c r="J9" s="47">
        <v>0</v>
      </c>
      <c r="K9" s="47"/>
    </row>
    <row r="10" spans="1:11" ht="13.9" x14ac:dyDescent="0.25">
      <c r="A10" s="34">
        <v>1995</v>
      </c>
      <c r="B10" s="34" t="s">
        <v>23</v>
      </c>
      <c r="C10" s="43">
        <v>7</v>
      </c>
      <c r="D10" s="35" t="s">
        <v>335</v>
      </c>
      <c r="E10" s="51">
        <v>0</v>
      </c>
      <c r="F10" s="36">
        <v>16400</v>
      </c>
      <c r="G10" s="34">
        <v>0</v>
      </c>
      <c r="H10" s="47">
        <v>130</v>
      </c>
      <c r="I10" s="47">
        <v>0</v>
      </c>
      <c r="J10" s="47">
        <v>0</v>
      </c>
      <c r="K10" s="47"/>
    </row>
    <row r="11" spans="1:11" ht="13.9" x14ac:dyDescent="0.25">
      <c r="A11" s="34">
        <v>1995</v>
      </c>
      <c r="B11" s="34" t="s">
        <v>23</v>
      </c>
      <c r="C11" s="43">
        <v>8</v>
      </c>
      <c r="D11" s="35" t="s">
        <v>335</v>
      </c>
      <c r="E11" s="51">
        <v>0</v>
      </c>
      <c r="F11" s="36">
        <v>16400</v>
      </c>
      <c r="G11" s="34">
        <v>0</v>
      </c>
      <c r="H11" s="47">
        <v>130</v>
      </c>
      <c r="I11" s="47">
        <v>0</v>
      </c>
      <c r="J11" s="47">
        <v>0</v>
      </c>
      <c r="K11" s="47"/>
    </row>
    <row r="12" spans="1:11" ht="13.9" x14ac:dyDescent="0.25">
      <c r="A12" s="34">
        <v>1995</v>
      </c>
      <c r="B12" s="34" t="s">
        <v>23</v>
      </c>
      <c r="C12" s="43">
        <v>9</v>
      </c>
      <c r="D12" s="35" t="s">
        <v>435</v>
      </c>
      <c r="E12" s="51">
        <v>0</v>
      </c>
      <c r="F12" s="36">
        <v>16200</v>
      </c>
      <c r="G12" s="34">
        <v>0</v>
      </c>
      <c r="H12" s="47">
        <v>130</v>
      </c>
      <c r="I12" s="47">
        <v>0</v>
      </c>
      <c r="J12" s="47">
        <v>0</v>
      </c>
      <c r="K12" s="47"/>
    </row>
    <row r="13" spans="1:11" ht="13.9" x14ac:dyDescent="0.25">
      <c r="A13" s="34">
        <v>1995</v>
      </c>
      <c r="B13" s="34" t="s">
        <v>23</v>
      </c>
      <c r="C13" s="43">
        <v>10</v>
      </c>
      <c r="D13" s="35" t="s">
        <v>435</v>
      </c>
      <c r="E13" s="51">
        <v>0</v>
      </c>
      <c r="F13" s="36">
        <v>16200</v>
      </c>
      <c r="G13" s="34">
        <v>0</v>
      </c>
      <c r="H13" s="47">
        <v>80</v>
      </c>
      <c r="I13" s="47">
        <v>0</v>
      </c>
      <c r="J13" s="47">
        <v>1.3</v>
      </c>
      <c r="K13" s="47"/>
    </row>
    <row r="14" spans="1:11" ht="13.9" x14ac:dyDescent="0.25">
      <c r="A14" s="34">
        <v>1995</v>
      </c>
      <c r="B14" s="34" t="s">
        <v>23</v>
      </c>
      <c r="C14" s="43">
        <v>11</v>
      </c>
      <c r="D14" s="35" t="s">
        <v>513</v>
      </c>
      <c r="E14" s="51">
        <v>0</v>
      </c>
      <c r="F14" s="36">
        <v>16000</v>
      </c>
      <c r="G14" s="34">
        <v>0</v>
      </c>
      <c r="H14" s="47">
        <v>80</v>
      </c>
      <c r="I14" s="47">
        <v>0</v>
      </c>
      <c r="J14" s="47">
        <v>1.3</v>
      </c>
      <c r="K14" s="47"/>
    </row>
    <row r="15" spans="1:11" ht="13.9" x14ac:dyDescent="0.25">
      <c r="A15" s="34">
        <v>1995</v>
      </c>
      <c r="B15" s="34" t="s">
        <v>23</v>
      </c>
      <c r="C15" s="43">
        <v>12</v>
      </c>
      <c r="D15" s="35" t="s">
        <v>513</v>
      </c>
      <c r="E15" s="51">
        <v>0</v>
      </c>
      <c r="F15" s="36">
        <v>16000</v>
      </c>
      <c r="G15" s="34">
        <v>0</v>
      </c>
      <c r="H15" s="47">
        <v>80</v>
      </c>
      <c r="I15" s="47">
        <v>0</v>
      </c>
      <c r="J15" s="47">
        <v>1.3</v>
      </c>
      <c r="K15" s="47"/>
    </row>
    <row r="16" spans="1:11" ht="13.9" x14ac:dyDescent="0.25">
      <c r="A16" s="34">
        <v>1995</v>
      </c>
      <c r="B16" s="34" t="s">
        <v>23</v>
      </c>
      <c r="C16" s="43">
        <v>13</v>
      </c>
      <c r="D16" s="35" t="s">
        <v>513</v>
      </c>
      <c r="E16" s="51">
        <v>0</v>
      </c>
      <c r="F16" s="36">
        <v>16000</v>
      </c>
      <c r="G16" s="34">
        <v>0</v>
      </c>
      <c r="H16" s="47">
        <v>80</v>
      </c>
      <c r="I16" s="47">
        <v>0</v>
      </c>
      <c r="J16" s="47">
        <v>1.3</v>
      </c>
      <c r="K16" s="47"/>
    </row>
    <row r="17" spans="1:11" ht="13.9" x14ac:dyDescent="0.25">
      <c r="A17" s="34">
        <v>1995</v>
      </c>
      <c r="B17" s="34" t="s">
        <v>23</v>
      </c>
      <c r="C17" s="43">
        <v>14</v>
      </c>
      <c r="D17" s="35" t="s">
        <v>518</v>
      </c>
      <c r="E17" s="51">
        <v>0</v>
      </c>
      <c r="F17" s="36">
        <v>15600</v>
      </c>
      <c r="G17" s="34">
        <v>0</v>
      </c>
      <c r="H17" s="47">
        <v>0</v>
      </c>
      <c r="I17" s="47">
        <v>0</v>
      </c>
      <c r="J17" s="47">
        <v>1.3</v>
      </c>
      <c r="K17" s="47"/>
    </row>
    <row r="18" spans="1:11" ht="13.9" x14ac:dyDescent="0.25">
      <c r="A18" s="34">
        <v>1995</v>
      </c>
      <c r="B18" s="34" t="s">
        <v>23</v>
      </c>
      <c r="C18" s="43">
        <v>15</v>
      </c>
      <c r="D18" s="35" t="s">
        <v>334</v>
      </c>
      <c r="E18" s="51">
        <v>0</v>
      </c>
      <c r="F18" s="36">
        <v>15550</v>
      </c>
      <c r="G18" s="34">
        <v>0</v>
      </c>
      <c r="H18" s="47">
        <v>0</v>
      </c>
      <c r="I18" s="47">
        <v>0</v>
      </c>
      <c r="J18" s="47">
        <v>1.3</v>
      </c>
      <c r="K18" s="47"/>
    </row>
    <row r="19" spans="1:11" ht="13.9" x14ac:dyDescent="0.25">
      <c r="A19" s="34">
        <v>1995</v>
      </c>
      <c r="B19" s="34" t="s">
        <v>23</v>
      </c>
      <c r="C19" s="43">
        <v>16</v>
      </c>
      <c r="D19" s="35" t="s">
        <v>519</v>
      </c>
      <c r="E19" s="51">
        <v>0</v>
      </c>
      <c r="F19" s="36">
        <v>15400</v>
      </c>
      <c r="G19" s="34">
        <v>0</v>
      </c>
      <c r="H19" s="47">
        <v>0</v>
      </c>
      <c r="I19" s="47">
        <v>0</v>
      </c>
      <c r="J19" s="47">
        <v>1.3</v>
      </c>
      <c r="K19" s="47"/>
    </row>
    <row r="20" spans="1:11" ht="13.9" x14ac:dyDescent="0.25">
      <c r="A20" s="34">
        <v>1995</v>
      </c>
      <c r="B20" s="34" t="s">
        <v>23</v>
      </c>
      <c r="C20" s="43">
        <v>17</v>
      </c>
      <c r="D20" s="35" t="s">
        <v>519</v>
      </c>
      <c r="E20" s="51">
        <v>0</v>
      </c>
      <c r="F20" s="36">
        <v>15400</v>
      </c>
      <c r="G20" s="34">
        <v>0</v>
      </c>
      <c r="H20" s="47">
        <v>0</v>
      </c>
      <c r="I20" s="47">
        <v>0</v>
      </c>
      <c r="J20" s="47">
        <v>0</v>
      </c>
      <c r="K20" s="47"/>
    </row>
    <row r="21" spans="1:11" ht="13.9" x14ac:dyDescent="0.25">
      <c r="A21" s="34">
        <v>1995</v>
      </c>
      <c r="B21" s="34" t="s">
        <v>23</v>
      </c>
      <c r="C21" s="43">
        <v>18</v>
      </c>
      <c r="D21" s="35" t="s">
        <v>519</v>
      </c>
      <c r="E21" s="51">
        <v>0</v>
      </c>
      <c r="F21" s="36">
        <v>15400</v>
      </c>
      <c r="G21" s="34">
        <v>0</v>
      </c>
      <c r="H21" s="47">
        <v>0</v>
      </c>
      <c r="I21" s="47">
        <v>0</v>
      </c>
      <c r="J21" s="47">
        <v>0</v>
      </c>
      <c r="K21" s="47"/>
    </row>
    <row r="22" spans="1:11" ht="13.9" x14ac:dyDescent="0.25">
      <c r="A22" s="34">
        <v>1995</v>
      </c>
      <c r="B22" s="34" t="s">
        <v>23</v>
      </c>
      <c r="C22" s="43">
        <v>19</v>
      </c>
      <c r="D22" s="35" t="s">
        <v>519</v>
      </c>
      <c r="E22" s="51">
        <v>0</v>
      </c>
      <c r="F22" s="36">
        <v>15400</v>
      </c>
      <c r="G22" s="34">
        <v>0</v>
      </c>
      <c r="H22" s="47">
        <v>0</v>
      </c>
      <c r="I22" s="47">
        <v>0</v>
      </c>
      <c r="J22" s="47">
        <v>0</v>
      </c>
      <c r="K22" s="47"/>
    </row>
    <row r="23" spans="1:11" ht="13.9" x14ac:dyDescent="0.25">
      <c r="A23" s="34">
        <v>1995</v>
      </c>
      <c r="B23" s="34" t="s">
        <v>23</v>
      </c>
      <c r="C23" s="43">
        <v>20</v>
      </c>
      <c r="D23" s="35" t="s">
        <v>518</v>
      </c>
      <c r="E23" s="51">
        <v>0</v>
      </c>
      <c r="F23" s="36">
        <v>15600</v>
      </c>
      <c r="G23" s="34">
        <v>0</v>
      </c>
      <c r="H23" s="47">
        <v>0</v>
      </c>
      <c r="I23" s="47">
        <v>0</v>
      </c>
      <c r="J23" s="47">
        <v>0</v>
      </c>
      <c r="K23" s="47"/>
    </row>
    <row r="24" spans="1:11" ht="13.9" x14ac:dyDescent="0.25">
      <c r="A24" s="34">
        <v>1995</v>
      </c>
      <c r="B24" s="34" t="s">
        <v>23</v>
      </c>
      <c r="C24" s="43">
        <v>21</v>
      </c>
      <c r="D24" s="35" t="s">
        <v>435</v>
      </c>
      <c r="E24" s="51">
        <v>0</v>
      </c>
      <c r="F24" s="36">
        <v>16200</v>
      </c>
      <c r="G24" s="34">
        <v>0</v>
      </c>
      <c r="H24" s="47">
        <v>0</v>
      </c>
      <c r="I24" s="47">
        <v>0</v>
      </c>
      <c r="J24" s="47">
        <v>0</v>
      </c>
      <c r="K24" s="47"/>
    </row>
    <row r="25" spans="1:11" ht="13.9" x14ac:dyDescent="0.25">
      <c r="A25" s="34">
        <v>1995</v>
      </c>
      <c r="B25" s="34" t="s">
        <v>23</v>
      </c>
      <c r="C25" s="43">
        <v>22</v>
      </c>
      <c r="D25" s="35" t="s">
        <v>501</v>
      </c>
      <c r="E25" s="51">
        <v>0</v>
      </c>
      <c r="F25" s="36">
        <v>15500</v>
      </c>
      <c r="G25" s="34">
        <v>0</v>
      </c>
      <c r="H25" s="47">
        <v>0</v>
      </c>
      <c r="I25" s="47">
        <v>0</v>
      </c>
      <c r="J25" s="47">
        <v>0</v>
      </c>
      <c r="K25" s="47"/>
    </row>
    <row r="26" spans="1:11" ht="13.9" x14ac:dyDescent="0.25">
      <c r="A26" s="34">
        <v>1995</v>
      </c>
      <c r="B26" s="34" t="s">
        <v>23</v>
      </c>
      <c r="C26" s="43">
        <v>23</v>
      </c>
      <c r="D26" s="35" t="s">
        <v>501</v>
      </c>
      <c r="E26" s="51">
        <v>0</v>
      </c>
      <c r="F26" s="36">
        <v>16500</v>
      </c>
      <c r="G26" s="34">
        <v>0</v>
      </c>
      <c r="H26" s="47">
        <v>0</v>
      </c>
      <c r="I26" s="47">
        <v>0</v>
      </c>
      <c r="J26" s="47">
        <v>0</v>
      </c>
      <c r="K26" s="47"/>
    </row>
    <row r="27" spans="1:11" ht="13.9" x14ac:dyDescent="0.25">
      <c r="A27" s="34">
        <v>1995</v>
      </c>
      <c r="B27" s="34" t="s">
        <v>23</v>
      </c>
      <c r="C27" s="43">
        <v>24</v>
      </c>
      <c r="D27" s="35" t="s">
        <v>336</v>
      </c>
      <c r="E27" s="51">
        <v>0</v>
      </c>
      <c r="F27" s="36">
        <v>16700</v>
      </c>
      <c r="G27" s="34">
        <v>0</v>
      </c>
      <c r="H27" s="47">
        <v>130</v>
      </c>
      <c r="I27" s="47">
        <v>0</v>
      </c>
      <c r="J27" s="47">
        <v>0</v>
      </c>
      <c r="K27" s="47"/>
    </row>
    <row r="28" spans="1:11" ht="13.9" x14ac:dyDescent="0.25">
      <c r="A28" s="34">
        <v>1995</v>
      </c>
      <c r="B28" s="34" t="s">
        <v>23</v>
      </c>
      <c r="C28" s="43">
        <v>25</v>
      </c>
      <c r="D28" s="35" t="s">
        <v>500</v>
      </c>
      <c r="E28" s="51">
        <v>0</v>
      </c>
      <c r="F28" s="36">
        <v>16600</v>
      </c>
      <c r="G28" s="34">
        <v>0</v>
      </c>
      <c r="H28" s="47">
        <v>150</v>
      </c>
      <c r="I28" s="47">
        <v>0</v>
      </c>
      <c r="J28" s="47">
        <v>1.3</v>
      </c>
      <c r="K28" s="47"/>
    </row>
    <row r="29" spans="1:11" ht="13.9" x14ac:dyDescent="0.25">
      <c r="A29" s="34">
        <v>1995</v>
      </c>
      <c r="B29" s="34" t="s">
        <v>23</v>
      </c>
      <c r="C29" s="43">
        <v>26</v>
      </c>
      <c r="D29" s="35" t="s">
        <v>335</v>
      </c>
      <c r="E29" s="51">
        <v>0</v>
      </c>
      <c r="F29" s="36">
        <v>16400</v>
      </c>
      <c r="G29" s="34">
        <v>0</v>
      </c>
      <c r="H29" s="47">
        <v>150</v>
      </c>
      <c r="I29" s="47">
        <v>0</v>
      </c>
      <c r="J29" s="47">
        <v>1.3</v>
      </c>
      <c r="K29" s="47"/>
    </row>
    <row r="30" spans="1:11" ht="13.9" x14ac:dyDescent="0.25">
      <c r="A30" s="34">
        <v>1995</v>
      </c>
      <c r="B30" s="34" t="s">
        <v>23</v>
      </c>
      <c r="C30" s="43">
        <v>27</v>
      </c>
      <c r="D30" s="35" t="s">
        <v>513</v>
      </c>
      <c r="E30" s="51">
        <v>0</v>
      </c>
      <c r="F30" s="36">
        <v>16000</v>
      </c>
      <c r="G30" s="34">
        <v>0</v>
      </c>
      <c r="H30" s="47">
        <v>120</v>
      </c>
      <c r="I30" s="47">
        <v>0</v>
      </c>
      <c r="J30" s="47">
        <v>1.3</v>
      </c>
      <c r="K30" s="47"/>
    </row>
    <row r="31" spans="1:11" ht="13.9" x14ac:dyDescent="0.25">
      <c r="A31" s="34">
        <v>1995</v>
      </c>
      <c r="B31" s="34" t="s">
        <v>23</v>
      </c>
      <c r="C31" s="43">
        <v>28</v>
      </c>
      <c r="D31" s="35" t="s">
        <v>502</v>
      </c>
      <c r="E31" s="51">
        <v>0</v>
      </c>
      <c r="F31" s="36">
        <v>15750</v>
      </c>
      <c r="G31" s="34">
        <v>0</v>
      </c>
      <c r="H31" s="47">
        <v>120</v>
      </c>
      <c r="I31" s="47">
        <v>0</v>
      </c>
      <c r="J31" s="47">
        <v>1.3</v>
      </c>
      <c r="K31" s="47"/>
    </row>
    <row r="32" spans="1:11" ht="13.9" x14ac:dyDescent="0.25">
      <c r="A32" s="34">
        <v>1995</v>
      </c>
      <c r="B32" s="34" t="s">
        <v>23</v>
      </c>
      <c r="C32" s="43">
        <v>29</v>
      </c>
      <c r="D32" s="35" t="s">
        <v>518</v>
      </c>
      <c r="E32" s="51">
        <v>0</v>
      </c>
      <c r="F32" s="36">
        <v>15600</v>
      </c>
      <c r="G32" s="34">
        <v>0</v>
      </c>
      <c r="H32" s="47">
        <v>0</v>
      </c>
      <c r="I32" s="47">
        <v>0</v>
      </c>
      <c r="J32" s="47">
        <v>1.3</v>
      </c>
      <c r="K32" s="47"/>
    </row>
    <row r="33" spans="1:11" ht="13.9" x14ac:dyDescent="0.25">
      <c r="A33" s="34">
        <v>1995</v>
      </c>
      <c r="B33" s="34" t="s">
        <v>23</v>
      </c>
      <c r="C33" s="43">
        <v>30</v>
      </c>
      <c r="D33" s="35" t="s">
        <v>334</v>
      </c>
      <c r="E33" s="51">
        <v>0</v>
      </c>
      <c r="F33" s="36">
        <v>15500</v>
      </c>
      <c r="G33" s="34">
        <v>0</v>
      </c>
      <c r="H33" s="47">
        <v>0</v>
      </c>
      <c r="I33" s="47">
        <v>0</v>
      </c>
      <c r="J33" s="47">
        <v>1.3</v>
      </c>
      <c r="K33" s="47"/>
    </row>
    <row r="34" spans="1:11" ht="13.9" x14ac:dyDescent="0.25">
      <c r="A34" s="34">
        <v>1995</v>
      </c>
      <c r="B34" s="34" t="s">
        <v>23</v>
      </c>
      <c r="C34" s="43">
        <v>31</v>
      </c>
      <c r="D34" s="35" t="s">
        <v>499</v>
      </c>
      <c r="E34" s="51">
        <v>0</v>
      </c>
      <c r="F34" s="36">
        <v>15900</v>
      </c>
      <c r="G34" s="34">
        <v>0</v>
      </c>
      <c r="H34" s="47">
        <v>0</v>
      </c>
      <c r="I34" s="47">
        <v>0</v>
      </c>
      <c r="J34" s="47">
        <v>0</v>
      </c>
      <c r="K34" s="47"/>
    </row>
    <row r="35" spans="1:11" ht="13.9" x14ac:dyDescent="0.25">
      <c r="A35" s="34">
        <v>1995</v>
      </c>
      <c r="B35" s="20" t="s">
        <v>24</v>
      </c>
      <c r="C35" s="20">
        <v>1</v>
      </c>
      <c r="D35" s="35" t="s">
        <v>497</v>
      </c>
      <c r="E35" s="52" t="s">
        <v>984</v>
      </c>
      <c r="F35" s="36">
        <v>17400</v>
      </c>
      <c r="G35" s="34">
        <v>21.4</v>
      </c>
      <c r="H35" s="47">
        <v>0</v>
      </c>
      <c r="I35" s="47">
        <v>0</v>
      </c>
      <c r="J35" s="47">
        <v>0</v>
      </c>
      <c r="K35" s="47"/>
    </row>
    <row r="36" spans="1:11" ht="13.9" x14ac:dyDescent="0.25">
      <c r="A36" s="34">
        <v>1995</v>
      </c>
      <c r="B36" s="20" t="s">
        <v>24</v>
      </c>
      <c r="C36" s="20">
        <v>2</v>
      </c>
      <c r="D36" s="35" t="s">
        <v>342</v>
      </c>
      <c r="E36" s="52" t="s">
        <v>985</v>
      </c>
      <c r="F36" s="36">
        <v>17600</v>
      </c>
      <c r="G36" s="34">
        <v>21.64</v>
      </c>
      <c r="H36" s="47">
        <v>0</v>
      </c>
      <c r="I36" s="47">
        <v>0</v>
      </c>
      <c r="J36" s="47">
        <v>0</v>
      </c>
      <c r="K36" s="47"/>
    </row>
    <row r="37" spans="1:11" ht="13.9" x14ac:dyDescent="0.25">
      <c r="A37" s="34">
        <v>1995</v>
      </c>
      <c r="B37" s="20" t="s">
        <v>24</v>
      </c>
      <c r="C37" s="20">
        <v>3</v>
      </c>
      <c r="D37" s="35" t="s">
        <v>339</v>
      </c>
      <c r="E37" s="52" t="s">
        <v>986</v>
      </c>
      <c r="F37" s="36">
        <v>17800</v>
      </c>
      <c r="G37" s="34">
        <v>21.89</v>
      </c>
      <c r="H37" s="47">
        <v>0</v>
      </c>
      <c r="I37" s="47">
        <v>0</v>
      </c>
      <c r="J37" s="47">
        <v>0</v>
      </c>
      <c r="K37" s="47"/>
    </row>
    <row r="38" spans="1:11" ht="13.9" x14ac:dyDescent="0.25">
      <c r="A38" s="34">
        <v>1995</v>
      </c>
      <c r="B38" s="20" t="s">
        <v>24</v>
      </c>
      <c r="C38" s="20">
        <v>4</v>
      </c>
      <c r="D38" s="35" t="s">
        <v>340</v>
      </c>
      <c r="E38" s="52" t="s">
        <v>987</v>
      </c>
      <c r="F38" s="36">
        <v>18000</v>
      </c>
      <c r="G38" s="34">
        <v>22.14</v>
      </c>
      <c r="H38" s="47">
        <v>0</v>
      </c>
      <c r="I38" s="47">
        <v>0</v>
      </c>
      <c r="J38" s="47">
        <v>0</v>
      </c>
      <c r="K38" s="47"/>
    </row>
    <row r="39" spans="1:11" ht="13.9" x14ac:dyDescent="0.25">
      <c r="A39" s="34">
        <v>1995</v>
      </c>
      <c r="B39" s="20" t="s">
        <v>24</v>
      </c>
      <c r="C39" s="20">
        <v>5</v>
      </c>
      <c r="D39" s="35" t="s">
        <v>494</v>
      </c>
      <c r="E39" s="52" t="s">
        <v>988</v>
      </c>
      <c r="F39" s="36">
        <v>19000</v>
      </c>
      <c r="G39" s="34">
        <v>23.37</v>
      </c>
      <c r="H39" s="47">
        <v>0</v>
      </c>
      <c r="I39" s="47">
        <v>0</v>
      </c>
      <c r="J39" s="47">
        <v>0</v>
      </c>
      <c r="K39" s="47"/>
    </row>
    <row r="40" spans="1:11" ht="13.9" x14ac:dyDescent="0.25">
      <c r="A40" s="34">
        <v>1995</v>
      </c>
      <c r="B40" s="20" t="s">
        <v>24</v>
      </c>
      <c r="C40" s="20">
        <v>6</v>
      </c>
      <c r="D40" s="35" t="s">
        <v>492</v>
      </c>
      <c r="E40" s="52" t="s">
        <v>989</v>
      </c>
      <c r="F40" s="36">
        <v>19300</v>
      </c>
      <c r="G40" s="34">
        <v>23.74</v>
      </c>
      <c r="H40" s="47">
        <v>0</v>
      </c>
      <c r="I40" s="47">
        <v>0</v>
      </c>
      <c r="J40" s="47">
        <v>0</v>
      </c>
      <c r="K40" s="47"/>
    </row>
    <row r="41" spans="1:11" ht="13.9" x14ac:dyDescent="0.25">
      <c r="A41" s="34">
        <v>1995</v>
      </c>
      <c r="B41" s="20" t="s">
        <v>24</v>
      </c>
      <c r="C41" s="20">
        <v>7</v>
      </c>
      <c r="D41" s="35" t="s">
        <v>492</v>
      </c>
      <c r="E41" s="52" t="s">
        <v>989</v>
      </c>
      <c r="F41" s="36">
        <v>19300</v>
      </c>
      <c r="G41" s="34">
        <v>23.74</v>
      </c>
      <c r="H41" s="47">
        <v>0</v>
      </c>
      <c r="I41" s="47">
        <v>0</v>
      </c>
      <c r="J41" s="47">
        <v>0</v>
      </c>
      <c r="K41" s="47"/>
    </row>
    <row r="42" spans="1:11" ht="13.9" x14ac:dyDescent="0.25">
      <c r="A42" s="34">
        <v>1995</v>
      </c>
      <c r="B42" s="20" t="s">
        <v>24</v>
      </c>
      <c r="C42" s="20">
        <v>8</v>
      </c>
      <c r="D42" s="35" t="s">
        <v>492</v>
      </c>
      <c r="E42" s="52" t="s">
        <v>989</v>
      </c>
      <c r="F42" s="36">
        <v>19300</v>
      </c>
      <c r="G42" s="34">
        <v>23.74</v>
      </c>
      <c r="H42" s="47">
        <v>0</v>
      </c>
      <c r="I42" s="47">
        <v>0</v>
      </c>
      <c r="J42" s="47">
        <v>0</v>
      </c>
      <c r="K42" s="47"/>
    </row>
    <row r="43" spans="1:11" ht="13.9" x14ac:dyDescent="0.25">
      <c r="A43" s="34">
        <v>1995</v>
      </c>
      <c r="B43" s="20" t="s">
        <v>24</v>
      </c>
      <c r="C43" s="20">
        <v>9</v>
      </c>
      <c r="D43" s="35" t="s">
        <v>436</v>
      </c>
      <c r="E43" s="52" t="s">
        <v>990</v>
      </c>
      <c r="F43" s="36">
        <v>19500</v>
      </c>
      <c r="G43" s="34">
        <v>23.98</v>
      </c>
      <c r="H43" s="47">
        <v>130</v>
      </c>
      <c r="I43" s="47">
        <v>0</v>
      </c>
      <c r="J43" s="47">
        <v>1.3</v>
      </c>
      <c r="K43" s="47"/>
    </row>
    <row r="44" spans="1:11" ht="13.9" x14ac:dyDescent="0.25">
      <c r="A44" s="34">
        <v>1995</v>
      </c>
      <c r="B44" s="20" t="s">
        <v>24</v>
      </c>
      <c r="C44" s="20">
        <v>10</v>
      </c>
      <c r="D44" s="35" t="s">
        <v>492</v>
      </c>
      <c r="E44" s="52" t="s">
        <v>990</v>
      </c>
      <c r="F44" s="36">
        <v>19300</v>
      </c>
      <c r="G44" s="34">
        <v>23.74</v>
      </c>
      <c r="H44" s="47">
        <v>130</v>
      </c>
      <c r="I44" s="47">
        <v>0</v>
      </c>
      <c r="J44" s="47">
        <v>1.3</v>
      </c>
      <c r="K44" s="47"/>
    </row>
    <row r="45" spans="1:11" ht="13.9" x14ac:dyDescent="0.25">
      <c r="A45" s="34">
        <v>1995</v>
      </c>
      <c r="B45" s="20" t="s">
        <v>24</v>
      </c>
      <c r="C45" s="20">
        <v>11</v>
      </c>
      <c r="D45" s="35" t="s">
        <v>493</v>
      </c>
      <c r="E45" s="52" t="s">
        <v>991</v>
      </c>
      <c r="F45" s="36">
        <v>19200</v>
      </c>
      <c r="G45" s="34">
        <v>23.61</v>
      </c>
      <c r="H45" s="47">
        <v>130</v>
      </c>
      <c r="I45" s="47">
        <v>0</v>
      </c>
      <c r="J45" s="47">
        <v>1.6</v>
      </c>
      <c r="K45" s="47"/>
    </row>
    <row r="46" spans="1:11" x14ac:dyDescent="0.25">
      <c r="A46" s="34">
        <v>1995</v>
      </c>
      <c r="B46" s="20" t="s">
        <v>24</v>
      </c>
      <c r="C46" s="20">
        <v>12</v>
      </c>
      <c r="D46" s="35" t="s">
        <v>495</v>
      </c>
      <c r="E46" s="52" t="s">
        <v>992</v>
      </c>
      <c r="F46" s="36">
        <v>18600</v>
      </c>
      <c r="G46" s="34">
        <v>22.88</v>
      </c>
      <c r="H46" s="47">
        <v>130</v>
      </c>
      <c r="I46" s="47">
        <v>0</v>
      </c>
      <c r="J46" s="47">
        <v>1.6</v>
      </c>
      <c r="K46" s="47"/>
    </row>
    <row r="47" spans="1:11" x14ac:dyDescent="0.25">
      <c r="A47" s="34">
        <v>1995</v>
      </c>
      <c r="B47" s="20" t="s">
        <v>24</v>
      </c>
      <c r="C47" s="20">
        <v>13</v>
      </c>
      <c r="D47" s="35" t="s">
        <v>341</v>
      </c>
      <c r="E47" s="52" t="s">
        <v>993</v>
      </c>
      <c r="F47" s="36">
        <v>18250</v>
      </c>
      <c r="G47" s="34">
        <v>22.44</v>
      </c>
      <c r="H47" s="47">
        <v>130</v>
      </c>
      <c r="I47" s="47">
        <v>0</v>
      </c>
      <c r="J47" s="47">
        <v>1.6</v>
      </c>
      <c r="K47" s="47"/>
    </row>
    <row r="48" spans="1:11" x14ac:dyDescent="0.25">
      <c r="A48" s="34">
        <v>1995</v>
      </c>
      <c r="B48" s="20" t="s">
        <v>24</v>
      </c>
      <c r="C48" s="20">
        <v>14</v>
      </c>
      <c r="D48" s="35" t="s">
        <v>339</v>
      </c>
      <c r="E48" s="52" t="s">
        <v>986</v>
      </c>
      <c r="F48" s="36">
        <v>17800</v>
      </c>
      <c r="G48" s="34">
        <v>21.89</v>
      </c>
      <c r="H48" s="47">
        <v>130</v>
      </c>
      <c r="I48" s="47">
        <v>0</v>
      </c>
      <c r="J48" s="47">
        <v>1.6</v>
      </c>
      <c r="K48" s="47"/>
    </row>
    <row r="49" spans="1:11" x14ac:dyDescent="0.25">
      <c r="A49" s="34">
        <v>1995</v>
      </c>
      <c r="B49" s="20" t="s">
        <v>24</v>
      </c>
      <c r="C49" s="20">
        <v>15</v>
      </c>
      <c r="D49" s="35" t="s">
        <v>342</v>
      </c>
      <c r="E49" s="52" t="s">
        <v>985</v>
      </c>
      <c r="F49" s="36">
        <v>17600</v>
      </c>
      <c r="G49" s="34">
        <v>21.65</v>
      </c>
      <c r="H49" s="47">
        <v>130</v>
      </c>
      <c r="I49" s="47">
        <v>0</v>
      </c>
      <c r="J49" s="47">
        <v>1.3</v>
      </c>
      <c r="K49" s="47"/>
    </row>
    <row r="50" spans="1:11" x14ac:dyDescent="0.25">
      <c r="A50" s="34">
        <v>1995</v>
      </c>
      <c r="B50" s="20" t="s">
        <v>24</v>
      </c>
      <c r="C50" s="20">
        <v>16</v>
      </c>
      <c r="D50" s="35" t="s">
        <v>338</v>
      </c>
      <c r="E50" s="52" t="s">
        <v>994</v>
      </c>
      <c r="F50" s="36">
        <v>17500</v>
      </c>
      <c r="G50" s="34">
        <v>21.52</v>
      </c>
      <c r="H50" s="47">
        <v>100</v>
      </c>
      <c r="I50" s="47">
        <v>0</v>
      </c>
      <c r="J50" s="47">
        <v>1.3</v>
      </c>
      <c r="K50" s="47"/>
    </row>
    <row r="51" spans="1:11" x14ac:dyDescent="0.25">
      <c r="A51" s="34">
        <v>1995</v>
      </c>
      <c r="B51" s="20" t="s">
        <v>24</v>
      </c>
      <c r="C51" s="20">
        <v>17</v>
      </c>
      <c r="D51" s="38" t="s">
        <v>514</v>
      </c>
      <c r="E51" s="53" t="s">
        <v>995</v>
      </c>
      <c r="F51" s="38" t="s">
        <v>979</v>
      </c>
      <c r="G51" s="34">
        <v>21.21</v>
      </c>
      <c r="H51" s="47">
        <v>100</v>
      </c>
      <c r="I51" s="47">
        <v>0</v>
      </c>
      <c r="J51" s="47">
        <v>0</v>
      </c>
      <c r="K51" s="47"/>
    </row>
    <row r="52" spans="1:11" x14ac:dyDescent="0.25">
      <c r="A52" s="34">
        <v>1995</v>
      </c>
      <c r="B52" s="20" t="s">
        <v>24</v>
      </c>
      <c r="C52" s="20">
        <v>18</v>
      </c>
      <c r="D52" s="38" t="s">
        <v>498</v>
      </c>
      <c r="E52" s="53" t="s">
        <v>997</v>
      </c>
      <c r="F52" s="38" t="s">
        <v>996</v>
      </c>
      <c r="G52" s="34">
        <v>21.03</v>
      </c>
      <c r="H52" s="47">
        <v>100</v>
      </c>
      <c r="I52" s="47">
        <v>0</v>
      </c>
      <c r="J52" s="47">
        <v>0</v>
      </c>
      <c r="K52" s="47"/>
    </row>
    <row r="53" spans="1:11" x14ac:dyDescent="0.25">
      <c r="A53" s="34">
        <v>1995</v>
      </c>
      <c r="B53" s="20" t="s">
        <v>24</v>
      </c>
      <c r="C53" s="20">
        <v>19</v>
      </c>
      <c r="D53" s="35" t="s">
        <v>498</v>
      </c>
      <c r="E53" s="52" t="s">
        <v>997</v>
      </c>
      <c r="F53" s="36">
        <v>17000</v>
      </c>
      <c r="G53" s="34">
        <v>20.91</v>
      </c>
      <c r="H53" s="47">
        <v>100</v>
      </c>
      <c r="I53" s="47">
        <v>0</v>
      </c>
      <c r="J53" s="47">
        <v>1.3</v>
      </c>
      <c r="K53" s="47"/>
    </row>
    <row r="54" spans="1:11" x14ac:dyDescent="0.25">
      <c r="A54" s="34">
        <v>1995</v>
      </c>
      <c r="B54" s="20" t="s">
        <v>24</v>
      </c>
      <c r="C54" s="20">
        <v>20</v>
      </c>
      <c r="D54" s="35" t="s">
        <v>499</v>
      </c>
      <c r="E54" s="52" t="s">
        <v>998</v>
      </c>
      <c r="F54" s="36">
        <v>16900</v>
      </c>
      <c r="G54" s="34">
        <v>20.78</v>
      </c>
      <c r="H54" s="47">
        <v>100</v>
      </c>
      <c r="I54" s="47">
        <v>0</v>
      </c>
      <c r="J54" s="47">
        <v>1.3</v>
      </c>
      <c r="K54" s="47"/>
    </row>
    <row r="55" spans="1:11" x14ac:dyDescent="0.25">
      <c r="A55" s="34">
        <v>1995</v>
      </c>
      <c r="B55" s="20" t="s">
        <v>24</v>
      </c>
      <c r="C55" s="20">
        <v>21</v>
      </c>
      <c r="D55" s="35" t="s">
        <v>517</v>
      </c>
      <c r="E55" s="52" t="s">
        <v>999</v>
      </c>
      <c r="F55" s="36">
        <v>16800</v>
      </c>
      <c r="G55" s="34">
        <v>20.66</v>
      </c>
      <c r="H55" s="47">
        <v>100</v>
      </c>
      <c r="I55" s="47">
        <v>0</v>
      </c>
      <c r="J55" s="47">
        <v>0</v>
      </c>
      <c r="K55" s="47"/>
    </row>
    <row r="56" spans="1:11" x14ac:dyDescent="0.25">
      <c r="A56" s="34">
        <v>1995</v>
      </c>
      <c r="B56" s="20" t="s">
        <v>24</v>
      </c>
      <c r="C56" s="20">
        <v>22</v>
      </c>
      <c r="D56" s="35" t="s">
        <v>336</v>
      </c>
      <c r="E56" s="52" t="s">
        <v>1000</v>
      </c>
      <c r="F56" s="36">
        <v>16900</v>
      </c>
      <c r="G56" s="34">
        <v>20.54</v>
      </c>
      <c r="H56" s="47">
        <v>30</v>
      </c>
      <c r="I56" s="47">
        <v>0</v>
      </c>
      <c r="J56" s="47">
        <v>0</v>
      </c>
      <c r="K56" s="47"/>
    </row>
    <row r="57" spans="1:11" x14ac:dyDescent="0.25">
      <c r="A57" s="34">
        <v>1995</v>
      </c>
      <c r="B57" s="20" t="s">
        <v>24</v>
      </c>
      <c r="C57" s="20">
        <v>23</v>
      </c>
      <c r="D57" s="35" t="s">
        <v>336</v>
      </c>
      <c r="E57" s="52" t="s">
        <v>1000</v>
      </c>
      <c r="F57" s="36">
        <v>16700</v>
      </c>
      <c r="G57" s="34">
        <v>20.54</v>
      </c>
      <c r="H57" s="47">
        <v>0</v>
      </c>
      <c r="I57" s="47">
        <v>0</v>
      </c>
      <c r="J57" s="47">
        <v>0</v>
      </c>
      <c r="K57" s="47"/>
    </row>
    <row r="58" spans="1:11" x14ac:dyDescent="0.25">
      <c r="A58" s="34">
        <v>1995</v>
      </c>
      <c r="B58" s="20" t="s">
        <v>24</v>
      </c>
      <c r="C58" s="20">
        <v>24</v>
      </c>
      <c r="D58" s="35" t="s">
        <v>336</v>
      </c>
      <c r="E58" s="52" t="s">
        <v>1000</v>
      </c>
      <c r="F58" s="36">
        <v>16700</v>
      </c>
      <c r="G58" s="34">
        <v>20.54</v>
      </c>
      <c r="H58" s="47">
        <v>0</v>
      </c>
      <c r="I58" s="47">
        <v>0</v>
      </c>
      <c r="J58" s="47">
        <v>0</v>
      </c>
      <c r="K58" s="47"/>
    </row>
    <row r="59" spans="1:11" x14ac:dyDescent="0.25">
      <c r="A59" s="34">
        <v>1995</v>
      </c>
      <c r="B59" s="20" t="s">
        <v>24</v>
      </c>
      <c r="C59" s="20">
        <v>25</v>
      </c>
      <c r="D59" s="35" t="s">
        <v>500</v>
      </c>
      <c r="E59" s="52" t="s">
        <v>1001</v>
      </c>
      <c r="F59" s="36">
        <v>16600</v>
      </c>
      <c r="G59" s="34">
        <v>20.420000000000002</v>
      </c>
      <c r="H59" s="47">
        <v>0</v>
      </c>
      <c r="I59" s="47">
        <v>0</v>
      </c>
      <c r="J59" s="47">
        <v>0</v>
      </c>
      <c r="K59" s="47"/>
    </row>
    <row r="60" spans="1:11" x14ac:dyDescent="0.25">
      <c r="A60" s="34">
        <v>1995</v>
      </c>
      <c r="B60" s="20" t="s">
        <v>24</v>
      </c>
      <c r="C60" s="20">
        <v>26</v>
      </c>
      <c r="D60" s="35" t="s">
        <v>501</v>
      </c>
      <c r="E60" s="52" t="s">
        <v>1002</v>
      </c>
      <c r="F60" s="36">
        <v>16500</v>
      </c>
      <c r="G60" s="34">
        <v>20.29</v>
      </c>
      <c r="H60" s="47">
        <v>0</v>
      </c>
      <c r="I60" s="47">
        <v>0</v>
      </c>
      <c r="J60" s="47">
        <v>0</v>
      </c>
      <c r="K60" s="47"/>
    </row>
    <row r="61" spans="1:11" x14ac:dyDescent="0.25">
      <c r="A61" s="34">
        <v>1995</v>
      </c>
      <c r="B61" s="20" t="s">
        <v>24</v>
      </c>
      <c r="C61" s="20">
        <v>27</v>
      </c>
      <c r="D61" s="35" t="s">
        <v>335</v>
      </c>
      <c r="E61" s="52" t="s">
        <v>1003</v>
      </c>
      <c r="F61" s="36">
        <v>16400</v>
      </c>
      <c r="G61" s="34">
        <v>20.170000000000002</v>
      </c>
      <c r="H61" s="47">
        <v>0</v>
      </c>
      <c r="I61" s="47">
        <v>0</v>
      </c>
      <c r="J61" s="47">
        <v>0</v>
      </c>
      <c r="K61" s="47"/>
    </row>
    <row r="62" spans="1:11" x14ac:dyDescent="0.25">
      <c r="A62" s="34">
        <v>1995</v>
      </c>
      <c r="B62" s="20" t="s">
        <v>24</v>
      </c>
      <c r="C62" s="20">
        <v>28</v>
      </c>
      <c r="D62" s="35" t="s">
        <v>435</v>
      </c>
      <c r="E62" s="52" t="s">
        <v>1004</v>
      </c>
      <c r="F62" s="36">
        <v>16200</v>
      </c>
      <c r="G62" s="34">
        <v>19.920000000000002</v>
      </c>
      <c r="H62" s="47">
        <v>0</v>
      </c>
      <c r="I62" s="47">
        <v>0</v>
      </c>
      <c r="J62" s="47">
        <v>0</v>
      </c>
      <c r="K62" s="47"/>
    </row>
    <row r="63" spans="1:11" x14ac:dyDescent="0.25">
      <c r="A63" s="34">
        <v>1995</v>
      </c>
      <c r="B63" s="20" t="s">
        <v>24</v>
      </c>
      <c r="C63" s="20">
        <v>29</v>
      </c>
      <c r="D63" s="34"/>
      <c r="E63" s="48"/>
      <c r="F63" s="34"/>
      <c r="G63" s="34"/>
      <c r="H63" s="47"/>
      <c r="I63" s="47"/>
      <c r="J63" s="47"/>
      <c r="K63" s="47"/>
    </row>
    <row r="64" spans="1:11" x14ac:dyDescent="0.25">
      <c r="A64" s="34">
        <v>1995</v>
      </c>
      <c r="B64" s="20" t="s">
        <v>25</v>
      </c>
      <c r="C64" s="20">
        <v>1</v>
      </c>
      <c r="D64" s="35" t="s">
        <v>513</v>
      </c>
      <c r="E64" s="52" t="s">
        <v>736</v>
      </c>
      <c r="F64" s="36">
        <v>16000</v>
      </c>
      <c r="G64" s="34">
        <v>0</v>
      </c>
      <c r="H64" s="47">
        <v>0</v>
      </c>
      <c r="I64" s="47">
        <v>0</v>
      </c>
      <c r="J64" s="47">
        <v>0</v>
      </c>
      <c r="K64" s="47"/>
    </row>
    <row r="65" spans="1:11" x14ac:dyDescent="0.25">
      <c r="A65" s="34">
        <v>1995</v>
      </c>
      <c r="B65" s="20" t="s">
        <v>25</v>
      </c>
      <c r="C65" s="20">
        <v>2</v>
      </c>
      <c r="D65" s="35" t="s">
        <v>502</v>
      </c>
      <c r="E65" s="51">
        <v>0</v>
      </c>
      <c r="F65" s="36">
        <v>15750</v>
      </c>
      <c r="G65" s="34">
        <v>0</v>
      </c>
      <c r="H65" s="47">
        <v>0</v>
      </c>
      <c r="I65" s="47">
        <v>0</v>
      </c>
      <c r="J65" s="47">
        <v>1.6</v>
      </c>
      <c r="K65" s="47"/>
    </row>
    <row r="66" spans="1:11" x14ac:dyDescent="0.25">
      <c r="A66" s="34">
        <v>1995</v>
      </c>
      <c r="B66" s="20" t="s">
        <v>25</v>
      </c>
      <c r="C66" s="20">
        <v>3</v>
      </c>
      <c r="D66" s="38" t="s">
        <v>518</v>
      </c>
      <c r="E66" s="51">
        <v>0</v>
      </c>
      <c r="F66" s="38" t="s">
        <v>1005</v>
      </c>
      <c r="G66" s="34">
        <v>0</v>
      </c>
      <c r="H66" s="47">
        <v>0</v>
      </c>
      <c r="I66" s="47">
        <v>0</v>
      </c>
      <c r="J66" s="47">
        <v>0</v>
      </c>
      <c r="K66" s="47"/>
    </row>
    <row r="67" spans="1:11" x14ac:dyDescent="0.25">
      <c r="A67" s="34">
        <v>1995</v>
      </c>
      <c r="B67" s="20" t="s">
        <v>25</v>
      </c>
      <c r="C67" s="20">
        <v>4</v>
      </c>
      <c r="D67" s="35" t="s">
        <v>334</v>
      </c>
      <c r="E67" s="51">
        <v>0</v>
      </c>
      <c r="F67" s="36">
        <v>15400</v>
      </c>
      <c r="G67" s="34">
        <v>0</v>
      </c>
      <c r="H67" s="47">
        <v>0</v>
      </c>
      <c r="I67" s="47">
        <v>0</v>
      </c>
      <c r="J67" s="47">
        <v>1.3</v>
      </c>
      <c r="K67" s="47"/>
    </row>
    <row r="68" spans="1:11" x14ac:dyDescent="0.25">
      <c r="A68" s="34">
        <v>1995</v>
      </c>
      <c r="B68" s="20" t="s">
        <v>25</v>
      </c>
      <c r="C68" s="20">
        <v>5</v>
      </c>
      <c r="D68" s="35" t="s">
        <v>519</v>
      </c>
      <c r="E68" s="51">
        <v>0</v>
      </c>
      <c r="F68" s="36">
        <v>15300</v>
      </c>
      <c r="G68" s="34">
        <v>0</v>
      </c>
      <c r="H68" s="47">
        <v>0</v>
      </c>
      <c r="I68" s="47">
        <v>0</v>
      </c>
      <c r="J68" s="47">
        <v>1.3</v>
      </c>
      <c r="K68" s="47"/>
    </row>
    <row r="69" spans="1:11" x14ac:dyDescent="0.25">
      <c r="A69" s="34">
        <v>1995</v>
      </c>
      <c r="B69" s="20" t="s">
        <v>25</v>
      </c>
      <c r="C69" s="20">
        <v>6</v>
      </c>
      <c r="D69" s="35" t="s">
        <v>316</v>
      </c>
      <c r="E69" s="51">
        <v>0</v>
      </c>
      <c r="F69" s="36">
        <v>15200</v>
      </c>
      <c r="G69" s="34">
        <v>0</v>
      </c>
      <c r="H69" s="47">
        <v>0</v>
      </c>
      <c r="I69" s="47">
        <v>0</v>
      </c>
      <c r="J69" s="47">
        <v>1.3</v>
      </c>
      <c r="K69" s="47"/>
    </row>
    <row r="70" spans="1:11" x14ac:dyDescent="0.25">
      <c r="A70" s="34">
        <v>1995</v>
      </c>
      <c r="B70" s="20" t="s">
        <v>25</v>
      </c>
      <c r="C70" s="20">
        <v>7</v>
      </c>
      <c r="D70" s="35" t="s">
        <v>316</v>
      </c>
      <c r="E70" s="51">
        <v>0</v>
      </c>
      <c r="F70" s="36">
        <v>15200</v>
      </c>
      <c r="G70" s="34">
        <v>0</v>
      </c>
      <c r="H70" s="47">
        <v>0</v>
      </c>
      <c r="I70" s="47">
        <v>0</v>
      </c>
      <c r="J70" s="47">
        <v>1.3</v>
      </c>
      <c r="K70" s="47"/>
    </row>
    <row r="71" spans="1:11" x14ac:dyDescent="0.25">
      <c r="A71" s="34">
        <v>1995</v>
      </c>
      <c r="B71" s="20" t="s">
        <v>25</v>
      </c>
      <c r="C71" s="20">
        <v>8</v>
      </c>
      <c r="D71" s="35" t="s">
        <v>512</v>
      </c>
      <c r="E71" s="51">
        <v>0</v>
      </c>
      <c r="F71" s="36">
        <v>15000</v>
      </c>
      <c r="G71" s="34">
        <v>0</v>
      </c>
      <c r="H71" s="47">
        <v>0</v>
      </c>
      <c r="I71" s="47">
        <v>0</v>
      </c>
      <c r="J71" s="47">
        <v>0</v>
      </c>
      <c r="K71" s="47"/>
    </row>
    <row r="72" spans="1:11" x14ac:dyDescent="0.25">
      <c r="A72" s="34">
        <v>1995</v>
      </c>
      <c r="B72" s="20" t="s">
        <v>25</v>
      </c>
      <c r="C72" s="20">
        <v>9</v>
      </c>
      <c r="D72" s="35" t="s">
        <v>512</v>
      </c>
      <c r="E72" s="51">
        <v>0</v>
      </c>
      <c r="F72" s="36">
        <v>15000</v>
      </c>
      <c r="G72" s="34">
        <v>0</v>
      </c>
      <c r="H72" s="47">
        <v>0</v>
      </c>
      <c r="I72" s="47">
        <v>0</v>
      </c>
      <c r="J72" s="47">
        <v>0</v>
      </c>
      <c r="K72" s="47"/>
    </row>
    <row r="73" spans="1:11" x14ac:dyDescent="0.25">
      <c r="A73" s="34">
        <v>1995</v>
      </c>
      <c r="B73" s="20" t="s">
        <v>25</v>
      </c>
      <c r="C73" s="20">
        <v>10</v>
      </c>
      <c r="D73" s="35" t="s">
        <v>512</v>
      </c>
      <c r="E73" s="51">
        <v>0</v>
      </c>
      <c r="F73" s="36">
        <v>15000</v>
      </c>
      <c r="G73" s="34">
        <v>0</v>
      </c>
      <c r="H73" s="47">
        <v>0</v>
      </c>
      <c r="I73" s="47">
        <v>0</v>
      </c>
      <c r="J73" s="47">
        <v>0</v>
      </c>
      <c r="K73" s="47"/>
    </row>
    <row r="74" spans="1:11" x14ac:dyDescent="0.25">
      <c r="A74" s="34">
        <v>1995</v>
      </c>
      <c r="B74" s="20" t="s">
        <v>25</v>
      </c>
      <c r="C74" s="20">
        <v>11</v>
      </c>
      <c r="D74" s="35" t="s">
        <v>334</v>
      </c>
      <c r="E74" s="51">
        <v>0</v>
      </c>
      <c r="F74" s="36">
        <v>15400</v>
      </c>
      <c r="G74" s="34">
        <v>0</v>
      </c>
      <c r="H74" s="47">
        <v>0</v>
      </c>
      <c r="I74" s="47">
        <v>0</v>
      </c>
      <c r="J74" s="47">
        <v>0</v>
      </c>
      <c r="K74" s="47"/>
    </row>
    <row r="75" spans="1:11" x14ac:dyDescent="0.25">
      <c r="A75" s="34">
        <v>1995</v>
      </c>
      <c r="B75" s="20" t="s">
        <v>25</v>
      </c>
      <c r="C75" s="20">
        <v>12</v>
      </c>
      <c r="D75" s="35" t="s">
        <v>334</v>
      </c>
      <c r="E75" s="51">
        <v>0</v>
      </c>
      <c r="F75" s="36">
        <v>15400</v>
      </c>
      <c r="G75" s="34">
        <v>0</v>
      </c>
      <c r="H75" s="47">
        <v>0</v>
      </c>
      <c r="I75" s="47">
        <v>0</v>
      </c>
      <c r="J75" s="47">
        <v>0</v>
      </c>
      <c r="K75" s="47"/>
    </row>
    <row r="76" spans="1:11" x14ac:dyDescent="0.25">
      <c r="A76" s="34">
        <v>1995</v>
      </c>
      <c r="B76" s="20" t="s">
        <v>25</v>
      </c>
      <c r="C76" s="20">
        <v>13</v>
      </c>
      <c r="D76" s="35" t="s">
        <v>334</v>
      </c>
      <c r="E76" s="51">
        <v>0</v>
      </c>
      <c r="F76" s="36">
        <v>15400</v>
      </c>
      <c r="G76" s="34">
        <v>0</v>
      </c>
      <c r="H76" s="47">
        <v>0</v>
      </c>
      <c r="I76" s="47">
        <v>0</v>
      </c>
      <c r="J76" s="47">
        <v>0</v>
      </c>
      <c r="K76" s="47"/>
    </row>
    <row r="77" spans="1:11" x14ac:dyDescent="0.25">
      <c r="A77" s="34">
        <v>1995</v>
      </c>
      <c r="B77" s="20" t="s">
        <v>25</v>
      </c>
      <c r="C77" s="20">
        <v>14</v>
      </c>
      <c r="D77" s="35" t="s">
        <v>334</v>
      </c>
      <c r="E77" s="51">
        <v>0</v>
      </c>
      <c r="F77" s="36">
        <v>15400</v>
      </c>
      <c r="G77" s="34">
        <v>0</v>
      </c>
      <c r="H77" s="47">
        <v>0</v>
      </c>
      <c r="I77" s="47">
        <v>0</v>
      </c>
      <c r="J77" s="47">
        <v>0</v>
      </c>
      <c r="K77" s="47"/>
    </row>
    <row r="78" spans="1:11" x14ac:dyDescent="0.25">
      <c r="A78" s="34">
        <v>1995</v>
      </c>
      <c r="B78" s="20" t="s">
        <v>25</v>
      </c>
      <c r="C78" s="21">
        <v>15</v>
      </c>
      <c r="D78" s="35" t="s">
        <v>334</v>
      </c>
      <c r="E78" s="51">
        <v>0</v>
      </c>
      <c r="F78" s="36">
        <v>15400</v>
      </c>
      <c r="G78" s="34">
        <v>0</v>
      </c>
      <c r="H78" s="47">
        <v>0</v>
      </c>
      <c r="I78" s="47">
        <v>0</v>
      </c>
      <c r="J78" s="47">
        <v>1.3</v>
      </c>
      <c r="K78" s="47"/>
    </row>
    <row r="79" spans="1:11" x14ac:dyDescent="0.25">
      <c r="A79" s="34">
        <v>1995</v>
      </c>
      <c r="B79" s="20" t="s">
        <v>25</v>
      </c>
      <c r="C79" s="20">
        <v>16</v>
      </c>
      <c r="D79" s="38" t="s">
        <v>519</v>
      </c>
      <c r="E79" s="51">
        <v>0</v>
      </c>
      <c r="F79" s="38" t="s">
        <v>1006</v>
      </c>
      <c r="G79" s="34">
        <v>0</v>
      </c>
      <c r="H79" s="47">
        <v>0</v>
      </c>
      <c r="I79" s="47">
        <v>0</v>
      </c>
      <c r="J79" s="47">
        <v>1.3</v>
      </c>
      <c r="K79" s="47"/>
    </row>
    <row r="80" spans="1:11" x14ac:dyDescent="0.25">
      <c r="A80" s="34">
        <v>1995</v>
      </c>
      <c r="B80" s="20" t="s">
        <v>25</v>
      </c>
      <c r="C80" s="20">
        <v>17</v>
      </c>
      <c r="D80" s="38" t="s">
        <v>316</v>
      </c>
      <c r="E80" s="51">
        <v>0</v>
      </c>
      <c r="F80" s="36">
        <v>15200</v>
      </c>
      <c r="G80" s="34">
        <v>0</v>
      </c>
      <c r="H80" s="47">
        <v>0</v>
      </c>
      <c r="I80" s="47">
        <v>0</v>
      </c>
      <c r="J80" s="47">
        <v>1.3</v>
      </c>
      <c r="K80" s="47"/>
    </row>
    <row r="81" spans="1:11" x14ac:dyDescent="0.25">
      <c r="A81" s="34">
        <v>1995</v>
      </c>
      <c r="B81" s="20" t="s">
        <v>25</v>
      </c>
      <c r="C81" s="20">
        <v>18</v>
      </c>
      <c r="D81" s="38" t="s">
        <v>512</v>
      </c>
      <c r="E81" s="51">
        <v>0</v>
      </c>
      <c r="F81" s="36">
        <v>15000</v>
      </c>
      <c r="G81" s="34">
        <v>0</v>
      </c>
      <c r="H81" s="47">
        <v>0</v>
      </c>
      <c r="I81" s="47">
        <v>0</v>
      </c>
      <c r="J81" s="47">
        <v>1.3</v>
      </c>
      <c r="K81" s="47"/>
    </row>
    <row r="82" spans="1:11" x14ac:dyDescent="0.25">
      <c r="A82" s="34">
        <v>1995</v>
      </c>
      <c r="B82" s="20" t="s">
        <v>25</v>
      </c>
      <c r="C82" s="20">
        <v>19</v>
      </c>
      <c r="D82" s="38" t="s">
        <v>503</v>
      </c>
      <c r="E82" s="51">
        <v>0</v>
      </c>
      <c r="F82" s="36">
        <v>14900</v>
      </c>
      <c r="G82" s="34">
        <v>0</v>
      </c>
      <c r="H82" s="47">
        <v>0</v>
      </c>
      <c r="I82" s="47">
        <v>0</v>
      </c>
      <c r="J82" s="47">
        <v>1.3</v>
      </c>
      <c r="K82" s="47"/>
    </row>
    <row r="83" spans="1:11" x14ac:dyDescent="0.25">
      <c r="A83" s="34">
        <v>1995</v>
      </c>
      <c r="B83" s="20" t="s">
        <v>25</v>
      </c>
      <c r="C83" s="20">
        <v>20</v>
      </c>
      <c r="D83" s="38" t="s">
        <v>503</v>
      </c>
      <c r="E83" s="51">
        <v>0</v>
      </c>
      <c r="F83" s="40">
        <v>14900</v>
      </c>
      <c r="G83" s="34">
        <v>0</v>
      </c>
      <c r="H83" s="47">
        <v>0</v>
      </c>
      <c r="I83" s="47">
        <v>0</v>
      </c>
      <c r="J83" s="47">
        <v>0</v>
      </c>
      <c r="K83" s="47"/>
    </row>
    <row r="84" spans="1:11" x14ac:dyDescent="0.25">
      <c r="A84" s="34">
        <v>1995</v>
      </c>
      <c r="B84" s="20" t="s">
        <v>25</v>
      </c>
      <c r="C84" s="20">
        <v>21</v>
      </c>
      <c r="D84" s="38" t="s">
        <v>503</v>
      </c>
      <c r="E84" s="51">
        <v>0</v>
      </c>
      <c r="F84" s="40">
        <v>14900</v>
      </c>
      <c r="G84" s="34">
        <v>0</v>
      </c>
      <c r="H84" s="47">
        <v>0</v>
      </c>
      <c r="I84" s="47">
        <v>0</v>
      </c>
      <c r="J84" s="47">
        <v>0</v>
      </c>
      <c r="K84" s="47"/>
    </row>
    <row r="85" spans="1:11" x14ac:dyDescent="0.25">
      <c r="A85" s="34">
        <v>1995</v>
      </c>
      <c r="B85" s="20" t="s">
        <v>25</v>
      </c>
      <c r="C85" s="20">
        <v>22</v>
      </c>
      <c r="D85" s="38" t="s">
        <v>503</v>
      </c>
      <c r="E85" s="51">
        <v>0</v>
      </c>
      <c r="F85" s="40">
        <v>14900</v>
      </c>
      <c r="G85" s="34">
        <v>0</v>
      </c>
      <c r="H85" s="47">
        <v>0</v>
      </c>
      <c r="I85" s="47">
        <v>0</v>
      </c>
      <c r="J85" s="47">
        <v>0</v>
      </c>
      <c r="K85" s="47"/>
    </row>
    <row r="86" spans="1:11" x14ac:dyDescent="0.25">
      <c r="A86" s="34">
        <v>1995</v>
      </c>
      <c r="B86" s="20" t="s">
        <v>25</v>
      </c>
      <c r="C86" s="20">
        <v>23</v>
      </c>
      <c r="D86" s="38" t="s">
        <v>503</v>
      </c>
      <c r="E86" s="51">
        <v>0</v>
      </c>
      <c r="F86" s="40">
        <v>14900</v>
      </c>
      <c r="G86" s="34">
        <v>0</v>
      </c>
      <c r="H86" s="47">
        <v>0</v>
      </c>
      <c r="I86" s="47">
        <v>0</v>
      </c>
      <c r="J86" s="47">
        <v>0</v>
      </c>
      <c r="K86" s="47"/>
    </row>
    <row r="87" spans="1:11" x14ac:dyDescent="0.25">
      <c r="A87" s="34">
        <v>1995</v>
      </c>
      <c r="B87" s="20" t="s">
        <v>25</v>
      </c>
      <c r="C87" s="20">
        <v>24</v>
      </c>
      <c r="D87" s="38" t="s">
        <v>503</v>
      </c>
      <c r="E87" s="51">
        <v>0</v>
      </c>
      <c r="F87" s="40">
        <v>14900</v>
      </c>
      <c r="G87" s="34">
        <v>0</v>
      </c>
      <c r="H87" s="47">
        <v>0</v>
      </c>
      <c r="I87" s="47">
        <v>0</v>
      </c>
      <c r="J87" s="47">
        <v>0</v>
      </c>
      <c r="K87" s="47"/>
    </row>
    <row r="88" spans="1:11" x14ac:dyDescent="0.25">
      <c r="A88" s="34">
        <v>1995</v>
      </c>
      <c r="B88" s="20" t="s">
        <v>25</v>
      </c>
      <c r="C88" s="20">
        <v>25</v>
      </c>
      <c r="D88" s="38" t="s">
        <v>503</v>
      </c>
      <c r="E88" s="51">
        <v>0</v>
      </c>
      <c r="F88" s="40">
        <v>14900</v>
      </c>
      <c r="G88" s="34">
        <v>0</v>
      </c>
      <c r="H88" s="47">
        <v>0</v>
      </c>
      <c r="I88" s="47">
        <v>0</v>
      </c>
      <c r="J88" s="47">
        <v>0</v>
      </c>
      <c r="K88" s="47"/>
    </row>
    <row r="89" spans="1:11" x14ac:dyDescent="0.25">
      <c r="A89" s="34">
        <v>1995</v>
      </c>
      <c r="B89" s="20" t="s">
        <v>25</v>
      </c>
      <c r="C89" s="20">
        <v>26</v>
      </c>
      <c r="D89" s="38" t="s">
        <v>503</v>
      </c>
      <c r="E89" s="51">
        <v>0</v>
      </c>
      <c r="F89" s="40">
        <v>14900</v>
      </c>
      <c r="G89" s="34">
        <v>0</v>
      </c>
      <c r="H89" s="47">
        <v>0</v>
      </c>
      <c r="I89" s="47">
        <v>0</v>
      </c>
      <c r="J89" s="47">
        <v>0</v>
      </c>
      <c r="K89" s="47"/>
    </row>
    <row r="90" spans="1:11" x14ac:dyDescent="0.25">
      <c r="A90" s="34">
        <v>1995</v>
      </c>
      <c r="B90" s="20" t="s">
        <v>25</v>
      </c>
      <c r="C90" s="20">
        <v>27</v>
      </c>
      <c r="D90" s="38" t="s">
        <v>503</v>
      </c>
      <c r="E90" s="51">
        <v>0</v>
      </c>
      <c r="F90" s="40">
        <v>14900</v>
      </c>
      <c r="G90" s="34">
        <v>0</v>
      </c>
      <c r="H90" s="47">
        <v>0</v>
      </c>
      <c r="I90" s="47">
        <v>0</v>
      </c>
      <c r="J90" s="47">
        <v>0</v>
      </c>
      <c r="K90" s="47"/>
    </row>
    <row r="91" spans="1:11" x14ac:dyDescent="0.25">
      <c r="A91" s="34">
        <v>1995</v>
      </c>
      <c r="B91" s="20" t="s">
        <v>25</v>
      </c>
      <c r="C91" s="20">
        <v>28</v>
      </c>
      <c r="D91" s="38" t="s">
        <v>503</v>
      </c>
      <c r="E91" s="51">
        <v>0</v>
      </c>
      <c r="F91" s="40">
        <v>14900</v>
      </c>
      <c r="G91" s="34">
        <v>0</v>
      </c>
      <c r="H91" s="47">
        <v>0</v>
      </c>
      <c r="I91" s="47">
        <v>0</v>
      </c>
      <c r="J91" s="47">
        <v>0</v>
      </c>
      <c r="K91" s="47"/>
    </row>
    <row r="92" spans="1:11" x14ac:dyDescent="0.25">
      <c r="A92" s="34">
        <v>1995</v>
      </c>
      <c r="B92" s="20" t="s">
        <v>25</v>
      </c>
      <c r="C92" s="20">
        <v>29</v>
      </c>
      <c r="D92" s="38" t="s">
        <v>518</v>
      </c>
      <c r="E92" s="51">
        <v>0</v>
      </c>
      <c r="F92" s="40">
        <v>15302</v>
      </c>
      <c r="G92" s="34">
        <v>0</v>
      </c>
      <c r="H92" s="47">
        <v>0</v>
      </c>
      <c r="I92" s="47">
        <v>0</v>
      </c>
      <c r="J92" s="47">
        <v>0</v>
      </c>
      <c r="K92" s="47"/>
    </row>
    <row r="93" spans="1:11" x14ac:dyDescent="0.25">
      <c r="A93" s="34">
        <v>1995</v>
      </c>
      <c r="B93" s="20" t="s">
        <v>25</v>
      </c>
      <c r="C93" s="20">
        <v>30</v>
      </c>
      <c r="D93" s="38" t="s">
        <v>520</v>
      </c>
      <c r="E93" s="51">
        <v>0</v>
      </c>
      <c r="F93" s="38" t="s">
        <v>1007</v>
      </c>
      <c r="G93" s="34">
        <v>0</v>
      </c>
      <c r="H93" s="47">
        <v>0</v>
      </c>
      <c r="I93" s="47">
        <v>0</v>
      </c>
      <c r="J93" s="47">
        <v>0</v>
      </c>
      <c r="K93" s="47"/>
    </row>
    <row r="94" spans="1:11" x14ac:dyDescent="0.25">
      <c r="A94" s="34">
        <v>1995</v>
      </c>
      <c r="B94" s="20" t="s">
        <v>25</v>
      </c>
      <c r="C94" s="20">
        <v>31</v>
      </c>
      <c r="D94" s="38" t="s">
        <v>520</v>
      </c>
      <c r="E94" s="51">
        <v>0</v>
      </c>
      <c r="F94" s="38" t="s">
        <v>1007</v>
      </c>
      <c r="G94" s="34">
        <v>0</v>
      </c>
      <c r="H94" s="47">
        <v>0</v>
      </c>
      <c r="I94" s="47">
        <v>0</v>
      </c>
      <c r="J94" s="47">
        <v>0</v>
      </c>
      <c r="K94" s="47"/>
    </row>
    <row r="95" spans="1:11" x14ac:dyDescent="0.25">
      <c r="A95" s="34">
        <v>1995</v>
      </c>
      <c r="B95" s="20" t="s">
        <v>26</v>
      </c>
      <c r="C95" s="20">
        <v>1</v>
      </c>
      <c r="D95" s="38" t="s">
        <v>520</v>
      </c>
      <c r="E95" s="51">
        <v>0</v>
      </c>
      <c r="F95" s="40">
        <v>15350</v>
      </c>
      <c r="G95" s="34">
        <v>0</v>
      </c>
      <c r="H95" s="47">
        <v>0</v>
      </c>
      <c r="I95" s="47">
        <v>0</v>
      </c>
      <c r="J95" s="47">
        <v>0</v>
      </c>
      <c r="K95" s="47"/>
    </row>
    <row r="96" spans="1:11" x14ac:dyDescent="0.25">
      <c r="A96" s="34">
        <v>1995</v>
      </c>
      <c r="B96" s="20" t="s">
        <v>26</v>
      </c>
      <c r="C96" s="20">
        <v>2</v>
      </c>
      <c r="D96" s="38" t="s">
        <v>520</v>
      </c>
      <c r="E96" s="51">
        <v>0</v>
      </c>
      <c r="F96" s="40">
        <v>15350</v>
      </c>
      <c r="G96" s="34">
        <v>0</v>
      </c>
      <c r="H96" s="47">
        <v>0</v>
      </c>
      <c r="I96" s="47">
        <v>0</v>
      </c>
      <c r="J96" s="47">
        <v>0</v>
      </c>
      <c r="K96" s="47"/>
    </row>
    <row r="97" spans="1:11" x14ac:dyDescent="0.25">
      <c r="A97" s="34">
        <v>1995</v>
      </c>
      <c r="B97" s="20" t="s">
        <v>26</v>
      </c>
      <c r="C97" s="20">
        <v>3</v>
      </c>
      <c r="D97" s="38" t="s">
        <v>520</v>
      </c>
      <c r="E97" s="51">
        <v>0</v>
      </c>
      <c r="F97" s="40">
        <v>15350</v>
      </c>
      <c r="G97" s="34">
        <v>0</v>
      </c>
      <c r="H97" s="47">
        <v>0</v>
      </c>
      <c r="I97" s="47">
        <v>0</v>
      </c>
      <c r="J97" s="47">
        <v>0</v>
      </c>
      <c r="K97" s="47"/>
    </row>
    <row r="98" spans="1:11" x14ac:dyDescent="0.25">
      <c r="A98" s="34">
        <v>1995</v>
      </c>
      <c r="B98" s="20" t="s">
        <v>26</v>
      </c>
      <c r="C98" s="20">
        <v>4</v>
      </c>
      <c r="D98" s="38" t="s">
        <v>521</v>
      </c>
      <c r="E98" s="51">
        <v>0</v>
      </c>
      <c r="F98" s="40">
        <v>15400</v>
      </c>
      <c r="G98" s="34">
        <v>0</v>
      </c>
      <c r="H98" s="47">
        <v>0</v>
      </c>
      <c r="I98" s="47">
        <v>0</v>
      </c>
      <c r="J98" s="47">
        <v>0</v>
      </c>
      <c r="K98" s="47"/>
    </row>
    <row r="99" spans="1:11" x14ac:dyDescent="0.25">
      <c r="A99" s="34">
        <v>1995</v>
      </c>
      <c r="B99" s="20" t="s">
        <v>26</v>
      </c>
      <c r="C99" s="20">
        <v>5</v>
      </c>
      <c r="D99" s="38" t="s">
        <v>521</v>
      </c>
      <c r="E99" s="51">
        <v>0</v>
      </c>
      <c r="F99" s="40">
        <v>15400</v>
      </c>
      <c r="G99" s="34">
        <v>0</v>
      </c>
      <c r="H99" s="47">
        <v>0</v>
      </c>
      <c r="I99" s="47">
        <v>0</v>
      </c>
      <c r="J99" s="47">
        <v>0</v>
      </c>
      <c r="K99" s="47"/>
    </row>
    <row r="100" spans="1:11" x14ac:dyDescent="0.25">
      <c r="A100" s="34">
        <v>1995</v>
      </c>
      <c r="B100" s="20" t="s">
        <v>26</v>
      </c>
      <c r="C100" s="20">
        <v>6</v>
      </c>
      <c r="D100" s="38" t="s">
        <v>334</v>
      </c>
      <c r="E100" s="51">
        <v>0</v>
      </c>
      <c r="F100" s="36">
        <v>15500</v>
      </c>
      <c r="G100" s="34">
        <v>0</v>
      </c>
      <c r="H100" s="47">
        <v>0</v>
      </c>
      <c r="I100" s="47">
        <v>0</v>
      </c>
      <c r="J100" s="47">
        <v>0</v>
      </c>
      <c r="K100" s="47"/>
    </row>
    <row r="101" spans="1:11" x14ac:dyDescent="0.25">
      <c r="A101" s="34">
        <v>1995</v>
      </c>
      <c r="B101" s="20" t="s">
        <v>26</v>
      </c>
      <c r="C101" s="20">
        <v>7</v>
      </c>
      <c r="D101" s="38" t="s">
        <v>334</v>
      </c>
      <c r="E101" s="51">
        <v>0</v>
      </c>
      <c r="F101" s="36">
        <v>15500</v>
      </c>
      <c r="G101" s="34">
        <v>0</v>
      </c>
      <c r="H101" s="47">
        <v>0</v>
      </c>
      <c r="I101" s="47">
        <v>0</v>
      </c>
      <c r="J101" s="47">
        <v>0</v>
      </c>
      <c r="K101" s="47"/>
    </row>
    <row r="102" spans="1:11" x14ac:dyDescent="0.25">
      <c r="A102" s="34">
        <v>1995</v>
      </c>
      <c r="B102" s="20" t="s">
        <v>26</v>
      </c>
      <c r="C102" s="20">
        <v>8</v>
      </c>
      <c r="D102" s="38" t="s">
        <v>334</v>
      </c>
      <c r="E102" s="51">
        <v>0</v>
      </c>
      <c r="F102" s="36">
        <v>15500</v>
      </c>
      <c r="G102" s="34">
        <v>0</v>
      </c>
      <c r="H102" s="47">
        <v>0</v>
      </c>
      <c r="I102" s="47">
        <v>0</v>
      </c>
      <c r="J102" s="47">
        <v>0</v>
      </c>
      <c r="K102" s="47"/>
    </row>
    <row r="103" spans="1:11" x14ac:dyDescent="0.25">
      <c r="A103" s="34">
        <v>1995</v>
      </c>
      <c r="B103" s="20" t="s">
        <v>26</v>
      </c>
      <c r="C103" s="20">
        <v>9</v>
      </c>
      <c r="D103" s="38" t="s">
        <v>334</v>
      </c>
      <c r="E103" s="51">
        <v>0</v>
      </c>
      <c r="F103" s="36">
        <v>15500</v>
      </c>
      <c r="G103" s="34">
        <v>0</v>
      </c>
      <c r="H103" s="47">
        <v>0</v>
      </c>
      <c r="I103" s="47">
        <v>0</v>
      </c>
      <c r="J103" s="47">
        <v>0</v>
      </c>
      <c r="K103" s="47"/>
    </row>
    <row r="104" spans="1:11" x14ac:dyDescent="0.25">
      <c r="A104" s="34">
        <v>1995</v>
      </c>
      <c r="B104" s="20" t="s">
        <v>26</v>
      </c>
      <c r="C104" s="20">
        <v>10</v>
      </c>
      <c r="D104" s="38" t="s">
        <v>334</v>
      </c>
      <c r="E104" s="51">
        <v>0</v>
      </c>
      <c r="F104" s="36">
        <v>15500</v>
      </c>
      <c r="G104" s="34">
        <v>0</v>
      </c>
      <c r="H104" s="47">
        <v>0</v>
      </c>
      <c r="I104" s="47">
        <v>0</v>
      </c>
      <c r="J104" s="47">
        <v>0</v>
      </c>
      <c r="K104" s="47"/>
    </row>
    <row r="105" spans="1:11" x14ac:dyDescent="0.25">
      <c r="A105" s="34">
        <v>1995</v>
      </c>
      <c r="B105" s="20" t="s">
        <v>26</v>
      </c>
      <c r="C105" s="20">
        <v>11</v>
      </c>
      <c r="D105" s="38" t="s">
        <v>334</v>
      </c>
      <c r="E105" s="51">
        <v>0</v>
      </c>
      <c r="F105" s="36">
        <v>15500</v>
      </c>
      <c r="G105" s="34">
        <v>0</v>
      </c>
      <c r="H105" s="47">
        <v>0</v>
      </c>
      <c r="I105" s="47">
        <v>0</v>
      </c>
      <c r="J105" s="47">
        <v>0</v>
      </c>
      <c r="K105" s="47"/>
    </row>
    <row r="106" spans="1:11" x14ac:dyDescent="0.25">
      <c r="A106" s="34">
        <v>1995</v>
      </c>
      <c r="B106" s="20" t="s">
        <v>26</v>
      </c>
      <c r="C106" s="20">
        <v>12</v>
      </c>
      <c r="D106" s="38" t="s">
        <v>334</v>
      </c>
      <c r="E106" s="51">
        <v>0</v>
      </c>
      <c r="F106" s="36">
        <v>15500</v>
      </c>
      <c r="G106" s="34">
        <v>0</v>
      </c>
      <c r="H106" s="47">
        <v>0</v>
      </c>
      <c r="I106" s="47">
        <v>0</v>
      </c>
      <c r="J106" s="47">
        <v>0</v>
      </c>
      <c r="K106" s="47"/>
    </row>
    <row r="107" spans="1:11" x14ac:dyDescent="0.25">
      <c r="A107" s="34">
        <v>1995</v>
      </c>
      <c r="B107" s="20" t="s">
        <v>26</v>
      </c>
      <c r="C107" s="20">
        <v>13</v>
      </c>
      <c r="D107" s="38" t="s">
        <v>334</v>
      </c>
      <c r="E107" s="51">
        <v>0</v>
      </c>
      <c r="F107" s="36">
        <v>15500</v>
      </c>
      <c r="G107" s="34">
        <v>0</v>
      </c>
      <c r="H107" s="47">
        <v>0</v>
      </c>
      <c r="I107" s="47">
        <v>0</v>
      </c>
      <c r="J107" s="47">
        <v>0</v>
      </c>
      <c r="K107" s="47"/>
    </row>
    <row r="108" spans="1:11" x14ac:dyDescent="0.25">
      <c r="A108" s="34">
        <v>1995</v>
      </c>
      <c r="B108" s="20" t="s">
        <v>26</v>
      </c>
      <c r="C108" s="20">
        <v>14</v>
      </c>
      <c r="D108" s="38" t="s">
        <v>334</v>
      </c>
      <c r="E108" s="51">
        <v>0</v>
      </c>
      <c r="F108" s="36">
        <v>15500</v>
      </c>
      <c r="G108" s="34">
        <v>0</v>
      </c>
      <c r="H108" s="47">
        <v>0</v>
      </c>
      <c r="I108" s="47">
        <v>0</v>
      </c>
      <c r="J108" s="47">
        <v>0</v>
      </c>
      <c r="K108" s="47"/>
    </row>
    <row r="109" spans="1:11" x14ac:dyDescent="0.25">
      <c r="A109" s="34">
        <v>1995</v>
      </c>
      <c r="B109" s="20" t="s">
        <v>26</v>
      </c>
      <c r="C109" s="20">
        <v>15</v>
      </c>
      <c r="D109" s="38" t="s">
        <v>334</v>
      </c>
      <c r="E109" s="51">
        <v>0</v>
      </c>
      <c r="F109" s="36">
        <v>15500</v>
      </c>
      <c r="G109" s="34">
        <v>0</v>
      </c>
      <c r="H109" s="47">
        <v>0</v>
      </c>
      <c r="I109" s="47">
        <v>0</v>
      </c>
      <c r="J109" s="47">
        <v>0</v>
      </c>
      <c r="K109" s="47"/>
    </row>
    <row r="110" spans="1:11" x14ac:dyDescent="0.25">
      <c r="A110" s="34">
        <v>1995</v>
      </c>
      <c r="B110" s="20" t="s">
        <v>26</v>
      </c>
      <c r="C110" s="20">
        <v>16</v>
      </c>
      <c r="D110" s="38" t="s">
        <v>335</v>
      </c>
      <c r="E110" s="51">
        <v>0</v>
      </c>
      <c r="F110" s="40">
        <v>16400</v>
      </c>
      <c r="G110" s="34">
        <v>0</v>
      </c>
      <c r="H110" s="47">
        <v>0</v>
      </c>
      <c r="I110" s="47">
        <v>0</v>
      </c>
      <c r="J110" s="47">
        <v>0</v>
      </c>
      <c r="K110" s="47"/>
    </row>
    <row r="111" spans="1:11" x14ac:dyDescent="0.25">
      <c r="A111" s="34">
        <v>1995</v>
      </c>
      <c r="B111" s="20" t="s">
        <v>26</v>
      </c>
      <c r="C111" s="20">
        <v>17</v>
      </c>
      <c r="D111" s="38" t="s">
        <v>500</v>
      </c>
      <c r="E111" s="51">
        <v>0</v>
      </c>
      <c r="F111" s="40">
        <v>16600</v>
      </c>
      <c r="G111" s="34">
        <v>0</v>
      </c>
      <c r="H111" s="47">
        <v>0</v>
      </c>
      <c r="I111" s="47">
        <v>0</v>
      </c>
      <c r="J111" s="47">
        <v>0</v>
      </c>
      <c r="K111" s="47"/>
    </row>
    <row r="112" spans="1:11" x14ac:dyDescent="0.25">
      <c r="A112" s="34">
        <v>1995</v>
      </c>
      <c r="B112" s="20" t="s">
        <v>26</v>
      </c>
      <c r="C112" s="20">
        <v>18</v>
      </c>
      <c r="D112" s="38" t="s">
        <v>336</v>
      </c>
      <c r="E112" s="51">
        <v>0</v>
      </c>
      <c r="F112" s="40">
        <v>16700</v>
      </c>
      <c r="G112" s="34">
        <v>0</v>
      </c>
      <c r="H112" s="47">
        <v>0</v>
      </c>
      <c r="I112" s="47">
        <v>0</v>
      </c>
      <c r="J112" s="47">
        <v>0</v>
      </c>
      <c r="K112" s="47"/>
    </row>
    <row r="113" spans="1:11" x14ac:dyDescent="0.25">
      <c r="A113" s="34">
        <v>1995</v>
      </c>
      <c r="B113" s="20" t="s">
        <v>26</v>
      </c>
      <c r="C113" s="20">
        <v>19</v>
      </c>
      <c r="D113" s="38" t="s">
        <v>336</v>
      </c>
      <c r="E113" s="51">
        <v>0</v>
      </c>
      <c r="F113" s="40">
        <v>16700</v>
      </c>
      <c r="G113" s="34">
        <v>0</v>
      </c>
      <c r="H113" s="47">
        <v>0</v>
      </c>
      <c r="I113" s="47">
        <v>0</v>
      </c>
      <c r="J113" s="47">
        <v>0</v>
      </c>
      <c r="K113" s="47"/>
    </row>
    <row r="114" spans="1:11" x14ac:dyDescent="0.25">
      <c r="A114" s="34">
        <v>1995</v>
      </c>
      <c r="B114" s="20" t="s">
        <v>26</v>
      </c>
      <c r="C114" s="20">
        <v>20</v>
      </c>
      <c r="D114" s="38" t="s">
        <v>336</v>
      </c>
      <c r="E114" s="51">
        <v>0</v>
      </c>
      <c r="F114" s="40">
        <v>16700</v>
      </c>
      <c r="G114" s="34">
        <v>0</v>
      </c>
      <c r="H114" s="47">
        <v>0</v>
      </c>
      <c r="I114" s="47">
        <v>0</v>
      </c>
      <c r="J114" s="47">
        <v>0</v>
      </c>
      <c r="K114" s="47"/>
    </row>
    <row r="115" spans="1:11" x14ac:dyDescent="0.25">
      <c r="A115" s="34">
        <v>1995</v>
      </c>
      <c r="B115" s="20" t="s">
        <v>26</v>
      </c>
      <c r="C115" s="20">
        <v>21</v>
      </c>
      <c r="D115" s="38" t="s">
        <v>336</v>
      </c>
      <c r="E115" s="51">
        <v>0</v>
      </c>
      <c r="F115" s="40">
        <v>16700</v>
      </c>
      <c r="G115" s="34">
        <v>0</v>
      </c>
      <c r="H115" s="47">
        <v>0</v>
      </c>
      <c r="I115" s="47">
        <v>0</v>
      </c>
      <c r="J115" s="47">
        <v>0</v>
      </c>
      <c r="K115" s="47"/>
    </row>
    <row r="116" spans="1:11" x14ac:dyDescent="0.25">
      <c r="A116" s="34">
        <v>1995</v>
      </c>
      <c r="B116" s="20" t="s">
        <v>26</v>
      </c>
      <c r="C116" s="20">
        <v>22</v>
      </c>
      <c r="D116" s="38" t="s">
        <v>499</v>
      </c>
      <c r="E116" s="51">
        <v>0</v>
      </c>
      <c r="F116" s="36">
        <v>16900</v>
      </c>
      <c r="G116" s="34">
        <v>0</v>
      </c>
      <c r="H116" s="47">
        <v>0</v>
      </c>
      <c r="I116" s="47">
        <v>0</v>
      </c>
      <c r="J116" s="47">
        <v>0</v>
      </c>
      <c r="K116" s="47"/>
    </row>
    <row r="117" spans="1:11" x14ac:dyDescent="0.25">
      <c r="A117" s="34">
        <v>1995</v>
      </c>
      <c r="B117" s="20" t="s">
        <v>26</v>
      </c>
      <c r="C117" s="20">
        <v>23</v>
      </c>
      <c r="D117" s="38" t="s">
        <v>499</v>
      </c>
      <c r="E117" s="51">
        <v>0</v>
      </c>
      <c r="F117" s="36">
        <v>16900</v>
      </c>
      <c r="G117" s="34">
        <v>0</v>
      </c>
      <c r="H117" s="47">
        <v>0</v>
      </c>
      <c r="I117" s="47">
        <v>0</v>
      </c>
      <c r="J117" s="47">
        <v>0</v>
      </c>
      <c r="K117" s="47"/>
    </row>
    <row r="118" spans="1:11" x14ac:dyDescent="0.25">
      <c r="A118" s="34">
        <v>1995</v>
      </c>
      <c r="B118" s="20" t="s">
        <v>26</v>
      </c>
      <c r="C118" s="20">
        <v>24</v>
      </c>
      <c r="D118" s="38" t="s">
        <v>499</v>
      </c>
      <c r="E118" s="51">
        <v>0</v>
      </c>
      <c r="F118" s="36">
        <v>16900</v>
      </c>
      <c r="G118" s="34">
        <v>0</v>
      </c>
      <c r="H118" s="47">
        <v>0</v>
      </c>
      <c r="I118" s="47">
        <v>0</v>
      </c>
      <c r="J118" s="47">
        <v>0</v>
      </c>
      <c r="K118" s="47"/>
    </row>
    <row r="119" spans="1:11" x14ac:dyDescent="0.25">
      <c r="A119" s="34">
        <v>1995</v>
      </c>
      <c r="B119" s="20" t="s">
        <v>26</v>
      </c>
      <c r="C119" s="20">
        <v>25</v>
      </c>
      <c r="D119" s="38" t="s">
        <v>499</v>
      </c>
      <c r="E119" s="51">
        <v>0</v>
      </c>
      <c r="F119" s="36">
        <v>16900</v>
      </c>
      <c r="G119" s="34">
        <v>0</v>
      </c>
      <c r="H119" s="47">
        <v>0</v>
      </c>
      <c r="I119" s="47">
        <v>0</v>
      </c>
      <c r="J119" s="47">
        <v>0</v>
      </c>
      <c r="K119" s="47"/>
    </row>
    <row r="120" spans="1:11" x14ac:dyDescent="0.25">
      <c r="A120" s="34">
        <v>1995</v>
      </c>
      <c r="B120" s="20" t="s">
        <v>26</v>
      </c>
      <c r="C120" s="20">
        <v>26</v>
      </c>
      <c r="D120" s="38" t="s">
        <v>499</v>
      </c>
      <c r="E120" s="51">
        <v>0</v>
      </c>
      <c r="F120" s="36">
        <v>16900</v>
      </c>
      <c r="G120" s="34">
        <v>0</v>
      </c>
      <c r="H120" s="47">
        <v>0</v>
      </c>
      <c r="I120" s="47">
        <v>0</v>
      </c>
      <c r="J120" s="47">
        <v>0</v>
      </c>
      <c r="K120" s="47"/>
    </row>
    <row r="121" spans="1:11" x14ac:dyDescent="0.25">
      <c r="A121" s="34">
        <v>1995</v>
      </c>
      <c r="B121" s="20" t="s">
        <v>26</v>
      </c>
      <c r="C121" s="20">
        <v>27</v>
      </c>
      <c r="D121" s="38" t="s">
        <v>499</v>
      </c>
      <c r="E121" s="51">
        <v>0</v>
      </c>
      <c r="F121" s="36">
        <v>16900</v>
      </c>
      <c r="G121" s="34">
        <v>0</v>
      </c>
      <c r="H121" s="47">
        <v>0</v>
      </c>
      <c r="I121" s="47">
        <v>0</v>
      </c>
      <c r="J121" s="47">
        <v>0</v>
      </c>
      <c r="K121" s="47"/>
    </row>
    <row r="122" spans="1:11" x14ac:dyDescent="0.25">
      <c r="A122" s="34">
        <v>1995</v>
      </c>
      <c r="B122" s="20" t="s">
        <v>26</v>
      </c>
      <c r="C122" s="20">
        <v>28</v>
      </c>
      <c r="D122" s="38" t="s">
        <v>499</v>
      </c>
      <c r="E122" s="51">
        <v>0</v>
      </c>
      <c r="F122" s="36">
        <v>16900</v>
      </c>
      <c r="G122" s="34">
        <v>0</v>
      </c>
      <c r="H122" s="47">
        <v>0</v>
      </c>
      <c r="I122" s="47">
        <v>0</v>
      </c>
      <c r="J122" s="47">
        <v>0</v>
      </c>
      <c r="K122" s="47"/>
    </row>
    <row r="123" spans="1:11" x14ac:dyDescent="0.25">
      <c r="A123" s="34">
        <v>1995</v>
      </c>
      <c r="B123" s="20" t="s">
        <v>26</v>
      </c>
      <c r="C123" s="20">
        <v>29</v>
      </c>
      <c r="D123" s="38" t="s">
        <v>499</v>
      </c>
      <c r="E123" s="51">
        <v>0</v>
      </c>
      <c r="F123" s="36">
        <v>16900</v>
      </c>
      <c r="G123" s="34">
        <v>0</v>
      </c>
      <c r="H123" s="47">
        <v>0</v>
      </c>
      <c r="I123" s="47">
        <v>0</v>
      </c>
      <c r="J123" s="47">
        <v>0</v>
      </c>
      <c r="K123" s="47"/>
    </row>
    <row r="124" spans="1:11" x14ac:dyDescent="0.25">
      <c r="A124" s="34">
        <v>1995</v>
      </c>
      <c r="B124" s="20" t="s">
        <v>26</v>
      </c>
      <c r="C124" s="20">
        <v>30</v>
      </c>
      <c r="D124" s="38" t="s">
        <v>499</v>
      </c>
      <c r="E124" s="51">
        <v>0</v>
      </c>
      <c r="F124" s="36">
        <v>16900</v>
      </c>
      <c r="G124" s="34">
        <v>0</v>
      </c>
      <c r="H124" s="47">
        <v>0</v>
      </c>
      <c r="I124" s="47">
        <v>0</v>
      </c>
      <c r="J124" s="47">
        <v>0</v>
      </c>
      <c r="K124" s="47"/>
    </row>
    <row r="125" spans="1:11" x14ac:dyDescent="0.25">
      <c r="A125" s="34">
        <v>1995</v>
      </c>
      <c r="B125" s="20" t="s">
        <v>27</v>
      </c>
      <c r="C125" s="20">
        <v>1</v>
      </c>
      <c r="D125" s="38" t="s">
        <v>498</v>
      </c>
      <c r="E125" s="53"/>
      <c r="F125" s="40">
        <v>17000</v>
      </c>
      <c r="G125" s="34"/>
      <c r="H125" s="47"/>
      <c r="I125" s="47"/>
      <c r="J125" s="47"/>
      <c r="K125" s="47"/>
    </row>
    <row r="126" spans="1:11" x14ac:dyDescent="0.25">
      <c r="A126" s="34">
        <v>1995</v>
      </c>
      <c r="B126" s="20" t="s">
        <v>27</v>
      </c>
      <c r="C126" s="20">
        <v>2</v>
      </c>
      <c r="D126" s="38" t="s">
        <v>498</v>
      </c>
      <c r="E126" s="53"/>
      <c r="F126" s="40">
        <v>17000</v>
      </c>
      <c r="G126" s="34"/>
      <c r="H126" s="47"/>
      <c r="I126" s="47"/>
      <c r="J126" s="47"/>
      <c r="K126" s="47"/>
    </row>
    <row r="127" spans="1:11" x14ac:dyDescent="0.25">
      <c r="A127" s="34">
        <v>1995</v>
      </c>
      <c r="B127" s="20" t="s">
        <v>27</v>
      </c>
      <c r="C127" s="20">
        <v>3</v>
      </c>
      <c r="D127" s="38" t="s">
        <v>498</v>
      </c>
      <c r="E127" s="53"/>
      <c r="F127" s="40">
        <v>17000</v>
      </c>
      <c r="G127" s="34"/>
      <c r="H127" s="47"/>
      <c r="I127" s="47"/>
      <c r="J127" s="47"/>
      <c r="K127" s="47"/>
    </row>
    <row r="128" spans="1:11" x14ac:dyDescent="0.25">
      <c r="A128" s="34">
        <v>1995</v>
      </c>
      <c r="B128" s="20" t="s">
        <v>27</v>
      </c>
      <c r="C128" s="20">
        <v>4</v>
      </c>
      <c r="D128" s="38" t="s">
        <v>498</v>
      </c>
      <c r="E128" s="53"/>
      <c r="F128" s="40">
        <v>17000</v>
      </c>
      <c r="G128" s="34"/>
      <c r="H128" s="47"/>
      <c r="I128" s="47"/>
      <c r="J128" s="47"/>
      <c r="K128" s="47"/>
    </row>
    <row r="129" spans="1:11" x14ac:dyDescent="0.25">
      <c r="A129" s="34">
        <v>1995</v>
      </c>
      <c r="B129" s="20" t="s">
        <v>27</v>
      </c>
      <c r="C129" s="20">
        <v>5</v>
      </c>
      <c r="D129" s="38" t="s">
        <v>497</v>
      </c>
      <c r="E129" s="53"/>
      <c r="F129" s="40">
        <v>17400</v>
      </c>
      <c r="G129" s="34"/>
      <c r="H129" s="47"/>
      <c r="I129" s="47"/>
      <c r="J129" s="47"/>
      <c r="K129" s="47"/>
    </row>
    <row r="130" spans="1:11" x14ac:dyDescent="0.25">
      <c r="A130" s="34">
        <v>1995</v>
      </c>
      <c r="B130" s="20" t="s">
        <v>27</v>
      </c>
      <c r="C130" s="20">
        <v>6</v>
      </c>
      <c r="D130" s="38" t="s">
        <v>338</v>
      </c>
      <c r="E130" s="53"/>
      <c r="F130" s="40">
        <v>17500</v>
      </c>
      <c r="G130" s="34"/>
      <c r="H130" s="47"/>
      <c r="I130" s="47"/>
      <c r="J130" s="47"/>
      <c r="K130" s="47"/>
    </row>
    <row r="131" spans="1:11" x14ac:dyDescent="0.25">
      <c r="A131" s="34">
        <v>1995</v>
      </c>
      <c r="B131" s="20" t="s">
        <v>27</v>
      </c>
      <c r="C131" s="20">
        <v>7</v>
      </c>
      <c r="D131" s="38" t="s">
        <v>338</v>
      </c>
      <c r="E131" s="53"/>
      <c r="F131" s="40">
        <v>17500</v>
      </c>
      <c r="G131" s="34"/>
      <c r="H131" s="47"/>
      <c r="I131" s="47"/>
      <c r="J131" s="47"/>
      <c r="K131" s="47"/>
    </row>
    <row r="132" spans="1:11" x14ac:dyDescent="0.25">
      <c r="A132" s="34">
        <v>1995</v>
      </c>
      <c r="B132" s="20" t="s">
        <v>27</v>
      </c>
      <c r="C132" s="20">
        <v>8</v>
      </c>
      <c r="D132" s="38" t="s">
        <v>338</v>
      </c>
      <c r="E132" s="53"/>
      <c r="F132" s="40">
        <v>17500</v>
      </c>
      <c r="G132" s="34"/>
      <c r="H132" s="47"/>
      <c r="I132" s="47"/>
      <c r="J132" s="47"/>
      <c r="K132" s="47"/>
    </row>
    <row r="133" spans="1:11" x14ac:dyDescent="0.25">
      <c r="A133" s="34">
        <v>1995</v>
      </c>
      <c r="B133" s="20" t="s">
        <v>27</v>
      </c>
      <c r="C133" s="20">
        <v>9</v>
      </c>
      <c r="D133" s="38" t="s">
        <v>342</v>
      </c>
      <c r="E133" s="53"/>
      <c r="F133" s="40">
        <v>17600</v>
      </c>
      <c r="G133" s="34"/>
      <c r="H133" s="47"/>
      <c r="I133" s="47"/>
      <c r="J133" s="47"/>
      <c r="K133" s="47"/>
    </row>
    <row r="134" spans="1:11" x14ac:dyDescent="0.25">
      <c r="A134" s="34">
        <v>1995</v>
      </c>
      <c r="B134" s="20" t="s">
        <v>27</v>
      </c>
      <c r="C134" s="20">
        <v>10</v>
      </c>
      <c r="D134" s="38" t="s">
        <v>342</v>
      </c>
      <c r="E134" s="53"/>
      <c r="F134" s="40">
        <v>17600</v>
      </c>
      <c r="G134" s="34"/>
      <c r="H134" s="47"/>
      <c r="I134" s="47"/>
      <c r="J134" s="47"/>
      <c r="K134" s="47"/>
    </row>
    <row r="135" spans="1:11" x14ac:dyDescent="0.25">
      <c r="A135" s="34">
        <v>1995</v>
      </c>
      <c r="B135" s="20" t="s">
        <v>27</v>
      </c>
      <c r="C135" s="20">
        <v>11</v>
      </c>
      <c r="D135" s="38" t="s">
        <v>342</v>
      </c>
      <c r="E135" s="53"/>
      <c r="F135" s="40">
        <v>17600</v>
      </c>
      <c r="G135" s="34"/>
      <c r="H135" s="47"/>
      <c r="I135" s="47"/>
      <c r="J135" s="47"/>
      <c r="K135" s="47"/>
    </row>
    <row r="136" spans="1:11" x14ac:dyDescent="0.25">
      <c r="A136" s="34">
        <v>1995</v>
      </c>
      <c r="B136" s="20" t="s">
        <v>27</v>
      </c>
      <c r="C136" s="20">
        <v>12</v>
      </c>
      <c r="D136" s="38" t="s">
        <v>339</v>
      </c>
      <c r="E136" s="53"/>
      <c r="F136" s="36">
        <v>17800</v>
      </c>
      <c r="G136" s="34"/>
      <c r="H136" s="47"/>
      <c r="I136" s="47"/>
      <c r="J136" s="47"/>
      <c r="K136" s="47"/>
    </row>
    <row r="137" spans="1:11" x14ac:dyDescent="0.25">
      <c r="A137" s="34">
        <v>1995</v>
      </c>
      <c r="B137" s="20" t="s">
        <v>27</v>
      </c>
      <c r="C137" s="20">
        <v>13</v>
      </c>
      <c r="D137" s="38" t="s">
        <v>339</v>
      </c>
      <c r="E137" s="53"/>
      <c r="F137" s="36">
        <v>17800</v>
      </c>
      <c r="G137" s="34"/>
      <c r="H137" s="47"/>
      <c r="I137" s="47"/>
      <c r="J137" s="47"/>
      <c r="K137" s="47"/>
    </row>
    <row r="138" spans="1:11" x14ac:dyDescent="0.25">
      <c r="A138" s="34">
        <v>1995</v>
      </c>
      <c r="B138" s="20" t="s">
        <v>27</v>
      </c>
      <c r="C138" s="20">
        <v>14</v>
      </c>
      <c r="D138" s="38" t="s">
        <v>339</v>
      </c>
      <c r="E138" s="53"/>
      <c r="F138" s="36">
        <v>17800</v>
      </c>
      <c r="G138" s="34"/>
      <c r="H138" s="47"/>
      <c r="I138" s="47"/>
      <c r="J138" s="47"/>
      <c r="K138" s="47"/>
    </row>
    <row r="139" spans="1:11" x14ac:dyDescent="0.25">
      <c r="A139" s="34">
        <v>1995</v>
      </c>
      <c r="B139" s="20" t="s">
        <v>27</v>
      </c>
      <c r="C139" s="20">
        <v>15</v>
      </c>
      <c r="D139" s="38" t="s">
        <v>339</v>
      </c>
      <c r="E139" s="53"/>
      <c r="F139" s="36">
        <v>17800</v>
      </c>
      <c r="G139" s="34"/>
      <c r="H139" s="47"/>
      <c r="I139" s="47"/>
      <c r="J139" s="47"/>
      <c r="K139" s="47"/>
    </row>
    <row r="140" spans="1:11" x14ac:dyDescent="0.25">
      <c r="A140" s="34">
        <v>1995</v>
      </c>
      <c r="B140" s="20" t="s">
        <v>27</v>
      </c>
      <c r="C140" s="20">
        <v>16</v>
      </c>
      <c r="D140" s="38" t="s">
        <v>339</v>
      </c>
      <c r="E140" s="53"/>
      <c r="F140" s="36">
        <v>17800</v>
      </c>
      <c r="G140" s="34"/>
      <c r="H140" s="47"/>
      <c r="I140" s="47"/>
      <c r="J140" s="47"/>
      <c r="K140" s="47"/>
    </row>
    <row r="141" spans="1:11" x14ac:dyDescent="0.25">
      <c r="A141" s="34">
        <v>1995</v>
      </c>
      <c r="B141" s="20" t="s">
        <v>27</v>
      </c>
      <c r="C141" s="20">
        <v>17</v>
      </c>
      <c r="D141" s="38" t="s">
        <v>339</v>
      </c>
      <c r="E141" s="53"/>
      <c r="F141" s="36">
        <v>17800</v>
      </c>
      <c r="G141" s="34"/>
      <c r="H141" s="47"/>
      <c r="I141" s="47"/>
      <c r="J141" s="47"/>
      <c r="K141" s="47"/>
    </row>
    <row r="142" spans="1:11" x14ac:dyDescent="0.25">
      <c r="A142" s="34">
        <v>1995</v>
      </c>
      <c r="B142" s="20" t="s">
        <v>27</v>
      </c>
      <c r="C142" s="20">
        <v>18</v>
      </c>
      <c r="D142" s="38" t="s">
        <v>339</v>
      </c>
      <c r="E142" s="53"/>
      <c r="F142" s="36">
        <v>17800</v>
      </c>
      <c r="G142" s="34"/>
      <c r="H142" s="47"/>
      <c r="I142" s="47"/>
      <c r="J142" s="47"/>
      <c r="K142" s="47"/>
    </row>
    <row r="143" spans="1:11" x14ac:dyDescent="0.25">
      <c r="A143" s="34">
        <v>1995</v>
      </c>
      <c r="B143" s="20" t="s">
        <v>27</v>
      </c>
      <c r="C143" s="20">
        <v>19</v>
      </c>
      <c r="D143" s="38" t="s">
        <v>339</v>
      </c>
      <c r="E143" s="53"/>
      <c r="F143" s="36">
        <v>17800</v>
      </c>
      <c r="G143" s="34"/>
      <c r="H143" s="47"/>
      <c r="I143" s="47"/>
      <c r="J143" s="47"/>
      <c r="K143" s="47"/>
    </row>
    <row r="144" spans="1:11" x14ac:dyDescent="0.25">
      <c r="A144" s="34">
        <v>1995</v>
      </c>
      <c r="B144" s="20" t="s">
        <v>27</v>
      </c>
      <c r="C144" s="20">
        <v>20</v>
      </c>
      <c r="D144" s="38" t="s">
        <v>339</v>
      </c>
      <c r="E144" s="53"/>
      <c r="F144" s="36">
        <v>17800</v>
      </c>
      <c r="G144" s="34"/>
      <c r="H144" s="47"/>
      <c r="I144" s="47"/>
      <c r="J144" s="47"/>
      <c r="K144" s="47"/>
    </row>
    <row r="145" spans="1:11" x14ac:dyDescent="0.25">
      <c r="A145" s="34">
        <v>1995</v>
      </c>
      <c r="B145" s="20" t="s">
        <v>27</v>
      </c>
      <c r="C145" s="20">
        <v>21</v>
      </c>
      <c r="D145" s="38" t="s">
        <v>339</v>
      </c>
      <c r="E145" s="53"/>
      <c r="F145" s="36">
        <v>17800</v>
      </c>
      <c r="G145" s="34"/>
      <c r="H145" s="47"/>
      <c r="I145" s="47"/>
      <c r="J145" s="47"/>
      <c r="K145" s="47"/>
    </row>
    <row r="146" spans="1:11" x14ac:dyDescent="0.25">
      <c r="A146" s="34">
        <v>1995</v>
      </c>
      <c r="B146" s="20" t="s">
        <v>27</v>
      </c>
      <c r="C146" s="20">
        <v>22</v>
      </c>
      <c r="D146" s="38" t="s">
        <v>339</v>
      </c>
      <c r="E146" s="53"/>
      <c r="F146" s="36">
        <v>17800</v>
      </c>
      <c r="G146" s="34"/>
      <c r="H146" s="47"/>
      <c r="I146" s="47"/>
      <c r="J146" s="47"/>
      <c r="K146" s="47"/>
    </row>
    <row r="147" spans="1:11" x14ac:dyDescent="0.25">
      <c r="A147" s="34">
        <v>1995</v>
      </c>
      <c r="B147" s="20" t="s">
        <v>27</v>
      </c>
      <c r="C147" s="20">
        <v>23</v>
      </c>
      <c r="D147" s="38" t="s">
        <v>339</v>
      </c>
      <c r="E147" s="53"/>
      <c r="F147" s="36">
        <v>17800</v>
      </c>
      <c r="G147" s="34"/>
      <c r="H147" s="47"/>
      <c r="I147" s="47"/>
      <c r="J147" s="47"/>
      <c r="K147" s="47"/>
    </row>
    <row r="148" spans="1:11" x14ac:dyDescent="0.25">
      <c r="A148" s="34">
        <v>1995</v>
      </c>
      <c r="B148" s="20" t="s">
        <v>27</v>
      </c>
      <c r="C148" s="20">
        <v>24</v>
      </c>
      <c r="D148" s="38" t="s">
        <v>342</v>
      </c>
      <c r="E148" s="53"/>
      <c r="F148" s="36">
        <v>17600</v>
      </c>
      <c r="G148" s="34"/>
      <c r="H148" s="47"/>
      <c r="I148" s="47"/>
      <c r="J148" s="47"/>
      <c r="K148" s="47"/>
    </row>
    <row r="149" spans="1:11" x14ac:dyDescent="0.25">
      <c r="A149" s="34">
        <v>1995</v>
      </c>
      <c r="B149" s="20" t="s">
        <v>27</v>
      </c>
      <c r="C149" s="20">
        <v>25</v>
      </c>
      <c r="D149" s="38" t="s">
        <v>342</v>
      </c>
      <c r="E149" s="53"/>
      <c r="F149" s="36">
        <v>17600</v>
      </c>
      <c r="G149" s="34"/>
      <c r="H149" s="47"/>
      <c r="I149" s="47"/>
      <c r="J149" s="47"/>
      <c r="K149" s="47"/>
    </row>
    <row r="150" spans="1:11" x14ac:dyDescent="0.25">
      <c r="A150" s="34">
        <v>1995</v>
      </c>
      <c r="B150" s="20" t="s">
        <v>27</v>
      </c>
      <c r="C150" s="20">
        <v>26</v>
      </c>
      <c r="D150" s="38" t="s">
        <v>342</v>
      </c>
      <c r="E150" s="53"/>
      <c r="F150" s="36">
        <v>17600</v>
      </c>
      <c r="G150" s="34"/>
      <c r="H150" s="47"/>
      <c r="I150" s="47"/>
      <c r="J150" s="47"/>
      <c r="K150" s="47"/>
    </row>
    <row r="151" spans="1:11" x14ac:dyDescent="0.25">
      <c r="A151" s="34">
        <v>1995</v>
      </c>
      <c r="B151" s="20" t="s">
        <v>27</v>
      </c>
      <c r="C151" s="20">
        <v>27</v>
      </c>
      <c r="D151" s="38" t="s">
        <v>338</v>
      </c>
      <c r="E151" s="53"/>
      <c r="F151" s="40">
        <v>17500</v>
      </c>
      <c r="G151" s="34"/>
      <c r="H151" s="47"/>
      <c r="I151" s="47"/>
      <c r="J151" s="47"/>
      <c r="K151" s="47"/>
    </row>
    <row r="152" spans="1:11" x14ac:dyDescent="0.25">
      <c r="A152" s="34">
        <v>1995</v>
      </c>
      <c r="B152" s="20" t="s">
        <v>27</v>
      </c>
      <c r="C152" s="20">
        <v>28</v>
      </c>
      <c r="D152" s="38" t="s">
        <v>338</v>
      </c>
      <c r="E152" s="53"/>
      <c r="F152" s="40">
        <v>17500</v>
      </c>
      <c r="G152" s="34"/>
      <c r="H152" s="47"/>
      <c r="I152" s="47"/>
      <c r="J152" s="47"/>
      <c r="K152" s="47"/>
    </row>
    <row r="153" spans="1:11" x14ac:dyDescent="0.25">
      <c r="A153" s="34">
        <v>1995</v>
      </c>
      <c r="B153" s="20" t="s">
        <v>27</v>
      </c>
      <c r="C153" s="20">
        <v>29</v>
      </c>
      <c r="D153" s="38" t="s">
        <v>338</v>
      </c>
      <c r="E153" s="53"/>
      <c r="F153" s="40">
        <v>17500</v>
      </c>
      <c r="G153" s="34"/>
      <c r="H153" s="47"/>
      <c r="I153" s="47"/>
      <c r="J153" s="47"/>
      <c r="K153" s="47"/>
    </row>
    <row r="154" spans="1:11" x14ac:dyDescent="0.25">
      <c r="A154" s="34">
        <v>1995</v>
      </c>
      <c r="B154" s="20" t="s">
        <v>27</v>
      </c>
      <c r="C154" s="20">
        <v>30</v>
      </c>
      <c r="D154" s="38" t="s">
        <v>497</v>
      </c>
      <c r="E154" s="53"/>
      <c r="F154" s="40">
        <v>17400</v>
      </c>
      <c r="G154" s="34"/>
      <c r="H154" s="47"/>
      <c r="I154" s="47"/>
      <c r="J154" s="47"/>
      <c r="K154" s="47"/>
    </row>
    <row r="155" spans="1:11" x14ac:dyDescent="0.25">
      <c r="A155" s="34">
        <v>1995</v>
      </c>
      <c r="B155" s="20" t="s">
        <v>27</v>
      </c>
      <c r="C155" s="20">
        <v>31</v>
      </c>
      <c r="D155" s="38" t="s">
        <v>497</v>
      </c>
      <c r="E155" s="53"/>
      <c r="F155" s="40">
        <v>17400</v>
      </c>
      <c r="G155" s="34"/>
      <c r="H155" s="47"/>
      <c r="I155" s="47"/>
      <c r="J155" s="47"/>
      <c r="K155" s="47"/>
    </row>
    <row r="156" spans="1:11" x14ac:dyDescent="0.25">
      <c r="A156" s="34">
        <v>1995</v>
      </c>
      <c r="B156" s="20" t="s">
        <v>28</v>
      </c>
      <c r="C156" s="20">
        <v>1</v>
      </c>
      <c r="D156" s="38" t="s">
        <v>514</v>
      </c>
      <c r="E156" s="54">
        <v>0</v>
      </c>
      <c r="F156" s="40">
        <v>17250</v>
      </c>
      <c r="G156" s="34">
        <v>0</v>
      </c>
      <c r="H156" s="47">
        <v>0</v>
      </c>
      <c r="I156" s="47">
        <v>0</v>
      </c>
      <c r="J156" s="47">
        <v>0</v>
      </c>
      <c r="K156" s="47">
        <v>0</v>
      </c>
    </row>
    <row r="157" spans="1:11" x14ac:dyDescent="0.25">
      <c r="A157" s="34">
        <v>1995</v>
      </c>
      <c r="B157" s="20" t="s">
        <v>28</v>
      </c>
      <c r="C157" s="20">
        <v>2</v>
      </c>
      <c r="D157" s="38" t="s">
        <v>514</v>
      </c>
      <c r="E157" s="54">
        <v>0</v>
      </c>
      <c r="F157" s="40">
        <v>17250</v>
      </c>
      <c r="G157" s="34">
        <v>0</v>
      </c>
      <c r="H157" s="47">
        <v>0</v>
      </c>
      <c r="I157" s="47">
        <v>0</v>
      </c>
      <c r="J157" s="47">
        <v>0</v>
      </c>
      <c r="K157" s="47">
        <v>0</v>
      </c>
    </row>
    <row r="158" spans="1:11" x14ac:dyDescent="0.25">
      <c r="A158" s="34">
        <v>1995</v>
      </c>
      <c r="B158" s="20" t="s">
        <v>28</v>
      </c>
      <c r="C158" s="20">
        <v>3</v>
      </c>
      <c r="D158" s="38" t="s">
        <v>514</v>
      </c>
      <c r="E158" s="54">
        <v>0</v>
      </c>
      <c r="F158" s="40">
        <v>17250</v>
      </c>
      <c r="G158" s="34">
        <v>0</v>
      </c>
      <c r="H158" s="47">
        <v>0</v>
      </c>
      <c r="I158" s="47">
        <v>0</v>
      </c>
      <c r="J158" s="47">
        <v>0</v>
      </c>
      <c r="K158" s="47">
        <v>0</v>
      </c>
    </row>
    <row r="159" spans="1:11" x14ac:dyDescent="0.25">
      <c r="A159" s="34">
        <v>1995</v>
      </c>
      <c r="B159" s="20" t="s">
        <v>28</v>
      </c>
      <c r="C159" s="20">
        <v>4</v>
      </c>
      <c r="D159" s="38" t="s">
        <v>514</v>
      </c>
      <c r="E159" s="54">
        <v>0</v>
      </c>
      <c r="F159" s="40">
        <v>17250</v>
      </c>
      <c r="G159" s="34">
        <v>0</v>
      </c>
      <c r="H159" s="47">
        <v>0</v>
      </c>
      <c r="I159" s="47">
        <v>0</v>
      </c>
      <c r="J159" s="47">
        <v>0</v>
      </c>
      <c r="K159" s="47">
        <v>0</v>
      </c>
    </row>
    <row r="160" spans="1:11" x14ac:dyDescent="0.25">
      <c r="A160" s="34">
        <v>1995</v>
      </c>
      <c r="B160" s="20" t="s">
        <v>28</v>
      </c>
      <c r="C160" s="20">
        <v>5</v>
      </c>
      <c r="D160" s="38" t="s">
        <v>514</v>
      </c>
      <c r="E160" s="54">
        <v>0</v>
      </c>
      <c r="F160" s="40">
        <v>17250</v>
      </c>
      <c r="G160" s="34">
        <v>0</v>
      </c>
      <c r="H160" s="47">
        <v>0</v>
      </c>
      <c r="I160" s="47">
        <v>0</v>
      </c>
      <c r="J160" s="47">
        <v>0</v>
      </c>
      <c r="K160" s="47">
        <v>0</v>
      </c>
    </row>
    <row r="161" spans="1:11" x14ac:dyDescent="0.25">
      <c r="A161" s="34">
        <v>1995</v>
      </c>
      <c r="B161" s="20" t="s">
        <v>28</v>
      </c>
      <c r="C161" s="20">
        <v>6</v>
      </c>
      <c r="D161" s="38" t="s">
        <v>514</v>
      </c>
      <c r="E161" s="54">
        <v>0</v>
      </c>
      <c r="F161" s="40">
        <v>17250</v>
      </c>
      <c r="G161" s="34">
        <v>0</v>
      </c>
      <c r="H161" s="47">
        <v>0</v>
      </c>
      <c r="I161" s="47">
        <v>0</v>
      </c>
      <c r="J161" s="47">
        <v>0</v>
      </c>
      <c r="K161" s="47">
        <v>0</v>
      </c>
    </row>
    <row r="162" spans="1:11" x14ac:dyDescent="0.25">
      <c r="A162" s="34">
        <v>1995</v>
      </c>
      <c r="B162" s="20" t="s">
        <v>28</v>
      </c>
      <c r="C162" s="20">
        <v>7</v>
      </c>
      <c r="D162" s="38" t="s">
        <v>514</v>
      </c>
      <c r="E162" s="54">
        <v>0</v>
      </c>
      <c r="F162" s="40">
        <v>17250</v>
      </c>
      <c r="G162" s="34">
        <v>0</v>
      </c>
      <c r="H162" s="47">
        <v>0</v>
      </c>
      <c r="I162" s="47">
        <v>0</v>
      </c>
      <c r="J162" s="47">
        <v>0</v>
      </c>
      <c r="K162" s="47">
        <v>0</v>
      </c>
    </row>
    <row r="163" spans="1:11" x14ac:dyDescent="0.25">
      <c r="A163" s="34">
        <v>1995</v>
      </c>
      <c r="B163" s="20" t="s">
        <v>28</v>
      </c>
      <c r="C163" s="20">
        <v>8</v>
      </c>
      <c r="D163" s="38" t="s">
        <v>498</v>
      </c>
      <c r="E163" s="54">
        <v>0</v>
      </c>
      <c r="F163" s="36">
        <v>17000</v>
      </c>
      <c r="G163" s="34">
        <v>0</v>
      </c>
      <c r="H163" s="47">
        <v>50</v>
      </c>
      <c r="I163" s="47">
        <v>0</v>
      </c>
      <c r="J163" s="47">
        <v>2</v>
      </c>
      <c r="K163" s="47">
        <v>0</v>
      </c>
    </row>
    <row r="164" spans="1:11" x14ac:dyDescent="0.25">
      <c r="A164" s="34">
        <v>1995</v>
      </c>
      <c r="B164" s="20" t="s">
        <v>28</v>
      </c>
      <c r="C164" s="20">
        <v>9</v>
      </c>
      <c r="D164" s="38" t="s">
        <v>498</v>
      </c>
      <c r="E164" s="54">
        <v>0</v>
      </c>
      <c r="F164" s="36">
        <v>17000</v>
      </c>
      <c r="G164" s="34">
        <v>0</v>
      </c>
      <c r="H164" s="47">
        <v>0</v>
      </c>
      <c r="I164" s="47">
        <v>0</v>
      </c>
      <c r="J164" s="47">
        <v>0</v>
      </c>
      <c r="K164" s="47">
        <v>0</v>
      </c>
    </row>
    <row r="165" spans="1:11" x14ac:dyDescent="0.25">
      <c r="A165" s="34">
        <v>1995</v>
      </c>
      <c r="B165" s="20" t="s">
        <v>28</v>
      </c>
      <c r="C165" s="20">
        <v>10</v>
      </c>
      <c r="D165" s="38" t="s">
        <v>498</v>
      </c>
      <c r="E165" s="54">
        <v>0</v>
      </c>
      <c r="F165" s="36">
        <v>17000</v>
      </c>
      <c r="G165" s="34">
        <v>0</v>
      </c>
      <c r="H165" s="47">
        <v>0</v>
      </c>
      <c r="I165" s="47">
        <v>0</v>
      </c>
      <c r="J165" s="47">
        <v>0</v>
      </c>
      <c r="K165" s="47">
        <v>0</v>
      </c>
    </row>
    <row r="166" spans="1:11" x14ac:dyDescent="0.25">
      <c r="A166" s="34">
        <v>1995</v>
      </c>
      <c r="B166" s="20" t="s">
        <v>28</v>
      </c>
      <c r="C166" s="20">
        <v>11</v>
      </c>
      <c r="D166" s="38" t="s">
        <v>498</v>
      </c>
      <c r="E166" s="54">
        <v>0</v>
      </c>
      <c r="F166" s="36">
        <v>17000</v>
      </c>
      <c r="G166" s="34">
        <v>0</v>
      </c>
      <c r="H166" s="47">
        <v>0</v>
      </c>
      <c r="I166" s="47">
        <v>0</v>
      </c>
      <c r="J166" s="47">
        <v>0</v>
      </c>
      <c r="K166" s="47">
        <v>0</v>
      </c>
    </row>
    <row r="167" spans="1:11" x14ac:dyDescent="0.25">
      <c r="A167" s="34">
        <v>1995</v>
      </c>
      <c r="B167" s="20" t="s">
        <v>28</v>
      </c>
      <c r="C167" s="20">
        <v>12</v>
      </c>
      <c r="D167" s="38" t="s">
        <v>499</v>
      </c>
      <c r="E167" s="54">
        <v>0</v>
      </c>
      <c r="F167" s="40">
        <v>16900</v>
      </c>
      <c r="G167" s="34">
        <v>0</v>
      </c>
      <c r="H167" s="47">
        <v>0</v>
      </c>
      <c r="I167" s="47">
        <v>0</v>
      </c>
      <c r="J167" s="47">
        <v>0</v>
      </c>
      <c r="K167" s="47">
        <v>0</v>
      </c>
    </row>
    <row r="168" spans="1:11" x14ac:dyDescent="0.25">
      <c r="A168" s="34">
        <v>1995</v>
      </c>
      <c r="B168" s="20" t="s">
        <v>28</v>
      </c>
      <c r="C168" s="20">
        <v>13</v>
      </c>
      <c r="D168" s="38" t="s">
        <v>499</v>
      </c>
      <c r="E168" s="54">
        <v>0</v>
      </c>
      <c r="F168" s="40">
        <v>16900</v>
      </c>
      <c r="G168" s="34">
        <v>0</v>
      </c>
      <c r="H168" s="47">
        <v>0</v>
      </c>
      <c r="I168" s="47">
        <v>0</v>
      </c>
      <c r="J168" s="47">
        <v>0</v>
      </c>
      <c r="K168" s="47">
        <v>0</v>
      </c>
    </row>
    <row r="169" spans="1:11" x14ac:dyDescent="0.25">
      <c r="A169" s="34">
        <v>1995</v>
      </c>
      <c r="B169" s="20" t="s">
        <v>28</v>
      </c>
      <c r="C169" s="20">
        <v>14</v>
      </c>
      <c r="D169" s="38" t="s">
        <v>499</v>
      </c>
      <c r="E169" s="54">
        <v>0</v>
      </c>
      <c r="F169" s="40">
        <v>16900</v>
      </c>
      <c r="G169" s="34">
        <v>0</v>
      </c>
      <c r="H169" s="47">
        <v>0</v>
      </c>
      <c r="I169" s="47">
        <v>0</v>
      </c>
      <c r="J169" s="47">
        <v>0</v>
      </c>
      <c r="K169" s="47">
        <v>0</v>
      </c>
    </row>
    <row r="170" spans="1:11" x14ac:dyDescent="0.25">
      <c r="A170" s="34">
        <v>1995</v>
      </c>
      <c r="B170" s="20" t="s">
        <v>28</v>
      </c>
      <c r="C170" s="20">
        <v>15</v>
      </c>
      <c r="D170" s="38" t="s">
        <v>499</v>
      </c>
      <c r="E170" s="54">
        <v>0</v>
      </c>
      <c r="F170" s="40">
        <v>16900</v>
      </c>
      <c r="G170" s="34">
        <v>0</v>
      </c>
      <c r="H170" s="47">
        <v>0</v>
      </c>
      <c r="I170" s="47">
        <v>0</v>
      </c>
      <c r="J170" s="47">
        <v>0</v>
      </c>
      <c r="K170" s="47">
        <v>0</v>
      </c>
    </row>
    <row r="171" spans="1:11" x14ac:dyDescent="0.25">
      <c r="A171" s="34">
        <v>1995</v>
      </c>
      <c r="B171" s="20" t="s">
        <v>28</v>
      </c>
      <c r="C171" s="20">
        <v>16</v>
      </c>
      <c r="D171" s="38" t="s">
        <v>517</v>
      </c>
      <c r="E171" s="54">
        <v>0</v>
      </c>
      <c r="F171" s="36">
        <v>16800</v>
      </c>
      <c r="G171" s="34">
        <v>0</v>
      </c>
      <c r="H171" s="47">
        <v>0</v>
      </c>
      <c r="I171" s="47">
        <v>0</v>
      </c>
      <c r="J171" s="47">
        <v>0</v>
      </c>
      <c r="K171" s="47">
        <v>0</v>
      </c>
    </row>
    <row r="172" spans="1:11" x14ac:dyDescent="0.25">
      <c r="A172" s="34">
        <v>1995</v>
      </c>
      <c r="B172" s="20" t="s">
        <v>28</v>
      </c>
      <c r="C172" s="20">
        <v>17</v>
      </c>
      <c r="D172" s="38" t="s">
        <v>517</v>
      </c>
      <c r="E172" s="54">
        <v>0</v>
      </c>
      <c r="F172" s="36">
        <v>16800</v>
      </c>
      <c r="G172" s="34">
        <v>0</v>
      </c>
      <c r="H172" s="47">
        <v>0</v>
      </c>
      <c r="I172" s="47">
        <v>0</v>
      </c>
      <c r="J172" s="47">
        <v>0</v>
      </c>
      <c r="K172" s="47">
        <v>0</v>
      </c>
    </row>
    <row r="173" spans="1:11" x14ac:dyDescent="0.25">
      <c r="A173" s="34">
        <v>1995</v>
      </c>
      <c r="B173" s="20" t="s">
        <v>28</v>
      </c>
      <c r="C173" s="20">
        <v>18</v>
      </c>
      <c r="D173" s="38" t="s">
        <v>517</v>
      </c>
      <c r="E173" s="54">
        <v>0</v>
      </c>
      <c r="F173" s="36">
        <v>16800</v>
      </c>
      <c r="G173" s="34">
        <v>0</v>
      </c>
      <c r="H173" s="47">
        <v>0</v>
      </c>
      <c r="I173" s="47">
        <v>0</v>
      </c>
      <c r="J173" s="47">
        <v>0</v>
      </c>
      <c r="K173" s="47">
        <v>0</v>
      </c>
    </row>
    <row r="174" spans="1:11" x14ac:dyDescent="0.25">
      <c r="A174" s="34">
        <v>1995</v>
      </c>
      <c r="B174" s="20" t="s">
        <v>28</v>
      </c>
      <c r="C174" s="20">
        <v>19</v>
      </c>
      <c r="D174" s="38" t="s">
        <v>336</v>
      </c>
      <c r="E174" s="54">
        <v>0</v>
      </c>
      <c r="F174" s="40">
        <v>16700</v>
      </c>
      <c r="G174" s="34">
        <v>0</v>
      </c>
      <c r="H174" s="47">
        <v>0</v>
      </c>
      <c r="I174" s="47">
        <v>0</v>
      </c>
      <c r="J174" s="47">
        <v>0</v>
      </c>
      <c r="K174" s="47">
        <v>0</v>
      </c>
    </row>
    <row r="175" spans="1:11" x14ac:dyDescent="0.25">
      <c r="A175" s="34">
        <v>1995</v>
      </c>
      <c r="B175" s="20" t="s">
        <v>28</v>
      </c>
      <c r="C175" s="20">
        <v>20</v>
      </c>
      <c r="D175" s="38" t="s">
        <v>336</v>
      </c>
      <c r="E175" s="54">
        <v>0</v>
      </c>
      <c r="F175" s="40">
        <v>16700</v>
      </c>
      <c r="G175" s="34">
        <v>0</v>
      </c>
      <c r="H175" s="47">
        <v>0</v>
      </c>
      <c r="I175" s="47">
        <v>0</v>
      </c>
      <c r="J175" s="47">
        <v>0</v>
      </c>
      <c r="K175" s="47">
        <v>0</v>
      </c>
    </row>
    <row r="176" spans="1:11" x14ac:dyDescent="0.25">
      <c r="A176" s="34">
        <v>1995</v>
      </c>
      <c r="B176" s="20" t="s">
        <v>28</v>
      </c>
      <c r="C176" s="20">
        <v>21</v>
      </c>
      <c r="D176" s="38" t="s">
        <v>336</v>
      </c>
      <c r="E176" s="54">
        <v>0</v>
      </c>
      <c r="F176" s="40">
        <v>16700</v>
      </c>
      <c r="G176" s="34">
        <v>0</v>
      </c>
      <c r="H176" s="47">
        <v>0</v>
      </c>
      <c r="I176" s="47">
        <v>0</v>
      </c>
      <c r="J176" s="47">
        <v>0</v>
      </c>
      <c r="K176" s="47">
        <v>0</v>
      </c>
    </row>
    <row r="177" spans="1:11" x14ac:dyDescent="0.25">
      <c r="A177" s="34">
        <v>1995</v>
      </c>
      <c r="B177" s="20" t="s">
        <v>28</v>
      </c>
      <c r="C177" s="20">
        <v>22</v>
      </c>
      <c r="D177" s="38" t="s">
        <v>336</v>
      </c>
      <c r="E177" s="54">
        <v>0</v>
      </c>
      <c r="F177" s="40">
        <v>16700</v>
      </c>
      <c r="G177" s="34">
        <v>0</v>
      </c>
      <c r="H177" s="47">
        <v>0</v>
      </c>
      <c r="I177" s="47">
        <v>0</v>
      </c>
      <c r="J177" s="47">
        <v>0</v>
      </c>
      <c r="K177" s="47">
        <v>0</v>
      </c>
    </row>
    <row r="178" spans="1:11" x14ac:dyDescent="0.25">
      <c r="A178" s="34">
        <v>1995</v>
      </c>
      <c r="B178" s="20" t="s">
        <v>28</v>
      </c>
      <c r="C178" s="20">
        <v>23</v>
      </c>
      <c r="D178" s="38" t="s">
        <v>336</v>
      </c>
      <c r="E178" s="54">
        <v>0</v>
      </c>
      <c r="F178" s="40">
        <v>16700</v>
      </c>
      <c r="G178" s="34">
        <v>0</v>
      </c>
      <c r="H178" s="47">
        <v>0</v>
      </c>
      <c r="I178" s="47">
        <v>0</v>
      </c>
      <c r="J178" s="47">
        <v>0</v>
      </c>
      <c r="K178" s="47">
        <v>0</v>
      </c>
    </row>
    <row r="179" spans="1:11" x14ac:dyDescent="0.25">
      <c r="A179" s="34">
        <v>1995</v>
      </c>
      <c r="B179" s="20" t="s">
        <v>28</v>
      </c>
      <c r="C179" s="20">
        <v>24</v>
      </c>
      <c r="D179" s="38" t="s">
        <v>336</v>
      </c>
      <c r="E179" s="54">
        <v>0</v>
      </c>
      <c r="F179" s="40">
        <v>16700</v>
      </c>
      <c r="G179" s="34">
        <v>0</v>
      </c>
      <c r="H179" s="47">
        <v>0</v>
      </c>
      <c r="I179" s="47">
        <v>0</v>
      </c>
      <c r="J179" s="47">
        <v>0</v>
      </c>
      <c r="K179" s="47">
        <v>0</v>
      </c>
    </row>
    <row r="180" spans="1:11" x14ac:dyDescent="0.25">
      <c r="A180" s="34">
        <v>1995</v>
      </c>
      <c r="B180" s="20" t="s">
        <v>28</v>
      </c>
      <c r="C180" s="20">
        <v>25</v>
      </c>
      <c r="D180" s="38" t="s">
        <v>336</v>
      </c>
      <c r="E180" s="54">
        <v>0</v>
      </c>
      <c r="F180" s="40">
        <v>16700</v>
      </c>
      <c r="G180" s="34">
        <v>0</v>
      </c>
      <c r="H180" s="47">
        <v>0</v>
      </c>
      <c r="I180" s="47">
        <v>0</v>
      </c>
      <c r="J180" s="47">
        <v>0</v>
      </c>
      <c r="K180" s="47">
        <v>0</v>
      </c>
    </row>
    <row r="181" spans="1:11" x14ac:dyDescent="0.25">
      <c r="A181" s="34">
        <v>1995</v>
      </c>
      <c r="B181" s="20" t="s">
        <v>28</v>
      </c>
      <c r="C181" s="20">
        <v>26</v>
      </c>
      <c r="D181" s="38" t="s">
        <v>336</v>
      </c>
      <c r="E181" s="54">
        <v>0</v>
      </c>
      <c r="F181" s="40">
        <v>16700</v>
      </c>
      <c r="G181" s="34">
        <v>0</v>
      </c>
      <c r="H181" s="47">
        <v>0</v>
      </c>
      <c r="I181" s="47">
        <v>0</v>
      </c>
      <c r="J181" s="47">
        <v>0</v>
      </c>
      <c r="K181" s="47">
        <v>0</v>
      </c>
    </row>
    <row r="182" spans="1:11" x14ac:dyDescent="0.25">
      <c r="A182" s="34">
        <v>1995</v>
      </c>
      <c r="B182" s="20" t="s">
        <v>28</v>
      </c>
      <c r="C182" s="20">
        <v>27</v>
      </c>
      <c r="D182" s="38" t="s">
        <v>336</v>
      </c>
      <c r="E182" s="54">
        <v>0</v>
      </c>
      <c r="F182" s="40">
        <v>16700</v>
      </c>
      <c r="G182" s="34">
        <v>0</v>
      </c>
      <c r="H182" s="47">
        <v>0</v>
      </c>
      <c r="I182" s="47">
        <v>0</v>
      </c>
      <c r="J182" s="47">
        <v>0</v>
      </c>
      <c r="K182" s="47">
        <v>0</v>
      </c>
    </row>
    <row r="183" spans="1:11" x14ac:dyDescent="0.25">
      <c r="A183" s="34">
        <v>1995</v>
      </c>
      <c r="B183" s="20" t="s">
        <v>28</v>
      </c>
      <c r="C183" s="20">
        <v>28</v>
      </c>
      <c r="D183" s="38" t="s">
        <v>500</v>
      </c>
      <c r="E183" s="54">
        <v>0</v>
      </c>
      <c r="F183" s="40">
        <v>16600</v>
      </c>
      <c r="G183" s="34">
        <v>0</v>
      </c>
      <c r="H183" s="47">
        <v>0</v>
      </c>
      <c r="I183" s="47">
        <v>0</v>
      </c>
      <c r="J183" s="47">
        <v>0</v>
      </c>
      <c r="K183" s="47">
        <v>0</v>
      </c>
    </row>
    <row r="184" spans="1:11" x14ac:dyDescent="0.25">
      <c r="A184" s="34">
        <v>1995</v>
      </c>
      <c r="B184" s="20" t="s">
        <v>28</v>
      </c>
      <c r="C184" s="20">
        <v>29</v>
      </c>
      <c r="D184" s="38" t="s">
        <v>500</v>
      </c>
      <c r="E184" s="54">
        <v>0</v>
      </c>
      <c r="F184" s="40">
        <v>16600</v>
      </c>
      <c r="G184" s="34">
        <v>0</v>
      </c>
      <c r="H184" s="47">
        <v>0</v>
      </c>
      <c r="I184" s="47">
        <v>0</v>
      </c>
      <c r="J184" s="47">
        <v>0</v>
      </c>
      <c r="K184" s="47">
        <v>0</v>
      </c>
    </row>
    <row r="185" spans="1:11" x14ac:dyDescent="0.25">
      <c r="A185" s="34">
        <v>1995</v>
      </c>
      <c r="B185" s="20" t="s">
        <v>28</v>
      </c>
      <c r="C185" s="20">
        <v>30</v>
      </c>
      <c r="D185" s="38" t="s">
        <v>500</v>
      </c>
      <c r="E185" s="54">
        <v>0</v>
      </c>
      <c r="F185" s="40">
        <v>16600</v>
      </c>
      <c r="G185" s="34">
        <v>0</v>
      </c>
      <c r="H185" s="47">
        <v>0</v>
      </c>
      <c r="I185" s="47">
        <v>0</v>
      </c>
      <c r="J185" s="47">
        <v>0</v>
      </c>
      <c r="K185" s="47">
        <v>0</v>
      </c>
    </row>
    <row r="186" spans="1:11" x14ac:dyDescent="0.25">
      <c r="A186" s="34">
        <v>1995</v>
      </c>
      <c r="B186" s="20" t="s">
        <v>29</v>
      </c>
      <c r="C186" s="20">
        <v>1</v>
      </c>
      <c r="D186" s="38" t="s">
        <v>500</v>
      </c>
      <c r="E186" s="54">
        <v>0</v>
      </c>
      <c r="F186" s="40">
        <v>16600</v>
      </c>
      <c r="G186" s="34">
        <v>0</v>
      </c>
      <c r="H186" s="47">
        <v>0</v>
      </c>
      <c r="I186" s="47"/>
      <c r="J186" s="47"/>
      <c r="K186" s="47"/>
    </row>
    <row r="187" spans="1:11" x14ac:dyDescent="0.25">
      <c r="A187" s="34">
        <v>1995</v>
      </c>
      <c r="B187" s="20" t="s">
        <v>29</v>
      </c>
      <c r="C187" s="20">
        <v>2</v>
      </c>
      <c r="D187" s="38" t="s">
        <v>500</v>
      </c>
      <c r="E187" s="54">
        <v>0</v>
      </c>
      <c r="F187" s="40">
        <v>16600</v>
      </c>
      <c r="G187" s="34">
        <v>0</v>
      </c>
      <c r="H187" s="47">
        <v>0</v>
      </c>
      <c r="I187" s="47"/>
      <c r="J187" s="47"/>
      <c r="K187" s="47"/>
    </row>
    <row r="188" spans="1:11" x14ac:dyDescent="0.25">
      <c r="A188" s="34">
        <v>1995</v>
      </c>
      <c r="B188" s="20" t="s">
        <v>29</v>
      </c>
      <c r="C188" s="20">
        <v>3</v>
      </c>
      <c r="D188" s="38" t="s">
        <v>500</v>
      </c>
      <c r="E188" s="54">
        <v>0</v>
      </c>
      <c r="F188" s="40">
        <v>16600</v>
      </c>
      <c r="G188" s="34">
        <v>0</v>
      </c>
      <c r="H188" s="47">
        <v>0</v>
      </c>
      <c r="I188" s="47"/>
      <c r="J188" s="47"/>
      <c r="K188" s="47"/>
    </row>
    <row r="189" spans="1:11" x14ac:dyDescent="0.25">
      <c r="A189" s="34">
        <v>1995</v>
      </c>
      <c r="B189" s="20" t="s">
        <v>29</v>
      </c>
      <c r="C189" s="20">
        <v>4</v>
      </c>
      <c r="D189" s="38" t="s">
        <v>500</v>
      </c>
      <c r="E189" s="54">
        <v>0</v>
      </c>
      <c r="F189" s="40">
        <v>16600</v>
      </c>
      <c r="G189" s="34">
        <v>0</v>
      </c>
      <c r="H189" s="47">
        <v>0</v>
      </c>
      <c r="I189" s="47"/>
      <c r="J189" s="47"/>
      <c r="K189" s="47"/>
    </row>
    <row r="190" spans="1:11" x14ac:dyDescent="0.25">
      <c r="A190" s="34">
        <v>1995</v>
      </c>
      <c r="B190" s="20" t="s">
        <v>29</v>
      </c>
      <c r="C190" s="20">
        <v>5</v>
      </c>
      <c r="D190" s="38" t="s">
        <v>501</v>
      </c>
      <c r="E190" s="54">
        <v>0</v>
      </c>
      <c r="F190" s="40">
        <v>16500</v>
      </c>
      <c r="G190" s="34">
        <v>0</v>
      </c>
      <c r="H190" s="47">
        <v>0</v>
      </c>
      <c r="I190" s="47"/>
      <c r="J190" s="47"/>
      <c r="K190" s="47"/>
    </row>
    <row r="191" spans="1:11" x14ac:dyDescent="0.25">
      <c r="A191" s="34">
        <v>1995</v>
      </c>
      <c r="B191" s="20" t="s">
        <v>29</v>
      </c>
      <c r="C191" s="20">
        <v>6</v>
      </c>
      <c r="D191" s="38" t="s">
        <v>501</v>
      </c>
      <c r="E191" s="54">
        <v>0</v>
      </c>
      <c r="F191" s="40">
        <v>16500</v>
      </c>
      <c r="G191" s="34">
        <v>0</v>
      </c>
      <c r="H191" s="47">
        <v>0</v>
      </c>
      <c r="I191" s="47"/>
      <c r="J191" s="47"/>
      <c r="K191" s="47"/>
    </row>
    <row r="192" spans="1:11" x14ac:dyDescent="0.25">
      <c r="A192" s="34">
        <v>1995</v>
      </c>
      <c r="B192" s="20" t="s">
        <v>29</v>
      </c>
      <c r="C192" s="20">
        <v>7</v>
      </c>
      <c r="D192" s="38" t="s">
        <v>501</v>
      </c>
      <c r="E192" s="54">
        <v>0</v>
      </c>
      <c r="F192" s="40">
        <v>16500</v>
      </c>
      <c r="G192" s="34">
        <v>0</v>
      </c>
      <c r="H192" s="47">
        <v>0</v>
      </c>
      <c r="I192" s="47"/>
      <c r="J192" s="47"/>
      <c r="K192" s="47"/>
    </row>
    <row r="193" spans="1:11" x14ac:dyDescent="0.25">
      <c r="A193" s="34">
        <v>1995</v>
      </c>
      <c r="B193" s="20" t="s">
        <v>29</v>
      </c>
      <c r="C193" s="20">
        <v>8</v>
      </c>
      <c r="D193" s="38" t="s">
        <v>335</v>
      </c>
      <c r="E193" s="54">
        <v>0</v>
      </c>
      <c r="F193" s="40">
        <v>16400</v>
      </c>
      <c r="G193" s="34">
        <v>0</v>
      </c>
      <c r="H193" s="47">
        <v>0</v>
      </c>
      <c r="I193" s="47"/>
      <c r="J193" s="47"/>
      <c r="K193" s="47"/>
    </row>
    <row r="194" spans="1:11" x14ac:dyDescent="0.25">
      <c r="A194" s="34">
        <v>1995</v>
      </c>
      <c r="B194" s="20" t="s">
        <v>29</v>
      </c>
      <c r="C194" s="20">
        <v>9</v>
      </c>
      <c r="D194" s="38" t="s">
        <v>335</v>
      </c>
      <c r="E194" s="54">
        <v>0</v>
      </c>
      <c r="F194" s="40">
        <v>16400</v>
      </c>
      <c r="G194" s="34">
        <v>0</v>
      </c>
      <c r="H194" s="47">
        <v>0</v>
      </c>
      <c r="I194" s="47"/>
      <c r="J194" s="47"/>
      <c r="K194" s="47"/>
    </row>
    <row r="195" spans="1:11" x14ac:dyDescent="0.25">
      <c r="A195" s="34">
        <v>1995</v>
      </c>
      <c r="B195" s="20" t="s">
        <v>29</v>
      </c>
      <c r="C195" s="20">
        <v>10</v>
      </c>
      <c r="D195" s="38" t="s">
        <v>435</v>
      </c>
      <c r="E195" s="54">
        <v>0</v>
      </c>
      <c r="F195" s="40">
        <v>16200</v>
      </c>
      <c r="G195" s="34">
        <v>0</v>
      </c>
      <c r="H195" s="47">
        <v>0</v>
      </c>
      <c r="I195" s="47"/>
      <c r="J195" s="47"/>
      <c r="K195" s="47"/>
    </row>
    <row r="196" spans="1:11" x14ac:dyDescent="0.25">
      <c r="A196" s="34">
        <v>1995</v>
      </c>
      <c r="B196" s="20" t="s">
        <v>29</v>
      </c>
      <c r="C196" s="20">
        <v>11</v>
      </c>
      <c r="D196" s="38" t="s">
        <v>435</v>
      </c>
      <c r="E196" s="54">
        <v>0</v>
      </c>
      <c r="F196" s="40">
        <v>16200</v>
      </c>
      <c r="G196" s="34">
        <v>0</v>
      </c>
      <c r="H196" s="47">
        <v>0</v>
      </c>
      <c r="I196" s="47"/>
      <c r="J196" s="47"/>
      <c r="K196" s="47"/>
    </row>
    <row r="197" spans="1:11" x14ac:dyDescent="0.25">
      <c r="A197" s="34">
        <v>1995</v>
      </c>
      <c r="B197" s="20" t="s">
        <v>29</v>
      </c>
      <c r="C197" s="20">
        <v>12</v>
      </c>
      <c r="D197" s="38" t="s">
        <v>513</v>
      </c>
      <c r="E197" s="54">
        <v>0</v>
      </c>
      <c r="F197" s="40">
        <v>16000</v>
      </c>
      <c r="G197" s="34">
        <v>0</v>
      </c>
      <c r="H197" s="47">
        <v>0</v>
      </c>
      <c r="I197" s="47"/>
      <c r="J197" s="47"/>
      <c r="K197" s="47"/>
    </row>
    <row r="198" spans="1:11" x14ac:dyDescent="0.25">
      <c r="A198" s="34">
        <v>1995</v>
      </c>
      <c r="B198" s="20" t="s">
        <v>29</v>
      </c>
      <c r="C198" s="20">
        <v>13</v>
      </c>
      <c r="D198" s="38" t="s">
        <v>513</v>
      </c>
      <c r="E198" s="54">
        <v>0</v>
      </c>
      <c r="F198" s="40">
        <v>16000</v>
      </c>
      <c r="G198" s="34">
        <v>0</v>
      </c>
      <c r="H198" s="47">
        <v>0</v>
      </c>
      <c r="I198" s="47"/>
      <c r="J198" s="47"/>
      <c r="K198" s="47"/>
    </row>
    <row r="199" spans="1:11" x14ac:dyDescent="0.25">
      <c r="A199" s="34">
        <v>1995</v>
      </c>
      <c r="B199" s="20" t="s">
        <v>29</v>
      </c>
      <c r="C199" s="20">
        <v>14</v>
      </c>
      <c r="D199" s="38" t="s">
        <v>502</v>
      </c>
      <c r="E199" s="54">
        <v>0</v>
      </c>
      <c r="F199" s="40">
        <v>15750</v>
      </c>
      <c r="G199" s="34">
        <v>0</v>
      </c>
      <c r="H199" s="47">
        <v>0</v>
      </c>
      <c r="I199" s="47"/>
      <c r="J199" s="47"/>
      <c r="K199" s="47"/>
    </row>
    <row r="200" spans="1:11" x14ac:dyDescent="0.25">
      <c r="A200" s="34">
        <v>1995</v>
      </c>
      <c r="B200" s="20" t="s">
        <v>29</v>
      </c>
      <c r="C200" s="20">
        <v>15</v>
      </c>
      <c r="D200" s="38" t="s">
        <v>502</v>
      </c>
      <c r="E200" s="54">
        <v>0</v>
      </c>
      <c r="F200" s="40">
        <v>15750</v>
      </c>
      <c r="G200" s="34">
        <v>0</v>
      </c>
      <c r="H200" s="47">
        <v>0</v>
      </c>
      <c r="I200" s="47"/>
      <c r="J200" s="47"/>
      <c r="K200" s="47"/>
    </row>
    <row r="201" spans="1:11" x14ac:dyDescent="0.25">
      <c r="A201" s="34">
        <v>1995</v>
      </c>
      <c r="B201" s="20" t="s">
        <v>29</v>
      </c>
      <c r="C201" s="20">
        <v>16</v>
      </c>
      <c r="D201" s="38" t="s">
        <v>518</v>
      </c>
      <c r="E201" s="54">
        <v>0</v>
      </c>
      <c r="F201" s="36">
        <v>15600</v>
      </c>
      <c r="G201" s="34">
        <v>0</v>
      </c>
      <c r="H201" s="47">
        <v>0</v>
      </c>
      <c r="I201" s="47"/>
      <c r="J201" s="47"/>
      <c r="K201" s="47"/>
    </row>
    <row r="202" spans="1:11" x14ac:dyDescent="0.25">
      <c r="A202" s="34">
        <v>1995</v>
      </c>
      <c r="B202" s="20" t="s">
        <v>29</v>
      </c>
      <c r="C202" s="20">
        <v>17</v>
      </c>
      <c r="D202" s="38" t="s">
        <v>518</v>
      </c>
      <c r="E202" s="54">
        <v>0</v>
      </c>
      <c r="F202" s="36">
        <v>15600</v>
      </c>
      <c r="G202" s="34">
        <v>0</v>
      </c>
      <c r="H202" s="47">
        <v>0</v>
      </c>
      <c r="I202" s="47"/>
      <c r="J202" s="47"/>
      <c r="K202" s="47"/>
    </row>
    <row r="203" spans="1:11" x14ac:dyDescent="0.25">
      <c r="A203" s="34">
        <v>1995</v>
      </c>
      <c r="B203" s="20" t="s">
        <v>29</v>
      </c>
      <c r="C203" s="20">
        <v>18</v>
      </c>
      <c r="D203" s="38" t="s">
        <v>518</v>
      </c>
      <c r="E203" s="54">
        <v>0</v>
      </c>
      <c r="F203" s="36">
        <v>15600</v>
      </c>
      <c r="G203" s="34">
        <v>0</v>
      </c>
      <c r="H203" s="47">
        <v>0</v>
      </c>
      <c r="I203" s="47"/>
      <c r="J203" s="47"/>
      <c r="K203" s="47"/>
    </row>
    <row r="204" spans="1:11" x14ac:dyDescent="0.25">
      <c r="A204" s="34">
        <v>1995</v>
      </c>
      <c r="B204" s="20" t="s">
        <v>29</v>
      </c>
      <c r="C204" s="20">
        <v>19</v>
      </c>
      <c r="D204" s="38" t="s">
        <v>334</v>
      </c>
      <c r="E204" s="54">
        <v>0</v>
      </c>
      <c r="F204" s="40">
        <v>15500</v>
      </c>
      <c r="G204" s="34">
        <v>0</v>
      </c>
      <c r="H204" s="47">
        <v>0</v>
      </c>
      <c r="I204" s="47"/>
      <c r="J204" s="47"/>
      <c r="K204" s="47"/>
    </row>
    <row r="205" spans="1:11" x14ac:dyDescent="0.25">
      <c r="A205" s="34">
        <v>1995</v>
      </c>
      <c r="B205" s="20" t="s">
        <v>29</v>
      </c>
      <c r="C205" s="20">
        <v>20</v>
      </c>
      <c r="D205" s="38" t="s">
        <v>334</v>
      </c>
      <c r="E205" s="54">
        <v>0</v>
      </c>
      <c r="F205" s="40">
        <v>15500</v>
      </c>
      <c r="G205" s="34">
        <v>0</v>
      </c>
      <c r="H205" s="47">
        <v>0</v>
      </c>
      <c r="I205" s="47"/>
      <c r="J205" s="47"/>
      <c r="K205" s="47"/>
    </row>
    <row r="206" spans="1:11" x14ac:dyDescent="0.25">
      <c r="A206" s="34">
        <v>1995</v>
      </c>
      <c r="B206" s="20" t="s">
        <v>29</v>
      </c>
      <c r="C206" s="20">
        <v>21</v>
      </c>
      <c r="D206" s="38" t="s">
        <v>334</v>
      </c>
      <c r="E206" s="54">
        <v>0</v>
      </c>
      <c r="F206" s="40">
        <v>15500</v>
      </c>
      <c r="G206" s="34">
        <v>0</v>
      </c>
      <c r="H206" s="47">
        <v>0</v>
      </c>
      <c r="I206" s="47"/>
      <c r="J206" s="47"/>
      <c r="K206" s="47"/>
    </row>
    <row r="207" spans="1:11" x14ac:dyDescent="0.25">
      <c r="A207" s="34">
        <v>1995</v>
      </c>
      <c r="B207" s="20" t="s">
        <v>29</v>
      </c>
      <c r="C207" s="20">
        <v>22</v>
      </c>
      <c r="D207" s="38" t="s">
        <v>334</v>
      </c>
      <c r="E207" s="54">
        <v>0</v>
      </c>
      <c r="F207" s="40">
        <v>15500</v>
      </c>
      <c r="G207" s="34">
        <v>0</v>
      </c>
      <c r="H207" s="47">
        <v>0</v>
      </c>
      <c r="I207" s="47"/>
      <c r="J207" s="47"/>
      <c r="K207" s="47"/>
    </row>
    <row r="208" spans="1:11" x14ac:dyDescent="0.25">
      <c r="A208" s="34">
        <v>1995</v>
      </c>
      <c r="B208" s="20" t="s">
        <v>29</v>
      </c>
      <c r="C208" s="20">
        <v>23</v>
      </c>
      <c r="D208" s="38" t="s">
        <v>334</v>
      </c>
      <c r="E208" s="54">
        <v>0</v>
      </c>
      <c r="F208" s="40">
        <v>15500</v>
      </c>
      <c r="G208" s="34">
        <v>0</v>
      </c>
      <c r="H208" s="47">
        <v>0</v>
      </c>
      <c r="I208" s="47"/>
      <c r="J208" s="47"/>
      <c r="K208" s="47"/>
    </row>
    <row r="209" spans="1:11" x14ac:dyDescent="0.25">
      <c r="A209" s="34">
        <v>1995</v>
      </c>
      <c r="B209" s="20" t="s">
        <v>29</v>
      </c>
      <c r="C209" s="20">
        <v>24</v>
      </c>
      <c r="D209" s="38" t="s">
        <v>334</v>
      </c>
      <c r="E209" s="54">
        <v>0</v>
      </c>
      <c r="F209" s="40">
        <v>15500</v>
      </c>
      <c r="G209" s="34">
        <v>0</v>
      </c>
      <c r="H209" s="47">
        <v>0</v>
      </c>
      <c r="I209" s="47"/>
      <c r="J209" s="47"/>
      <c r="K209" s="47"/>
    </row>
    <row r="210" spans="1:11" x14ac:dyDescent="0.25">
      <c r="A210" s="34">
        <v>1995</v>
      </c>
      <c r="B210" s="20" t="s">
        <v>29</v>
      </c>
      <c r="C210" s="20">
        <v>25</v>
      </c>
      <c r="D210" s="38" t="s">
        <v>519</v>
      </c>
      <c r="E210" s="54">
        <v>0</v>
      </c>
      <c r="F210" s="40">
        <v>15400</v>
      </c>
      <c r="G210" s="34">
        <v>0</v>
      </c>
      <c r="H210" s="47">
        <v>0</v>
      </c>
      <c r="I210" s="47"/>
      <c r="J210" s="47"/>
      <c r="K210" s="47"/>
    </row>
    <row r="211" spans="1:11" x14ac:dyDescent="0.25">
      <c r="A211" s="34">
        <v>1995</v>
      </c>
      <c r="B211" s="20" t="s">
        <v>29</v>
      </c>
      <c r="C211" s="20">
        <v>26</v>
      </c>
      <c r="D211" s="38" t="s">
        <v>316</v>
      </c>
      <c r="E211" s="54">
        <v>0</v>
      </c>
      <c r="F211" s="40">
        <v>15200</v>
      </c>
      <c r="G211" s="34">
        <v>0</v>
      </c>
      <c r="H211" s="47">
        <v>0</v>
      </c>
      <c r="I211" s="47"/>
      <c r="J211" s="47"/>
      <c r="K211" s="47"/>
    </row>
    <row r="212" spans="1:11" x14ac:dyDescent="0.25">
      <c r="A212" s="34">
        <v>1995</v>
      </c>
      <c r="B212" s="20" t="s">
        <v>29</v>
      </c>
      <c r="C212" s="20">
        <v>27</v>
      </c>
      <c r="D212" s="38" t="s">
        <v>316</v>
      </c>
      <c r="E212" s="54">
        <v>0</v>
      </c>
      <c r="F212" s="40">
        <v>15200</v>
      </c>
      <c r="G212" s="34">
        <v>0</v>
      </c>
      <c r="H212" s="47">
        <v>0</v>
      </c>
      <c r="I212" s="47"/>
      <c r="J212" s="47"/>
      <c r="K212" s="47"/>
    </row>
    <row r="213" spans="1:11" x14ac:dyDescent="0.25">
      <c r="A213" s="34">
        <v>1995</v>
      </c>
      <c r="B213" s="20" t="s">
        <v>29</v>
      </c>
      <c r="C213" s="20">
        <v>28</v>
      </c>
      <c r="D213" s="38" t="s">
        <v>512</v>
      </c>
      <c r="E213" s="54">
        <v>0</v>
      </c>
      <c r="F213" s="40">
        <v>15000</v>
      </c>
      <c r="G213" s="34">
        <v>0</v>
      </c>
      <c r="H213" s="47">
        <v>0</v>
      </c>
      <c r="I213" s="47"/>
      <c r="J213" s="47"/>
      <c r="K213" s="47"/>
    </row>
    <row r="214" spans="1:11" x14ac:dyDescent="0.25">
      <c r="A214" s="34">
        <v>1995</v>
      </c>
      <c r="B214" s="20" t="s">
        <v>29</v>
      </c>
      <c r="C214" s="20">
        <v>29</v>
      </c>
      <c r="D214" s="38" t="s">
        <v>512</v>
      </c>
      <c r="E214" s="54">
        <v>0</v>
      </c>
      <c r="F214" s="40">
        <v>15000</v>
      </c>
      <c r="G214" s="34">
        <v>0</v>
      </c>
      <c r="H214" s="47">
        <v>0</v>
      </c>
      <c r="I214" s="47"/>
      <c r="J214" s="47"/>
      <c r="K214" s="47"/>
    </row>
    <row r="215" spans="1:11" x14ac:dyDescent="0.25">
      <c r="A215" s="34">
        <v>1995</v>
      </c>
      <c r="B215" s="20" t="s">
        <v>29</v>
      </c>
      <c r="C215" s="20">
        <v>30</v>
      </c>
      <c r="D215" s="38" t="s">
        <v>503</v>
      </c>
      <c r="E215" s="54">
        <v>0</v>
      </c>
      <c r="F215" s="40">
        <v>14900</v>
      </c>
      <c r="G215" s="34">
        <v>0</v>
      </c>
      <c r="H215" s="47">
        <v>0</v>
      </c>
      <c r="I215" s="47"/>
      <c r="J215" s="47"/>
      <c r="K215" s="47"/>
    </row>
    <row r="216" spans="1:11" x14ac:dyDescent="0.25">
      <c r="A216" s="34">
        <v>1995</v>
      </c>
      <c r="B216" s="20" t="s">
        <v>29</v>
      </c>
      <c r="C216" s="20">
        <v>31</v>
      </c>
      <c r="D216" s="38" t="s">
        <v>503</v>
      </c>
      <c r="E216" s="54">
        <v>0</v>
      </c>
      <c r="F216" s="40">
        <v>14900</v>
      </c>
      <c r="G216" s="34">
        <v>0</v>
      </c>
      <c r="H216" s="47">
        <v>0</v>
      </c>
      <c r="I216" s="47"/>
      <c r="J216" s="47"/>
      <c r="K216" s="47"/>
    </row>
    <row r="217" spans="1:11" x14ac:dyDescent="0.25">
      <c r="A217" s="34">
        <v>1995</v>
      </c>
      <c r="B217" s="20" t="s">
        <v>30</v>
      </c>
      <c r="C217" s="20">
        <v>1</v>
      </c>
      <c r="D217" s="38" t="s">
        <v>503</v>
      </c>
      <c r="E217" s="54">
        <v>0</v>
      </c>
      <c r="F217" s="40">
        <v>14900</v>
      </c>
      <c r="G217" s="34">
        <v>0</v>
      </c>
      <c r="H217" s="47">
        <v>0</v>
      </c>
      <c r="I217" s="47"/>
      <c r="J217" s="47"/>
      <c r="K217" s="47"/>
    </row>
    <row r="218" spans="1:11" x14ac:dyDescent="0.25">
      <c r="A218" s="34">
        <v>1995</v>
      </c>
      <c r="B218" s="20" t="s">
        <v>30</v>
      </c>
      <c r="C218" s="20">
        <v>2</v>
      </c>
      <c r="D218" s="38" t="s">
        <v>380</v>
      </c>
      <c r="E218" s="54">
        <v>0</v>
      </c>
      <c r="F218" s="36">
        <v>14700</v>
      </c>
      <c r="G218" s="34">
        <v>0</v>
      </c>
      <c r="H218" s="47">
        <v>0</v>
      </c>
      <c r="I218" s="47"/>
      <c r="J218" s="47"/>
      <c r="K218" s="47"/>
    </row>
    <row r="219" spans="1:11" x14ac:dyDescent="0.25">
      <c r="A219" s="34">
        <v>1995</v>
      </c>
      <c r="B219" s="20" t="s">
        <v>30</v>
      </c>
      <c r="C219" s="20">
        <v>3</v>
      </c>
      <c r="D219" s="38" t="s">
        <v>380</v>
      </c>
      <c r="E219" s="54">
        <v>0</v>
      </c>
      <c r="F219" s="36">
        <v>14700</v>
      </c>
      <c r="G219" s="34">
        <v>0</v>
      </c>
      <c r="H219" s="47">
        <v>0</v>
      </c>
      <c r="I219" s="47"/>
      <c r="J219" s="47"/>
      <c r="K219" s="47"/>
    </row>
    <row r="220" spans="1:11" x14ac:dyDescent="0.25">
      <c r="A220" s="34">
        <v>1995</v>
      </c>
      <c r="B220" s="20" t="s">
        <v>30</v>
      </c>
      <c r="C220" s="20">
        <v>4</v>
      </c>
      <c r="D220" s="38" t="s">
        <v>380</v>
      </c>
      <c r="E220" s="54">
        <v>0</v>
      </c>
      <c r="F220" s="36">
        <v>14700</v>
      </c>
      <c r="G220" s="34">
        <v>0</v>
      </c>
      <c r="H220" s="47">
        <v>0</v>
      </c>
      <c r="I220" s="47"/>
      <c r="J220" s="47"/>
      <c r="K220" s="47"/>
    </row>
    <row r="221" spans="1:11" x14ac:dyDescent="0.25">
      <c r="A221" s="34">
        <v>1995</v>
      </c>
      <c r="B221" s="20" t="s">
        <v>30</v>
      </c>
      <c r="C221" s="20">
        <v>5</v>
      </c>
      <c r="D221" s="38" t="s">
        <v>522</v>
      </c>
      <c r="E221" s="54">
        <v>0</v>
      </c>
      <c r="F221" s="36">
        <v>14600</v>
      </c>
      <c r="G221" s="34">
        <v>0</v>
      </c>
      <c r="H221" s="47">
        <v>0</v>
      </c>
      <c r="I221" s="47"/>
      <c r="J221" s="47"/>
      <c r="K221" s="47"/>
    </row>
    <row r="222" spans="1:11" x14ac:dyDescent="0.25">
      <c r="A222" s="34">
        <v>1995</v>
      </c>
      <c r="B222" s="20" t="s">
        <v>30</v>
      </c>
      <c r="C222" s="20">
        <v>6</v>
      </c>
      <c r="D222" s="38" t="s">
        <v>522</v>
      </c>
      <c r="E222" s="54">
        <v>0</v>
      </c>
      <c r="F222" s="36">
        <v>14600</v>
      </c>
      <c r="G222" s="34">
        <v>0</v>
      </c>
      <c r="H222" s="47">
        <v>0</v>
      </c>
      <c r="I222" s="47"/>
      <c r="J222" s="47"/>
      <c r="K222" s="47"/>
    </row>
    <row r="223" spans="1:11" x14ac:dyDescent="0.25">
      <c r="A223" s="34">
        <v>1995</v>
      </c>
      <c r="B223" s="20" t="s">
        <v>30</v>
      </c>
      <c r="C223" s="20">
        <v>7</v>
      </c>
      <c r="D223" s="38" t="s">
        <v>522</v>
      </c>
      <c r="E223" s="54">
        <v>0</v>
      </c>
      <c r="F223" s="36">
        <v>14600</v>
      </c>
      <c r="G223" s="34">
        <v>0</v>
      </c>
      <c r="H223" s="47">
        <v>0</v>
      </c>
      <c r="I223" s="47"/>
      <c r="J223" s="47"/>
      <c r="K223" s="47"/>
    </row>
    <row r="224" spans="1:11" x14ac:dyDescent="0.25">
      <c r="A224" s="34">
        <v>1995</v>
      </c>
      <c r="B224" s="20" t="s">
        <v>30</v>
      </c>
      <c r="C224" s="20">
        <v>8</v>
      </c>
      <c r="D224" s="38" t="s">
        <v>504</v>
      </c>
      <c r="E224" s="54">
        <v>0</v>
      </c>
      <c r="F224" s="36">
        <v>14400</v>
      </c>
      <c r="G224" s="34">
        <v>0</v>
      </c>
      <c r="H224" s="47">
        <v>0</v>
      </c>
      <c r="I224" s="47"/>
      <c r="J224" s="47"/>
      <c r="K224" s="47"/>
    </row>
    <row r="225" spans="1:11" x14ac:dyDescent="0.25">
      <c r="A225" s="34">
        <v>1995</v>
      </c>
      <c r="B225" s="20" t="s">
        <v>30</v>
      </c>
      <c r="C225" s="20">
        <v>9</v>
      </c>
      <c r="D225" s="38" t="s">
        <v>504</v>
      </c>
      <c r="E225" s="54">
        <v>0</v>
      </c>
      <c r="F225" s="36">
        <v>14400</v>
      </c>
      <c r="G225" s="34">
        <v>0</v>
      </c>
      <c r="H225" s="47">
        <v>0</v>
      </c>
      <c r="I225" s="47"/>
      <c r="J225" s="47"/>
      <c r="K225" s="47"/>
    </row>
    <row r="226" spans="1:11" x14ac:dyDescent="0.25">
      <c r="A226" s="34">
        <v>1995</v>
      </c>
      <c r="B226" s="20" t="s">
        <v>30</v>
      </c>
      <c r="C226" s="20">
        <v>10</v>
      </c>
      <c r="D226" s="38" t="s">
        <v>504</v>
      </c>
      <c r="E226" s="54">
        <v>0</v>
      </c>
      <c r="F226" s="36">
        <v>14400</v>
      </c>
      <c r="G226" s="34">
        <v>0</v>
      </c>
      <c r="H226" s="47">
        <v>0</v>
      </c>
      <c r="I226" s="47"/>
      <c r="J226" s="47"/>
      <c r="K226" s="47"/>
    </row>
    <row r="227" spans="1:11" x14ac:dyDescent="0.25">
      <c r="A227" s="34">
        <v>1995</v>
      </c>
      <c r="B227" s="20" t="s">
        <v>30</v>
      </c>
      <c r="C227" s="20">
        <v>11</v>
      </c>
      <c r="D227" s="38" t="s">
        <v>504</v>
      </c>
      <c r="E227" s="54">
        <v>0</v>
      </c>
      <c r="F227" s="36">
        <v>14400</v>
      </c>
      <c r="G227" s="34">
        <v>0</v>
      </c>
      <c r="H227" s="47">
        <v>0</v>
      </c>
      <c r="I227" s="47"/>
      <c r="J227" s="47"/>
      <c r="K227" s="47"/>
    </row>
    <row r="228" spans="1:11" x14ac:dyDescent="0.25">
      <c r="A228" s="34">
        <v>1995</v>
      </c>
      <c r="B228" s="20" t="s">
        <v>30</v>
      </c>
      <c r="C228" s="20">
        <v>12</v>
      </c>
      <c r="D228" s="38" t="s">
        <v>523</v>
      </c>
      <c r="E228" s="54">
        <v>0</v>
      </c>
      <c r="F228" s="40">
        <v>14200</v>
      </c>
      <c r="G228" s="34">
        <v>0</v>
      </c>
      <c r="H228" s="47">
        <v>0</v>
      </c>
      <c r="I228" s="47"/>
      <c r="J228" s="47"/>
      <c r="K228" s="47"/>
    </row>
    <row r="229" spans="1:11" x14ac:dyDescent="0.25">
      <c r="A229" s="34">
        <v>1995</v>
      </c>
      <c r="B229" s="20" t="s">
        <v>30</v>
      </c>
      <c r="C229" s="20">
        <v>13</v>
      </c>
      <c r="D229" s="38" t="s">
        <v>523</v>
      </c>
      <c r="E229" s="54">
        <v>0</v>
      </c>
      <c r="F229" s="40">
        <v>14200</v>
      </c>
      <c r="G229" s="34">
        <v>0</v>
      </c>
      <c r="H229" s="47">
        <v>0</v>
      </c>
      <c r="I229" s="47"/>
      <c r="J229" s="47"/>
      <c r="K229" s="47"/>
    </row>
    <row r="230" spans="1:11" x14ac:dyDescent="0.25">
      <c r="A230" s="34">
        <v>1995</v>
      </c>
      <c r="B230" s="20" t="s">
        <v>30</v>
      </c>
      <c r="C230" s="20">
        <v>14</v>
      </c>
      <c r="D230" s="38" t="s">
        <v>523</v>
      </c>
      <c r="E230" s="54">
        <v>0</v>
      </c>
      <c r="F230" s="40">
        <v>14200</v>
      </c>
      <c r="G230" s="34">
        <v>0</v>
      </c>
      <c r="H230" s="47">
        <v>0</v>
      </c>
      <c r="I230" s="47"/>
      <c r="J230" s="47"/>
      <c r="K230" s="47"/>
    </row>
    <row r="231" spans="1:11" x14ac:dyDescent="0.25">
      <c r="A231" s="34">
        <v>1995</v>
      </c>
      <c r="B231" s="20" t="s">
        <v>30</v>
      </c>
      <c r="C231" s="20">
        <v>15</v>
      </c>
      <c r="D231" s="38" t="s">
        <v>505</v>
      </c>
      <c r="E231" s="54">
        <v>0</v>
      </c>
      <c r="F231" s="40">
        <v>14000</v>
      </c>
      <c r="G231" s="34">
        <v>0</v>
      </c>
      <c r="H231" s="47">
        <v>0</v>
      </c>
      <c r="I231" s="47"/>
      <c r="J231" s="47"/>
      <c r="K231" s="47"/>
    </row>
    <row r="232" spans="1:11" x14ac:dyDescent="0.25">
      <c r="A232" s="34">
        <v>1995</v>
      </c>
      <c r="B232" s="20" t="s">
        <v>30</v>
      </c>
      <c r="C232" s="20">
        <v>16</v>
      </c>
      <c r="D232" s="38" t="s">
        <v>505</v>
      </c>
      <c r="E232" s="54">
        <v>0</v>
      </c>
      <c r="F232" s="40">
        <v>14000</v>
      </c>
      <c r="G232" s="34">
        <v>0</v>
      </c>
      <c r="H232" s="47">
        <v>0</v>
      </c>
      <c r="I232" s="47"/>
      <c r="J232" s="47"/>
      <c r="K232" s="47"/>
    </row>
    <row r="233" spans="1:11" x14ac:dyDescent="0.25">
      <c r="A233" s="34">
        <v>1995</v>
      </c>
      <c r="B233" s="20" t="s">
        <v>30</v>
      </c>
      <c r="C233" s="20">
        <v>17</v>
      </c>
      <c r="D233" s="38" t="s">
        <v>505</v>
      </c>
      <c r="E233" s="54">
        <v>0</v>
      </c>
      <c r="F233" s="40">
        <v>14000</v>
      </c>
      <c r="G233" s="34">
        <v>0</v>
      </c>
      <c r="H233" s="47">
        <v>0</v>
      </c>
      <c r="I233" s="47"/>
      <c r="J233" s="47"/>
      <c r="K233" s="47"/>
    </row>
    <row r="234" spans="1:11" x14ac:dyDescent="0.25">
      <c r="A234" s="34">
        <v>1995</v>
      </c>
      <c r="B234" s="20" t="s">
        <v>30</v>
      </c>
      <c r="C234" s="20">
        <v>18</v>
      </c>
      <c r="D234" s="38" t="s">
        <v>333</v>
      </c>
      <c r="E234" s="54">
        <v>0</v>
      </c>
      <c r="F234" s="40">
        <v>13800</v>
      </c>
      <c r="G234" s="34">
        <v>0</v>
      </c>
      <c r="H234" s="47">
        <v>0</v>
      </c>
      <c r="I234" s="47"/>
      <c r="J234" s="47"/>
      <c r="K234" s="47"/>
    </row>
    <row r="235" spans="1:11" x14ac:dyDescent="0.25">
      <c r="A235" s="34">
        <v>1995</v>
      </c>
      <c r="B235" s="20" t="s">
        <v>30</v>
      </c>
      <c r="C235" s="20">
        <v>19</v>
      </c>
      <c r="D235" s="38" t="s">
        <v>333</v>
      </c>
      <c r="E235" s="54">
        <v>0</v>
      </c>
      <c r="F235" s="40">
        <v>13800</v>
      </c>
      <c r="G235" s="34">
        <v>0</v>
      </c>
      <c r="H235" s="47">
        <v>0</v>
      </c>
      <c r="I235" s="47"/>
      <c r="J235" s="47"/>
      <c r="K235" s="47"/>
    </row>
    <row r="236" spans="1:11" x14ac:dyDescent="0.25">
      <c r="A236" s="34">
        <v>1995</v>
      </c>
      <c r="B236" s="20" t="s">
        <v>30</v>
      </c>
      <c r="C236" s="20">
        <v>20</v>
      </c>
      <c r="D236" s="38" t="s">
        <v>333</v>
      </c>
      <c r="E236" s="54">
        <v>0</v>
      </c>
      <c r="F236" s="40">
        <v>13800</v>
      </c>
      <c r="G236" s="34">
        <v>0</v>
      </c>
      <c r="H236" s="47">
        <v>0</v>
      </c>
      <c r="I236" s="47"/>
      <c r="J236" s="47"/>
      <c r="K236" s="47"/>
    </row>
    <row r="237" spans="1:11" x14ac:dyDescent="0.25">
      <c r="A237" s="34">
        <v>1995</v>
      </c>
      <c r="B237" s="20" t="s">
        <v>30</v>
      </c>
      <c r="C237" s="20">
        <v>21</v>
      </c>
      <c r="D237" s="38" t="s">
        <v>506</v>
      </c>
      <c r="E237" s="54">
        <v>0</v>
      </c>
      <c r="F237" s="40">
        <v>13700</v>
      </c>
      <c r="G237" s="34">
        <v>0</v>
      </c>
      <c r="H237" s="47">
        <v>0</v>
      </c>
      <c r="I237" s="47"/>
      <c r="J237" s="47"/>
      <c r="K237" s="47"/>
    </row>
    <row r="238" spans="1:11" x14ac:dyDescent="0.25">
      <c r="A238" s="34">
        <v>1995</v>
      </c>
      <c r="B238" s="20" t="s">
        <v>30</v>
      </c>
      <c r="C238" s="20">
        <v>22</v>
      </c>
      <c r="D238" s="38" t="s">
        <v>506</v>
      </c>
      <c r="E238" s="54">
        <v>0</v>
      </c>
      <c r="F238" s="40">
        <v>13700</v>
      </c>
      <c r="G238" s="34">
        <v>0</v>
      </c>
      <c r="H238" s="47">
        <v>0</v>
      </c>
      <c r="I238" s="47"/>
      <c r="J238" s="47"/>
      <c r="K238" s="47"/>
    </row>
    <row r="239" spans="1:11" x14ac:dyDescent="0.25">
      <c r="A239" s="34">
        <v>1995</v>
      </c>
      <c r="B239" s="20" t="s">
        <v>30</v>
      </c>
      <c r="C239" s="20">
        <v>23</v>
      </c>
      <c r="D239" s="38" t="s">
        <v>506</v>
      </c>
      <c r="E239" s="54">
        <v>0</v>
      </c>
      <c r="F239" s="40">
        <v>13700</v>
      </c>
      <c r="G239" s="34">
        <v>0</v>
      </c>
      <c r="H239" s="47">
        <v>0</v>
      </c>
      <c r="I239" s="47"/>
      <c r="J239" s="47"/>
      <c r="K239" s="47"/>
    </row>
    <row r="240" spans="1:11" x14ac:dyDescent="0.25">
      <c r="A240" s="34">
        <v>1995</v>
      </c>
      <c r="B240" s="20" t="s">
        <v>30</v>
      </c>
      <c r="C240" s="20">
        <v>24</v>
      </c>
      <c r="D240" s="38" t="s">
        <v>384</v>
      </c>
      <c r="E240" s="54">
        <v>0</v>
      </c>
      <c r="F240" s="40">
        <v>13600</v>
      </c>
      <c r="G240" s="34">
        <v>0</v>
      </c>
      <c r="H240" s="47">
        <v>0</v>
      </c>
      <c r="I240" s="47"/>
      <c r="J240" s="47"/>
      <c r="K240" s="47"/>
    </row>
    <row r="241" spans="1:11" x14ac:dyDescent="0.25">
      <c r="A241" s="34">
        <v>1995</v>
      </c>
      <c r="B241" s="20" t="s">
        <v>30</v>
      </c>
      <c r="C241" s="20">
        <v>25</v>
      </c>
      <c r="D241" s="38" t="s">
        <v>384</v>
      </c>
      <c r="E241" s="54">
        <v>0</v>
      </c>
      <c r="F241" s="40">
        <v>13600</v>
      </c>
      <c r="G241" s="34">
        <v>0</v>
      </c>
      <c r="H241" s="47">
        <v>0</v>
      </c>
      <c r="I241" s="47"/>
      <c r="J241" s="47"/>
      <c r="K241" s="47"/>
    </row>
    <row r="242" spans="1:11" x14ac:dyDescent="0.25">
      <c r="A242" s="34">
        <v>1995</v>
      </c>
      <c r="B242" s="20" t="s">
        <v>30</v>
      </c>
      <c r="C242" s="20">
        <v>26</v>
      </c>
      <c r="D242" s="38" t="s">
        <v>384</v>
      </c>
      <c r="E242" s="54">
        <v>0</v>
      </c>
      <c r="F242" s="40">
        <v>13600</v>
      </c>
      <c r="G242" s="34">
        <v>0</v>
      </c>
      <c r="H242" s="47">
        <v>0</v>
      </c>
      <c r="I242" s="47"/>
      <c r="J242" s="47"/>
      <c r="K242" s="47"/>
    </row>
    <row r="243" spans="1:11" x14ac:dyDescent="0.25">
      <c r="A243" s="34">
        <v>1995</v>
      </c>
      <c r="B243" s="20" t="s">
        <v>30</v>
      </c>
      <c r="C243" s="20">
        <v>27</v>
      </c>
      <c r="D243" s="38" t="s">
        <v>384</v>
      </c>
      <c r="E243" s="54">
        <v>0</v>
      </c>
      <c r="F243" s="40">
        <v>13600</v>
      </c>
      <c r="G243" s="34">
        <v>0</v>
      </c>
      <c r="H243" s="47">
        <v>0</v>
      </c>
      <c r="I243" s="47"/>
      <c r="J243" s="47"/>
      <c r="K243" s="47"/>
    </row>
    <row r="244" spans="1:11" x14ac:dyDescent="0.25">
      <c r="A244" s="34">
        <v>1995</v>
      </c>
      <c r="B244" s="20" t="s">
        <v>30</v>
      </c>
      <c r="C244" s="20">
        <v>28</v>
      </c>
      <c r="D244" s="38" t="s">
        <v>385</v>
      </c>
      <c r="E244" s="54">
        <v>0</v>
      </c>
      <c r="F244" s="40">
        <v>13500</v>
      </c>
      <c r="G244" s="34">
        <v>0</v>
      </c>
      <c r="H244" s="47">
        <v>0</v>
      </c>
      <c r="I244" s="47"/>
      <c r="J244" s="47"/>
      <c r="K244" s="47"/>
    </row>
    <row r="245" spans="1:11" x14ac:dyDescent="0.25">
      <c r="A245" s="34">
        <v>1995</v>
      </c>
      <c r="B245" s="20" t="s">
        <v>30</v>
      </c>
      <c r="C245" s="20">
        <v>29</v>
      </c>
      <c r="D245" s="38" t="s">
        <v>385</v>
      </c>
      <c r="E245" s="54">
        <v>0</v>
      </c>
      <c r="F245" s="40">
        <v>13500</v>
      </c>
      <c r="G245" s="34">
        <v>0</v>
      </c>
      <c r="H245" s="47">
        <v>0</v>
      </c>
      <c r="I245" s="47"/>
      <c r="J245" s="47"/>
      <c r="K245" s="47"/>
    </row>
    <row r="246" spans="1:11" x14ac:dyDescent="0.25">
      <c r="A246" s="34">
        <v>1995</v>
      </c>
      <c r="B246" s="20" t="s">
        <v>30</v>
      </c>
      <c r="C246" s="20">
        <v>30</v>
      </c>
      <c r="D246" s="38" t="s">
        <v>385</v>
      </c>
      <c r="E246" s="54">
        <v>0</v>
      </c>
      <c r="F246" s="40">
        <v>13500</v>
      </c>
      <c r="G246" s="34">
        <v>0</v>
      </c>
      <c r="H246" s="47">
        <v>0</v>
      </c>
      <c r="I246" s="47"/>
      <c r="J246" s="47"/>
      <c r="K246" s="47"/>
    </row>
    <row r="247" spans="1:11" x14ac:dyDescent="0.25">
      <c r="A247" s="34">
        <v>1995</v>
      </c>
      <c r="B247" s="20" t="s">
        <v>30</v>
      </c>
      <c r="C247" s="20">
        <v>31</v>
      </c>
      <c r="D247" s="38" t="s">
        <v>385</v>
      </c>
      <c r="E247" s="54">
        <v>0</v>
      </c>
      <c r="F247" s="40">
        <v>13500</v>
      </c>
      <c r="G247" s="34">
        <v>0</v>
      </c>
      <c r="H247" s="47">
        <v>0</v>
      </c>
      <c r="I247" s="47"/>
      <c r="J247" s="47"/>
      <c r="K247" s="47"/>
    </row>
    <row r="248" spans="1:11" x14ac:dyDescent="0.25">
      <c r="A248" s="34">
        <v>1995</v>
      </c>
      <c r="B248" s="20" t="s">
        <v>31</v>
      </c>
      <c r="C248" s="20">
        <v>1</v>
      </c>
      <c r="D248" s="38" t="s">
        <v>524</v>
      </c>
      <c r="E248" s="54">
        <v>0</v>
      </c>
      <c r="F248" s="40">
        <v>13250</v>
      </c>
      <c r="G248" s="34">
        <v>0</v>
      </c>
      <c r="H248" s="47">
        <v>0</v>
      </c>
      <c r="I248" s="47"/>
      <c r="J248" s="47"/>
      <c r="K248" s="47"/>
    </row>
    <row r="249" spans="1:11" x14ac:dyDescent="0.25">
      <c r="A249" s="34">
        <v>1995</v>
      </c>
      <c r="B249" s="20" t="s">
        <v>31</v>
      </c>
      <c r="C249" s="20">
        <v>2</v>
      </c>
      <c r="D249" s="38" t="s">
        <v>524</v>
      </c>
      <c r="E249" s="54">
        <v>0</v>
      </c>
      <c r="F249" s="40">
        <v>13250</v>
      </c>
      <c r="G249" s="34">
        <v>0</v>
      </c>
      <c r="H249" s="47">
        <v>0</v>
      </c>
      <c r="I249" s="47"/>
      <c r="J249" s="47"/>
      <c r="K249" s="47"/>
    </row>
    <row r="250" spans="1:11" x14ac:dyDescent="0.25">
      <c r="A250" s="34">
        <v>1995</v>
      </c>
      <c r="B250" s="20" t="s">
        <v>31</v>
      </c>
      <c r="C250" s="20">
        <v>3</v>
      </c>
      <c r="D250" s="38" t="s">
        <v>386</v>
      </c>
      <c r="E250" s="54">
        <v>0</v>
      </c>
      <c r="F250" s="40">
        <v>13000</v>
      </c>
      <c r="G250" s="34">
        <v>0</v>
      </c>
      <c r="H250" s="47">
        <v>0</v>
      </c>
      <c r="I250" s="47"/>
      <c r="J250" s="47"/>
      <c r="K250" s="47"/>
    </row>
    <row r="251" spans="1:11" x14ac:dyDescent="0.25">
      <c r="A251" s="34">
        <v>1995</v>
      </c>
      <c r="B251" s="20" t="s">
        <v>31</v>
      </c>
      <c r="C251" s="20">
        <v>4</v>
      </c>
      <c r="D251" s="38" t="s">
        <v>386</v>
      </c>
      <c r="E251" s="54">
        <v>0</v>
      </c>
      <c r="F251" s="40">
        <v>13000</v>
      </c>
      <c r="G251" s="34">
        <v>0</v>
      </c>
      <c r="H251" s="47">
        <v>0</v>
      </c>
      <c r="I251" s="47"/>
      <c r="J251" s="47"/>
      <c r="K251" s="47"/>
    </row>
    <row r="252" spans="1:11" x14ac:dyDescent="0.25">
      <c r="A252" s="34">
        <v>1995</v>
      </c>
      <c r="B252" s="20" t="s">
        <v>31</v>
      </c>
      <c r="C252" s="20">
        <v>5</v>
      </c>
      <c r="D252" s="38" t="s">
        <v>386</v>
      </c>
      <c r="E252" s="54">
        <v>0</v>
      </c>
      <c r="F252" s="40">
        <v>13000</v>
      </c>
      <c r="G252" s="34">
        <v>0</v>
      </c>
      <c r="H252" s="47">
        <v>0</v>
      </c>
      <c r="I252" s="47"/>
      <c r="J252" s="47"/>
      <c r="K252" s="47"/>
    </row>
    <row r="253" spans="1:11" x14ac:dyDescent="0.25">
      <c r="A253" s="34">
        <v>1995</v>
      </c>
      <c r="B253" s="20" t="s">
        <v>31</v>
      </c>
      <c r="C253" s="20">
        <v>6</v>
      </c>
      <c r="D253" s="38" t="s">
        <v>507</v>
      </c>
      <c r="E253" s="54">
        <v>0</v>
      </c>
      <c r="F253" s="40">
        <v>12900</v>
      </c>
      <c r="G253" s="34">
        <v>0</v>
      </c>
      <c r="H253" s="47">
        <v>0</v>
      </c>
      <c r="I253" s="47"/>
      <c r="J253" s="47"/>
      <c r="K253" s="47"/>
    </row>
    <row r="254" spans="1:11" x14ac:dyDescent="0.25">
      <c r="A254" s="34">
        <v>1995</v>
      </c>
      <c r="B254" s="20" t="s">
        <v>31</v>
      </c>
      <c r="C254" s="20">
        <v>7</v>
      </c>
      <c r="D254" s="38" t="s">
        <v>507</v>
      </c>
      <c r="E254" s="54">
        <v>0</v>
      </c>
      <c r="F254" s="40">
        <v>12900</v>
      </c>
      <c r="G254" s="34">
        <v>0</v>
      </c>
      <c r="H254" s="47">
        <v>0</v>
      </c>
      <c r="I254" s="47"/>
      <c r="J254" s="47"/>
      <c r="K254" s="47"/>
    </row>
    <row r="255" spans="1:11" x14ac:dyDescent="0.25">
      <c r="A255" s="34">
        <v>1995</v>
      </c>
      <c r="B255" s="20" t="s">
        <v>31</v>
      </c>
      <c r="C255" s="20">
        <v>8</v>
      </c>
      <c r="D255" s="38" t="s">
        <v>507</v>
      </c>
      <c r="E255" s="54">
        <v>0</v>
      </c>
      <c r="F255" s="40">
        <v>12900</v>
      </c>
      <c r="G255" s="34">
        <v>0</v>
      </c>
      <c r="H255" s="47">
        <v>0</v>
      </c>
      <c r="I255" s="47"/>
      <c r="J255" s="47"/>
      <c r="K255" s="47"/>
    </row>
    <row r="256" spans="1:11" x14ac:dyDescent="0.25">
      <c r="A256" s="34">
        <v>1995</v>
      </c>
      <c r="B256" s="20" t="s">
        <v>31</v>
      </c>
      <c r="C256" s="20">
        <v>9</v>
      </c>
      <c r="D256" s="38" t="s">
        <v>387</v>
      </c>
      <c r="E256" s="54">
        <v>0</v>
      </c>
      <c r="F256" s="40">
        <v>12800</v>
      </c>
      <c r="G256" s="34">
        <v>0</v>
      </c>
      <c r="H256" s="47">
        <v>0</v>
      </c>
      <c r="I256" s="47"/>
      <c r="J256" s="47"/>
      <c r="K256" s="47"/>
    </row>
    <row r="257" spans="1:11" x14ac:dyDescent="0.25">
      <c r="A257" s="34">
        <v>1995</v>
      </c>
      <c r="B257" s="20" t="s">
        <v>31</v>
      </c>
      <c r="C257" s="20">
        <v>10</v>
      </c>
      <c r="D257" s="38" t="s">
        <v>387</v>
      </c>
      <c r="E257" s="54">
        <v>0</v>
      </c>
      <c r="F257" s="40">
        <v>12800</v>
      </c>
      <c r="G257" s="34">
        <v>0</v>
      </c>
      <c r="H257" s="47">
        <v>0</v>
      </c>
      <c r="I257" s="47"/>
      <c r="J257" s="47"/>
      <c r="K257" s="47"/>
    </row>
    <row r="258" spans="1:11" x14ac:dyDescent="0.25">
      <c r="A258" s="34">
        <v>1995</v>
      </c>
      <c r="B258" s="20" t="s">
        <v>31</v>
      </c>
      <c r="C258" s="20">
        <v>11</v>
      </c>
      <c r="D258" s="38" t="s">
        <v>387</v>
      </c>
      <c r="E258" s="54">
        <v>0</v>
      </c>
      <c r="F258" s="40">
        <v>12800</v>
      </c>
      <c r="G258" s="34">
        <v>0</v>
      </c>
      <c r="H258" s="47">
        <v>0</v>
      </c>
      <c r="I258" s="47"/>
      <c r="J258" s="47"/>
      <c r="K258" s="47"/>
    </row>
    <row r="259" spans="1:11" x14ac:dyDescent="0.25">
      <c r="A259" s="34">
        <v>1995</v>
      </c>
      <c r="B259" s="20" t="s">
        <v>31</v>
      </c>
      <c r="C259" s="20">
        <v>12</v>
      </c>
      <c r="D259" s="38" t="s">
        <v>525</v>
      </c>
      <c r="E259" s="54">
        <v>0</v>
      </c>
      <c r="F259" s="40">
        <v>12600</v>
      </c>
      <c r="G259" s="34">
        <v>0</v>
      </c>
      <c r="H259" s="47">
        <v>0</v>
      </c>
      <c r="I259" s="47"/>
      <c r="J259" s="47"/>
      <c r="K259" s="47"/>
    </row>
    <row r="260" spans="1:11" x14ac:dyDescent="0.25">
      <c r="A260" s="34">
        <v>1995</v>
      </c>
      <c r="B260" s="20" t="s">
        <v>31</v>
      </c>
      <c r="C260" s="20">
        <v>13</v>
      </c>
      <c r="D260" s="38" t="s">
        <v>525</v>
      </c>
      <c r="E260" s="54">
        <v>0</v>
      </c>
      <c r="F260" s="40">
        <v>12600</v>
      </c>
      <c r="G260" s="34">
        <v>0</v>
      </c>
      <c r="H260" s="47">
        <v>0</v>
      </c>
      <c r="I260" s="47"/>
      <c r="J260" s="47"/>
      <c r="K260" s="47"/>
    </row>
    <row r="261" spans="1:11" x14ac:dyDescent="0.25">
      <c r="A261" s="34">
        <v>1995</v>
      </c>
      <c r="B261" s="20" t="s">
        <v>31</v>
      </c>
      <c r="C261" s="20">
        <v>14</v>
      </c>
      <c r="D261" s="38" t="s">
        <v>525</v>
      </c>
      <c r="E261" s="54">
        <v>0</v>
      </c>
      <c r="F261" s="40">
        <v>12600</v>
      </c>
      <c r="G261" s="34">
        <v>0</v>
      </c>
      <c r="H261" s="47">
        <v>0</v>
      </c>
      <c r="I261" s="47"/>
      <c r="J261" s="47"/>
      <c r="K261" s="47"/>
    </row>
    <row r="262" spans="1:11" x14ac:dyDescent="0.25">
      <c r="A262" s="34">
        <v>1995</v>
      </c>
      <c r="B262" s="20" t="s">
        <v>31</v>
      </c>
      <c r="C262" s="20">
        <v>15</v>
      </c>
      <c r="D262" s="38" t="s">
        <v>434</v>
      </c>
      <c r="E262" s="54">
        <v>0</v>
      </c>
      <c r="F262" s="40">
        <v>12500</v>
      </c>
      <c r="G262" s="34">
        <v>0</v>
      </c>
      <c r="H262" s="47">
        <v>0</v>
      </c>
      <c r="I262" s="47"/>
      <c r="J262" s="47"/>
      <c r="K262" s="47"/>
    </row>
    <row r="263" spans="1:11" x14ac:dyDescent="0.25">
      <c r="A263" s="34">
        <v>1995</v>
      </c>
      <c r="B263" s="20" t="s">
        <v>31</v>
      </c>
      <c r="C263" s="20">
        <v>16</v>
      </c>
      <c r="D263" s="38" t="s">
        <v>434</v>
      </c>
      <c r="E263" s="54">
        <v>0</v>
      </c>
      <c r="F263" s="40">
        <v>12500</v>
      </c>
      <c r="G263" s="34">
        <v>0</v>
      </c>
      <c r="H263" s="47">
        <v>0</v>
      </c>
      <c r="I263" s="47"/>
      <c r="J263" s="47"/>
      <c r="K263" s="47"/>
    </row>
    <row r="264" spans="1:11" x14ac:dyDescent="0.25">
      <c r="A264" s="34">
        <v>1995</v>
      </c>
      <c r="B264" s="20" t="s">
        <v>31</v>
      </c>
      <c r="C264" s="20">
        <v>17</v>
      </c>
      <c r="D264" s="38" t="s">
        <v>434</v>
      </c>
      <c r="E264" s="54">
        <v>0</v>
      </c>
      <c r="F264" s="40">
        <v>12500</v>
      </c>
      <c r="G264" s="34">
        <v>0</v>
      </c>
      <c r="H264" s="47">
        <v>0</v>
      </c>
      <c r="I264" s="47"/>
      <c r="J264" s="47"/>
      <c r="K264" s="47"/>
    </row>
    <row r="265" spans="1:11" x14ac:dyDescent="0.25">
      <c r="A265" s="34">
        <v>1995</v>
      </c>
      <c r="B265" s="20" t="s">
        <v>31</v>
      </c>
      <c r="C265" s="20">
        <v>18</v>
      </c>
      <c r="D265" s="38" t="s">
        <v>434</v>
      </c>
      <c r="E265" s="54">
        <v>0</v>
      </c>
      <c r="F265" s="40">
        <v>12500</v>
      </c>
      <c r="G265" s="34">
        <v>0</v>
      </c>
      <c r="H265" s="47">
        <v>0</v>
      </c>
      <c r="I265" s="47"/>
      <c r="J265" s="47"/>
      <c r="K265" s="47"/>
    </row>
    <row r="266" spans="1:11" x14ac:dyDescent="0.25">
      <c r="A266" s="34">
        <v>1995</v>
      </c>
      <c r="B266" s="20" t="s">
        <v>31</v>
      </c>
      <c r="C266" s="20">
        <v>19</v>
      </c>
      <c r="D266" s="38" t="s">
        <v>526</v>
      </c>
      <c r="E266" s="54">
        <v>0</v>
      </c>
      <c r="F266" s="40">
        <v>12400</v>
      </c>
      <c r="G266" s="34">
        <v>0</v>
      </c>
      <c r="H266" s="47">
        <v>0</v>
      </c>
      <c r="I266" s="47"/>
      <c r="J266" s="47"/>
      <c r="K266" s="47"/>
    </row>
    <row r="267" spans="1:11" x14ac:dyDescent="0.25">
      <c r="A267" s="34">
        <v>1995</v>
      </c>
      <c r="B267" s="20" t="s">
        <v>31</v>
      </c>
      <c r="C267" s="20">
        <v>20</v>
      </c>
      <c r="D267" s="38" t="s">
        <v>526</v>
      </c>
      <c r="E267" s="54">
        <v>0</v>
      </c>
      <c r="F267" s="40">
        <v>12400</v>
      </c>
      <c r="G267" s="34">
        <v>0</v>
      </c>
      <c r="H267" s="47">
        <v>0</v>
      </c>
      <c r="I267" s="47"/>
      <c r="J267" s="47"/>
      <c r="K267" s="47"/>
    </row>
    <row r="268" spans="1:11" x14ac:dyDescent="0.25">
      <c r="A268" s="34">
        <v>1995</v>
      </c>
      <c r="B268" s="20" t="s">
        <v>31</v>
      </c>
      <c r="C268" s="20">
        <v>21</v>
      </c>
      <c r="D268" s="38" t="s">
        <v>526</v>
      </c>
      <c r="E268" s="54">
        <v>0</v>
      </c>
      <c r="F268" s="40">
        <v>12400</v>
      </c>
      <c r="G268" s="34">
        <v>0</v>
      </c>
      <c r="H268" s="47">
        <v>0</v>
      </c>
      <c r="I268" s="47"/>
      <c r="J268" s="47"/>
      <c r="K268" s="47"/>
    </row>
    <row r="269" spans="1:11" x14ac:dyDescent="0.25">
      <c r="A269" s="34">
        <v>1995</v>
      </c>
      <c r="B269" s="20" t="s">
        <v>31</v>
      </c>
      <c r="C269" s="20">
        <v>22</v>
      </c>
      <c r="D269" s="38" t="s">
        <v>390</v>
      </c>
      <c r="E269" s="54">
        <v>0</v>
      </c>
      <c r="F269" s="36">
        <v>12300</v>
      </c>
      <c r="G269" s="34">
        <v>0</v>
      </c>
      <c r="H269" s="47">
        <v>0</v>
      </c>
      <c r="I269" s="47"/>
      <c r="J269" s="47"/>
      <c r="K269" s="47"/>
    </row>
    <row r="270" spans="1:11" x14ac:dyDescent="0.25">
      <c r="A270" s="34">
        <v>1995</v>
      </c>
      <c r="B270" s="20" t="s">
        <v>31</v>
      </c>
      <c r="C270" s="20">
        <v>23</v>
      </c>
      <c r="D270" s="38" t="s">
        <v>390</v>
      </c>
      <c r="E270" s="54">
        <v>0</v>
      </c>
      <c r="F270" s="36">
        <v>12300</v>
      </c>
      <c r="G270" s="34">
        <v>0</v>
      </c>
      <c r="H270" s="47">
        <v>0</v>
      </c>
      <c r="I270" s="47"/>
      <c r="J270" s="47"/>
      <c r="K270" s="47"/>
    </row>
    <row r="271" spans="1:11" x14ac:dyDescent="0.25">
      <c r="A271" s="34">
        <v>1995</v>
      </c>
      <c r="B271" s="20" t="s">
        <v>31</v>
      </c>
      <c r="C271" s="20">
        <v>24</v>
      </c>
      <c r="D271" s="38" t="s">
        <v>390</v>
      </c>
      <c r="E271" s="54">
        <v>0</v>
      </c>
      <c r="F271" s="36">
        <v>12300</v>
      </c>
      <c r="G271" s="34">
        <v>0</v>
      </c>
      <c r="H271" s="47">
        <v>0</v>
      </c>
      <c r="I271" s="47"/>
      <c r="J271" s="47"/>
      <c r="K271" s="47"/>
    </row>
    <row r="272" spans="1:11" x14ac:dyDescent="0.25">
      <c r="A272" s="34">
        <v>1995</v>
      </c>
      <c r="B272" s="20" t="s">
        <v>31</v>
      </c>
      <c r="C272" s="20">
        <v>25</v>
      </c>
      <c r="D272" s="38" t="s">
        <v>332</v>
      </c>
      <c r="E272" s="54">
        <v>0</v>
      </c>
      <c r="F272" s="36">
        <v>12200</v>
      </c>
      <c r="G272" s="34">
        <v>0</v>
      </c>
      <c r="H272" s="47">
        <v>0</v>
      </c>
      <c r="I272" s="47"/>
      <c r="J272" s="47"/>
      <c r="K272" s="47"/>
    </row>
    <row r="273" spans="1:11" x14ac:dyDescent="0.25">
      <c r="A273" s="34">
        <v>1995</v>
      </c>
      <c r="B273" s="20" t="s">
        <v>31</v>
      </c>
      <c r="C273" s="20">
        <v>26</v>
      </c>
      <c r="D273" s="38" t="s">
        <v>332</v>
      </c>
      <c r="E273" s="54">
        <v>0</v>
      </c>
      <c r="F273" s="36">
        <v>12200</v>
      </c>
      <c r="G273" s="34">
        <v>0</v>
      </c>
      <c r="H273" s="47">
        <v>0</v>
      </c>
      <c r="I273" s="47"/>
      <c r="J273" s="47"/>
      <c r="K273" s="47"/>
    </row>
    <row r="274" spans="1:11" x14ac:dyDescent="0.25">
      <c r="A274" s="34">
        <v>1995</v>
      </c>
      <c r="B274" s="20" t="s">
        <v>31</v>
      </c>
      <c r="C274" s="20">
        <v>27</v>
      </c>
      <c r="D274" s="38" t="s">
        <v>332</v>
      </c>
      <c r="E274" s="54">
        <v>0</v>
      </c>
      <c r="F274" s="36">
        <v>12200</v>
      </c>
      <c r="G274" s="34">
        <v>0</v>
      </c>
      <c r="H274" s="47">
        <v>0</v>
      </c>
      <c r="I274" s="47"/>
      <c r="J274" s="47"/>
      <c r="K274" s="47"/>
    </row>
    <row r="275" spans="1:11" x14ac:dyDescent="0.25">
      <c r="A275" s="34">
        <v>1995</v>
      </c>
      <c r="B275" s="20" t="s">
        <v>31</v>
      </c>
      <c r="C275" s="20">
        <v>28</v>
      </c>
      <c r="D275" s="38" t="s">
        <v>433</v>
      </c>
      <c r="E275" s="54">
        <v>0</v>
      </c>
      <c r="F275" s="40">
        <v>12000</v>
      </c>
      <c r="G275" s="34">
        <v>0</v>
      </c>
      <c r="H275" s="47">
        <v>0</v>
      </c>
      <c r="I275" s="47"/>
      <c r="J275" s="47"/>
      <c r="K275" s="47"/>
    </row>
    <row r="276" spans="1:11" x14ac:dyDescent="0.25">
      <c r="A276" s="34">
        <v>1995</v>
      </c>
      <c r="B276" s="20" t="s">
        <v>31</v>
      </c>
      <c r="C276" s="20">
        <v>29</v>
      </c>
      <c r="D276" s="38" t="s">
        <v>433</v>
      </c>
      <c r="E276" s="54">
        <v>0</v>
      </c>
      <c r="F276" s="40">
        <v>12000</v>
      </c>
      <c r="G276" s="34">
        <v>0</v>
      </c>
      <c r="H276" s="47">
        <v>0</v>
      </c>
      <c r="I276" s="47"/>
      <c r="J276" s="47"/>
      <c r="K276" s="47"/>
    </row>
    <row r="277" spans="1:11" x14ac:dyDescent="0.25">
      <c r="A277" s="34">
        <v>1995</v>
      </c>
      <c r="B277" s="20" t="s">
        <v>31</v>
      </c>
      <c r="C277" s="20">
        <v>30</v>
      </c>
      <c r="D277" s="38" t="s">
        <v>433</v>
      </c>
      <c r="E277" s="54">
        <v>0</v>
      </c>
      <c r="F277" s="40">
        <v>12000</v>
      </c>
      <c r="G277" s="34">
        <v>0</v>
      </c>
      <c r="H277" s="47">
        <v>0</v>
      </c>
      <c r="I277" s="47"/>
      <c r="J277" s="47"/>
      <c r="K277" s="47"/>
    </row>
    <row r="278" spans="1:11" x14ac:dyDescent="0.25">
      <c r="A278" s="34">
        <v>1995</v>
      </c>
      <c r="B278" s="20" t="s">
        <v>1750</v>
      </c>
      <c r="C278" s="20">
        <v>1</v>
      </c>
      <c r="D278" s="38" t="s">
        <v>433</v>
      </c>
      <c r="E278" s="54">
        <v>0</v>
      </c>
      <c r="F278" s="40">
        <v>12000</v>
      </c>
      <c r="G278" s="34">
        <v>0</v>
      </c>
      <c r="H278" s="47">
        <v>0</v>
      </c>
      <c r="I278" s="47"/>
      <c r="J278" s="47"/>
      <c r="K278" s="47"/>
    </row>
    <row r="279" spans="1:11" x14ac:dyDescent="0.25">
      <c r="A279" s="34">
        <v>1995</v>
      </c>
      <c r="B279" s="20" t="s">
        <v>1750</v>
      </c>
      <c r="C279" s="20">
        <v>2</v>
      </c>
      <c r="D279" s="38" t="s">
        <v>433</v>
      </c>
      <c r="E279" s="54">
        <v>0</v>
      </c>
      <c r="F279" s="40">
        <v>12000</v>
      </c>
      <c r="G279" s="34">
        <v>0</v>
      </c>
      <c r="H279" s="47">
        <v>0</v>
      </c>
      <c r="I279" s="47"/>
      <c r="J279" s="47"/>
      <c r="K279" s="47"/>
    </row>
    <row r="280" spans="1:11" x14ac:dyDescent="0.25">
      <c r="A280" s="34">
        <v>1995</v>
      </c>
      <c r="B280" s="20" t="s">
        <v>1750</v>
      </c>
      <c r="C280" s="20">
        <v>3</v>
      </c>
      <c r="D280" s="38" t="s">
        <v>433</v>
      </c>
      <c r="E280" s="54">
        <v>0</v>
      </c>
      <c r="F280" s="40">
        <v>12000</v>
      </c>
      <c r="G280" s="34">
        <v>0</v>
      </c>
      <c r="H280" s="47">
        <v>0</v>
      </c>
      <c r="I280" s="47"/>
      <c r="J280" s="47"/>
      <c r="K280" s="47"/>
    </row>
    <row r="281" spans="1:11" x14ac:dyDescent="0.25">
      <c r="A281" s="34">
        <v>1995</v>
      </c>
      <c r="B281" s="20" t="s">
        <v>1750</v>
      </c>
      <c r="C281" s="20">
        <v>4</v>
      </c>
      <c r="D281" s="38" t="s">
        <v>391</v>
      </c>
      <c r="E281" s="54">
        <v>0</v>
      </c>
      <c r="F281" s="40">
        <v>11800</v>
      </c>
      <c r="G281" s="34">
        <v>0</v>
      </c>
      <c r="H281" s="47">
        <v>0</v>
      </c>
      <c r="I281" s="47"/>
      <c r="J281" s="47"/>
      <c r="K281" s="47"/>
    </row>
    <row r="282" spans="1:11" x14ac:dyDescent="0.25">
      <c r="A282" s="34">
        <v>1995</v>
      </c>
      <c r="B282" s="20" t="s">
        <v>1750</v>
      </c>
      <c r="C282" s="20">
        <v>5</v>
      </c>
      <c r="D282" s="38" t="s">
        <v>391</v>
      </c>
      <c r="E282" s="54">
        <v>0</v>
      </c>
      <c r="F282" s="40">
        <v>11800</v>
      </c>
      <c r="G282" s="34">
        <v>0</v>
      </c>
      <c r="H282" s="47">
        <v>0</v>
      </c>
      <c r="I282" s="47"/>
      <c r="J282" s="47"/>
      <c r="K282" s="47"/>
    </row>
    <row r="283" spans="1:11" x14ac:dyDescent="0.25">
      <c r="A283" s="34">
        <v>1995</v>
      </c>
      <c r="B283" s="20" t="s">
        <v>1750</v>
      </c>
      <c r="C283" s="20">
        <v>6</v>
      </c>
      <c r="D283" s="38" t="s">
        <v>391</v>
      </c>
      <c r="E283" s="54">
        <v>0</v>
      </c>
      <c r="F283" s="40">
        <v>11800</v>
      </c>
      <c r="G283" s="34">
        <v>0</v>
      </c>
      <c r="H283" s="47">
        <v>0</v>
      </c>
      <c r="I283" s="47"/>
      <c r="J283" s="47"/>
      <c r="K283" s="47"/>
    </row>
    <row r="284" spans="1:11" x14ac:dyDescent="0.25">
      <c r="A284" s="34">
        <v>1995</v>
      </c>
      <c r="B284" s="20" t="s">
        <v>1750</v>
      </c>
      <c r="C284" s="20">
        <v>7</v>
      </c>
      <c r="D284" s="38" t="s">
        <v>391</v>
      </c>
      <c r="E284" s="54">
        <v>0</v>
      </c>
      <c r="F284" s="40">
        <v>11800</v>
      </c>
      <c r="G284" s="34">
        <v>0</v>
      </c>
      <c r="H284" s="47">
        <v>0</v>
      </c>
      <c r="I284" s="47"/>
      <c r="J284" s="47"/>
      <c r="K284" s="47"/>
    </row>
    <row r="285" spans="1:11" x14ac:dyDescent="0.25">
      <c r="A285" s="34">
        <v>1995</v>
      </c>
      <c r="B285" s="20" t="s">
        <v>1750</v>
      </c>
      <c r="C285" s="20">
        <v>8</v>
      </c>
      <c r="D285" s="38" t="s">
        <v>391</v>
      </c>
      <c r="E285" s="54">
        <v>0</v>
      </c>
      <c r="F285" s="40">
        <v>11800</v>
      </c>
      <c r="G285" s="34">
        <v>0</v>
      </c>
      <c r="H285" s="47">
        <v>0</v>
      </c>
      <c r="I285" s="47"/>
      <c r="J285" s="47"/>
      <c r="K285" s="47"/>
    </row>
    <row r="286" spans="1:11" x14ac:dyDescent="0.25">
      <c r="A286" s="34">
        <v>1995</v>
      </c>
      <c r="B286" s="20" t="s">
        <v>1750</v>
      </c>
      <c r="C286" s="20">
        <v>9</v>
      </c>
      <c r="D286" s="38" t="s">
        <v>391</v>
      </c>
      <c r="E286" s="54">
        <v>0</v>
      </c>
      <c r="F286" s="40">
        <v>11800</v>
      </c>
      <c r="G286" s="34">
        <v>0</v>
      </c>
      <c r="H286" s="47">
        <v>0</v>
      </c>
      <c r="I286" s="47"/>
      <c r="J286" s="47"/>
      <c r="K286" s="47"/>
    </row>
    <row r="287" spans="1:11" x14ac:dyDescent="0.25">
      <c r="A287" s="34">
        <v>1995</v>
      </c>
      <c r="B287" s="20" t="s">
        <v>1750</v>
      </c>
      <c r="C287" s="20">
        <v>10</v>
      </c>
      <c r="D287" s="38" t="s">
        <v>391</v>
      </c>
      <c r="E287" s="54">
        <v>0</v>
      </c>
      <c r="F287" s="40">
        <v>11800</v>
      </c>
      <c r="G287" s="34">
        <v>0</v>
      </c>
      <c r="H287" s="47">
        <v>0</v>
      </c>
      <c r="I287" s="47"/>
      <c r="J287" s="47"/>
      <c r="K287" s="47"/>
    </row>
    <row r="288" spans="1:11" x14ac:dyDescent="0.25">
      <c r="A288" s="34">
        <v>1995</v>
      </c>
      <c r="B288" s="20" t="s">
        <v>1750</v>
      </c>
      <c r="C288" s="20">
        <v>11</v>
      </c>
      <c r="D288" s="38" t="s">
        <v>391</v>
      </c>
      <c r="E288" s="54">
        <v>0</v>
      </c>
      <c r="F288" s="40">
        <v>11800</v>
      </c>
      <c r="G288" s="34">
        <v>0</v>
      </c>
      <c r="H288" s="47">
        <v>0</v>
      </c>
      <c r="I288" s="47"/>
      <c r="J288" s="47"/>
      <c r="K288" s="47"/>
    </row>
    <row r="289" spans="1:11" x14ac:dyDescent="0.25">
      <c r="A289" s="34">
        <v>1995</v>
      </c>
      <c r="B289" s="20" t="s">
        <v>1750</v>
      </c>
      <c r="C289" s="20">
        <v>12</v>
      </c>
      <c r="D289" s="38" t="s">
        <v>391</v>
      </c>
      <c r="E289" s="54">
        <v>0</v>
      </c>
      <c r="F289" s="40">
        <v>11800</v>
      </c>
      <c r="G289" s="34">
        <v>0</v>
      </c>
      <c r="H289" s="47">
        <v>0</v>
      </c>
      <c r="I289" s="47"/>
      <c r="J289" s="47"/>
      <c r="K289" s="47"/>
    </row>
    <row r="290" spans="1:11" x14ac:dyDescent="0.25">
      <c r="A290" s="34">
        <v>1995</v>
      </c>
      <c r="B290" s="20" t="s">
        <v>1750</v>
      </c>
      <c r="C290" s="20">
        <v>13</v>
      </c>
      <c r="D290" s="38" t="s">
        <v>17</v>
      </c>
      <c r="E290" s="54">
        <v>0</v>
      </c>
      <c r="F290" s="40">
        <v>11600</v>
      </c>
      <c r="G290" s="34">
        <v>0</v>
      </c>
      <c r="H290" s="47">
        <v>0</v>
      </c>
      <c r="I290" s="47"/>
      <c r="J290" s="47"/>
      <c r="K290" s="47"/>
    </row>
    <row r="291" spans="1:11" x14ac:dyDescent="0.25">
      <c r="A291" s="34">
        <v>1995</v>
      </c>
      <c r="B291" s="20" t="s">
        <v>1750</v>
      </c>
      <c r="C291" s="20">
        <v>14</v>
      </c>
      <c r="D291" s="38" t="s">
        <v>17</v>
      </c>
      <c r="E291" s="54">
        <v>0</v>
      </c>
      <c r="F291" s="40">
        <v>11600</v>
      </c>
      <c r="G291" s="34">
        <v>0</v>
      </c>
      <c r="H291" s="47">
        <v>0</v>
      </c>
      <c r="I291" s="47"/>
      <c r="J291" s="47"/>
      <c r="K291" s="47"/>
    </row>
    <row r="292" spans="1:11" x14ac:dyDescent="0.25">
      <c r="A292" s="34">
        <v>1995</v>
      </c>
      <c r="B292" s="20" t="s">
        <v>1750</v>
      </c>
      <c r="C292" s="20">
        <v>15</v>
      </c>
      <c r="D292" s="38" t="s">
        <v>17</v>
      </c>
      <c r="E292" s="54">
        <v>0</v>
      </c>
      <c r="F292" s="40">
        <v>11600</v>
      </c>
      <c r="G292" s="34">
        <v>0</v>
      </c>
      <c r="H292" s="47">
        <v>0</v>
      </c>
      <c r="I292" s="47"/>
      <c r="J292" s="47"/>
      <c r="K292" s="47"/>
    </row>
    <row r="293" spans="1:11" x14ac:dyDescent="0.25">
      <c r="A293" s="34">
        <v>1995</v>
      </c>
      <c r="B293" s="20" t="s">
        <v>1750</v>
      </c>
      <c r="C293" s="20">
        <v>16</v>
      </c>
      <c r="D293" s="38" t="s">
        <v>17</v>
      </c>
      <c r="E293" s="54">
        <v>0</v>
      </c>
      <c r="F293" s="40">
        <v>11600</v>
      </c>
      <c r="G293" s="34">
        <v>0</v>
      </c>
      <c r="H293" s="47">
        <v>0</v>
      </c>
      <c r="I293" s="47"/>
      <c r="J293" s="47"/>
      <c r="K293" s="47"/>
    </row>
    <row r="294" spans="1:11" x14ac:dyDescent="0.25">
      <c r="A294" s="34">
        <v>1995</v>
      </c>
      <c r="B294" s="20" t="s">
        <v>1750</v>
      </c>
      <c r="C294" s="20">
        <v>17</v>
      </c>
      <c r="D294" s="38" t="s">
        <v>15</v>
      </c>
      <c r="E294" s="54">
        <v>0</v>
      </c>
      <c r="F294" s="40">
        <v>11500</v>
      </c>
      <c r="G294" s="34">
        <v>0</v>
      </c>
      <c r="H294" s="47">
        <v>0</v>
      </c>
      <c r="I294" s="47"/>
      <c r="J294" s="47"/>
      <c r="K294" s="47"/>
    </row>
    <row r="295" spans="1:11" x14ac:dyDescent="0.25">
      <c r="A295" s="34">
        <v>1995</v>
      </c>
      <c r="B295" s="20" t="s">
        <v>1750</v>
      </c>
      <c r="C295" s="20">
        <v>18</v>
      </c>
      <c r="D295" s="38" t="s">
        <v>15</v>
      </c>
      <c r="E295" s="54">
        <v>0</v>
      </c>
      <c r="F295" s="40">
        <v>11500</v>
      </c>
      <c r="G295" s="34">
        <v>0</v>
      </c>
      <c r="H295" s="47">
        <v>0</v>
      </c>
      <c r="I295" s="47"/>
      <c r="J295" s="47"/>
      <c r="K295" s="47"/>
    </row>
    <row r="296" spans="1:11" x14ac:dyDescent="0.25">
      <c r="A296" s="34">
        <v>1995</v>
      </c>
      <c r="B296" s="20" t="s">
        <v>1750</v>
      </c>
      <c r="C296" s="20">
        <v>19</v>
      </c>
      <c r="D296" s="38" t="s">
        <v>15</v>
      </c>
      <c r="E296" s="54">
        <v>0</v>
      </c>
      <c r="F296" s="40">
        <v>11500</v>
      </c>
      <c r="G296" s="34">
        <v>0</v>
      </c>
      <c r="H296" s="47">
        <v>0</v>
      </c>
      <c r="I296" s="47"/>
      <c r="J296" s="47"/>
      <c r="K296" s="47"/>
    </row>
    <row r="297" spans="1:11" x14ac:dyDescent="0.25">
      <c r="A297" s="34">
        <v>1995</v>
      </c>
      <c r="B297" s="20" t="s">
        <v>1750</v>
      </c>
      <c r="C297" s="20">
        <v>20</v>
      </c>
      <c r="D297" s="38" t="s">
        <v>433</v>
      </c>
      <c r="E297" s="54">
        <v>0</v>
      </c>
      <c r="F297" s="36">
        <v>12000</v>
      </c>
      <c r="G297" s="34">
        <v>0</v>
      </c>
      <c r="H297" s="47">
        <v>0</v>
      </c>
      <c r="I297" s="47"/>
      <c r="J297" s="47"/>
      <c r="K297" s="47"/>
    </row>
    <row r="298" spans="1:11" x14ac:dyDescent="0.25">
      <c r="A298" s="34">
        <v>1995</v>
      </c>
      <c r="B298" s="20" t="s">
        <v>1750</v>
      </c>
      <c r="C298" s="20">
        <v>21</v>
      </c>
      <c r="D298" s="38" t="s">
        <v>15</v>
      </c>
      <c r="E298" s="54">
        <v>0</v>
      </c>
      <c r="F298" s="40">
        <v>11500</v>
      </c>
      <c r="G298" s="34">
        <v>0</v>
      </c>
      <c r="H298" s="47">
        <v>0</v>
      </c>
      <c r="I298" s="47"/>
      <c r="J298" s="47"/>
      <c r="K298" s="47"/>
    </row>
    <row r="299" spans="1:11" x14ac:dyDescent="0.25">
      <c r="A299" s="34">
        <v>1995</v>
      </c>
      <c r="B299" s="20" t="s">
        <v>1750</v>
      </c>
      <c r="C299" s="20">
        <v>22</v>
      </c>
      <c r="D299" s="38" t="s">
        <v>433</v>
      </c>
      <c r="E299" s="54">
        <v>0</v>
      </c>
      <c r="F299" s="36">
        <v>12000</v>
      </c>
      <c r="G299" s="34">
        <v>0</v>
      </c>
      <c r="H299" s="47">
        <v>0</v>
      </c>
      <c r="I299" s="47"/>
      <c r="J299" s="47"/>
      <c r="K299" s="47"/>
    </row>
    <row r="300" spans="1:11" x14ac:dyDescent="0.25">
      <c r="A300" s="34">
        <v>1995</v>
      </c>
      <c r="B300" s="20" t="s">
        <v>1750</v>
      </c>
      <c r="C300" s="20">
        <v>23</v>
      </c>
      <c r="D300" s="38" t="s">
        <v>433</v>
      </c>
      <c r="E300" s="54">
        <v>0</v>
      </c>
      <c r="F300" s="36">
        <v>12000</v>
      </c>
      <c r="G300" s="34">
        <v>0</v>
      </c>
      <c r="H300" s="47">
        <v>0</v>
      </c>
      <c r="I300" s="47"/>
      <c r="J300" s="47"/>
      <c r="K300" s="47"/>
    </row>
    <row r="301" spans="1:11" x14ac:dyDescent="0.25">
      <c r="A301" s="34">
        <v>1995</v>
      </c>
      <c r="B301" s="20" t="s">
        <v>1750</v>
      </c>
      <c r="C301" s="20">
        <v>24</v>
      </c>
      <c r="D301" s="38" t="s">
        <v>433</v>
      </c>
      <c r="E301" s="54">
        <v>0</v>
      </c>
      <c r="F301" s="36">
        <v>12000</v>
      </c>
      <c r="G301" s="34">
        <v>0</v>
      </c>
      <c r="H301" s="47">
        <v>0</v>
      </c>
      <c r="I301" s="47"/>
      <c r="J301" s="47"/>
      <c r="K301" s="47"/>
    </row>
    <row r="302" spans="1:11" x14ac:dyDescent="0.25">
      <c r="A302" s="34">
        <v>1995</v>
      </c>
      <c r="B302" s="20" t="s">
        <v>1750</v>
      </c>
      <c r="C302" s="20">
        <v>25</v>
      </c>
      <c r="D302" s="38" t="s">
        <v>433</v>
      </c>
      <c r="E302" s="54">
        <v>0</v>
      </c>
      <c r="F302" s="36">
        <v>12000</v>
      </c>
      <c r="G302" s="34">
        <v>0</v>
      </c>
      <c r="H302" s="47">
        <v>0</v>
      </c>
      <c r="I302" s="47"/>
      <c r="J302" s="47"/>
      <c r="K302" s="47"/>
    </row>
    <row r="303" spans="1:11" x14ac:dyDescent="0.25">
      <c r="A303" s="34">
        <v>1995</v>
      </c>
      <c r="B303" s="20" t="s">
        <v>1750</v>
      </c>
      <c r="C303" s="20">
        <v>26</v>
      </c>
      <c r="D303" s="38" t="s">
        <v>332</v>
      </c>
      <c r="E303" s="54">
        <v>0</v>
      </c>
      <c r="F303" s="40">
        <v>12200</v>
      </c>
      <c r="G303" s="34">
        <v>0</v>
      </c>
      <c r="H303" s="47">
        <v>0</v>
      </c>
      <c r="I303" s="47"/>
      <c r="J303" s="47"/>
      <c r="K303" s="47"/>
    </row>
    <row r="304" spans="1:11" x14ac:dyDescent="0.25">
      <c r="A304" s="34">
        <v>1995</v>
      </c>
      <c r="B304" s="20" t="s">
        <v>1750</v>
      </c>
      <c r="C304" s="20">
        <v>27</v>
      </c>
      <c r="D304" s="38" t="s">
        <v>332</v>
      </c>
      <c r="E304" s="54">
        <v>0</v>
      </c>
      <c r="F304" s="40">
        <v>12200</v>
      </c>
      <c r="G304" s="34">
        <v>0</v>
      </c>
      <c r="H304" s="47">
        <v>0</v>
      </c>
      <c r="I304" s="47"/>
      <c r="J304" s="47"/>
      <c r="K304" s="47"/>
    </row>
    <row r="305" spans="1:11" x14ac:dyDescent="0.25">
      <c r="A305" s="34">
        <v>1995</v>
      </c>
      <c r="B305" s="20" t="s">
        <v>1750</v>
      </c>
      <c r="C305" s="20">
        <v>28</v>
      </c>
      <c r="D305" s="38" t="s">
        <v>332</v>
      </c>
      <c r="E305" s="54">
        <v>0</v>
      </c>
      <c r="F305" s="40">
        <v>12200</v>
      </c>
      <c r="G305" s="34">
        <v>0</v>
      </c>
      <c r="H305" s="47">
        <v>0</v>
      </c>
      <c r="I305" s="47"/>
      <c r="J305" s="47"/>
      <c r="K305" s="47"/>
    </row>
    <row r="306" spans="1:11" x14ac:dyDescent="0.25">
      <c r="A306" s="34">
        <v>1995</v>
      </c>
      <c r="B306" s="20" t="s">
        <v>1750</v>
      </c>
      <c r="C306" s="20">
        <v>29</v>
      </c>
      <c r="D306" s="38" t="s">
        <v>332</v>
      </c>
      <c r="E306" s="54">
        <v>0</v>
      </c>
      <c r="F306" s="40">
        <v>12200</v>
      </c>
      <c r="G306" s="34">
        <v>0</v>
      </c>
      <c r="H306" s="47">
        <v>0</v>
      </c>
      <c r="I306" s="47"/>
      <c r="J306" s="47"/>
      <c r="K306" s="47"/>
    </row>
    <row r="307" spans="1:11" x14ac:dyDescent="0.25">
      <c r="A307" s="34">
        <v>1995</v>
      </c>
      <c r="B307" s="20" t="s">
        <v>1750</v>
      </c>
      <c r="C307" s="20">
        <v>30</v>
      </c>
      <c r="D307" s="38" t="s">
        <v>332</v>
      </c>
      <c r="E307" s="54">
        <v>0</v>
      </c>
      <c r="F307" s="40">
        <v>12200</v>
      </c>
      <c r="G307" s="34">
        <v>0</v>
      </c>
      <c r="H307" s="47">
        <v>0</v>
      </c>
      <c r="I307" s="47"/>
      <c r="J307" s="47"/>
      <c r="K307" s="47"/>
    </row>
    <row r="308" spans="1:11" x14ac:dyDescent="0.25">
      <c r="A308" s="34">
        <v>1995</v>
      </c>
      <c r="B308" s="20" t="s">
        <v>1750</v>
      </c>
      <c r="C308" s="20">
        <v>31</v>
      </c>
      <c r="D308" s="38" t="s">
        <v>332</v>
      </c>
      <c r="E308" s="54">
        <v>0</v>
      </c>
      <c r="F308" s="40">
        <v>12200</v>
      </c>
      <c r="G308" s="34">
        <v>0</v>
      </c>
      <c r="H308" s="47">
        <v>0</v>
      </c>
      <c r="I308" s="47"/>
      <c r="J308" s="47"/>
      <c r="K308" s="47"/>
    </row>
    <row r="309" spans="1:11" x14ac:dyDescent="0.25">
      <c r="A309" s="34">
        <v>1995</v>
      </c>
      <c r="B309" s="20" t="s">
        <v>32</v>
      </c>
      <c r="C309" s="20">
        <v>1</v>
      </c>
      <c r="D309" s="38" t="s">
        <v>332</v>
      </c>
      <c r="E309" s="54">
        <v>0</v>
      </c>
      <c r="F309" s="36">
        <v>12200</v>
      </c>
      <c r="G309" s="34">
        <v>0</v>
      </c>
      <c r="H309" s="47">
        <v>0</v>
      </c>
      <c r="I309" s="47">
        <v>0</v>
      </c>
      <c r="J309" s="47">
        <v>0</v>
      </c>
      <c r="K309" s="47">
        <v>0</v>
      </c>
    </row>
    <row r="310" spans="1:11" x14ac:dyDescent="0.25">
      <c r="A310" s="34">
        <v>1995</v>
      </c>
      <c r="B310" s="20" t="s">
        <v>32</v>
      </c>
      <c r="C310" s="20">
        <v>2</v>
      </c>
      <c r="D310" s="38" t="s">
        <v>332</v>
      </c>
      <c r="E310" s="54">
        <v>0</v>
      </c>
      <c r="F310" s="36">
        <v>12200</v>
      </c>
      <c r="G310" s="34">
        <v>0</v>
      </c>
      <c r="H310" s="47">
        <v>0</v>
      </c>
      <c r="I310" s="47">
        <v>0</v>
      </c>
      <c r="J310" s="47">
        <v>0</v>
      </c>
      <c r="K310" s="47">
        <v>0</v>
      </c>
    </row>
    <row r="311" spans="1:11" x14ac:dyDescent="0.25">
      <c r="A311" s="34">
        <v>1995</v>
      </c>
      <c r="B311" s="20" t="s">
        <v>32</v>
      </c>
      <c r="C311" s="20">
        <v>3</v>
      </c>
      <c r="D311" s="38" t="s">
        <v>332</v>
      </c>
      <c r="E311" s="54">
        <v>0</v>
      </c>
      <c r="F311" s="36">
        <v>12200</v>
      </c>
      <c r="G311" s="34">
        <v>0</v>
      </c>
      <c r="H311" s="47">
        <v>0</v>
      </c>
      <c r="I311" s="47">
        <v>0</v>
      </c>
      <c r="J311" s="47">
        <v>0</v>
      </c>
      <c r="K311" s="47">
        <v>0</v>
      </c>
    </row>
    <row r="312" spans="1:11" x14ac:dyDescent="0.25">
      <c r="A312" s="34">
        <v>1995</v>
      </c>
      <c r="B312" s="20" t="s">
        <v>32</v>
      </c>
      <c r="C312" s="20">
        <v>4</v>
      </c>
      <c r="D312" s="38" t="s">
        <v>390</v>
      </c>
      <c r="E312" s="54">
        <v>0</v>
      </c>
      <c r="F312" s="36">
        <v>12300</v>
      </c>
      <c r="G312" s="34">
        <v>0</v>
      </c>
      <c r="H312" s="47">
        <v>0</v>
      </c>
      <c r="I312" s="47">
        <v>0</v>
      </c>
      <c r="J312" s="47">
        <v>0</v>
      </c>
      <c r="K312" s="47">
        <v>0</v>
      </c>
    </row>
    <row r="313" spans="1:11" x14ac:dyDescent="0.25">
      <c r="A313" s="34">
        <v>1995</v>
      </c>
      <c r="B313" s="20" t="s">
        <v>32</v>
      </c>
      <c r="C313" s="20">
        <v>5</v>
      </c>
      <c r="D313" s="38" t="s">
        <v>434</v>
      </c>
      <c r="E313" s="54">
        <v>0</v>
      </c>
      <c r="F313" s="36">
        <v>12500</v>
      </c>
      <c r="G313" s="34">
        <v>0</v>
      </c>
      <c r="H313" s="47">
        <v>0</v>
      </c>
      <c r="I313" s="47">
        <v>0</v>
      </c>
      <c r="J313" s="47">
        <v>0</v>
      </c>
      <c r="K313" s="47">
        <v>0</v>
      </c>
    </row>
    <row r="314" spans="1:11" x14ac:dyDescent="0.25">
      <c r="A314" s="34">
        <v>1995</v>
      </c>
      <c r="B314" s="20" t="s">
        <v>32</v>
      </c>
      <c r="C314" s="20">
        <v>6</v>
      </c>
      <c r="D314" s="38" t="s">
        <v>387</v>
      </c>
      <c r="E314" s="54">
        <v>0</v>
      </c>
      <c r="F314" s="40">
        <v>12800</v>
      </c>
      <c r="G314" s="34">
        <v>0</v>
      </c>
      <c r="H314" s="47">
        <v>0</v>
      </c>
      <c r="I314" s="47">
        <v>0</v>
      </c>
      <c r="J314" s="47">
        <v>0</v>
      </c>
      <c r="K314" s="47">
        <v>0</v>
      </c>
    </row>
    <row r="315" spans="1:11" x14ac:dyDescent="0.25">
      <c r="A315" s="34">
        <v>1995</v>
      </c>
      <c r="B315" s="20" t="s">
        <v>32</v>
      </c>
      <c r="C315" s="20">
        <v>7</v>
      </c>
      <c r="D315" s="38" t="s">
        <v>507</v>
      </c>
      <c r="E315" s="54">
        <v>0</v>
      </c>
      <c r="F315" s="40">
        <v>12900</v>
      </c>
      <c r="G315" s="34">
        <v>0</v>
      </c>
      <c r="H315" s="47">
        <v>0</v>
      </c>
      <c r="I315" s="47">
        <v>0</v>
      </c>
      <c r="J315" s="47">
        <v>0</v>
      </c>
      <c r="K315" s="47">
        <v>0</v>
      </c>
    </row>
    <row r="316" spans="1:11" x14ac:dyDescent="0.25">
      <c r="A316" s="34">
        <v>1995</v>
      </c>
      <c r="B316" s="20" t="s">
        <v>32</v>
      </c>
      <c r="C316" s="20">
        <v>8</v>
      </c>
      <c r="D316" s="38" t="s">
        <v>386</v>
      </c>
      <c r="E316" s="54">
        <v>0</v>
      </c>
      <c r="F316" s="36">
        <v>13000</v>
      </c>
      <c r="G316" s="34">
        <v>0</v>
      </c>
      <c r="H316" s="47">
        <v>0</v>
      </c>
      <c r="I316" s="47">
        <v>0</v>
      </c>
      <c r="J316" s="47">
        <v>0</v>
      </c>
      <c r="K316" s="47">
        <v>0</v>
      </c>
    </row>
    <row r="317" spans="1:11" x14ac:dyDescent="0.25">
      <c r="A317" s="34">
        <v>1995</v>
      </c>
      <c r="B317" s="20" t="s">
        <v>32</v>
      </c>
      <c r="C317" s="20">
        <v>9</v>
      </c>
      <c r="D317" s="38" t="s">
        <v>386</v>
      </c>
      <c r="E317" s="54">
        <v>0</v>
      </c>
      <c r="F317" s="36">
        <v>13000</v>
      </c>
      <c r="G317" s="34">
        <v>0</v>
      </c>
      <c r="H317" s="47">
        <v>0</v>
      </c>
      <c r="I317" s="47">
        <v>0</v>
      </c>
      <c r="J317" s="47">
        <v>0</v>
      </c>
      <c r="K317" s="47">
        <v>0</v>
      </c>
    </row>
    <row r="318" spans="1:11" x14ac:dyDescent="0.25">
      <c r="A318" s="34">
        <v>1995</v>
      </c>
      <c r="B318" s="20" t="s">
        <v>32</v>
      </c>
      <c r="C318" s="20">
        <v>10</v>
      </c>
      <c r="D318" s="38" t="s">
        <v>386</v>
      </c>
      <c r="E318" s="54">
        <v>0</v>
      </c>
      <c r="F318" s="36">
        <v>13000</v>
      </c>
      <c r="G318" s="34">
        <v>0</v>
      </c>
      <c r="H318" s="47">
        <v>0</v>
      </c>
      <c r="I318" s="47">
        <v>0</v>
      </c>
      <c r="J318" s="47">
        <v>0</v>
      </c>
      <c r="K318" s="47">
        <v>0</v>
      </c>
    </row>
    <row r="319" spans="1:11" x14ac:dyDescent="0.25">
      <c r="A319" s="34">
        <v>1995</v>
      </c>
      <c r="B319" s="20" t="s">
        <v>32</v>
      </c>
      <c r="C319" s="20">
        <v>11</v>
      </c>
      <c r="D319" s="38" t="s">
        <v>524</v>
      </c>
      <c r="E319" s="54">
        <v>0</v>
      </c>
      <c r="F319" s="36">
        <v>13250</v>
      </c>
      <c r="G319" s="34">
        <v>0</v>
      </c>
      <c r="H319" s="47">
        <v>0</v>
      </c>
      <c r="I319" s="47">
        <v>0</v>
      </c>
      <c r="J319" s="47">
        <v>0</v>
      </c>
      <c r="K319" s="47">
        <v>0</v>
      </c>
    </row>
    <row r="320" spans="1:11" x14ac:dyDescent="0.25">
      <c r="A320" s="34">
        <v>1995</v>
      </c>
      <c r="B320" s="20" t="s">
        <v>32</v>
      </c>
      <c r="C320" s="20">
        <v>12</v>
      </c>
      <c r="D320" s="38" t="s">
        <v>385</v>
      </c>
      <c r="E320" s="54">
        <v>0</v>
      </c>
      <c r="F320" s="36">
        <v>13500</v>
      </c>
      <c r="G320" s="34">
        <v>0</v>
      </c>
      <c r="H320" s="47">
        <v>0</v>
      </c>
      <c r="I320" s="47">
        <v>0</v>
      </c>
      <c r="J320" s="47">
        <v>0</v>
      </c>
      <c r="K320" s="47">
        <v>0</v>
      </c>
    </row>
    <row r="321" spans="1:11" x14ac:dyDescent="0.25">
      <c r="A321" s="34">
        <v>1995</v>
      </c>
      <c r="B321" s="20" t="s">
        <v>32</v>
      </c>
      <c r="C321" s="20">
        <v>13</v>
      </c>
      <c r="D321" s="38" t="s">
        <v>384</v>
      </c>
      <c r="E321" s="54">
        <v>0</v>
      </c>
      <c r="F321" s="40">
        <v>13600</v>
      </c>
      <c r="G321" s="34">
        <v>0</v>
      </c>
      <c r="H321" s="47">
        <v>0</v>
      </c>
      <c r="I321" s="47">
        <v>0</v>
      </c>
      <c r="J321" s="47">
        <v>0</v>
      </c>
      <c r="K321" s="47">
        <v>0</v>
      </c>
    </row>
    <row r="322" spans="1:11" x14ac:dyDescent="0.25">
      <c r="A322" s="34">
        <v>1995</v>
      </c>
      <c r="B322" s="20" t="s">
        <v>32</v>
      </c>
      <c r="C322" s="20">
        <v>14</v>
      </c>
      <c r="D322" s="38" t="s">
        <v>384</v>
      </c>
      <c r="E322" s="54">
        <v>0</v>
      </c>
      <c r="F322" s="40">
        <v>13600</v>
      </c>
      <c r="G322" s="34">
        <v>0</v>
      </c>
      <c r="H322" s="47">
        <v>0</v>
      </c>
      <c r="I322" s="47">
        <v>0</v>
      </c>
      <c r="J322" s="47">
        <v>0</v>
      </c>
      <c r="K322" s="47">
        <v>0</v>
      </c>
    </row>
    <row r="323" spans="1:11" x14ac:dyDescent="0.25">
      <c r="A323" s="34">
        <v>1995</v>
      </c>
      <c r="B323" s="20" t="s">
        <v>32</v>
      </c>
      <c r="C323" s="20">
        <v>15</v>
      </c>
      <c r="D323" s="38" t="s">
        <v>384</v>
      </c>
      <c r="E323" s="54">
        <v>0</v>
      </c>
      <c r="F323" s="36">
        <v>13600</v>
      </c>
      <c r="G323" s="34">
        <v>0</v>
      </c>
      <c r="H323" s="47">
        <v>0</v>
      </c>
      <c r="I323" s="47">
        <v>0</v>
      </c>
      <c r="J323" s="47">
        <v>0</v>
      </c>
      <c r="K323" s="47">
        <v>0</v>
      </c>
    </row>
    <row r="324" spans="1:11" x14ac:dyDescent="0.25">
      <c r="A324" s="34">
        <v>1995</v>
      </c>
      <c r="B324" s="20" t="s">
        <v>32</v>
      </c>
      <c r="C324" s="20">
        <v>16</v>
      </c>
      <c r="D324" s="38" t="s">
        <v>385</v>
      </c>
      <c r="E324" s="54">
        <v>0</v>
      </c>
      <c r="F324" s="36">
        <v>13500</v>
      </c>
      <c r="G324" s="34">
        <v>0</v>
      </c>
      <c r="H324" s="47">
        <v>0</v>
      </c>
      <c r="I324" s="47">
        <v>0</v>
      </c>
      <c r="J324" s="47">
        <v>0</v>
      </c>
      <c r="K324" s="47">
        <v>0</v>
      </c>
    </row>
    <row r="325" spans="1:11" x14ac:dyDescent="0.25">
      <c r="A325" s="34">
        <v>1995</v>
      </c>
      <c r="B325" s="20" t="s">
        <v>32</v>
      </c>
      <c r="C325" s="20">
        <v>17</v>
      </c>
      <c r="D325" s="38" t="s">
        <v>524</v>
      </c>
      <c r="E325" s="54">
        <v>0</v>
      </c>
      <c r="F325" s="36">
        <v>13250</v>
      </c>
      <c r="G325" s="34">
        <v>0</v>
      </c>
      <c r="H325" s="47" t="s">
        <v>1008</v>
      </c>
      <c r="I325" s="47">
        <v>0</v>
      </c>
      <c r="J325" s="47" t="s">
        <v>768</v>
      </c>
      <c r="K325" s="47">
        <v>0</v>
      </c>
    </row>
    <row r="326" spans="1:11" x14ac:dyDescent="0.25">
      <c r="A326" s="34">
        <v>1995</v>
      </c>
      <c r="B326" s="20" t="s">
        <v>32</v>
      </c>
      <c r="C326" s="20">
        <v>18</v>
      </c>
      <c r="D326" s="38" t="s">
        <v>386</v>
      </c>
      <c r="E326" s="54">
        <v>0</v>
      </c>
      <c r="F326" s="36">
        <v>13000</v>
      </c>
      <c r="G326" s="34">
        <v>0</v>
      </c>
      <c r="H326" s="47" t="s">
        <v>1008</v>
      </c>
      <c r="I326" s="47">
        <v>0</v>
      </c>
      <c r="J326" s="47" t="s">
        <v>981</v>
      </c>
      <c r="K326" s="47">
        <v>0</v>
      </c>
    </row>
    <row r="327" spans="1:11" x14ac:dyDescent="0.25">
      <c r="A327" s="34">
        <v>1995</v>
      </c>
      <c r="B327" s="20" t="s">
        <v>32</v>
      </c>
      <c r="C327" s="20">
        <v>19</v>
      </c>
      <c r="D327" s="38" t="s">
        <v>507</v>
      </c>
      <c r="E327" s="54">
        <v>0</v>
      </c>
      <c r="F327" s="36">
        <v>12900</v>
      </c>
      <c r="G327" s="34">
        <v>0</v>
      </c>
      <c r="H327" s="47" t="s">
        <v>1009</v>
      </c>
      <c r="I327" s="47">
        <v>0</v>
      </c>
      <c r="J327" s="47" t="s">
        <v>981</v>
      </c>
      <c r="K327" s="47">
        <v>0</v>
      </c>
    </row>
    <row r="328" spans="1:11" x14ac:dyDescent="0.25">
      <c r="A328" s="34">
        <v>1995</v>
      </c>
      <c r="B328" s="20" t="s">
        <v>32</v>
      </c>
      <c r="C328" s="20">
        <v>20</v>
      </c>
      <c r="D328" s="38" t="s">
        <v>387</v>
      </c>
      <c r="E328" s="54">
        <v>0</v>
      </c>
      <c r="F328" s="36">
        <v>12800</v>
      </c>
      <c r="G328" s="34">
        <v>0</v>
      </c>
      <c r="H328" s="47" t="s">
        <v>1009</v>
      </c>
      <c r="I328" s="47">
        <v>0</v>
      </c>
      <c r="J328" s="47" t="s">
        <v>981</v>
      </c>
      <c r="K328" s="47">
        <v>0</v>
      </c>
    </row>
    <row r="329" spans="1:11" x14ac:dyDescent="0.25">
      <c r="A329" s="34">
        <v>1995</v>
      </c>
      <c r="B329" s="20" t="s">
        <v>32</v>
      </c>
      <c r="C329" s="20">
        <v>21</v>
      </c>
      <c r="D329" s="38" t="s">
        <v>525</v>
      </c>
      <c r="E329" s="54">
        <v>0</v>
      </c>
      <c r="F329" s="36">
        <v>12600</v>
      </c>
      <c r="G329" s="34">
        <v>0</v>
      </c>
      <c r="H329" s="47" t="s">
        <v>1009</v>
      </c>
      <c r="I329" s="47">
        <v>0</v>
      </c>
      <c r="J329" s="47" t="s">
        <v>1011</v>
      </c>
      <c r="K329" s="47">
        <v>0</v>
      </c>
    </row>
    <row r="330" spans="1:11" x14ac:dyDescent="0.25">
      <c r="A330" s="34">
        <v>1995</v>
      </c>
      <c r="B330" s="20" t="s">
        <v>32</v>
      </c>
      <c r="C330" s="20">
        <v>22</v>
      </c>
      <c r="D330" s="38" t="s">
        <v>526</v>
      </c>
      <c r="E330" s="54">
        <v>0</v>
      </c>
      <c r="F330" s="36">
        <v>12400</v>
      </c>
      <c r="G330" s="34">
        <v>0</v>
      </c>
      <c r="H330" s="47" t="s">
        <v>1009</v>
      </c>
      <c r="I330" s="47">
        <v>0</v>
      </c>
      <c r="J330" s="47" t="s">
        <v>1011</v>
      </c>
      <c r="K330" s="47">
        <v>0</v>
      </c>
    </row>
    <row r="331" spans="1:11" x14ac:dyDescent="0.25">
      <c r="A331" s="34">
        <v>1995</v>
      </c>
      <c r="B331" s="20" t="s">
        <v>32</v>
      </c>
      <c r="C331" s="20">
        <v>23</v>
      </c>
      <c r="D331" s="38" t="s">
        <v>390</v>
      </c>
      <c r="E331" s="54">
        <v>0</v>
      </c>
      <c r="F331" s="36">
        <v>2300</v>
      </c>
      <c r="G331" s="34">
        <v>0</v>
      </c>
      <c r="H331" s="47" t="s">
        <v>1010</v>
      </c>
      <c r="I331" s="47">
        <v>0</v>
      </c>
      <c r="J331" s="47" t="s">
        <v>1011</v>
      </c>
      <c r="K331" s="47">
        <v>0</v>
      </c>
    </row>
    <row r="332" spans="1:11" x14ac:dyDescent="0.25">
      <c r="A332" s="34">
        <v>1995</v>
      </c>
      <c r="B332" s="20" t="s">
        <v>32</v>
      </c>
      <c r="C332" s="20">
        <v>24</v>
      </c>
      <c r="D332" s="38" t="s">
        <v>332</v>
      </c>
      <c r="E332" s="54">
        <v>0</v>
      </c>
      <c r="F332" s="36">
        <v>12200</v>
      </c>
      <c r="G332" s="34">
        <v>0</v>
      </c>
      <c r="H332" s="47" t="s">
        <v>1010</v>
      </c>
      <c r="I332" s="47">
        <v>0</v>
      </c>
      <c r="J332" s="47" t="s">
        <v>1011</v>
      </c>
      <c r="K332" s="47">
        <v>0</v>
      </c>
    </row>
    <row r="333" spans="1:11" x14ac:dyDescent="0.25">
      <c r="A333" s="34">
        <v>1995</v>
      </c>
      <c r="B333" s="20" t="s">
        <v>32</v>
      </c>
      <c r="C333" s="20">
        <v>25</v>
      </c>
      <c r="D333" s="38" t="s">
        <v>17</v>
      </c>
      <c r="E333" s="54">
        <v>0</v>
      </c>
      <c r="F333" s="36">
        <v>11600</v>
      </c>
      <c r="G333" s="34">
        <v>0</v>
      </c>
      <c r="H333" s="47" t="s">
        <v>1010</v>
      </c>
      <c r="I333" s="47">
        <v>0</v>
      </c>
      <c r="J333" s="47" t="s">
        <v>1011</v>
      </c>
      <c r="K333" s="47">
        <v>0</v>
      </c>
    </row>
    <row r="334" spans="1:11" x14ac:dyDescent="0.25">
      <c r="A334" s="34">
        <v>1995</v>
      </c>
      <c r="B334" s="20" t="s">
        <v>32</v>
      </c>
      <c r="C334" s="20">
        <v>26</v>
      </c>
      <c r="D334" s="38" t="s">
        <v>20</v>
      </c>
      <c r="E334" s="54">
        <v>0</v>
      </c>
      <c r="F334" s="36">
        <v>11440</v>
      </c>
      <c r="G334" s="34">
        <v>0</v>
      </c>
      <c r="H334" s="47" t="s">
        <v>1010</v>
      </c>
      <c r="I334" s="47">
        <v>0</v>
      </c>
      <c r="J334" s="47" t="s">
        <v>1011</v>
      </c>
      <c r="K334" s="47">
        <v>0</v>
      </c>
    </row>
    <row r="335" spans="1:11" x14ac:dyDescent="0.25">
      <c r="A335" s="34">
        <v>1995</v>
      </c>
      <c r="B335" s="20" t="s">
        <v>32</v>
      </c>
      <c r="C335" s="20">
        <v>27</v>
      </c>
      <c r="D335" s="38" t="s">
        <v>36</v>
      </c>
      <c r="E335" s="54">
        <v>0</v>
      </c>
      <c r="F335" s="36">
        <v>11200</v>
      </c>
      <c r="G335" s="34">
        <v>0</v>
      </c>
      <c r="H335" s="47" t="s">
        <v>790</v>
      </c>
      <c r="I335" s="47">
        <v>0</v>
      </c>
      <c r="J335" s="47" t="s">
        <v>1011</v>
      </c>
      <c r="K335" s="47">
        <v>0</v>
      </c>
    </row>
    <row r="336" spans="1:11" x14ac:dyDescent="0.25">
      <c r="A336" s="34">
        <v>1995</v>
      </c>
      <c r="B336" s="20" t="s">
        <v>32</v>
      </c>
      <c r="C336" s="20">
        <v>28</v>
      </c>
      <c r="D336" s="38" t="s">
        <v>508</v>
      </c>
      <c r="E336" s="54">
        <v>0</v>
      </c>
      <c r="F336" s="36">
        <v>10800</v>
      </c>
      <c r="G336" s="34">
        <v>0</v>
      </c>
      <c r="H336" s="47" t="s">
        <v>790</v>
      </c>
      <c r="I336" s="47">
        <v>0</v>
      </c>
      <c r="J336" s="47" t="s">
        <v>1011</v>
      </c>
      <c r="K336" s="47">
        <v>0</v>
      </c>
    </row>
    <row r="337" spans="1:11" x14ac:dyDescent="0.25">
      <c r="A337" s="34">
        <v>1995</v>
      </c>
      <c r="B337" s="20" t="s">
        <v>32</v>
      </c>
      <c r="C337" s="20">
        <v>29</v>
      </c>
      <c r="D337" s="38" t="s">
        <v>45</v>
      </c>
      <c r="E337" s="54">
        <v>0</v>
      </c>
      <c r="F337" s="40">
        <v>10600</v>
      </c>
      <c r="G337" s="34">
        <v>0</v>
      </c>
      <c r="H337" s="47" t="s">
        <v>790</v>
      </c>
      <c r="I337" s="47">
        <v>0</v>
      </c>
      <c r="J337" s="47" t="s">
        <v>1012</v>
      </c>
      <c r="K337" s="47">
        <v>0</v>
      </c>
    </row>
    <row r="338" spans="1:11" x14ac:dyDescent="0.25">
      <c r="A338" s="34">
        <v>1995</v>
      </c>
      <c r="B338" s="20" t="s">
        <v>32</v>
      </c>
      <c r="C338" s="20">
        <v>30</v>
      </c>
      <c r="D338" s="38" t="s">
        <v>49</v>
      </c>
      <c r="E338" s="54">
        <v>0</v>
      </c>
      <c r="F338" s="40">
        <v>10300</v>
      </c>
      <c r="G338" s="34">
        <v>0</v>
      </c>
      <c r="H338" s="47" t="s">
        <v>790</v>
      </c>
      <c r="I338" s="47">
        <v>0</v>
      </c>
      <c r="J338" s="47" t="s">
        <v>1012</v>
      </c>
      <c r="K338" s="47">
        <v>0</v>
      </c>
    </row>
    <row r="339" spans="1:11" x14ac:dyDescent="0.25">
      <c r="A339" s="34">
        <v>1995</v>
      </c>
      <c r="B339" s="20" t="s">
        <v>33</v>
      </c>
      <c r="C339" s="20">
        <v>1</v>
      </c>
      <c r="D339" s="38" t="s">
        <v>51</v>
      </c>
      <c r="E339" s="54">
        <v>0</v>
      </c>
      <c r="F339" s="40">
        <v>10100</v>
      </c>
      <c r="G339" s="34">
        <v>0</v>
      </c>
      <c r="H339" s="47" t="s">
        <v>788</v>
      </c>
      <c r="I339" s="47">
        <v>0</v>
      </c>
      <c r="J339" s="47" t="s">
        <v>1012</v>
      </c>
      <c r="K339" s="47">
        <v>0</v>
      </c>
    </row>
    <row r="340" spans="1:11" x14ac:dyDescent="0.25">
      <c r="A340" s="34">
        <v>1995</v>
      </c>
      <c r="B340" s="20" t="s">
        <v>33</v>
      </c>
      <c r="C340" s="20">
        <v>2</v>
      </c>
      <c r="D340" s="38" t="s">
        <v>56</v>
      </c>
      <c r="E340" s="54">
        <v>0</v>
      </c>
      <c r="F340" s="40">
        <v>9900</v>
      </c>
      <c r="G340" s="34">
        <v>0</v>
      </c>
      <c r="H340" s="47" t="s">
        <v>788</v>
      </c>
      <c r="I340" s="47">
        <v>0</v>
      </c>
      <c r="J340" s="47" t="s">
        <v>827</v>
      </c>
      <c r="K340" s="47">
        <v>0</v>
      </c>
    </row>
    <row r="341" spans="1:11" x14ac:dyDescent="0.25">
      <c r="A341" s="34">
        <v>1995</v>
      </c>
      <c r="B341" s="20" t="s">
        <v>33</v>
      </c>
      <c r="C341" s="20">
        <v>3</v>
      </c>
      <c r="D341" s="38" t="s">
        <v>60</v>
      </c>
      <c r="E341" s="54">
        <v>0</v>
      </c>
      <c r="F341" s="40">
        <v>9700</v>
      </c>
      <c r="G341" s="34">
        <v>0</v>
      </c>
      <c r="H341" s="47" t="s">
        <v>788</v>
      </c>
      <c r="I341" s="47">
        <v>0</v>
      </c>
      <c r="J341" s="47" t="s">
        <v>827</v>
      </c>
      <c r="K341" s="47">
        <v>0</v>
      </c>
    </row>
    <row r="342" spans="1:11" x14ac:dyDescent="0.25">
      <c r="A342" s="34">
        <v>1995</v>
      </c>
      <c r="B342" s="20" t="s">
        <v>33</v>
      </c>
      <c r="C342" s="20">
        <v>4</v>
      </c>
      <c r="D342" s="38" t="s">
        <v>64</v>
      </c>
      <c r="E342" s="54">
        <v>0</v>
      </c>
      <c r="F342" s="40">
        <v>9500</v>
      </c>
      <c r="G342" s="34">
        <v>0</v>
      </c>
      <c r="H342" s="47" t="s">
        <v>1013</v>
      </c>
      <c r="I342" s="47">
        <v>0</v>
      </c>
      <c r="J342" s="47" t="s">
        <v>827</v>
      </c>
      <c r="K342" s="47">
        <v>0</v>
      </c>
    </row>
    <row r="343" spans="1:11" x14ac:dyDescent="0.25">
      <c r="A343" s="34">
        <v>1995</v>
      </c>
      <c r="B343" s="20" t="s">
        <v>33</v>
      </c>
      <c r="C343" s="20">
        <v>5</v>
      </c>
      <c r="D343" s="38" t="s">
        <v>68</v>
      </c>
      <c r="E343" s="54">
        <v>0</v>
      </c>
      <c r="F343" s="40">
        <v>9400</v>
      </c>
      <c r="G343" s="34">
        <v>0</v>
      </c>
      <c r="H343" s="47" t="s">
        <v>1013</v>
      </c>
      <c r="I343" s="47">
        <v>0</v>
      </c>
      <c r="J343" s="47" t="s">
        <v>827</v>
      </c>
      <c r="K343" s="47">
        <v>0</v>
      </c>
    </row>
    <row r="344" spans="1:11" x14ac:dyDescent="0.25">
      <c r="A344" s="34">
        <v>1995</v>
      </c>
      <c r="B344" s="20" t="s">
        <v>33</v>
      </c>
      <c r="C344" s="20">
        <v>6</v>
      </c>
      <c r="D344" s="38" t="s">
        <v>70</v>
      </c>
      <c r="E344" s="54">
        <v>0</v>
      </c>
      <c r="F344" s="40">
        <v>9300</v>
      </c>
      <c r="G344" s="34">
        <v>0</v>
      </c>
      <c r="H344" s="47" t="s">
        <v>736</v>
      </c>
      <c r="I344" s="47">
        <v>0</v>
      </c>
      <c r="J344" s="47" t="s">
        <v>827</v>
      </c>
      <c r="K344" s="47">
        <v>0</v>
      </c>
    </row>
    <row r="345" spans="1:11" x14ac:dyDescent="0.25">
      <c r="A345" s="34">
        <v>1995</v>
      </c>
      <c r="B345" s="20" t="s">
        <v>33</v>
      </c>
      <c r="C345" s="20">
        <v>7</v>
      </c>
      <c r="D345" s="38" t="s">
        <v>76</v>
      </c>
      <c r="E345" s="54">
        <v>0</v>
      </c>
      <c r="F345" s="40">
        <v>9100</v>
      </c>
      <c r="G345" s="34">
        <v>0</v>
      </c>
      <c r="H345" s="47" t="s">
        <v>1014</v>
      </c>
      <c r="I345" s="47">
        <v>0</v>
      </c>
      <c r="J345" s="47" t="s">
        <v>981</v>
      </c>
      <c r="K345" s="47">
        <v>0</v>
      </c>
    </row>
    <row r="346" spans="1:11" x14ac:dyDescent="0.25">
      <c r="A346" s="34">
        <v>1995</v>
      </c>
      <c r="B346" s="20" t="s">
        <v>33</v>
      </c>
      <c r="C346" s="20">
        <v>8</v>
      </c>
      <c r="D346" s="38" t="s">
        <v>5</v>
      </c>
      <c r="E346" s="54">
        <v>0</v>
      </c>
      <c r="F346" s="40">
        <v>8900</v>
      </c>
      <c r="G346" s="34">
        <v>0</v>
      </c>
      <c r="H346" s="47" t="s">
        <v>1014</v>
      </c>
      <c r="I346" s="47">
        <v>0</v>
      </c>
      <c r="J346" s="47" t="s">
        <v>981</v>
      </c>
      <c r="K346" s="47">
        <v>0</v>
      </c>
    </row>
    <row r="347" spans="1:11" x14ac:dyDescent="0.25">
      <c r="A347" s="34">
        <v>1995</v>
      </c>
      <c r="B347" s="20" t="s">
        <v>33</v>
      </c>
      <c r="C347" s="20">
        <v>9</v>
      </c>
      <c r="D347" s="38" t="s">
        <v>326</v>
      </c>
      <c r="E347" s="54">
        <v>0</v>
      </c>
      <c r="F347" s="40">
        <v>8700</v>
      </c>
      <c r="G347" s="34">
        <v>0</v>
      </c>
      <c r="H347" s="47" t="s">
        <v>1014</v>
      </c>
      <c r="I347" s="47">
        <v>0</v>
      </c>
      <c r="J347" s="47" t="s">
        <v>981</v>
      </c>
      <c r="K347" s="47">
        <v>0</v>
      </c>
    </row>
    <row r="348" spans="1:11" x14ac:dyDescent="0.25">
      <c r="A348" s="34">
        <v>1995</v>
      </c>
      <c r="B348" s="20" t="s">
        <v>33</v>
      </c>
      <c r="C348" s="20">
        <v>10</v>
      </c>
      <c r="D348" s="38" t="s">
        <v>325</v>
      </c>
      <c r="E348" s="54">
        <v>0</v>
      </c>
      <c r="F348" s="40">
        <v>8500</v>
      </c>
      <c r="G348" s="34">
        <v>0</v>
      </c>
      <c r="H348" s="47" t="s">
        <v>1014</v>
      </c>
      <c r="I348" s="47">
        <v>0</v>
      </c>
      <c r="J348" s="47" t="s">
        <v>736</v>
      </c>
      <c r="K348" s="47">
        <v>0</v>
      </c>
    </row>
    <row r="349" spans="1:11" x14ac:dyDescent="0.25">
      <c r="A349" s="34">
        <v>1995</v>
      </c>
      <c r="B349" s="20" t="s">
        <v>33</v>
      </c>
      <c r="C349" s="20">
        <v>11</v>
      </c>
      <c r="D349" s="38" t="s">
        <v>86</v>
      </c>
      <c r="E349" s="54">
        <v>0</v>
      </c>
      <c r="F349" s="40">
        <v>8400</v>
      </c>
      <c r="G349" s="34">
        <v>0</v>
      </c>
      <c r="H349" s="47" t="s">
        <v>1014</v>
      </c>
      <c r="I349" s="47">
        <v>0</v>
      </c>
      <c r="J349" s="47" t="s">
        <v>736</v>
      </c>
      <c r="K349" s="47">
        <v>0</v>
      </c>
    </row>
    <row r="350" spans="1:11" x14ac:dyDescent="0.25">
      <c r="A350" s="34">
        <v>1995</v>
      </c>
      <c r="B350" s="20" t="s">
        <v>33</v>
      </c>
      <c r="C350" s="20">
        <v>12</v>
      </c>
      <c r="D350" s="38" t="s">
        <v>88</v>
      </c>
      <c r="E350" s="54">
        <v>0</v>
      </c>
      <c r="F350" s="40">
        <v>8300</v>
      </c>
      <c r="G350" s="34">
        <v>0</v>
      </c>
      <c r="H350" s="47" t="s">
        <v>736</v>
      </c>
      <c r="I350" s="47">
        <v>0</v>
      </c>
      <c r="J350" s="47" t="s">
        <v>736</v>
      </c>
      <c r="K350" s="47">
        <v>0</v>
      </c>
    </row>
    <row r="351" spans="1:11" x14ac:dyDescent="0.25">
      <c r="A351" s="34">
        <v>1995</v>
      </c>
      <c r="B351" s="20" t="s">
        <v>33</v>
      </c>
      <c r="C351" s="20">
        <v>13</v>
      </c>
      <c r="D351" s="38" t="s">
        <v>90</v>
      </c>
      <c r="E351" s="54">
        <v>0</v>
      </c>
      <c r="F351" s="36">
        <v>8250</v>
      </c>
      <c r="G351" s="34">
        <v>0</v>
      </c>
      <c r="H351" s="47" t="s">
        <v>736</v>
      </c>
      <c r="I351" s="47">
        <v>0</v>
      </c>
      <c r="J351" s="47" t="s">
        <v>827</v>
      </c>
      <c r="K351" s="47">
        <v>0</v>
      </c>
    </row>
    <row r="352" spans="1:11" x14ac:dyDescent="0.25">
      <c r="A352" s="34">
        <v>1995</v>
      </c>
      <c r="B352" s="20" t="s">
        <v>33</v>
      </c>
      <c r="C352" s="20">
        <v>14</v>
      </c>
      <c r="D352" s="38" t="s">
        <v>92</v>
      </c>
      <c r="E352" s="54">
        <v>0</v>
      </c>
      <c r="F352" s="36">
        <v>8200</v>
      </c>
      <c r="G352" s="34">
        <v>0</v>
      </c>
      <c r="H352" s="47" t="s">
        <v>736</v>
      </c>
      <c r="I352" s="47">
        <v>0</v>
      </c>
      <c r="J352" s="47" t="s">
        <v>827</v>
      </c>
      <c r="K352" s="47">
        <v>0</v>
      </c>
    </row>
    <row r="353" spans="1:11" x14ac:dyDescent="0.25">
      <c r="A353" s="34">
        <v>1995</v>
      </c>
      <c r="B353" s="20" t="s">
        <v>33</v>
      </c>
      <c r="C353" s="20">
        <v>15</v>
      </c>
      <c r="D353" s="38" t="s">
        <v>94</v>
      </c>
      <c r="E353" s="54">
        <v>0</v>
      </c>
      <c r="F353" s="36">
        <v>8100</v>
      </c>
      <c r="G353" s="34">
        <v>0</v>
      </c>
      <c r="H353" s="47" t="s">
        <v>736</v>
      </c>
      <c r="I353" s="47">
        <v>0</v>
      </c>
      <c r="J353" s="47" t="s">
        <v>827</v>
      </c>
      <c r="K353" s="47">
        <v>0</v>
      </c>
    </row>
    <row r="354" spans="1:11" x14ac:dyDescent="0.25">
      <c r="A354" s="34">
        <v>1995</v>
      </c>
      <c r="B354" s="20" t="s">
        <v>33</v>
      </c>
      <c r="C354" s="20">
        <v>16</v>
      </c>
      <c r="D354" s="38" t="s">
        <v>98</v>
      </c>
      <c r="E354" s="54">
        <v>0</v>
      </c>
      <c r="F354" s="36">
        <v>7900</v>
      </c>
      <c r="G354" s="34">
        <v>0</v>
      </c>
      <c r="H354" s="47" t="s">
        <v>1014</v>
      </c>
      <c r="I354" s="47">
        <v>0</v>
      </c>
      <c r="J354" s="47" t="s">
        <v>827</v>
      </c>
      <c r="K354" s="47">
        <v>0</v>
      </c>
    </row>
    <row r="355" spans="1:11" x14ac:dyDescent="0.25">
      <c r="A355" s="34">
        <v>1995</v>
      </c>
      <c r="B355" s="20" t="s">
        <v>33</v>
      </c>
      <c r="C355" s="20">
        <v>17</v>
      </c>
      <c r="D355" s="38" t="s">
        <v>100</v>
      </c>
      <c r="E355" s="54">
        <v>0</v>
      </c>
      <c r="F355" s="36">
        <v>7700</v>
      </c>
      <c r="G355" s="34">
        <v>0</v>
      </c>
      <c r="H355" s="47" t="s">
        <v>1014</v>
      </c>
      <c r="I355" s="47">
        <v>0</v>
      </c>
      <c r="J355" s="47" t="s">
        <v>827</v>
      </c>
      <c r="K355" s="47">
        <v>0</v>
      </c>
    </row>
    <row r="356" spans="1:11" x14ac:dyDescent="0.25">
      <c r="A356" s="34">
        <v>1995</v>
      </c>
      <c r="B356" s="20" t="s">
        <v>33</v>
      </c>
      <c r="C356" s="20">
        <v>18</v>
      </c>
      <c r="D356" s="38" t="s">
        <v>112</v>
      </c>
      <c r="E356" s="54">
        <v>0</v>
      </c>
      <c r="F356" s="36">
        <v>7500</v>
      </c>
      <c r="G356" s="34">
        <v>0</v>
      </c>
      <c r="H356" s="47" t="s">
        <v>1014</v>
      </c>
      <c r="I356" s="47">
        <v>0</v>
      </c>
      <c r="J356" s="47" t="s">
        <v>771</v>
      </c>
      <c r="K356" s="47">
        <v>0</v>
      </c>
    </row>
    <row r="357" spans="1:11" x14ac:dyDescent="0.25">
      <c r="A357" s="34">
        <v>1995</v>
      </c>
      <c r="B357" s="20" t="s">
        <v>33</v>
      </c>
      <c r="C357" s="20">
        <v>19</v>
      </c>
      <c r="D357" s="38" t="s">
        <v>3</v>
      </c>
      <c r="E357" s="54">
        <v>0</v>
      </c>
      <c r="F357" s="40">
        <v>7400</v>
      </c>
      <c r="G357" s="34">
        <v>0</v>
      </c>
      <c r="H357" s="47" t="s">
        <v>1015</v>
      </c>
      <c r="I357" s="47">
        <v>0</v>
      </c>
      <c r="J357" s="47" t="s">
        <v>771</v>
      </c>
      <c r="K357" s="47">
        <v>0</v>
      </c>
    </row>
    <row r="358" spans="1:11" x14ac:dyDescent="0.25">
      <c r="A358" s="34">
        <v>1995</v>
      </c>
      <c r="B358" s="20" t="s">
        <v>33</v>
      </c>
      <c r="C358" s="20">
        <v>20</v>
      </c>
      <c r="D358" s="38" t="s">
        <v>1</v>
      </c>
      <c r="E358" s="54">
        <v>0</v>
      </c>
      <c r="F358" s="40">
        <v>7300</v>
      </c>
      <c r="G358" s="34">
        <v>0</v>
      </c>
      <c r="H358" s="47" t="s">
        <v>926</v>
      </c>
      <c r="I358" s="47">
        <v>0</v>
      </c>
      <c r="J358" s="47" t="s">
        <v>736</v>
      </c>
      <c r="K358" s="47">
        <v>0</v>
      </c>
    </row>
    <row r="359" spans="1:11" x14ac:dyDescent="0.25">
      <c r="A359" s="34">
        <v>1995</v>
      </c>
      <c r="B359" s="20" t="s">
        <v>33</v>
      </c>
      <c r="C359" s="20">
        <v>21</v>
      </c>
      <c r="D359" s="38" t="s">
        <v>1</v>
      </c>
      <c r="E359" s="54">
        <v>0</v>
      </c>
      <c r="F359" s="40">
        <v>7300</v>
      </c>
      <c r="G359" s="34">
        <v>0</v>
      </c>
      <c r="H359" s="47" t="s">
        <v>736</v>
      </c>
      <c r="I359" s="47">
        <v>0</v>
      </c>
      <c r="J359" s="47" t="s">
        <v>736</v>
      </c>
      <c r="K359" s="47">
        <v>0</v>
      </c>
    </row>
    <row r="360" spans="1:11" x14ac:dyDescent="0.25">
      <c r="A360" s="34">
        <v>1995</v>
      </c>
      <c r="B360" s="20" t="s">
        <v>33</v>
      </c>
      <c r="C360" s="20">
        <v>22</v>
      </c>
      <c r="D360" s="38" t="s">
        <v>1</v>
      </c>
      <c r="E360" s="54">
        <v>0</v>
      </c>
      <c r="F360" s="40">
        <v>7300</v>
      </c>
      <c r="G360" s="34">
        <v>0</v>
      </c>
      <c r="H360" s="47" t="s">
        <v>736</v>
      </c>
      <c r="I360" s="47">
        <v>0</v>
      </c>
      <c r="J360" s="47" t="s">
        <v>736</v>
      </c>
      <c r="K360" s="47">
        <v>0</v>
      </c>
    </row>
    <row r="361" spans="1:11" x14ac:dyDescent="0.25">
      <c r="A361" s="34">
        <v>1995</v>
      </c>
      <c r="B361" s="20" t="s">
        <v>33</v>
      </c>
      <c r="C361" s="20">
        <v>23</v>
      </c>
      <c r="D361" s="38" t="s">
        <v>1</v>
      </c>
      <c r="E361" s="54">
        <v>0</v>
      </c>
      <c r="F361" s="40">
        <v>7300</v>
      </c>
      <c r="G361" s="34">
        <v>0</v>
      </c>
      <c r="H361" s="47" t="s">
        <v>736</v>
      </c>
      <c r="I361" s="47">
        <v>0</v>
      </c>
      <c r="J361" s="47" t="s">
        <v>736</v>
      </c>
      <c r="K361" s="47">
        <v>0</v>
      </c>
    </row>
    <row r="362" spans="1:11" x14ac:dyDescent="0.25">
      <c r="A362" s="34">
        <v>1995</v>
      </c>
      <c r="B362" s="20" t="s">
        <v>33</v>
      </c>
      <c r="C362" s="20">
        <v>24</v>
      </c>
      <c r="D362" s="38" t="s">
        <v>1</v>
      </c>
      <c r="E362" s="54">
        <v>0</v>
      </c>
      <c r="F362" s="40">
        <v>7300</v>
      </c>
      <c r="G362" s="34">
        <v>0</v>
      </c>
      <c r="H362" s="47" t="s">
        <v>736</v>
      </c>
      <c r="I362" s="47">
        <v>0</v>
      </c>
      <c r="J362" s="47" t="s">
        <v>736</v>
      </c>
      <c r="K362" s="47">
        <v>0</v>
      </c>
    </row>
    <row r="363" spans="1:11" x14ac:dyDescent="0.25">
      <c r="A363" s="34">
        <v>1995</v>
      </c>
      <c r="B363" s="20" t="s">
        <v>33</v>
      </c>
      <c r="C363" s="20">
        <v>25</v>
      </c>
      <c r="D363" s="38" t="s">
        <v>1</v>
      </c>
      <c r="E363" s="54">
        <v>0</v>
      </c>
      <c r="F363" s="40">
        <v>7300</v>
      </c>
      <c r="G363" s="34">
        <v>0</v>
      </c>
      <c r="H363" s="47" t="s">
        <v>736</v>
      </c>
      <c r="I363" s="47">
        <v>0</v>
      </c>
      <c r="J363" s="47" t="s">
        <v>736</v>
      </c>
      <c r="K363" s="47">
        <v>0</v>
      </c>
    </row>
    <row r="364" spans="1:11" x14ac:dyDescent="0.25">
      <c r="A364" s="34">
        <v>1995</v>
      </c>
      <c r="B364" s="20" t="s">
        <v>33</v>
      </c>
      <c r="C364" s="20">
        <v>26</v>
      </c>
      <c r="D364" s="38" t="s">
        <v>1</v>
      </c>
      <c r="E364" s="54">
        <v>0</v>
      </c>
      <c r="F364" s="40">
        <v>7300</v>
      </c>
      <c r="G364" s="34">
        <v>0</v>
      </c>
      <c r="H364" s="47" t="s">
        <v>925</v>
      </c>
      <c r="I364" s="47">
        <v>0</v>
      </c>
      <c r="J364" s="47" t="s">
        <v>1016</v>
      </c>
      <c r="K364" s="47">
        <v>0</v>
      </c>
    </row>
    <row r="365" spans="1:11" x14ac:dyDescent="0.25">
      <c r="A365" s="34">
        <v>1995</v>
      </c>
      <c r="B365" s="20" t="s">
        <v>33</v>
      </c>
      <c r="C365" s="20">
        <v>27</v>
      </c>
      <c r="D365" s="38" t="s">
        <v>110</v>
      </c>
      <c r="E365" s="54">
        <v>0</v>
      </c>
      <c r="F365" s="36">
        <v>7100</v>
      </c>
      <c r="G365" s="34">
        <v>0</v>
      </c>
      <c r="H365" s="47" t="s">
        <v>1015</v>
      </c>
      <c r="I365" s="47">
        <v>0</v>
      </c>
      <c r="J365" s="47" t="s">
        <v>771</v>
      </c>
      <c r="K365" s="47">
        <v>0</v>
      </c>
    </row>
    <row r="366" spans="1:11" x14ac:dyDescent="0.25">
      <c r="A366" s="34">
        <v>1995</v>
      </c>
      <c r="B366" s="20" t="s">
        <v>33</v>
      </c>
      <c r="C366" s="20">
        <v>28</v>
      </c>
      <c r="D366" s="38" t="s">
        <v>118</v>
      </c>
      <c r="E366" s="54">
        <v>0</v>
      </c>
      <c r="F366" s="40">
        <v>6950</v>
      </c>
      <c r="G366" s="34">
        <v>0</v>
      </c>
      <c r="H366" s="47" t="s">
        <v>736</v>
      </c>
      <c r="I366" s="47">
        <v>0</v>
      </c>
      <c r="J366" s="47" t="s">
        <v>768</v>
      </c>
      <c r="K366" s="47">
        <v>0</v>
      </c>
    </row>
    <row r="367" spans="1:11" x14ac:dyDescent="0.25">
      <c r="A367" s="34">
        <v>1995</v>
      </c>
      <c r="B367" s="20" t="s">
        <v>33</v>
      </c>
      <c r="C367" s="20">
        <v>29</v>
      </c>
      <c r="D367" s="38" t="s">
        <v>194</v>
      </c>
      <c r="E367" s="54">
        <v>0</v>
      </c>
      <c r="F367" s="40">
        <v>6800</v>
      </c>
      <c r="G367" s="34">
        <v>0</v>
      </c>
      <c r="H367" s="47" t="s">
        <v>736</v>
      </c>
      <c r="I367" s="47">
        <v>0</v>
      </c>
      <c r="J367" s="47" t="s">
        <v>768</v>
      </c>
      <c r="K367" s="47">
        <v>0</v>
      </c>
    </row>
    <row r="368" spans="1:11" x14ac:dyDescent="0.25">
      <c r="A368" s="34">
        <v>1995</v>
      </c>
      <c r="B368" s="20" t="s">
        <v>33</v>
      </c>
      <c r="C368" s="20">
        <v>30</v>
      </c>
      <c r="D368" s="38" t="s">
        <v>201</v>
      </c>
      <c r="E368" s="54">
        <v>0</v>
      </c>
      <c r="F368" s="40">
        <v>6600</v>
      </c>
      <c r="G368" s="34">
        <v>0</v>
      </c>
      <c r="H368" s="47" t="s">
        <v>736</v>
      </c>
      <c r="I368" s="47">
        <v>0</v>
      </c>
      <c r="J368" s="47" t="s">
        <v>768</v>
      </c>
      <c r="K368" s="47">
        <v>0</v>
      </c>
    </row>
    <row r="369" spans="1:11" x14ac:dyDescent="0.25">
      <c r="A369" s="34">
        <v>1995</v>
      </c>
      <c r="B369" s="20" t="s">
        <v>33</v>
      </c>
      <c r="C369" s="20">
        <v>31</v>
      </c>
      <c r="D369" s="38" t="s">
        <v>208</v>
      </c>
      <c r="E369" s="54">
        <v>0</v>
      </c>
      <c r="F369" s="40">
        <v>6450</v>
      </c>
      <c r="G369" s="34">
        <v>0</v>
      </c>
      <c r="H369" s="47" t="s">
        <v>1015</v>
      </c>
      <c r="I369" s="47">
        <v>0</v>
      </c>
      <c r="J369" s="47" t="s">
        <v>768</v>
      </c>
      <c r="K369" s="47">
        <v>0</v>
      </c>
    </row>
    <row r="370" spans="1:11" x14ac:dyDescent="0.25">
      <c r="A370" s="383" t="s">
        <v>1759</v>
      </c>
      <c r="B370" s="384"/>
      <c r="C370" s="384"/>
      <c r="D370" s="384"/>
      <c r="E370" s="384"/>
      <c r="F370" s="384"/>
      <c r="G370" s="384"/>
      <c r="H370" s="384"/>
      <c r="I370" s="384"/>
      <c r="J370" s="384"/>
      <c r="K370" s="384"/>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D19:D22 D93:D94 D124 D95 D96 D97 D98 D99 D100 D101 D102 D103 D104 D105 D106 D107 D108 D109 D110 D111 D112 D113 D114 D115 D116 D117 D118 D119 D120 D121 D122 D123 D244:D250 D210 D290:D295 D320:D324 D333 D354 D68 D79" twoDigitTextYear="1"/>
    <ignoredError sqref="F51:F52 E35:E62 F66 F93:F94 E64 H325:H338 J325:J338 H339:J369" numberStoredAsText="1"/>
    <ignoredError sqref="F79" twoDigitTextYear="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0"/>
  <sheetViews>
    <sheetView workbookViewId="0">
      <selection activeCell="E4" sqref="E4"/>
    </sheetView>
  </sheetViews>
  <sheetFormatPr defaultColWidth="9.140625" defaultRowHeight="15" x14ac:dyDescent="0.25"/>
  <cols>
    <col min="1" max="1" width="5.85546875" style="14" customWidth="1"/>
    <col min="2" max="2" width="10" style="14" customWidth="1"/>
    <col min="3" max="3" width="6.28515625" style="45" customWidth="1"/>
    <col min="4" max="4" width="6.28515625" style="14" customWidth="1"/>
    <col min="5" max="5" width="5.5703125" style="14" customWidth="1"/>
    <col min="6" max="6" width="7" style="14" customWidth="1"/>
    <col min="7" max="7" width="7.85546875" style="14" customWidth="1"/>
    <col min="8" max="8" width="7.7109375" style="55" customWidth="1"/>
    <col min="9" max="9" width="6.42578125" style="37" customWidth="1"/>
    <col min="10" max="10" width="5.28515625" style="37" customWidth="1"/>
    <col min="11" max="11" width="7.140625" style="37" customWidth="1"/>
    <col min="12" max="12" width="5.5703125" style="37" customWidth="1"/>
    <col min="13" max="16384" width="9.140625" style="14"/>
  </cols>
  <sheetData>
    <row r="1" spans="1:12" ht="18.75" customHeight="1" x14ac:dyDescent="0.3">
      <c r="A1" s="385" t="s">
        <v>1754</v>
      </c>
      <c r="B1" s="385"/>
      <c r="C1" s="385"/>
      <c r="D1" s="385"/>
      <c r="E1" s="385"/>
      <c r="F1" s="385"/>
      <c r="G1" s="385"/>
      <c r="H1" s="385"/>
      <c r="I1" s="385"/>
      <c r="J1" s="385"/>
      <c r="K1" s="385"/>
      <c r="L1" s="385"/>
    </row>
    <row r="2" spans="1:12" ht="30" customHeight="1" x14ac:dyDescent="0.25">
      <c r="A2" s="396" t="s">
        <v>532</v>
      </c>
      <c r="B2" s="396" t="s">
        <v>22</v>
      </c>
      <c r="C2" s="411" t="s">
        <v>0</v>
      </c>
      <c r="D2" s="397" t="s">
        <v>728</v>
      </c>
      <c r="E2" s="397"/>
      <c r="F2" s="397"/>
      <c r="G2" s="398" t="s">
        <v>729</v>
      </c>
      <c r="H2" s="398"/>
      <c r="I2" s="408" t="s">
        <v>1746</v>
      </c>
      <c r="J2" s="408"/>
      <c r="K2" s="408" t="s">
        <v>1747</v>
      </c>
      <c r="L2" s="408"/>
    </row>
    <row r="3" spans="1:12" ht="73.5" customHeight="1" x14ac:dyDescent="0.25">
      <c r="A3" s="396"/>
      <c r="B3" s="396"/>
      <c r="C3" s="412"/>
      <c r="D3" s="15" t="s">
        <v>1755</v>
      </c>
      <c r="E3" s="15" t="s">
        <v>1017</v>
      </c>
      <c r="F3" s="15" t="s">
        <v>1756</v>
      </c>
      <c r="G3" s="15" t="s">
        <v>732</v>
      </c>
      <c r="H3" s="49" t="s">
        <v>733</v>
      </c>
      <c r="I3" s="33" t="s">
        <v>734</v>
      </c>
      <c r="J3" s="50" t="s">
        <v>735</v>
      </c>
      <c r="K3" s="33" t="s">
        <v>734</v>
      </c>
      <c r="L3" s="50" t="s">
        <v>735</v>
      </c>
    </row>
    <row r="4" spans="1:12" ht="13.9" x14ac:dyDescent="0.25">
      <c r="A4" s="18">
        <v>1996</v>
      </c>
      <c r="B4" s="18" t="s">
        <v>23</v>
      </c>
      <c r="C4" s="18">
        <v>1</v>
      </c>
      <c r="D4" s="19" t="s">
        <v>175</v>
      </c>
      <c r="E4" s="19" t="s">
        <v>175</v>
      </c>
      <c r="F4" s="20">
        <v>0</v>
      </c>
      <c r="G4" s="20">
        <v>6300</v>
      </c>
      <c r="H4" s="20">
        <v>0</v>
      </c>
      <c r="I4" s="19">
        <v>0</v>
      </c>
      <c r="J4" s="56" t="s">
        <v>1015</v>
      </c>
      <c r="K4" s="19" t="s">
        <v>765</v>
      </c>
      <c r="L4" s="20">
        <v>0</v>
      </c>
    </row>
    <row r="5" spans="1:12" ht="13.9" x14ac:dyDescent="0.25">
      <c r="A5" s="18">
        <v>1996</v>
      </c>
      <c r="B5" s="18" t="s">
        <v>23</v>
      </c>
      <c r="C5" s="18">
        <v>2</v>
      </c>
      <c r="D5" s="19" t="s">
        <v>171</v>
      </c>
      <c r="E5" s="19" t="s">
        <v>171</v>
      </c>
      <c r="F5" s="20">
        <v>0</v>
      </c>
      <c r="G5" s="20">
        <v>6250</v>
      </c>
      <c r="H5" s="20">
        <v>0</v>
      </c>
      <c r="I5" s="19">
        <v>0</v>
      </c>
      <c r="J5" s="56" t="s">
        <v>1015</v>
      </c>
      <c r="K5" s="56" t="s">
        <v>765</v>
      </c>
      <c r="L5" s="20">
        <v>0</v>
      </c>
    </row>
    <row r="6" spans="1:12" ht="13.9" x14ac:dyDescent="0.25">
      <c r="A6" s="18">
        <v>1996</v>
      </c>
      <c r="B6" s="18" t="s">
        <v>23</v>
      </c>
      <c r="C6" s="18">
        <v>3</v>
      </c>
      <c r="D6" s="19" t="s">
        <v>171</v>
      </c>
      <c r="E6" s="19" t="s">
        <v>171</v>
      </c>
      <c r="F6" s="20">
        <v>0</v>
      </c>
      <c r="G6" s="20">
        <v>6250</v>
      </c>
      <c r="H6" s="20">
        <v>0</v>
      </c>
      <c r="I6" s="19">
        <v>0</v>
      </c>
      <c r="J6" s="56" t="s">
        <v>1015</v>
      </c>
      <c r="K6" s="56" t="s">
        <v>765</v>
      </c>
      <c r="L6" s="20">
        <v>0</v>
      </c>
    </row>
    <row r="7" spans="1:12" ht="13.9" x14ac:dyDescent="0.25">
      <c r="A7" s="18">
        <v>1996</v>
      </c>
      <c r="B7" s="18" t="s">
        <v>23</v>
      </c>
      <c r="C7" s="18">
        <v>4</v>
      </c>
      <c r="D7" s="19" t="s">
        <v>221</v>
      </c>
      <c r="E7" s="19" t="s">
        <v>221</v>
      </c>
      <c r="F7" s="20">
        <v>0</v>
      </c>
      <c r="G7" s="20">
        <v>6200</v>
      </c>
      <c r="H7" s="20">
        <v>0</v>
      </c>
      <c r="I7" s="19">
        <v>0</v>
      </c>
      <c r="J7" s="18">
        <v>0</v>
      </c>
      <c r="K7" s="18">
        <v>0</v>
      </c>
      <c r="L7" s="20">
        <v>0</v>
      </c>
    </row>
    <row r="8" spans="1:12" ht="13.9" x14ac:dyDescent="0.25">
      <c r="A8" s="18">
        <v>1996</v>
      </c>
      <c r="B8" s="18" t="s">
        <v>23</v>
      </c>
      <c r="C8" s="18">
        <v>5</v>
      </c>
      <c r="D8" s="19" t="s">
        <v>169</v>
      </c>
      <c r="E8" s="19" t="s">
        <v>169</v>
      </c>
      <c r="F8" s="20">
        <v>0</v>
      </c>
      <c r="G8" s="20">
        <v>6150</v>
      </c>
      <c r="H8" s="20">
        <v>0</v>
      </c>
      <c r="I8" s="19">
        <v>0</v>
      </c>
      <c r="J8" s="18">
        <v>0</v>
      </c>
      <c r="K8" s="18">
        <v>0</v>
      </c>
      <c r="L8" s="20">
        <v>0</v>
      </c>
    </row>
    <row r="9" spans="1:12" ht="13.9" x14ac:dyDescent="0.25">
      <c r="A9" s="18">
        <v>1996</v>
      </c>
      <c r="B9" s="18" t="s">
        <v>23</v>
      </c>
      <c r="C9" s="18">
        <v>6</v>
      </c>
      <c r="D9" s="19" t="s">
        <v>169</v>
      </c>
      <c r="E9" s="19" t="s">
        <v>169</v>
      </c>
      <c r="F9" s="20">
        <v>0</v>
      </c>
      <c r="G9" s="20">
        <v>6150</v>
      </c>
      <c r="H9" s="20">
        <v>0</v>
      </c>
      <c r="I9" s="19">
        <v>0</v>
      </c>
      <c r="J9" s="18">
        <v>0</v>
      </c>
      <c r="K9" s="18">
        <v>0</v>
      </c>
      <c r="L9" s="20">
        <v>0</v>
      </c>
    </row>
    <row r="10" spans="1:12" ht="13.9" x14ac:dyDescent="0.25">
      <c r="A10" s="18">
        <v>1996</v>
      </c>
      <c r="B10" s="18" t="s">
        <v>23</v>
      </c>
      <c r="C10" s="18">
        <v>7</v>
      </c>
      <c r="D10" s="19" t="s">
        <v>169</v>
      </c>
      <c r="E10" s="19" t="s">
        <v>169</v>
      </c>
      <c r="F10" s="20">
        <v>0</v>
      </c>
      <c r="G10" s="20">
        <v>6150</v>
      </c>
      <c r="H10" s="20">
        <v>0</v>
      </c>
      <c r="I10" s="19">
        <v>0</v>
      </c>
      <c r="J10" s="18">
        <v>0</v>
      </c>
      <c r="K10" s="18">
        <v>0</v>
      </c>
      <c r="L10" s="20">
        <v>0</v>
      </c>
    </row>
    <row r="11" spans="1:12" ht="13.9" x14ac:dyDescent="0.25">
      <c r="A11" s="18">
        <v>1996</v>
      </c>
      <c r="B11" s="18" t="s">
        <v>23</v>
      </c>
      <c r="C11" s="18">
        <v>8</v>
      </c>
      <c r="D11" s="19" t="s">
        <v>165</v>
      </c>
      <c r="E11" s="19" t="s">
        <v>165</v>
      </c>
      <c r="F11" s="20">
        <v>0</v>
      </c>
      <c r="G11" s="20">
        <v>6100</v>
      </c>
      <c r="H11" s="20">
        <v>0</v>
      </c>
      <c r="I11" s="19">
        <v>0</v>
      </c>
      <c r="J11" s="18">
        <v>0</v>
      </c>
      <c r="K11" s="18">
        <v>0</v>
      </c>
      <c r="L11" s="20">
        <v>0</v>
      </c>
    </row>
    <row r="12" spans="1:12" ht="13.9" x14ac:dyDescent="0.25">
      <c r="A12" s="18">
        <v>1996</v>
      </c>
      <c r="B12" s="18" t="s">
        <v>23</v>
      </c>
      <c r="C12" s="18">
        <v>9</v>
      </c>
      <c r="D12" s="19" t="s">
        <v>165</v>
      </c>
      <c r="E12" s="19" t="s">
        <v>165</v>
      </c>
      <c r="F12" s="20">
        <v>0</v>
      </c>
      <c r="G12" s="20">
        <v>6100</v>
      </c>
      <c r="H12" s="20">
        <v>0</v>
      </c>
      <c r="I12" s="19">
        <v>0</v>
      </c>
      <c r="J12" s="18">
        <v>0</v>
      </c>
      <c r="K12" s="18">
        <v>0</v>
      </c>
      <c r="L12" s="20">
        <v>0</v>
      </c>
    </row>
    <row r="13" spans="1:12" ht="13.9" x14ac:dyDescent="0.25">
      <c r="A13" s="18">
        <v>1996</v>
      </c>
      <c r="B13" s="18" t="s">
        <v>23</v>
      </c>
      <c r="C13" s="18">
        <v>10</v>
      </c>
      <c r="D13" s="19" t="s">
        <v>165</v>
      </c>
      <c r="E13" s="19" t="s">
        <v>165</v>
      </c>
      <c r="F13" s="20">
        <v>0</v>
      </c>
      <c r="G13" s="20">
        <v>6100</v>
      </c>
      <c r="H13" s="20">
        <v>0</v>
      </c>
      <c r="I13" s="19">
        <v>0</v>
      </c>
      <c r="J13" s="18">
        <v>0</v>
      </c>
      <c r="K13" s="18">
        <v>0</v>
      </c>
      <c r="L13" s="20">
        <v>0</v>
      </c>
    </row>
    <row r="14" spans="1:12" ht="13.9" x14ac:dyDescent="0.25">
      <c r="A14" s="18">
        <v>1996</v>
      </c>
      <c r="B14" s="18" t="s">
        <v>23</v>
      </c>
      <c r="C14" s="18">
        <v>11</v>
      </c>
      <c r="D14" s="19" t="s">
        <v>165</v>
      </c>
      <c r="E14" s="19" t="s">
        <v>165</v>
      </c>
      <c r="F14" s="20">
        <v>0</v>
      </c>
      <c r="G14" s="20">
        <v>6100</v>
      </c>
      <c r="H14" s="20">
        <v>0</v>
      </c>
      <c r="I14" s="19">
        <v>0</v>
      </c>
      <c r="J14" s="18">
        <v>0</v>
      </c>
      <c r="K14" s="18">
        <v>0</v>
      </c>
      <c r="L14" s="20">
        <v>0</v>
      </c>
    </row>
    <row r="15" spans="1:12" ht="13.9" x14ac:dyDescent="0.25">
      <c r="A15" s="18">
        <v>1996</v>
      </c>
      <c r="B15" s="18" t="s">
        <v>23</v>
      </c>
      <c r="C15" s="18">
        <v>12</v>
      </c>
      <c r="D15" s="19" t="s">
        <v>165</v>
      </c>
      <c r="E15" s="19" t="s">
        <v>165</v>
      </c>
      <c r="F15" s="20">
        <v>0</v>
      </c>
      <c r="G15" s="20">
        <v>6100</v>
      </c>
      <c r="H15" s="20">
        <v>0</v>
      </c>
      <c r="I15" s="19">
        <v>0</v>
      </c>
      <c r="J15" s="18">
        <v>0</v>
      </c>
      <c r="K15" s="18">
        <v>0</v>
      </c>
      <c r="L15" s="20">
        <v>0</v>
      </c>
    </row>
    <row r="16" spans="1:12" ht="13.9" x14ac:dyDescent="0.25">
      <c r="A16" s="18">
        <v>1996</v>
      </c>
      <c r="B16" s="18" t="s">
        <v>23</v>
      </c>
      <c r="C16" s="18">
        <v>13</v>
      </c>
      <c r="D16" s="19" t="s">
        <v>165</v>
      </c>
      <c r="E16" s="19" t="s">
        <v>165</v>
      </c>
      <c r="F16" s="20">
        <v>0</v>
      </c>
      <c r="G16" s="20">
        <v>6100</v>
      </c>
      <c r="H16" s="20">
        <v>0</v>
      </c>
      <c r="I16" s="19">
        <v>0</v>
      </c>
      <c r="J16" s="18">
        <v>0</v>
      </c>
      <c r="K16" s="18">
        <v>0</v>
      </c>
      <c r="L16" s="20">
        <v>0</v>
      </c>
    </row>
    <row r="17" spans="1:12" ht="13.9" x14ac:dyDescent="0.25">
      <c r="A17" s="18">
        <v>1996</v>
      </c>
      <c r="B17" s="18" t="s">
        <v>23</v>
      </c>
      <c r="C17" s="18">
        <v>14</v>
      </c>
      <c r="D17" s="19" t="s">
        <v>227</v>
      </c>
      <c r="E17" s="19" t="s">
        <v>227</v>
      </c>
      <c r="F17" s="20">
        <v>0</v>
      </c>
      <c r="G17" s="20">
        <v>6000</v>
      </c>
      <c r="H17" s="20">
        <v>0</v>
      </c>
      <c r="I17" s="19" t="s">
        <v>1014</v>
      </c>
      <c r="J17" s="18">
        <v>0</v>
      </c>
      <c r="K17" s="18">
        <v>0</v>
      </c>
      <c r="L17" s="20">
        <v>0</v>
      </c>
    </row>
    <row r="18" spans="1:12" ht="13.9" x14ac:dyDescent="0.25">
      <c r="A18" s="18">
        <v>1996</v>
      </c>
      <c r="B18" s="18" t="s">
        <v>23</v>
      </c>
      <c r="C18" s="18">
        <v>15</v>
      </c>
      <c r="D18" s="19" t="s">
        <v>229</v>
      </c>
      <c r="E18" s="19" t="s">
        <v>229</v>
      </c>
      <c r="F18" s="20">
        <v>0</v>
      </c>
      <c r="G18" s="20">
        <v>5900</v>
      </c>
      <c r="H18" s="20">
        <v>0</v>
      </c>
      <c r="I18" s="19" t="s">
        <v>1014</v>
      </c>
      <c r="J18" s="18">
        <v>0</v>
      </c>
      <c r="K18" s="18">
        <v>0</v>
      </c>
      <c r="L18" s="20">
        <v>0</v>
      </c>
    </row>
    <row r="19" spans="1:12" ht="13.9" x14ac:dyDescent="0.25">
      <c r="A19" s="18">
        <v>1996</v>
      </c>
      <c r="B19" s="18" t="s">
        <v>23</v>
      </c>
      <c r="C19" s="18">
        <v>16</v>
      </c>
      <c r="D19" s="19" t="s">
        <v>161</v>
      </c>
      <c r="E19" s="19" t="s">
        <v>161</v>
      </c>
      <c r="F19" s="20">
        <v>0</v>
      </c>
      <c r="G19" s="20">
        <v>5850</v>
      </c>
      <c r="H19" s="20">
        <v>0</v>
      </c>
      <c r="I19" s="19" t="s">
        <v>1014</v>
      </c>
      <c r="J19" s="18">
        <v>0</v>
      </c>
      <c r="K19" s="18">
        <v>0</v>
      </c>
      <c r="L19" s="20">
        <v>0</v>
      </c>
    </row>
    <row r="20" spans="1:12" ht="13.9" x14ac:dyDescent="0.25">
      <c r="A20" s="18">
        <v>1996</v>
      </c>
      <c r="B20" s="18" t="s">
        <v>23</v>
      </c>
      <c r="C20" s="18">
        <v>17</v>
      </c>
      <c r="D20" s="19" t="s">
        <v>236</v>
      </c>
      <c r="E20" s="19" t="s">
        <v>236</v>
      </c>
      <c r="F20" s="20">
        <v>0</v>
      </c>
      <c r="G20" s="20">
        <v>5800</v>
      </c>
      <c r="H20" s="20">
        <v>0</v>
      </c>
      <c r="I20" s="19" t="s">
        <v>1018</v>
      </c>
      <c r="J20" s="18">
        <v>0</v>
      </c>
      <c r="K20" s="18">
        <v>0</v>
      </c>
      <c r="L20" s="20">
        <v>0</v>
      </c>
    </row>
    <row r="21" spans="1:12" ht="13.9" x14ac:dyDescent="0.25">
      <c r="A21" s="18">
        <v>1996</v>
      </c>
      <c r="B21" s="18" t="s">
        <v>23</v>
      </c>
      <c r="C21" s="18">
        <v>18</v>
      </c>
      <c r="D21" s="19" t="s">
        <v>239</v>
      </c>
      <c r="E21" s="19" t="s">
        <v>239</v>
      </c>
      <c r="F21" s="20">
        <v>0</v>
      </c>
      <c r="G21" s="20">
        <v>5700</v>
      </c>
      <c r="H21" s="20">
        <v>0</v>
      </c>
      <c r="I21" s="19" t="s">
        <v>1018</v>
      </c>
      <c r="J21" s="18">
        <v>0</v>
      </c>
      <c r="K21" s="18">
        <v>0</v>
      </c>
      <c r="L21" s="20">
        <v>0</v>
      </c>
    </row>
    <row r="22" spans="1:12" ht="13.9" x14ac:dyDescent="0.25">
      <c r="A22" s="18">
        <v>1996</v>
      </c>
      <c r="B22" s="18" t="s">
        <v>23</v>
      </c>
      <c r="C22" s="18">
        <v>19</v>
      </c>
      <c r="D22" s="19" t="s">
        <v>157</v>
      </c>
      <c r="E22" s="19" t="s">
        <v>157</v>
      </c>
      <c r="F22" s="20">
        <v>0</v>
      </c>
      <c r="G22" s="20">
        <v>5500</v>
      </c>
      <c r="H22" s="20">
        <v>0</v>
      </c>
      <c r="I22" s="19" t="s">
        <v>1015</v>
      </c>
      <c r="J22" s="18">
        <v>0</v>
      </c>
      <c r="K22" s="18">
        <v>0</v>
      </c>
      <c r="L22" s="20">
        <v>0</v>
      </c>
    </row>
    <row r="23" spans="1:12" ht="13.9" x14ac:dyDescent="0.25">
      <c r="A23" s="18">
        <v>1996</v>
      </c>
      <c r="B23" s="18" t="s">
        <v>23</v>
      </c>
      <c r="C23" s="18">
        <v>20</v>
      </c>
      <c r="D23" s="19" t="s">
        <v>153</v>
      </c>
      <c r="E23" s="19" t="s">
        <v>153</v>
      </c>
      <c r="F23" s="20">
        <v>0</v>
      </c>
      <c r="G23" s="20">
        <v>5350</v>
      </c>
      <c r="H23" s="20">
        <v>0</v>
      </c>
      <c r="I23" s="19" t="s">
        <v>1015</v>
      </c>
      <c r="J23" s="18">
        <v>0</v>
      </c>
      <c r="K23" s="56" t="s">
        <v>765</v>
      </c>
      <c r="L23" s="20">
        <v>0</v>
      </c>
    </row>
    <row r="24" spans="1:12" ht="13.9" x14ac:dyDescent="0.25">
      <c r="A24" s="18">
        <v>1996</v>
      </c>
      <c r="B24" s="18" t="s">
        <v>23</v>
      </c>
      <c r="C24" s="18">
        <v>21</v>
      </c>
      <c r="D24" s="19" t="s">
        <v>262</v>
      </c>
      <c r="E24" s="19" t="s">
        <v>262</v>
      </c>
      <c r="F24" s="20">
        <v>0</v>
      </c>
      <c r="G24" s="20">
        <v>5200</v>
      </c>
      <c r="H24" s="20">
        <v>0</v>
      </c>
      <c r="I24" s="19" t="s">
        <v>1015</v>
      </c>
      <c r="J24" s="18">
        <v>0</v>
      </c>
      <c r="K24" s="56" t="s">
        <v>765</v>
      </c>
      <c r="L24" s="20">
        <v>0</v>
      </c>
    </row>
    <row r="25" spans="1:12" ht="13.9" x14ac:dyDescent="0.25">
      <c r="A25" s="18">
        <v>1996</v>
      </c>
      <c r="B25" s="18" t="s">
        <v>23</v>
      </c>
      <c r="C25" s="18">
        <v>22</v>
      </c>
      <c r="D25" s="19" t="s">
        <v>423</v>
      </c>
      <c r="E25" s="19" t="s">
        <v>423</v>
      </c>
      <c r="F25" s="20">
        <v>0</v>
      </c>
      <c r="G25" s="20">
        <v>5100</v>
      </c>
      <c r="H25" s="20">
        <v>0</v>
      </c>
      <c r="I25" s="19" t="s">
        <v>1015</v>
      </c>
      <c r="J25" s="18">
        <v>0</v>
      </c>
      <c r="K25" s="56" t="s">
        <v>765</v>
      </c>
      <c r="L25" s="20">
        <v>0</v>
      </c>
    </row>
    <row r="26" spans="1:12" ht="13.9" x14ac:dyDescent="0.25">
      <c r="A26" s="18">
        <v>1996</v>
      </c>
      <c r="B26" s="18" t="s">
        <v>23</v>
      </c>
      <c r="C26" s="18">
        <v>23</v>
      </c>
      <c r="D26" s="19" t="s">
        <v>145</v>
      </c>
      <c r="E26" s="19" t="s">
        <v>145</v>
      </c>
      <c r="F26" s="20">
        <v>0</v>
      </c>
      <c r="G26" s="20">
        <v>5050</v>
      </c>
      <c r="H26" s="20">
        <v>0</v>
      </c>
      <c r="I26" s="19" t="s">
        <v>1015</v>
      </c>
      <c r="J26" s="18">
        <v>0</v>
      </c>
      <c r="K26" s="56" t="s">
        <v>765</v>
      </c>
      <c r="L26" s="20">
        <v>0</v>
      </c>
    </row>
    <row r="27" spans="1:12" ht="13.9" x14ac:dyDescent="0.25">
      <c r="A27" s="18">
        <v>1996</v>
      </c>
      <c r="B27" s="18" t="s">
        <v>23</v>
      </c>
      <c r="C27" s="18">
        <v>24</v>
      </c>
      <c r="D27" s="19" t="s">
        <v>143</v>
      </c>
      <c r="E27" s="19" t="s">
        <v>143</v>
      </c>
      <c r="F27" s="20">
        <v>0</v>
      </c>
      <c r="G27" s="20">
        <v>5000</v>
      </c>
      <c r="H27" s="20">
        <v>0</v>
      </c>
      <c r="I27" s="19" t="s">
        <v>1015</v>
      </c>
      <c r="J27" s="18">
        <v>0</v>
      </c>
      <c r="K27" s="56" t="s">
        <v>765</v>
      </c>
      <c r="L27" s="20">
        <v>0</v>
      </c>
    </row>
    <row r="28" spans="1:12" ht="13.9" x14ac:dyDescent="0.25">
      <c r="A28" s="18">
        <v>1996</v>
      </c>
      <c r="B28" s="18" t="s">
        <v>23</v>
      </c>
      <c r="C28" s="18">
        <v>25</v>
      </c>
      <c r="D28" s="19" t="s">
        <v>141</v>
      </c>
      <c r="E28" s="19" t="s">
        <v>141</v>
      </c>
      <c r="F28" s="20">
        <v>0</v>
      </c>
      <c r="G28" s="20">
        <v>4900</v>
      </c>
      <c r="H28" s="20">
        <v>0</v>
      </c>
      <c r="I28" s="19" t="s">
        <v>1015</v>
      </c>
      <c r="J28" s="18">
        <v>0</v>
      </c>
      <c r="K28" s="56" t="s">
        <v>765</v>
      </c>
      <c r="L28" s="20">
        <v>0</v>
      </c>
    </row>
    <row r="29" spans="1:12" ht="13.9" x14ac:dyDescent="0.25">
      <c r="A29" s="18">
        <v>1996</v>
      </c>
      <c r="B29" s="18" t="s">
        <v>23</v>
      </c>
      <c r="C29" s="18">
        <v>26</v>
      </c>
      <c r="D29" s="19" t="s">
        <v>279</v>
      </c>
      <c r="E29" s="19" t="s">
        <v>279</v>
      </c>
      <c r="F29" s="20">
        <v>0</v>
      </c>
      <c r="G29" s="20">
        <v>4750</v>
      </c>
      <c r="H29" s="20">
        <v>0</v>
      </c>
      <c r="I29" s="19" t="s">
        <v>925</v>
      </c>
      <c r="J29" s="18">
        <v>0</v>
      </c>
      <c r="K29" s="56" t="s">
        <v>765</v>
      </c>
      <c r="L29" s="20">
        <v>0</v>
      </c>
    </row>
    <row r="30" spans="1:12" ht="13.9" x14ac:dyDescent="0.25">
      <c r="A30" s="18">
        <v>1996</v>
      </c>
      <c r="B30" s="18" t="s">
        <v>23</v>
      </c>
      <c r="C30" s="18">
        <v>27</v>
      </c>
      <c r="D30" s="19" t="s">
        <v>279</v>
      </c>
      <c r="E30" s="19" t="s">
        <v>279</v>
      </c>
      <c r="F30" s="20">
        <v>0</v>
      </c>
      <c r="G30" s="20">
        <v>4750</v>
      </c>
      <c r="H30" s="20">
        <v>0</v>
      </c>
      <c r="I30" s="19" t="s">
        <v>736</v>
      </c>
      <c r="J30" s="18">
        <v>0</v>
      </c>
      <c r="K30" s="56" t="s">
        <v>736</v>
      </c>
      <c r="L30" s="20">
        <v>0</v>
      </c>
    </row>
    <row r="31" spans="1:12" ht="13.9" x14ac:dyDescent="0.25">
      <c r="A31" s="18">
        <v>1996</v>
      </c>
      <c r="B31" s="18" t="s">
        <v>23</v>
      </c>
      <c r="C31" s="18">
        <v>28</v>
      </c>
      <c r="D31" s="19" t="s">
        <v>279</v>
      </c>
      <c r="E31" s="19" t="s">
        <v>279</v>
      </c>
      <c r="F31" s="20">
        <v>0</v>
      </c>
      <c r="G31" s="20">
        <v>4750</v>
      </c>
      <c r="H31" s="20">
        <v>0</v>
      </c>
      <c r="I31" s="19" t="s">
        <v>736</v>
      </c>
      <c r="J31" s="18">
        <v>0</v>
      </c>
      <c r="K31" s="56" t="s">
        <v>736</v>
      </c>
      <c r="L31" s="20">
        <v>0</v>
      </c>
    </row>
    <row r="32" spans="1:12" ht="13.9" x14ac:dyDescent="0.25">
      <c r="A32" s="18">
        <v>1996</v>
      </c>
      <c r="B32" s="18" t="s">
        <v>23</v>
      </c>
      <c r="C32" s="18">
        <v>29</v>
      </c>
      <c r="D32" s="19" t="s">
        <v>279</v>
      </c>
      <c r="E32" s="19" t="s">
        <v>279</v>
      </c>
      <c r="F32" s="20">
        <v>0</v>
      </c>
      <c r="G32" s="20">
        <v>4750</v>
      </c>
      <c r="H32" s="20">
        <v>0</v>
      </c>
      <c r="I32" s="19" t="s">
        <v>926</v>
      </c>
      <c r="J32" s="18">
        <v>0</v>
      </c>
      <c r="K32" s="56" t="s">
        <v>736</v>
      </c>
      <c r="L32" s="20">
        <v>0</v>
      </c>
    </row>
    <row r="33" spans="1:12" ht="13.9" x14ac:dyDescent="0.25">
      <c r="A33" s="18">
        <v>1996</v>
      </c>
      <c r="B33" s="18" t="s">
        <v>23</v>
      </c>
      <c r="C33" s="18">
        <v>30</v>
      </c>
      <c r="D33" s="19" t="s">
        <v>135</v>
      </c>
      <c r="E33" s="19" t="s">
        <v>135</v>
      </c>
      <c r="F33" s="20">
        <v>0</v>
      </c>
      <c r="G33" s="20">
        <v>4600</v>
      </c>
      <c r="H33" s="20">
        <v>0</v>
      </c>
      <c r="I33" s="19" t="s">
        <v>926</v>
      </c>
      <c r="J33" s="18">
        <v>0</v>
      </c>
      <c r="K33" s="56" t="s">
        <v>736</v>
      </c>
      <c r="L33" s="20">
        <v>0</v>
      </c>
    </row>
    <row r="34" spans="1:12" ht="13.9" x14ac:dyDescent="0.25">
      <c r="A34" s="18">
        <v>1996</v>
      </c>
      <c r="B34" s="18" t="s">
        <v>23</v>
      </c>
      <c r="C34" s="18">
        <v>31</v>
      </c>
      <c r="D34" s="19" t="s">
        <v>284</v>
      </c>
      <c r="E34" s="19" t="s">
        <v>284</v>
      </c>
      <c r="F34" s="20">
        <v>0</v>
      </c>
      <c r="G34" s="20">
        <v>4450</v>
      </c>
      <c r="H34" s="20">
        <v>0</v>
      </c>
      <c r="I34" s="19" t="s">
        <v>926</v>
      </c>
      <c r="J34" s="18">
        <v>0</v>
      </c>
      <c r="K34" s="56" t="s">
        <v>736</v>
      </c>
      <c r="L34" s="20">
        <v>0</v>
      </c>
    </row>
    <row r="35" spans="1:12" ht="13.9" x14ac:dyDescent="0.25">
      <c r="A35" s="18">
        <v>1996</v>
      </c>
      <c r="B35" s="20" t="s">
        <v>24</v>
      </c>
      <c r="C35" s="20">
        <v>1</v>
      </c>
      <c r="D35" s="19" t="s">
        <v>425</v>
      </c>
      <c r="E35" s="19" t="s">
        <v>425</v>
      </c>
      <c r="F35" s="20">
        <v>0</v>
      </c>
      <c r="G35" s="20">
        <v>4350</v>
      </c>
      <c r="H35" s="20">
        <v>0</v>
      </c>
      <c r="I35" s="20">
        <v>80</v>
      </c>
      <c r="J35" s="18">
        <v>0</v>
      </c>
      <c r="K35" s="56" t="s">
        <v>736</v>
      </c>
      <c r="L35" s="18">
        <v>0</v>
      </c>
    </row>
    <row r="36" spans="1:12" x14ac:dyDescent="0.25">
      <c r="A36" s="18">
        <v>1996</v>
      </c>
      <c r="B36" s="20" t="s">
        <v>24</v>
      </c>
      <c r="C36" s="20">
        <v>2</v>
      </c>
      <c r="D36" s="19" t="s">
        <v>128</v>
      </c>
      <c r="E36" s="19" t="s">
        <v>128</v>
      </c>
      <c r="F36" s="20">
        <v>0</v>
      </c>
      <c r="G36" s="20">
        <v>4300</v>
      </c>
      <c r="H36" s="20">
        <v>0</v>
      </c>
      <c r="I36" s="20">
        <v>60</v>
      </c>
      <c r="J36" s="18">
        <v>0</v>
      </c>
      <c r="K36" s="56" t="s">
        <v>736</v>
      </c>
      <c r="L36" s="18">
        <v>0</v>
      </c>
    </row>
    <row r="37" spans="1:12" x14ac:dyDescent="0.25">
      <c r="A37" s="18">
        <v>1996</v>
      </c>
      <c r="B37" s="20" t="s">
        <v>24</v>
      </c>
      <c r="C37" s="20">
        <v>3</v>
      </c>
      <c r="D37" s="19" t="s">
        <v>132</v>
      </c>
      <c r="E37" s="19" t="s">
        <v>132</v>
      </c>
      <c r="F37" s="20">
        <v>0</v>
      </c>
      <c r="G37" s="20">
        <v>4250</v>
      </c>
      <c r="H37" s="20">
        <v>0</v>
      </c>
      <c r="I37" s="20">
        <v>80</v>
      </c>
      <c r="J37" s="18">
        <v>0</v>
      </c>
      <c r="K37" s="56" t="s">
        <v>766</v>
      </c>
      <c r="L37" s="18">
        <v>0</v>
      </c>
    </row>
    <row r="38" spans="1:12" x14ac:dyDescent="0.25">
      <c r="A38" s="18">
        <v>1996</v>
      </c>
      <c r="B38" s="20" t="s">
        <v>24</v>
      </c>
      <c r="C38" s="20">
        <v>4</v>
      </c>
      <c r="D38" s="19" t="s">
        <v>126</v>
      </c>
      <c r="E38" s="19" t="s">
        <v>126</v>
      </c>
      <c r="F38" s="20">
        <v>0</v>
      </c>
      <c r="G38" s="20">
        <v>4150</v>
      </c>
      <c r="H38" s="20">
        <v>0</v>
      </c>
      <c r="I38" s="20">
        <v>80</v>
      </c>
      <c r="J38" s="18">
        <v>0</v>
      </c>
      <c r="K38" s="56" t="s">
        <v>766</v>
      </c>
      <c r="L38" s="18">
        <v>0</v>
      </c>
    </row>
    <row r="39" spans="1:12" x14ac:dyDescent="0.25">
      <c r="A39" s="18">
        <v>1996</v>
      </c>
      <c r="B39" s="20" t="s">
        <v>24</v>
      </c>
      <c r="C39" s="20">
        <v>5</v>
      </c>
      <c r="D39" s="19" t="s">
        <v>124</v>
      </c>
      <c r="E39" s="19" t="s">
        <v>126</v>
      </c>
      <c r="F39" s="20">
        <v>0</v>
      </c>
      <c r="G39" s="20">
        <v>4150</v>
      </c>
      <c r="H39" s="20">
        <v>0</v>
      </c>
      <c r="I39" s="20">
        <v>0</v>
      </c>
      <c r="J39" s="18">
        <v>0</v>
      </c>
      <c r="K39" s="56" t="s">
        <v>736</v>
      </c>
      <c r="L39" s="18">
        <v>0</v>
      </c>
    </row>
    <row r="40" spans="1:12" x14ac:dyDescent="0.25">
      <c r="A40" s="18">
        <v>1996</v>
      </c>
      <c r="B40" s="20" t="s">
        <v>24</v>
      </c>
      <c r="C40" s="20">
        <v>6</v>
      </c>
      <c r="D40" s="19" t="s">
        <v>126</v>
      </c>
      <c r="E40" s="19" t="s">
        <v>126</v>
      </c>
      <c r="F40" s="20">
        <v>0</v>
      </c>
      <c r="G40" s="20">
        <v>4150</v>
      </c>
      <c r="H40" s="20">
        <v>0</v>
      </c>
      <c r="I40" s="20">
        <v>0</v>
      </c>
      <c r="J40" s="18">
        <v>0</v>
      </c>
      <c r="K40" s="56" t="s">
        <v>736</v>
      </c>
      <c r="L40" s="18">
        <v>0</v>
      </c>
    </row>
    <row r="41" spans="1:12" x14ac:dyDescent="0.25">
      <c r="A41" s="18">
        <v>1996</v>
      </c>
      <c r="B41" s="20" t="s">
        <v>24</v>
      </c>
      <c r="C41" s="20">
        <v>7</v>
      </c>
      <c r="D41" s="19" t="s">
        <v>126</v>
      </c>
      <c r="E41" s="19" t="s">
        <v>126</v>
      </c>
      <c r="F41" s="20">
        <v>0</v>
      </c>
      <c r="G41" s="20">
        <v>4150</v>
      </c>
      <c r="H41" s="20">
        <v>0</v>
      </c>
      <c r="I41" s="20">
        <v>0</v>
      </c>
      <c r="J41" s="18">
        <v>0</v>
      </c>
      <c r="K41" s="56" t="s">
        <v>736</v>
      </c>
      <c r="L41" s="18">
        <v>0</v>
      </c>
    </row>
    <row r="42" spans="1:12" x14ac:dyDescent="0.25">
      <c r="A42" s="18">
        <v>1996</v>
      </c>
      <c r="B42" s="20" t="s">
        <v>24</v>
      </c>
      <c r="C42" s="20">
        <v>8</v>
      </c>
      <c r="D42" s="19" t="s">
        <v>126</v>
      </c>
      <c r="E42" s="19" t="s">
        <v>126</v>
      </c>
      <c r="F42" s="20">
        <v>0</v>
      </c>
      <c r="G42" s="20">
        <v>4150</v>
      </c>
      <c r="H42" s="20">
        <v>0</v>
      </c>
      <c r="I42" s="20">
        <v>0</v>
      </c>
      <c r="J42" s="18">
        <v>0</v>
      </c>
      <c r="K42" s="56" t="s">
        <v>736</v>
      </c>
      <c r="L42" s="18">
        <v>0</v>
      </c>
    </row>
    <row r="43" spans="1:12" x14ac:dyDescent="0.25">
      <c r="A43" s="18">
        <v>1996</v>
      </c>
      <c r="B43" s="20" t="s">
        <v>24</v>
      </c>
      <c r="C43" s="20">
        <v>9</v>
      </c>
      <c r="D43" s="19" t="s">
        <v>126</v>
      </c>
      <c r="E43" s="19" t="s">
        <v>126</v>
      </c>
      <c r="F43" s="20">
        <v>0</v>
      </c>
      <c r="G43" s="20">
        <v>4150</v>
      </c>
      <c r="H43" s="20">
        <v>0</v>
      </c>
      <c r="I43" s="20">
        <v>0</v>
      </c>
      <c r="J43" s="18">
        <v>0</v>
      </c>
      <c r="K43" s="56" t="s">
        <v>736</v>
      </c>
      <c r="L43" s="18">
        <v>0</v>
      </c>
    </row>
    <row r="44" spans="1:12" x14ac:dyDescent="0.25">
      <c r="A44" s="18">
        <v>1996</v>
      </c>
      <c r="B44" s="20" t="s">
        <v>24</v>
      </c>
      <c r="C44" s="20">
        <v>10</v>
      </c>
      <c r="D44" s="19" t="s">
        <v>290</v>
      </c>
      <c r="E44" s="19" t="s">
        <v>290</v>
      </c>
      <c r="F44" s="20">
        <v>0</v>
      </c>
      <c r="G44" s="20">
        <v>4100</v>
      </c>
      <c r="H44" s="20">
        <v>0</v>
      </c>
      <c r="I44" s="20">
        <v>0</v>
      </c>
      <c r="J44" s="18">
        <v>0</v>
      </c>
      <c r="K44" s="56" t="s">
        <v>766</v>
      </c>
      <c r="L44" s="18">
        <v>0</v>
      </c>
    </row>
    <row r="45" spans="1:12" x14ac:dyDescent="0.25">
      <c r="A45" s="18">
        <v>1996</v>
      </c>
      <c r="B45" s="20" t="s">
        <v>24</v>
      </c>
      <c r="C45" s="20">
        <v>11</v>
      </c>
      <c r="D45" s="19" t="s">
        <v>124</v>
      </c>
      <c r="E45" s="19" t="s">
        <v>124</v>
      </c>
      <c r="F45" s="20">
        <v>0</v>
      </c>
      <c r="G45" s="20">
        <v>4000</v>
      </c>
      <c r="H45" s="20">
        <v>0</v>
      </c>
      <c r="I45" s="20">
        <v>0</v>
      </c>
      <c r="J45" s="18">
        <v>0</v>
      </c>
      <c r="K45" s="56" t="s">
        <v>766</v>
      </c>
      <c r="L45" s="18">
        <v>0</v>
      </c>
    </row>
    <row r="46" spans="1:12" x14ac:dyDescent="0.25">
      <c r="A46" s="18">
        <v>1996</v>
      </c>
      <c r="B46" s="20" t="s">
        <v>24</v>
      </c>
      <c r="C46" s="20">
        <v>12</v>
      </c>
      <c r="D46" s="19" t="s">
        <v>124</v>
      </c>
      <c r="E46" s="19" t="s">
        <v>124</v>
      </c>
      <c r="F46" s="20">
        <v>0</v>
      </c>
      <c r="G46" s="20">
        <v>4000</v>
      </c>
      <c r="H46" s="20">
        <v>0</v>
      </c>
      <c r="I46" s="20">
        <v>60</v>
      </c>
      <c r="J46" s="18">
        <v>0</v>
      </c>
      <c r="K46" s="56" t="s">
        <v>766</v>
      </c>
      <c r="L46" s="18">
        <v>0</v>
      </c>
    </row>
    <row r="47" spans="1:12" x14ac:dyDescent="0.25">
      <c r="A47" s="18">
        <v>1996</v>
      </c>
      <c r="B47" s="20" t="s">
        <v>24</v>
      </c>
      <c r="C47" s="20">
        <v>13</v>
      </c>
      <c r="D47" s="19" t="s">
        <v>123</v>
      </c>
      <c r="E47" s="19" t="s">
        <v>123</v>
      </c>
      <c r="F47" s="20">
        <v>0</v>
      </c>
      <c r="G47" s="20">
        <v>3900</v>
      </c>
      <c r="H47" s="20">
        <v>0</v>
      </c>
      <c r="I47" s="20">
        <v>60</v>
      </c>
      <c r="J47" s="18">
        <v>0</v>
      </c>
      <c r="K47" s="56" t="s">
        <v>766</v>
      </c>
      <c r="L47" s="18">
        <v>0</v>
      </c>
    </row>
    <row r="48" spans="1:12" x14ac:dyDescent="0.25">
      <c r="A48" s="18">
        <v>1996</v>
      </c>
      <c r="B48" s="20" t="s">
        <v>24</v>
      </c>
      <c r="C48" s="20">
        <v>14</v>
      </c>
      <c r="D48" s="19" t="s">
        <v>123</v>
      </c>
      <c r="E48" s="19" t="s">
        <v>123</v>
      </c>
      <c r="F48" s="20">
        <v>0</v>
      </c>
      <c r="G48" s="20">
        <v>3900</v>
      </c>
      <c r="H48" s="20">
        <v>0</v>
      </c>
      <c r="I48" s="20">
        <v>60</v>
      </c>
      <c r="J48" s="18">
        <v>0</v>
      </c>
      <c r="K48" s="56" t="s">
        <v>766</v>
      </c>
      <c r="L48" s="18">
        <v>0</v>
      </c>
    </row>
    <row r="49" spans="1:12" x14ac:dyDescent="0.25">
      <c r="A49" s="18">
        <v>1996</v>
      </c>
      <c r="B49" s="20" t="s">
        <v>24</v>
      </c>
      <c r="C49" s="20">
        <v>15</v>
      </c>
      <c r="D49" s="19" t="s">
        <v>296</v>
      </c>
      <c r="E49" s="19" t="s">
        <v>296</v>
      </c>
      <c r="F49" s="20">
        <v>0</v>
      </c>
      <c r="G49" s="20">
        <v>3750</v>
      </c>
      <c r="H49" s="20">
        <v>0</v>
      </c>
      <c r="I49" s="20">
        <v>60</v>
      </c>
      <c r="J49" s="18">
        <v>0</v>
      </c>
      <c r="K49" s="56" t="s">
        <v>783</v>
      </c>
      <c r="L49" s="18">
        <v>0</v>
      </c>
    </row>
    <row r="50" spans="1:12" x14ac:dyDescent="0.25">
      <c r="A50" s="18">
        <v>1996</v>
      </c>
      <c r="B50" s="20" t="s">
        <v>24</v>
      </c>
      <c r="C50" s="20">
        <v>16</v>
      </c>
      <c r="D50" s="19" t="s">
        <v>300</v>
      </c>
      <c r="E50" s="19" t="s">
        <v>300</v>
      </c>
      <c r="F50" s="20">
        <v>0</v>
      </c>
      <c r="G50" s="20">
        <v>3700</v>
      </c>
      <c r="H50" s="20">
        <v>0</v>
      </c>
      <c r="I50" s="20">
        <v>60</v>
      </c>
      <c r="J50" s="18">
        <v>0</v>
      </c>
      <c r="K50" s="56" t="s">
        <v>783</v>
      </c>
      <c r="L50" s="18">
        <v>0</v>
      </c>
    </row>
    <row r="51" spans="1:12" x14ac:dyDescent="0.25">
      <c r="A51" s="18">
        <v>1996</v>
      </c>
      <c r="B51" s="20" t="s">
        <v>24</v>
      </c>
      <c r="C51" s="20">
        <v>17</v>
      </c>
      <c r="D51" s="19" t="s">
        <v>304</v>
      </c>
      <c r="E51" s="19" t="s">
        <v>304</v>
      </c>
      <c r="F51" s="20">
        <v>0</v>
      </c>
      <c r="G51" s="20">
        <v>3650</v>
      </c>
      <c r="H51" s="20">
        <v>0</v>
      </c>
      <c r="I51" s="20">
        <v>60</v>
      </c>
      <c r="J51" s="18">
        <v>0</v>
      </c>
      <c r="K51" s="56" t="s">
        <v>1019</v>
      </c>
      <c r="L51" s="18">
        <v>0</v>
      </c>
    </row>
    <row r="52" spans="1:12" x14ac:dyDescent="0.25">
      <c r="A52" s="18">
        <v>1996</v>
      </c>
      <c r="B52" s="20" t="s">
        <v>24</v>
      </c>
      <c r="C52" s="20">
        <v>18</v>
      </c>
      <c r="D52" s="19" t="s">
        <v>510</v>
      </c>
      <c r="E52" s="19" t="s">
        <v>510</v>
      </c>
      <c r="F52" s="20">
        <v>0</v>
      </c>
      <c r="G52" s="20">
        <v>3600</v>
      </c>
      <c r="H52" s="20">
        <v>0</v>
      </c>
      <c r="I52" s="20">
        <v>60</v>
      </c>
      <c r="J52" s="18">
        <v>0</v>
      </c>
      <c r="K52" s="56" t="s">
        <v>1019</v>
      </c>
      <c r="L52" s="18">
        <v>0</v>
      </c>
    </row>
    <row r="53" spans="1:12" x14ac:dyDescent="0.25">
      <c r="A53" s="18">
        <v>1996</v>
      </c>
      <c r="B53" s="20" t="s">
        <v>24</v>
      </c>
      <c r="C53" s="20">
        <v>19</v>
      </c>
      <c r="D53" s="19" t="s">
        <v>311</v>
      </c>
      <c r="E53" s="19" t="s">
        <v>311</v>
      </c>
      <c r="F53" s="20">
        <v>0</v>
      </c>
      <c r="G53" s="20">
        <v>3550</v>
      </c>
      <c r="H53" s="20">
        <v>0</v>
      </c>
      <c r="I53" s="20">
        <v>60</v>
      </c>
      <c r="J53" s="18">
        <v>0</v>
      </c>
      <c r="K53" s="56" t="s">
        <v>1019</v>
      </c>
      <c r="L53" s="18">
        <v>0</v>
      </c>
    </row>
    <row r="54" spans="1:12" x14ac:dyDescent="0.25">
      <c r="A54" s="18">
        <v>1996</v>
      </c>
      <c r="B54" s="20" t="s">
        <v>24</v>
      </c>
      <c r="C54" s="20">
        <v>20</v>
      </c>
      <c r="D54" s="19" t="s">
        <v>317</v>
      </c>
      <c r="E54" s="19" t="s">
        <v>317</v>
      </c>
      <c r="F54" s="20">
        <v>0</v>
      </c>
      <c r="G54" s="20">
        <v>3500</v>
      </c>
      <c r="H54" s="20">
        <v>0</v>
      </c>
      <c r="I54" s="20">
        <v>50</v>
      </c>
      <c r="J54" s="18">
        <v>0</v>
      </c>
      <c r="K54" s="56" t="s">
        <v>736</v>
      </c>
      <c r="L54" s="18">
        <v>0</v>
      </c>
    </row>
    <row r="55" spans="1:12" x14ac:dyDescent="0.25">
      <c r="A55" s="18">
        <v>1996</v>
      </c>
      <c r="B55" s="20" t="s">
        <v>24</v>
      </c>
      <c r="C55" s="20">
        <v>21</v>
      </c>
      <c r="D55" s="19" t="s">
        <v>319</v>
      </c>
      <c r="E55" s="19" t="s">
        <v>319</v>
      </c>
      <c r="F55" s="20">
        <v>0</v>
      </c>
      <c r="G55" s="20">
        <v>3450</v>
      </c>
      <c r="H55" s="20">
        <v>0</v>
      </c>
      <c r="I55" s="20">
        <v>50</v>
      </c>
      <c r="J55" s="18">
        <v>0</v>
      </c>
      <c r="K55" s="56" t="s">
        <v>736</v>
      </c>
      <c r="L55" s="18">
        <v>0</v>
      </c>
    </row>
    <row r="56" spans="1:12" x14ac:dyDescent="0.25">
      <c r="A56" s="18">
        <v>1996</v>
      </c>
      <c r="B56" s="20" t="s">
        <v>24</v>
      </c>
      <c r="C56" s="20">
        <v>22</v>
      </c>
      <c r="D56" s="19" t="s">
        <v>317</v>
      </c>
      <c r="E56" s="19" t="s">
        <v>317</v>
      </c>
      <c r="F56" s="20">
        <v>0</v>
      </c>
      <c r="G56" s="20">
        <v>3500</v>
      </c>
      <c r="H56" s="20">
        <v>0</v>
      </c>
      <c r="I56" s="20">
        <v>50</v>
      </c>
      <c r="J56" s="18">
        <v>0</v>
      </c>
      <c r="K56" s="56" t="s">
        <v>736</v>
      </c>
      <c r="L56" s="18">
        <v>0</v>
      </c>
    </row>
    <row r="57" spans="1:12" x14ac:dyDescent="0.25">
      <c r="A57" s="18">
        <v>1996</v>
      </c>
      <c r="B57" s="20" t="s">
        <v>24</v>
      </c>
      <c r="C57" s="20">
        <v>23</v>
      </c>
      <c r="D57" s="19" t="s">
        <v>311</v>
      </c>
      <c r="E57" s="19" t="s">
        <v>311</v>
      </c>
      <c r="F57" s="20">
        <v>0</v>
      </c>
      <c r="G57" s="20">
        <v>3550</v>
      </c>
      <c r="H57" s="20">
        <v>0</v>
      </c>
      <c r="I57" s="20">
        <v>50</v>
      </c>
      <c r="J57" s="18">
        <v>0</v>
      </c>
      <c r="K57" s="56" t="s">
        <v>736</v>
      </c>
      <c r="L57" s="18">
        <v>0</v>
      </c>
    </row>
    <row r="58" spans="1:12" x14ac:dyDescent="0.25">
      <c r="A58" s="18">
        <v>1996</v>
      </c>
      <c r="B58" s="20" t="s">
        <v>24</v>
      </c>
      <c r="C58" s="20">
        <v>24</v>
      </c>
      <c r="D58" s="19" t="s">
        <v>317</v>
      </c>
      <c r="E58" s="19" t="s">
        <v>317</v>
      </c>
      <c r="F58" s="20">
        <v>0</v>
      </c>
      <c r="G58" s="20">
        <v>3500</v>
      </c>
      <c r="H58" s="20">
        <v>0</v>
      </c>
      <c r="I58" s="20">
        <v>40</v>
      </c>
      <c r="J58" s="18">
        <v>0</v>
      </c>
      <c r="K58" s="56" t="s">
        <v>736</v>
      </c>
      <c r="L58" s="18">
        <v>0</v>
      </c>
    </row>
    <row r="59" spans="1:12" x14ac:dyDescent="0.25">
      <c r="A59" s="18">
        <v>1996</v>
      </c>
      <c r="B59" s="20" t="s">
        <v>24</v>
      </c>
      <c r="C59" s="20">
        <v>25</v>
      </c>
      <c r="D59" s="19" t="s">
        <v>317</v>
      </c>
      <c r="E59" s="19" t="s">
        <v>317</v>
      </c>
      <c r="F59" s="20">
        <v>0</v>
      </c>
      <c r="G59" s="20">
        <v>3500</v>
      </c>
      <c r="H59" s="20">
        <v>0</v>
      </c>
      <c r="I59" s="20">
        <v>40</v>
      </c>
      <c r="J59" s="18">
        <v>0</v>
      </c>
      <c r="K59" s="56" t="s">
        <v>736</v>
      </c>
      <c r="L59" s="18">
        <v>0</v>
      </c>
    </row>
    <row r="60" spans="1:12" x14ac:dyDescent="0.25">
      <c r="A60" s="18">
        <v>1996</v>
      </c>
      <c r="B60" s="20" t="s">
        <v>24</v>
      </c>
      <c r="C60" s="20">
        <v>26</v>
      </c>
      <c r="D60" s="19" t="s">
        <v>319</v>
      </c>
      <c r="E60" s="19" t="s">
        <v>319</v>
      </c>
      <c r="F60" s="20">
        <v>0</v>
      </c>
      <c r="G60" s="20">
        <v>3450</v>
      </c>
      <c r="H60" s="20">
        <v>0</v>
      </c>
      <c r="I60" s="20">
        <v>40</v>
      </c>
      <c r="J60" s="18">
        <v>0</v>
      </c>
      <c r="K60" s="56" t="s">
        <v>736</v>
      </c>
      <c r="L60" s="18">
        <v>0</v>
      </c>
    </row>
    <row r="61" spans="1:12" x14ac:dyDescent="0.25">
      <c r="A61" s="18">
        <v>1996</v>
      </c>
      <c r="B61" s="20" t="s">
        <v>24</v>
      </c>
      <c r="C61" s="20">
        <v>27</v>
      </c>
      <c r="D61" s="19" t="s">
        <v>321</v>
      </c>
      <c r="E61" s="19" t="s">
        <v>321</v>
      </c>
      <c r="F61" s="20">
        <v>0</v>
      </c>
      <c r="G61" s="20">
        <v>3400</v>
      </c>
      <c r="H61" s="20">
        <v>0</v>
      </c>
      <c r="I61" s="20">
        <v>40</v>
      </c>
      <c r="J61" s="18">
        <v>0</v>
      </c>
      <c r="K61" s="56" t="s">
        <v>736</v>
      </c>
      <c r="L61" s="18">
        <v>0</v>
      </c>
    </row>
    <row r="62" spans="1:12" x14ac:dyDescent="0.25">
      <c r="A62" s="18">
        <v>1996</v>
      </c>
      <c r="B62" s="20" t="s">
        <v>24</v>
      </c>
      <c r="C62" s="20">
        <v>28</v>
      </c>
      <c r="D62" s="19" t="s">
        <v>426</v>
      </c>
      <c r="E62" s="19" t="s">
        <v>426</v>
      </c>
      <c r="F62" s="20">
        <v>0</v>
      </c>
      <c r="G62" s="20">
        <v>3300</v>
      </c>
      <c r="H62" s="20">
        <v>0</v>
      </c>
      <c r="I62" s="20">
        <v>40</v>
      </c>
      <c r="J62" s="18">
        <v>0</v>
      </c>
      <c r="K62" s="56" t="s">
        <v>736</v>
      </c>
      <c r="L62" s="18">
        <v>0</v>
      </c>
    </row>
    <row r="63" spans="1:12" x14ac:dyDescent="0.25">
      <c r="A63" s="18">
        <v>1996</v>
      </c>
      <c r="B63" s="20" t="s">
        <v>24</v>
      </c>
      <c r="C63" s="20">
        <v>29</v>
      </c>
      <c r="D63" s="19" t="s">
        <v>417</v>
      </c>
      <c r="E63" s="19" t="s">
        <v>417</v>
      </c>
      <c r="F63" s="20">
        <v>0</v>
      </c>
      <c r="G63" s="20">
        <v>3250</v>
      </c>
      <c r="H63" s="20">
        <v>0</v>
      </c>
      <c r="I63" s="20">
        <v>40</v>
      </c>
      <c r="J63" s="18">
        <v>0</v>
      </c>
      <c r="K63" s="56" t="s">
        <v>736</v>
      </c>
      <c r="L63" s="18">
        <v>0</v>
      </c>
    </row>
    <row r="64" spans="1:12" x14ac:dyDescent="0.25">
      <c r="A64" s="18">
        <v>1996</v>
      </c>
      <c r="B64" s="20" t="s">
        <v>25</v>
      </c>
      <c r="C64" s="20">
        <v>1</v>
      </c>
      <c r="D64" s="19" t="s">
        <v>427</v>
      </c>
      <c r="E64" s="19" t="s">
        <v>427</v>
      </c>
      <c r="F64" s="20">
        <v>0</v>
      </c>
      <c r="G64" s="20">
        <v>3200</v>
      </c>
      <c r="H64" s="20">
        <v>0</v>
      </c>
      <c r="I64" s="18">
        <v>0</v>
      </c>
      <c r="J64" s="19" t="s">
        <v>823</v>
      </c>
      <c r="K64" s="18">
        <v>0</v>
      </c>
      <c r="L64" s="18">
        <v>0</v>
      </c>
    </row>
    <row r="65" spans="1:12" x14ac:dyDescent="0.25">
      <c r="A65" s="18">
        <v>1996</v>
      </c>
      <c r="B65" s="20" t="s">
        <v>25</v>
      </c>
      <c r="C65" s="20">
        <v>2</v>
      </c>
      <c r="D65" s="19" t="s">
        <v>427</v>
      </c>
      <c r="E65" s="19" t="s">
        <v>427</v>
      </c>
      <c r="F65" s="20">
        <v>0</v>
      </c>
      <c r="G65" s="20">
        <v>3200</v>
      </c>
      <c r="H65" s="20">
        <v>0</v>
      </c>
      <c r="I65" s="18">
        <v>0</v>
      </c>
      <c r="J65" s="19" t="s">
        <v>1022</v>
      </c>
      <c r="K65" s="18">
        <v>0</v>
      </c>
      <c r="L65" s="18">
        <v>0</v>
      </c>
    </row>
    <row r="66" spans="1:12" x14ac:dyDescent="0.25">
      <c r="A66" s="18">
        <v>1996</v>
      </c>
      <c r="B66" s="20" t="s">
        <v>25</v>
      </c>
      <c r="C66" s="20">
        <v>3</v>
      </c>
      <c r="D66" s="19" t="s">
        <v>427</v>
      </c>
      <c r="E66" s="19" t="s">
        <v>427</v>
      </c>
      <c r="F66" s="20">
        <v>0</v>
      </c>
      <c r="G66" s="20">
        <v>3200</v>
      </c>
      <c r="H66" s="20">
        <v>0</v>
      </c>
      <c r="I66" s="18">
        <v>0</v>
      </c>
      <c r="J66" s="19" t="s">
        <v>1022</v>
      </c>
      <c r="K66" s="18">
        <v>0</v>
      </c>
      <c r="L66" s="18">
        <v>0</v>
      </c>
    </row>
    <row r="67" spans="1:12" x14ac:dyDescent="0.25">
      <c r="A67" s="18">
        <v>1996</v>
      </c>
      <c r="B67" s="20" t="s">
        <v>25</v>
      </c>
      <c r="C67" s="20">
        <v>4</v>
      </c>
      <c r="D67" s="19" t="s">
        <v>416</v>
      </c>
      <c r="E67" s="19" t="s">
        <v>416</v>
      </c>
      <c r="F67" s="20">
        <v>0</v>
      </c>
      <c r="G67" s="20">
        <v>3100</v>
      </c>
      <c r="H67" s="20">
        <v>0</v>
      </c>
      <c r="I67" s="18">
        <v>0</v>
      </c>
      <c r="J67" s="19" t="s">
        <v>1022</v>
      </c>
      <c r="K67" s="18">
        <v>0</v>
      </c>
      <c r="L67" s="18">
        <v>0</v>
      </c>
    </row>
    <row r="68" spans="1:12" x14ac:dyDescent="0.25">
      <c r="A68" s="18">
        <v>1996</v>
      </c>
      <c r="B68" s="20" t="s">
        <v>25</v>
      </c>
      <c r="C68" s="20">
        <v>5</v>
      </c>
      <c r="D68" s="19" t="s">
        <v>416</v>
      </c>
      <c r="E68" s="19" t="s">
        <v>416</v>
      </c>
      <c r="F68" s="20">
        <v>0</v>
      </c>
      <c r="G68" s="20">
        <v>3100</v>
      </c>
      <c r="H68" s="20">
        <v>0</v>
      </c>
      <c r="I68" s="18">
        <v>0</v>
      </c>
      <c r="J68" s="19" t="s">
        <v>1022</v>
      </c>
      <c r="K68" s="18">
        <v>0</v>
      </c>
      <c r="L68" s="18">
        <v>0</v>
      </c>
    </row>
    <row r="69" spans="1:12" x14ac:dyDescent="0.25">
      <c r="A69" s="18">
        <v>1996</v>
      </c>
      <c r="B69" s="20" t="s">
        <v>25</v>
      </c>
      <c r="C69" s="20">
        <v>6</v>
      </c>
      <c r="D69" s="19" t="s">
        <v>415</v>
      </c>
      <c r="E69" s="19" t="s">
        <v>415</v>
      </c>
      <c r="F69" s="20">
        <v>0</v>
      </c>
      <c r="G69" s="20">
        <v>3000</v>
      </c>
      <c r="H69" s="20">
        <v>0</v>
      </c>
      <c r="I69" s="18">
        <v>0</v>
      </c>
      <c r="J69" s="19" t="s">
        <v>1022</v>
      </c>
      <c r="K69" s="18">
        <v>0</v>
      </c>
      <c r="L69" s="18">
        <v>0</v>
      </c>
    </row>
    <row r="70" spans="1:12" x14ac:dyDescent="0.25">
      <c r="A70" s="18">
        <v>1996</v>
      </c>
      <c r="B70" s="20" t="s">
        <v>25</v>
      </c>
      <c r="C70" s="20">
        <v>7</v>
      </c>
      <c r="D70" s="19" t="s">
        <v>415</v>
      </c>
      <c r="E70" s="19" t="s">
        <v>415</v>
      </c>
      <c r="F70" s="20">
        <v>0</v>
      </c>
      <c r="G70" s="20">
        <v>3000</v>
      </c>
      <c r="H70" s="20">
        <v>0</v>
      </c>
      <c r="I70" s="18">
        <v>0</v>
      </c>
      <c r="J70" s="19" t="s">
        <v>1022</v>
      </c>
      <c r="K70" s="18">
        <v>0</v>
      </c>
      <c r="L70" s="18">
        <v>0</v>
      </c>
    </row>
    <row r="71" spans="1:12" x14ac:dyDescent="0.25">
      <c r="A71" s="18">
        <v>1996</v>
      </c>
      <c r="B71" s="20" t="s">
        <v>25</v>
      </c>
      <c r="C71" s="20">
        <v>8</v>
      </c>
      <c r="D71" s="19" t="s">
        <v>414</v>
      </c>
      <c r="E71" s="19" t="s">
        <v>414</v>
      </c>
      <c r="F71" s="20">
        <v>0</v>
      </c>
      <c r="G71" s="20">
        <v>2900</v>
      </c>
      <c r="H71" s="20">
        <v>0</v>
      </c>
      <c r="I71" s="18">
        <v>0</v>
      </c>
      <c r="J71" s="19" t="s">
        <v>1022</v>
      </c>
      <c r="K71" s="18">
        <v>0</v>
      </c>
      <c r="L71" s="18">
        <v>0</v>
      </c>
    </row>
    <row r="72" spans="1:12" x14ac:dyDescent="0.25">
      <c r="A72" s="18">
        <v>1996</v>
      </c>
      <c r="B72" s="20" t="s">
        <v>25</v>
      </c>
      <c r="C72" s="20">
        <v>9</v>
      </c>
      <c r="D72" s="19" t="s">
        <v>414</v>
      </c>
      <c r="E72" s="19" t="s">
        <v>414</v>
      </c>
      <c r="F72" s="20">
        <v>0</v>
      </c>
      <c r="G72" s="20">
        <v>2900</v>
      </c>
      <c r="H72" s="20">
        <v>0</v>
      </c>
      <c r="I72" s="18">
        <v>0</v>
      </c>
      <c r="J72" s="19" t="s">
        <v>1023</v>
      </c>
      <c r="K72" s="18">
        <v>0</v>
      </c>
      <c r="L72" s="18">
        <v>0</v>
      </c>
    </row>
    <row r="73" spans="1:12" x14ac:dyDescent="0.25">
      <c r="A73" s="18">
        <v>1996</v>
      </c>
      <c r="B73" s="20" t="s">
        <v>25</v>
      </c>
      <c r="C73" s="20">
        <v>10</v>
      </c>
      <c r="D73" s="19" t="s">
        <v>413</v>
      </c>
      <c r="E73" s="19" t="s">
        <v>413</v>
      </c>
      <c r="F73" s="20">
        <v>0</v>
      </c>
      <c r="G73" s="20">
        <v>2800</v>
      </c>
      <c r="H73" s="20">
        <v>0</v>
      </c>
      <c r="I73" s="18">
        <v>0</v>
      </c>
      <c r="J73" s="19" t="s">
        <v>1023</v>
      </c>
      <c r="K73" s="18">
        <v>0</v>
      </c>
      <c r="L73" s="18">
        <v>0</v>
      </c>
    </row>
    <row r="74" spans="1:12" x14ac:dyDescent="0.25">
      <c r="A74" s="18">
        <v>1996</v>
      </c>
      <c r="B74" s="20" t="s">
        <v>25</v>
      </c>
      <c r="C74" s="20">
        <v>11</v>
      </c>
      <c r="D74" s="19" t="s">
        <v>413</v>
      </c>
      <c r="E74" s="19" t="s">
        <v>413</v>
      </c>
      <c r="F74" s="20">
        <v>0</v>
      </c>
      <c r="G74" s="20">
        <v>2800</v>
      </c>
      <c r="H74" s="20">
        <v>0</v>
      </c>
      <c r="I74" s="18">
        <v>0</v>
      </c>
      <c r="J74" s="19" t="s">
        <v>1023</v>
      </c>
      <c r="K74" s="18">
        <v>0</v>
      </c>
      <c r="L74" s="18">
        <v>0</v>
      </c>
    </row>
    <row r="75" spans="1:12" x14ac:dyDescent="0.25">
      <c r="A75" s="18">
        <v>1996</v>
      </c>
      <c r="B75" s="20" t="s">
        <v>25</v>
      </c>
      <c r="C75" s="20">
        <v>12</v>
      </c>
      <c r="D75" s="22" t="s">
        <v>122</v>
      </c>
      <c r="E75" s="22" t="s">
        <v>413</v>
      </c>
      <c r="F75" s="20">
        <v>0</v>
      </c>
      <c r="G75" s="22" t="s">
        <v>1020</v>
      </c>
      <c r="H75" s="20">
        <v>0</v>
      </c>
      <c r="I75" s="18">
        <v>0</v>
      </c>
      <c r="J75" s="22" t="s">
        <v>1023</v>
      </c>
      <c r="K75" s="18">
        <v>0</v>
      </c>
      <c r="L75" s="18">
        <v>0</v>
      </c>
    </row>
    <row r="76" spans="1:12" x14ac:dyDescent="0.25">
      <c r="A76" s="18">
        <v>1996</v>
      </c>
      <c r="B76" s="20" t="s">
        <v>25</v>
      </c>
      <c r="C76" s="20">
        <v>13</v>
      </c>
      <c r="D76" s="22" t="s">
        <v>122</v>
      </c>
      <c r="E76" s="22" t="s">
        <v>413</v>
      </c>
      <c r="F76" s="20">
        <v>0</v>
      </c>
      <c r="G76" s="22" t="s">
        <v>1020</v>
      </c>
      <c r="H76" s="20">
        <v>0</v>
      </c>
      <c r="I76" s="18">
        <v>0</v>
      </c>
      <c r="J76" s="22" t="s">
        <v>1023</v>
      </c>
      <c r="K76" s="18">
        <v>0</v>
      </c>
      <c r="L76" s="18">
        <v>0</v>
      </c>
    </row>
    <row r="77" spans="1:12" x14ac:dyDescent="0.25">
      <c r="A77" s="18">
        <v>1996</v>
      </c>
      <c r="B77" s="20" t="s">
        <v>25</v>
      </c>
      <c r="C77" s="20">
        <v>14</v>
      </c>
      <c r="D77" s="22" t="s">
        <v>122</v>
      </c>
      <c r="E77" s="22" t="s">
        <v>527</v>
      </c>
      <c r="F77" s="20">
        <v>0</v>
      </c>
      <c r="G77" s="22" t="s">
        <v>1021</v>
      </c>
      <c r="H77" s="20">
        <v>0</v>
      </c>
      <c r="I77" s="18">
        <v>0</v>
      </c>
      <c r="J77" s="22" t="s">
        <v>1023</v>
      </c>
      <c r="K77" s="18">
        <v>0</v>
      </c>
      <c r="L77" s="18">
        <v>0</v>
      </c>
    </row>
    <row r="78" spans="1:12" x14ac:dyDescent="0.25">
      <c r="A78" s="18">
        <v>1996</v>
      </c>
      <c r="B78" s="20" t="s">
        <v>25</v>
      </c>
      <c r="C78" s="21">
        <v>15</v>
      </c>
      <c r="D78" s="22" t="s">
        <v>122</v>
      </c>
      <c r="E78" s="22" t="s">
        <v>527</v>
      </c>
      <c r="F78" s="20">
        <v>0</v>
      </c>
      <c r="G78" s="22" t="s">
        <v>1021</v>
      </c>
      <c r="H78" s="20">
        <v>0</v>
      </c>
      <c r="I78" s="18">
        <v>0</v>
      </c>
      <c r="J78" s="22" t="s">
        <v>1023</v>
      </c>
      <c r="K78" s="18">
        <v>0</v>
      </c>
      <c r="L78" s="18">
        <v>0</v>
      </c>
    </row>
    <row r="79" spans="1:12" x14ac:dyDescent="0.25">
      <c r="A79" s="18">
        <v>1996</v>
      </c>
      <c r="B79" s="20" t="s">
        <v>25</v>
      </c>
      <c r="C79" s="20">
        <v>16</v>
      </c>
      <c r="D79" s="22" t="s">
        <v>527</v>
      </c>
      <c r="E79" s="22" t="s">
        <v>527</v>
      </c>
      <c r="F79" s="20">
        <v>0</v>
      </c>
      <c r="G79" s="20">
        <v>2700</v>
      </c>
      <c r="H79" s="20">
        <v>0</v>
      </c>
      <c r="I79" s="18">
        <v>0</v>
      </c>
      <c r="J79" s="19" t="s">
        <v>736</v>
      </c>
      <c r="K79" s="18">
        <v>0</v>
      </c>
      <c r="L79" s="18">
        <v>0</v>
      </c>
    </row>
    <row r="80" spans="1:12" x14ac:dyDescent="0.25">
      <c r="A80" s="18">
        <v>1996</v>
      </c>
      <c r="B80" s="20" t="s">
        <v>25</v>
      </c>
      <c r="C80" s="20">
        <v>17</v>
      </c>
      <c r="D80" s="22" t="s">
        <v>527</v>
      </c>
      <c r="E80" s="22" t="s">
        <v>527</v>
      </c>
      <c r="F80" s="20">
        <v>0</v>
      </c>
      <c r="G80" s="20">
        <v>2700</v>
      </c>
      <c r="H80" s="20">
        <v>0</v>
      </c>
      <c r="I80" s="18">
        <v>0</v>
      </c>
      <c r="J80" s="19" t="s">
        <v>736</v>
      </c>
      <c r="K80" s="18">
        <v>0</v>
      </c>
      <c r="L80" s="18">
        <v>0</v>
      </c>
    </row>
    <row r="81" spans="1:12" x14ac:dyDescent="0.25">
      <c r="A81" s="18">
        <v>1996</v>
      </c>
      <c r="B81" s="20" t="s">
        <v>25</v>
      </c>
      <c r="C81" s="20">
        <v>18</v>
      </c>
      <c r="D81" s="22" t="s">
        <v>527</v>
      </c>
      <c r="E81" s="22" t="s">
        <v>527</v>
      </c>
      <c r="F81" s="20">
        <v>0</v>
      </c>
      <c r="G81" s="20">
        <v>2700</v>
      </c>
      <c r="H81" s="20">
        <v>0</v>
      </c>
      <c r="I81" s="18">
        <v>0</v>
      </c>
      <c r="J81" s="19" t="s">
        <v>736</v>
      </c>
      <c r="K81" s="18">
        <v>0</v>
      </c>
      <c r="L81" s="18">
        <v>0</v>
      </c>
    </row>
    <row r="82" spans="1:12" x14ac:dyDescent="0.25">
      <c r="A82" s="18">
        <v>1996</v>
      </c>
      <c r="B82" s="20" t="s">
        <v>25</v>
      </c>
      <c r="C82" s="20">
        <v>19</v>
      </c>
      <c r="D82" s="22" t="s">
        <v>527</v>
      </c>
      <c r="E82" s="22" t="s">
        <v>527</v>
      </c>
      <c r="F82" s="20">
        <v>0</v>
      </c>
      <c r="G82" s="20">
        <v>2700</v>
      </c>
      <c r="H82" s="20">
        <v>0</v>
      </c>
      <c r="I82" s="18">
        <v>0</v>
      </c>
      <c r="J82" s="19" t="s">
        <v>736</v>
      </c>
      <c r="K82" s="18">
        <v>0</v>
      </c>
      <c r="L82" s="18">
        <v>0</v>
      </c>
    </row>
    <row r="83" spans="1:12" x14ac:dyDescent="0.25">
      <c r="A83" s="18">
        <v>1996</v>
      </c>
      <c r="B83" s="20" t="s">
        <v>25</v>
      </c>
      <c r="C83" s="20">
        <v>20</v>
      </c>
      <c r="D83" s="22" t="s">
        <v>527</v>
      </c>
      <c r="E83" s="22"/>
      <c r="F83" s="22"/>
      <c r="G83" s="20">
        <v>2700</v>
      </c>
      <c r="H83" s="20"/>
      <c r="I83" s="19"/>
      <c r="J83" s="56"/>
      <c r="K83" s="56"/>
      <c r="L83" s="56"/>
    </row>
    <row r="84" spans="1:12" x14ac:dyDescent="0.25">
      <c r="A84" s="18">
        <v>1996</v>
      </c>
      <c r="B84" s="20" t="s">
        <v>25</v>
      </c>
      <c r="C84" s="20">
        <v>21</v>
      </c>
      <c r="D84" s="22" t="s">
        <v>527</v>
      </c>
      <c r="E84" s="22"/>
      <c r="F84" s="22"/>
      <c r="G84" s="20">
        <v>2700</v>
      </c>
      <c r="H84" s="20"/>
      <c r="I84" s="19"/>
      <c r="J84" s="56"/>
      <c r="K84" s="56"/>
      <c r="L84" s="56"/>
    </row>
    <row r="85" spans="1:12" x14ac:dyDescent="0.25">
      <c r="A85" s="18">
        <v>1996</v>
      </c>
      <c r="B85" s="20" t="s">
        <v>25</v>
      </c>
      <c r="C85" s="20">
        <v>22</v>
      </c>
      <c r="D85" s="22" t="s">
        <v>527</v>
      </c>
      <c r="E85" s="22"/>
      <c r="F85" s="22"/>
      <c r="G85" s="20">
        <v>2700</v>
      </c>
      <c r="H85" s="20"/>
      <c r="I85" s="19"/>
      <c r="J85" s="56"/>
      <c r="K85" s="56"/>
      <c r="L85" s="56"/>
    </row>
    <row r="86" spans="1:12" x14ac:dyDescent="0.25">
      <c r="A86" s="18">
        <v>1996</v>
      </c>
      <c r="B86" s="20" t="s">
        <v>25</v>
      </c>
      <c r="C86" s="20">
        <v>23</v>
      </c>
      <c r="D86" s="22" t="s">
        <v>527</v>
      </c>
      <c r="E86" s="22"/>
      <c r="F86" s="22"/>
      <c r="G86" s="20">
        <v>2700</v>
      </c>
      <c r="H86" s="20"/>
      <c r="I86" s="19"/>
      <c r="J86" s="56"/>
      <c r="K86" s="56"/>
      <c r="L86" s="56"/>
    </row>
    <row r="87" spans="1:12" x14ac:dyDescent="0.25">
      <c r="A87" s="18">
        <v>1996</v>
      </c>
      <c r="B87" s="20" t="s">
        <v>25</v>
      </c>
      <c r="C87" s="20">
        <v>24</v>
      </c>
      <c r="D87" s="22" t="s">
        <v>527</v>
      </c>
      <c r="E87" s="22"/>
      <c r="F87" s="22"/>
      <c r="G87" s="20">
        <v>2700</v>
      </c>
      <c r="H87" s="20"/>
      <c r="I87" s="19"/>
      <c r="J87" s="56"/>
      <c r="K87" s="56"/>
      <c r="L87" s="56"/>
    </row>
    <row r="88" spans="1:12" x14ac:dyDescent="0.25">
      <c r="A88" s="18">
        <v>1996</v>
      </c>
      <c r="B88" s="20" t="s">
        <v>25</v>
      </c>
      <c r="C88" s="20">
        <v>25</v>
      </c>
      <c r="D88" s="22" t="s">
        <v>527</v>
      </c>
      <c r="E88" s="22"/>
      <c r="F88" s="22"/>
      <c r="G88" s="20">
        <v>2700</v>
      </c>
      <c r="H88" s="20"/>
      <c r="I88" s="19"/>
      <c r="J88" s="56"/>
      <c r="K88" s="56"/>
      <c r="L88" s="56"/>
    </row>
    <row r="89" spans="1:12" x14ac:dyDescent="0.25">
      <c r="A89" s="18">
        <v>1996</v>
      </c>
      <c r="B89" s="20" t="s">
        <v>25</v>
      </c>
      <c r="C89" s="20">
        <v>26</v>
      </c>
      <c r="D89" s="22" t="s">
        <v>527</v>
      </c>
      <c r="E89" s="22"/>
      <c r="F89" s="22"/>
      <c r="G89" s="20">
        <v>2700</v>
      </c>
      <c r="H89" s="20"/>
      <c r="I89" s="19"/>
      <c r="J89" s="56"/>
      <c r="K89" s="56"/>
      <c r="L89" s="56"/>
    </row>
    <row r="90" spans="1:12" x14ac:dyDescent="0.25">
      <c r="A90" s="18">
        <v>1996</v>
      </c>
      <c r="B90" s="20" t="s">
        <v>25</v>
      </c>
      <c r="C90" s="20">
        <v>27</v>
      </c>
      <c r="D90" s="22" t="s">
        <v>527</v>
      </c>
      <c r="E90" s="22"/>
      <c r="F90" s="22"/>
      <c r="G90" s="20">
        <v>2700</v>
      </c>
      <c r="H90" s="20"/>
      <c r="I90" s="19"/>
      <c r="J90" s="56"/>
      <c r="K90" s="56"/>
      <c r="L90" s="56"/>
    </row>
    <row r="91" spans="1:12" x14ac:dyDescent="0.25">
      <c r="A91" s="18">
        <v>1996</v>
      </c>
      <c r="B91" s="20" t="s">
        <v>25</v>
      </c>
      <c r="C91" s="20">
        <v>28</v>
      </c>
      <c r="D91" s="22" t="s">
        <v>527</v>
      </c>
      <c r="E91" s="22"/>
      <c r="F91" s="22"/>
      <c r="G91" s="20">
        <v>2700</v>
      </c>
      <c r="H91" s="20"/>
      <c r="I91" s="19"/>
      <c r="J91" s="56"/>
      <c r="K91" s="56"/>
      <c r="L91" s="56"/>
    </row>
    <row r="92" spans="1:12" x14ac:dyDescent="0.25">
      <c r="A92" s="18">
        <v>1996</v>
      </c>
      <c r="B92" s="20" t="s">
        <v>25</v>
      </c>
      <c r="C92" s="20">
        <v>29</v>
      </c>
      <c r="D92" s="22" t="s">
        <v>122</v>
      </c>
      <c r="E92" s="22"/>
      <c r="F92" s="22"/>
      <c r="G92" s="22" t="s">
        <v>122</v>
      </c>
      <c r="H92" s="22"/>
      <c r="I92" s="22"/>
      <c r="J92" s="56"/>
      <c r="K92" s="56"/>
      <c r="L92" s="56"/>
    </row>
    <row r="93" spans="1:12" x14ac:dyDescent="0.25">
      <c r="A93" s="18">
        <v>1996</v>
      </c>
      <c r="B93" s="20" t="s">
        <v>25</v>
      </c>
      <c r="C93" s="20">
        <v>30</v>
      </c>
      <c r="D93" s="22" t="s">
        <v>122</v>
      </c>
      <c r="E93" s="22"/>
      <c r="F93" s="22"/>
      <c r="G93" s="22" t="s">
        <v>122</v>
      </c>
      <c r="H93" s="22"/>
      <c r="I93" s="22"/>
      <c r="J93" s="56"/>
      <c r="K93" s="56"/>
      <c r="L93" s="56"/>
    </row>
    <row r="94" spans="1:12" x14ac:dyDescent="0.25">
      <c r="A94" s="18">
        <v>1996</v>
      </c>
      <c r="B94" s="20" t="s">
        <v>25</v>
      </c>
      <c r="C94" s="20">
        <v>31</v>
      </c>
      <c r="D94" s="22" t="s">
        <v>122</v>
      </c>
      <c r="E94" s="22"/>
      <c r="F94" s="22"/>
      <c r="G94" s="22" t="s">
        <v>122</v>
      </c>
      <c r="H94" s="22"/>
      <c r="I94" s="22"/>
      <c r="J94" s="56"/>
      <c r="K94" s="56"/>
      <c r="L94" s="56"/>
    </row>
    <row r="95" spans="1:12" x14ac:dyDescent="0.25">
      <c r="A95" s="18">
        <v>1996</v>
      </c>
      <c r="B95" s="20" t="s">
        <v>26</v>
      </c>
      <c r="C95" s="20">
        <v>1</v>
      </c>
      <c r="D95" s="22" t="s">
        <v>413</v>
      </c>
      <c r="E95" s="22" t="s">
        <v>413</v>
      </c>
      <c r="F95" s="25">
        <v>0</v>
      </c>
      <c r="G95" s="25">
        <v>2800</v>
      </c>
      <c r="H95" s="25">
        <v>0</v>
      </c>
      <c r="I95" s="25">
        <v>0</v>
      </c>
      <c r="J95" s="18">
        <v>0</v>
      </c>
      <c r="K95" s="18">
        <v>0</v>
      </c>
      <c r="L95" s="56"/>
    </row>
    <row r="96" spans="1:12" x14ac:dyDescent="0.25">
      <c r="A96" s="18">
        <v>1996</v>
      </c>
      <c r="B96" s="20" t="s">
        <v>26</v>
      </c>
      <c r="C96" s="20">
        <v>2</v>
      </c>
      <c r="D96" s="22" t="s">
        <v>413</v>
      </c>
      <c r="E96" s="22" t="s">
        <v>413</v>
      </c>
      <c r="F96" s="25">
        <v>0</v>
      </c>
      <c r="G96" s="25">
        <v>2800</v>
      </c>
      <c r="H96" s="25">
        <v>0</v>
      </c>
      <c r="I96" s="25">
        <v>0</v>
      </c>
      <c r="J96" s="18">
        <v>0</v>
      </c>
      <c r="K96" s="18">
        <v>0</v>
      </c>
      <c r="L96" s="56"/>
    </row>
    <row r="97" spans="1:12" x14ac:dyDescent="0.25">
      <c r="A97" s="18">
        <v>1996</v>
      </c>
      <c r="B97" s="20" t="s">
        <v>26</v>
      </c>
      <c r="C97" s="20">
        <v>3</v>
      </c>
      <c r="D97" s="22" t="s">
        <v>413</v>
      </c>
      <c r="E97" s="22" t="s">
        <v>413</v>
      </c>
      <c r="F97" s="25">
        <v>0</v>
      </c>
      <c r="G97" s="25">
        <v>2800</v>
      </c>
      <c r="H97" s="25">
        <v>0</v>
      </c>
      <c r="I97" s="25">
        <v>0</v>
      </c>
      <c r="J97" s="18">
        <v>0</v>
      </c>
      <c r="K97" s="18">
        <v>0</v>
      </c>
      <c r="L97" s="56"/>
    </row>
    <row r="98" spans="1:12" x14ac:dyDescent="0.25">
      <c r="A98" s="18">
        <v>1996</v>
      </c>
      <c r="B98" s="20" t="s">
        <v>26</v>
      </c>
      <c r="C98" s="20">
        <v>4</v>
      </c>
      <c r="D98" s="22" t="s">
        <v>413</v>
      </c>
      <c r="E98" s="22" t="s">
        <v>413</v>
      </c>
      <c r="F98" s="25">
        <v>0</v>
      </c>
      <c r="G98" s="25">
        <v>2800</v>
      </c>
      <c r="H98" s="25">
        <v>0</v>
      </c>
      <c r="I98" s="25">
        <v>0</v>
      </c>
      <c r="J98" s="18">
        <v>0</v>
      </c>
      <c r="K98" s="18">
        <v>0</v>
      </c>
      <c r="L98" s="56"/>
    </row>
    <row r="99" spans="1:12" x14ac:dyDescent="0.25">
      <c r="A99" s="18">
        <v>1996</v>
      </c>
      <c r="B99" s="20" t="s">
        <v>26</v>
      </c>
      <c r="C99" s="20">
        <v>5</v>
      </c>
      <c r="D99" s="22" t="s">
        <v>413</v>
      </c>
      <c r="E99" s="22" t="s">
        <v>413</v>
      </c>
      <c r="F99" s="25">
        <v>0</v>
      </c>
      <c r="G99" s="25">
        <v>2800</v>
      </c>
      <c r="H99" s="25">
        <v>0</v>
      </c>
      <c r="I99" s="25">
        <v>0</v>
      </c>
      <c r="J99" s="18">
        <v>0</v>
      </c>
      <c r="K99" s="18">
        <v>0</v>
      </c>
      <c r="L99" s="56"/>
    </row>
    <row r="100" spans="1:12" x14ac:dyDescent="0.25">
      <c r="A100" s="18">
        <v>1996</v>
      </c>
      <c r="B100" s="20" t="s">
        <v>26</v>
      </c>
      <c r="C100" s="20">
        <v>6</v>
      </c>
      <c r="D100" s="22" t="s">
        <v>413</v>
      </c>
      <c r="E100" s="22" t="s">
        <v>413</v>
      </c>
      <c r="F100" s="25">
        <v>0</v>
      </c>
      <c r="G100" s="25">
        <v>2800</v>
      </c>
      <c r="H100" s="25">
        <v>0</v>
      </c>
      <c r="I100" s="25">
        <v>0</v>
      </c>
      <c r="J100" s="18">
        <v>0</v>
      </c>
      <c r="K100" s="18">
        <v>0</v>
      </c>
      <c r="L100" s="56"/>
    </row>
    <row r="101" spans="1:12" x14ac:dyDescent="0.25">
      <c r="A101" s="18">
        <v>1996</v>
      </c>
      <c r="B101" s="20" t="s">
        <v>26</v>
      </c>
      <c r="C101" s="20">
        <v>7</v>
      </c>
      <c r="D101" s="22" t="s">
        <v>413</v>
      </c>
      <c r="E101" s="22" t="s">
        <v>413</v>
      </c>
      <c r="F101" s="25">
        <v>0</v>
      </c>
      <c r="G101" s="25">
        <v>2800</v>
      </c>
      <c r="H101" s="25">
        <v>0</v>
      </c>
      <c r="I101" s="25">
        <v>0</v>
      </c>
      <c r="J101" s="18">
        <v>0</v>
      </c>
      <c r="K101" s="18">
        <v>0</v>
      </c>
      <c r="L101" s="56"/>
    </row>
    <row r="102" spans="1:12" x14ac:dyDescent="0.25">
      <c r="A102" s="18">
        <v>1996</v>
      </c>
      <c r="B102" s="20" t="s">
        <v>26</v>
      </c>
      <c r="C102" s="20">
        <v>8</v>
      </c>
      <c r="D102" s="22" t="s">
        <v>413</v>
      </c>
      <c r="E102" s="22" t="s">
        <v>413</v>
      </c>
      <c r="F102" s="25">
        <v>0</v>
      </c>
      <c r="G102" s="25">
        <v>2800</v>
      </c>
      <c r="H102" s="25">
        <v>0</v>
      </c>
      <c r="I102" s="25">
        <v>0</v>
      </c>
      <c r="J102" s="18">
        <v>0</v>
      </c>
      <c r="K102" s="18">
        <v>0</v>
      </c>
      <c r="L102" s="56"/>
    </row>
    <row r="103" spans="1:12" x14ac:dyDescent="0.25">
      <c r="A103" s="18">
        <v>1996</v>
      </c>
      <c r="B103" s="20" t="s">
        <v>26</v>
      </c>
      <c r="C103" s="20">
        <v>9</v>
      </c>
      <c r="D103" s="22" t="s">
        <v>413</v>
      </c>
      <c r="E103" s="22" t="s">
        <v>413</v>
      </c>
      <c r="F103" s="25">
        <v>0</v>
      </c>
      <c r="G103" s="25">
        <v>2800</v>
      </c>
      <c r="H103" s="25">
        <v>0</v>
      </c>
      <c r="I103" s="25">
        <v>0</v>
      </c>
      <c r="J103" s="18">
        <v>0</v>
      </c>
      <c r="K103" s="18">
        <v>0</v>
      </c>
      <c r="L103" s="56"/>
    </row>
    <row r="104" spans="1:12" x14ac:dyDescent="0.25">
      <c r="A104" s="18">
        <v>1996</v>
      </c>
      <c r="B104" s="20" t="s">
        <v>26</v>
      </c>
      <c r="C104" s="20">
        <v>10</v>
      </c>
      <c r="D104" s="22" t="s">
        <v>413</v>
      </c>
      <c r="E104" s="22" t="s">
        <v>413</v>
      </c>
      <c r="F104" s="25">
        <v>0</v>
      </c>
      <c r="G104" s="25">
        <v>2800</v>
      </c>
      <c r="H104" s="25">
        <v>0</v>
      </c>
      <c r="I104" s="25">
        <v>0</v>
      </c>
      <c r="J104" s="18">
        <v>0</v>
      </c>
      <c r="K104" s="18">
        <v>0</v>
      </c>
      <c r="L104" s="56"/>
    </row>
    <row r="105" spans="1:12" x14ac:dyDescent="0.25">
      <c r="A105" s="18">
        <v>1996</v>
      </c>
      <c r="B105" s="20" t="s">
        <v>26</v>
      </c>
      <c r="C105" s="20">
        <v>11</v>
      </c>
      <c r="D105" s="22" t="s">
        <v>413</v>
      </c>
      <c r="E105" s="22" t="s">
        <v>413</v>
      </c>
      <c r="F105" s="25">
        <v>0</v>
      </c>
      <c r="G105" s="25">
        <v>2800</v>
      </c>
      <c r="H105" s="25">
        <v>0</v>
      </c>
      <c r="I105" s="25">
        <v>0</v>
      </c>
      <c r="J105" s="18">
        <v>0</v>
      </c>
      <c r="K105" s="18">
        <v>0</v>
      </c>
      <c r="L105" s="56"/>
    </row>
    <row r="106" spans="1:12" x14ac:dyDescent="0.25">
      <c r="A106" s="18">
        <v>1996</v>
      </c>
      <c r="B106" s="20" t="s">
        <v>26</v>
      </c>
      <c r="C106" s="20">
        <v>12</v>
      </c>
      <c r="D106" s="22" t="s">
        <v>426</v>
      </c>
      <c r="E106" s="22" t="s">
        <v>426</v>
      </c>
      <c r="F106" s="25">
        <v>0</v>
      </c>
      <c r="G106" s="25">
        <v>3300</v>
      </c>
      <c r="H106" s="25">
        <v>0</v>
      </c>
      <c r="I106" s="25">
        <v>0</v>
      </c>
      <c r="J106" s="18">
        <v>0</v>
      </c>
      <c r="K106" s="18">
        <v>0</v>
      </c>
      <c r="L106" s="56"/>
    </row>
    <row r="107" spans="1:12" x14ac:dyDescent="0.25">
      <c r="A107" s="18">
        <v>1996</v>
      </c>
      <c r="B107" s="20" t="s">
        <v>26</v>
      </c>
      <c r="C107" s="20">
        <v>13</v>
      </c>
      <c r="D107" s="22" t="s">
        <v>319</v>
      </c>
      <c r="E107" s="22" t="s">
        <v>319</v>
      </c>
      <c r="F107" s="25">
        <v>0</v>
      </c>
      <c r="G107" s="25">
        <v>3450</v>
      </c>
      <c r="H107" s="25">
        <v>0</v>
      </c>
      <c r="I107" s="25">
        <v>0</v>
      </c>
      <c r="J107" s="18">
        <v>0</v>
      </c>
      <c r="K107" s="18">
        <v>0</v>
      </c>
      <c r="L107" s="56"/>
    </row>
    <row r="108" spans="1:12" x14ac:dyDescent="0.25">
      <c r="A108" s="18">
        <v>1996</v>
      </c>
      <c r="B108" s="20" t="s">
        <v>26</v>
      </c>
      <c r="C108" s="20">
        <v>14</v>
      </c>
      <c r="D108" s="22" t="s">
        <v>311</v>
      </c>
      <c r="E108" s="22" t="s">
        <v>311</v>
      </c>
      <c r="F108" s="25">
        <v>0</v>
      </c>
      <c r="G108" s="25">
        <v>3550</v>
      </c>
      <c r="H108" s="25">
        <v>0</v>
      </c>
      <c r="I108" s="25">
        <v>0</v>
      </c>
      <c r="J108" s="18">
        <v>0</v>
      </c>
      <c r="K108" s="18">
        <v>0</v>
      </c>
      <c r="L108" s="56"/>
    </row>
    <row r="109" spans="1:12" x14ac:dyDescent="0.25">
      <c r="A109" s="18">
        <v>1996</v>
      </c>
      <c r="B109" s="20" t="s">
        <v>26</v>
      </c>
      <c r="C109" s="20">
        <v>15</v>
      </c>
      <c r="D109" s="22" t="s">
        <v>311</v>
      </c>
      <c r="E109" s="22" t="s">
        <v>311</v>
      </c>
      <c r="F109" s="25">
        <v>0</v>
      </c>
      <c r="G109" s="25">
        <v>3550</v>
      </c>
      <c r="H109" s="25">
        <v>0</v>
      </c>
      <c r="I109" s="25">
        <v>0</v>
      </c>
      <c r="J109" s="18">
        <v>0</v>
      </c>
      <c r="K109" s="18">
        <v>0</v>
      </c>
      <c r="L109" s="56"/>
    </row>
    <row r="110" spans="1:12" x14ac:dyDescent="0.25">
      <c r="A110" s="18">
        <v>1996</v>
      </c>
      <c r="B110" s="20" t="s">
        <v>26</v>
      </c>
      <c r="C110" s="20">
        <v>16</v>
      </c>
      <c r="D110" s="22" t="s">
        <v>510</v>
      </c>
      <c r="E110" s="22" t="s">
        <v>510</v>
      </c>
      <c r="F110" s="25">
        <v>0</v>
      </c>
      <c r="G110" s="25">
        <v>3600</v>
      </c>
      <c r="H110" s="25">
        <v>0</v>
      </c>
      <c r="I110" s="25">
        <v>0</v>
      </c>
      <c r="J110" s="18">
        <v>0</v>
      </c>
      <c r="K110" s="18">
        <v>0</v>
      </c>
      <c r="L110" s="56"/>
    </row>
    <row r="111" spans="1:12" x14ac:dyDescent="0.25">
      <c r="A111" s="18">
        <v>1996</v>
      </c>
      <c r="B111" s="20" t="s">
        <v>26</v>
      </c>
      <c r="C111" s="20">
        <v>17</v>
      </c>
      <c r="D111" s="22" t="s">
        <v>304</v>
      </c>
      <c r="E111" s="22" t="s">
        <v>304</v>
      </c>
      <c r="F111" s="25">
        <v>0</v>
      </c>
      <c r="G111" s="25">
        <v>3650</v>
      </c>
      <c r="H111" s="25">
        <v>0</v>
      </c>
      <c r="I111" s="25">
        <v>0</v>
      </c>
      <c r="J111" s="18">
        <v>0</v>
      </c>
      <c r="K111" s="18">
        <v>0</v>
      </c>
      <c r="L111" s="56"/>
    </row>
    <row r="112" spans="1:12" x14ac:dyDescent="0.25">
      <c r="A112" s="18">
        <v>1996</v>
      </c>
      <c r="B112" s="20" t="s">
        <v>26</v>
      </c>
      <c r="C112" s="20">
        <v>18</v>
      </c>
      <c r="D112" s="22" t="s">
        <v>300</v>
      </c>
      <c r="E112" s="22" t="s">
        <v>300</v>
      </c>
      <c r="F112" s="25">
        <v>0</v>
      </c>
      <c r="G112" s="25">
        <v>3700</v>
      </c>
      <c r="H112" s="25">
        <v>0</v>
      </c>
      <c r="I112" s="25">
        <v>0</v>
      </c>
      <c r="J112" s="18">
        <v>0</v>
      </c>
      <c r="K112" s="18">
        <v>0</v>
      </c>
      <c r="L112" s="56"/>
    </row>
    <row r="113" spans="1:12" x14ac:dyDescent="0.25">
      <c r="A113" s="18">
        <v>1996</v>
      </c>
      <c r="B113" s="20" t="s">
        <v>26</v>
      </c>
      <c r="C113" s="20">
        <v>19</v>
      </c>
      <c r="D113" s="22" t="s">
        <v>290</v>
      </c>
      <c r="E113" s="22" t="s">
        <v>290</v>
      </c>
      <c r="F113" s="25">
        <v>0</v>
      </c>
      <c r="G113" s="20">
        <v>4100</v>
      </c>
      <c r="H113" s="25">
        <v>0</v>
      </c>
      <c r="I113" s="25">
        <v>0</v>
      </c>
      <c r="J113" s="18">
        <v>0</v>
      </c>
      <c r="K113" s="18">
        <v>0</v>
      </c>
      <c r="L113" s="56"/>
    </row>
    <row r="114" spans="1:12" x14ac:dyDescent="0.25">
      <c r="A114" s="18">
        <v>1996</v>
      </c>
      <c r="B114" s="20" t="s">
        <v>26</v>
      </c>
      <c r="C114" s="20">
        <v>20</v>
      </c>
      <c r="D114" s="22" t="s">
        <v>126</v>
      </c>
      <c r="E114" s="22" t="s">
        <v>126</v>
      </c>
      <c r="F114" s="25">
        <v>0</v>
      </c>
      <c r="G114" s="20">
        <v>4150</v>
      </c>
      <c r="H114" s="25">
        <v>0</v>
      </c>
      <c r="I114" s="25">
        <v>0</v>
      </c>
      <c r="J114" s="18">
        <v>0</v>
      </c>
      <c r="K114" s="18">
        <v>0</v>
      </c>
      <c r="L114" s="56"/>
    </row>
    <row r="115" spans="1:12" x14ac:dyDescent="0.25">
      <c r="A115" s="18">
        <v>1996</v>
      </c>
      <c r="B115" s="20" t="s">
        <v>26</v>
      </c>
      <c r="C115" s="20">
        <v>21</v>
      </c>
      <c r="D115" s="22" t="s">
        <v>132</v>
      </c>
      <c r="E115" s="22" t="s">
        <v>132</v>
      </c>
      <c r="F115" s="25">
        <v>0</v>
      </c>
      <c r="G115" s="20">
        <v>4250</v>
      </c>
      <c r="H115" s="25">
        <v>0</v>
      </c>
      <c r="I115" s="25">
        <v>0</v>
      </c>
      <c r="J115" s="18">
        <v>0</v>
      </c>
      <c r="K115" s="18">
        <v>0</v>
      </c>
      <c r="L115" s="56"/>
    </row>
    <row r="116" spans="1:12" x14ac:dyDescent="0.25">
      <c r="A116" s="18">
        <v>1996</v>
      </c>
      <c r="B116" s="20" t="s">
        <v>26</v>
      </c>
      <c r="C116" s="20">
        <v>22</v>
      </c>
      <c r="D116" s="22" t="s">
        <v>132</v>
      </c>
      <c r="E116" s="22" t="s">
        <v>132</v>
      </c>
      <c r="F116" s="25">
        <v>0</v>
      </c>
      <c r="G116" s="20">
        <v>4250</v>
      </c>
      <c r="H116" s="25">
        <v>0</v>
      </c>
      <c r="I116" s="25">
        <v>0</v>
      </c>
      <c r="J116" s="18">
        <v>0</v>
      </c>
      <c r="K116" s="18">
        <v>0</v>
      </c>
      <c r="L116" s="56"/>
    </row>
    <row r="117" spans="1:12" x14ac:dyDescent="0.25">
      <c r="A117" s="18">
        <v>1996</v>
      </c>
      <c r="B117" s="20" t="s">
        <v>26</v>
      </c>
      <c r="C117" s="20">
        <v>23</v>
      </c>
      <c r="D117" s="22" t="s">
        <v>132</v>
      </c>
      <c r="E117" s="22" t="s">
        <v>132</v>
      </c>
      <c r="F117" s="25">
        <v>0</v>
      </c>
      <c r="G117" s="20">
        <v>4250</v>
      </c>
      <c r="H117" s="25">
        <v>0</v>
      </c>
      <c r="I117" s="25">
        <v>0</v>
      </c>
      <c r="J117" s="18">
        <v>0</v>
      </c>
      <c r="K117" s="18">
        <v>0</v>
      </c>
      <c r="L117" s="56"/>
    </row>
    <row r="118" spans="1:12" x14ac:dyDescent="0.25">
      <c r="A118" s="18">
        <v>1996</v>
      </c>
      <c r="B118" s="20" t="s">
        <v>26</v>
      </c>
      <c r="C118" s="20">
        <v>24</v>
      </c>
      <c r="D118" s="22" t="s">
        <v>132</v>
      </c>
      <c r="E118" s="22" t="s">
        <v>132</v>
      </c>
      <c r="F118" s="25">
        <v>0</v>
      </c>
      <c r="G118" s="20">
        <v>4250</v>
      </c>
      <c r="H118" s="25">
        <v>0</v>
      </c>
      <c r="I118" s="25">
        <v>0</v>
      </c>
      <c r="J118" s="18">
        <v>0</v>
      </c>
      <c r="K118" s="18">
        <v>0</v>
      </c>
      <c r="L118" s="56"/>
    </row>
    <row r="119" spans="1:12" x14ac:dyDescent="0.25">
      <c r="A119" s="18">
        <v>1996</v>
      </c>
      <c r="B119" s="20" t="s">
        <v>26</v>
      </c>
      <c r="C119" s="20">
        <v>25</v>
      </c>
      <c r="D119" s="22" t="s">
        <v>425</v>
      </c>
      <c r="E119" s="22" t="s">
        <v>425</v>
      </c>
      <c r="F119" s="25">
        <v>0</v>
      </c>
      <c r="G119" s="25">
        <v>4350</v>
      </c>
      <c r="H119" s="25">
        <v>0</v>
      </c>
      <c r="I119" s="25">
        <v>0</v>
      </c>
      <c r="J119" s="18">
        <v>0</v>
      </c>
      <c r="K119" s="18">
        <v>0</v>
      </c>
      <c r="L119" s="56"/>
    </row>
    <row r="120" spans="1:12" x14ac:dyDescent="0.25">
      <c r="A120" s="18">
        <v>1996</v>
      </c>
      <c r="B120" s="20" t="s">
        <v>26</v>
      </c>
      <c r="C120" s="20">
        <v>26</v>
      </c>
      <c r="D120" s="22" t="s">
        <v>425</v>
      </c>
      <c r="E120" s="22" t="s">
        <v>425</v>
      </c>
      <c r="F120" s="25">
        <v>0</v>
      </c>
      <c r="G120" s="25">
        <v>4350</v>
      </c>
      <c r="H120" s="25">
        <v>0</v>
      </c>
      <c r="I120" s="25">
        <v>0</v>
      </c>
      <c r="J120" s="18">
        <v>0</v>
      </c>
      <c r="K120" s="18">
        <v>0</v>
      </c>
      <c r="L120" s="56"/>
    </row>
    <row r="121" spans="1:12" x14ac:dyDescent="0.25">
      <c r="A121" s="18">
        <v>1996</v>
      </c>
      <c r="B121" s="20" t="s">
        <v>26</v>
      </c>
      <c r="C121" s="20">
        <v>27</v>
      </c>
      <c r="D121" s="22" t="s">
        <v>425</v>
      </c>
      <c r="E121" s="22" t="s">
        <v>425</v>
      </c>
      <c r="F121" s="25">
        <v>0</v>
      </c>
      <c r="G121" s="25">
        <v>4350</v>
      </c>
      <c r="H121" s="25">
        <v>0</v>
      </c>
      <c r="I121" s="25">
        <v>0</v>
      </c>
      <c r="J121" s="18">
        <v>0</v>
      </c>
      <c r="K121" s="18">
        <v>0</v>
      </c>
      <c r="L121" s="56"/>
    </row>
    <row r="122" spans="1:12" x14ac:dyDescent="0.25">
      <c r="A122" s="18">
        <v>1996</v>
      </c>
      <c r="B122" s="20" t="s">
        <v>26</v>
      </c>
      <c r="C122" s="20">
        <v>28</v>
      </c>
      <c r="D122" s="22" t="s">
        <v>425</v>
      </c>
      <c r="E122" s="22" t="s">
        <v>425</v>
      </c>
      <c r="F122" s="25">
        <v>0</v>
      </c>
      <c r="G122" s="25">
        <v>4350</v>
      </c>
      <c r="H122" s="25">
        <v>0</v>
      </c>
      <c r="I122" s="25">
        <v>0</v>
      </c>
      <c r="J122" s="18">
        <v>0</v>
      </c>
      <c r="K122" s="18">
        <v>0</v>
      </c>
      <c r="L122" s="56"/>
    </row>
    <row r="123" spans="1:12" x14ac:dyDescent="0.25">
      <c r="A123" s="18">
        <v>1996</v>
      </c>
      <c r="B123" s="20" t="s">
        <v>26</v>
      </c>
      <c r="C123" s="20">
        <v>29</v>
      </c>
      <c r="D123" s="22" t="s">
        <v>425</v>
      </c>
      <c r="E123" s="22" t="s">
        <v>425</v>
      </c>
      <c r="F123" s="25">
        <v>0</v>
      </c>
      <c r="G123" s="25">
        <v>4350</v>
      </c>
      <c r="H123" s="25">
        <v>0</v>
      </c>
      <c r="I123" s="25">
        <v>0</v>
      </c>
      <c r="J123" s="18">
        <v>0</v>
      </c>
      <c r="K123" s="18">
        <v>0</v>
      </c>
      <c r="L123" s="56"/>
    </row>
    <row r="124" spans="1:12" x14ac:dyDescent="0.25">
      <c r="A124" s="18">
        <v>1996</v>
      </c>
      <c r="B124" s="20" t="s">
        <v>26</v>
      </c>
      <c r="C124" s="20">
        <v>30</v>
      </c>
      <c r="D124" s="22" t="s">
        <v>425</v>
      </c>
      <c r="E124" s="22" t="s">
        <v>425</v>
      </c>
      <c r="F124" s="25">
        <v>0</v>
      </c>
      <c r="G124" s="25">
        <v>4350</v>
      </c>
      <c r="H124" s="25">
        <v>0</v>
      </c>
      <c r="I124" s="25">
        <v>0</v>
      </c>
      <c r="J124" s="18">
        <v>0</v>
      </c>
      <c r="K124" s="18">
        <v>0</v>
      </c>
      <c r="L124" s="56"/>
    </row>
    <row r="125" spans="1:12" x14ac:dyDescent="0.25">
      <c r="A125" s="18">
        <v>1996</v>
      </c>
      <c r="B125" s="20" t="s">
        <v>27</v>
      </c>
      <c r="C125" s="20">
        <v>1</v>
      </c>
      <c r="D125" s="22" t="s">
        <v>425</v>
      </c>
      <c r="E125" s="22" t="s">
        <v>425</v>
      </c>
      <c r="F125" s="25">
        <v>0</v>
      </c>
      <c r="G125" s="25">
        <v>4350</v>
      </c>
      <c r="H125" s="25">
        <v>0</v>
      </c>
      <c r="I125" s="25">
        <v>0</v>
      </c>
      <c r="J125" s="18">
        <v>0</v>
      </c>
      <c r="K125" s="18">
        <v>0</v>
      </c>
      <c r="L125" s="56"/>
    </row>
    <row r="126" spans="1:12" x14ac:dyDescent="0.25">
      <c r="A126" s="18">
        <v>1996</v>
      </c>
      <c r="B126" s="20" t="s">
        <v>27</v>
      </c>
      <c r="C126" s="20">
        <v>2</v>
      </c>
      <c r="D126" s="22" t="s">
        <v>425</v>
      </c>
      <c r="E126" s="22" t="s">
        <v>425</v>
      </c>
      <c r="F126" s="25">
        <v>0</v>
      </c>
      <c r="G126" s="25">
        <v>4350</v>
      </c>
      <c r="H126" s="25">
        <v>0</v>
      </c>
      <c r="I126" s="25">
        <v>0</v>
      </c>
      <c r="J126" s="18">
        <v>0</v>
      </c>
      <c r="K126" s="18">
        <v>0</v>
      </c>
      <c r="L126" s="56"/>
    </row>
    <row r="127" spans="1:12" x14ac:dyDescent="0.25">
      <c r="A127" s="18">
        <v>1996</v>
      </c>
      <c r="B127" s="20" t="s">
        <v>27</v>
      </c>
      <c r="C127" s="20">
        <v>3</v>
      </c>
      <c r="D127" s="22" t="s">
        <v>425</v>
      </c>
      <c r="E127" s="22" t="s">
        <v>425</v>
      </c>
      <c r="F127" s="25">
        <v>0</v>
      </c>
      <c r="G127" s="25">
        <v>4350</v>
      </c>
      <c r="H127" s="25">
        <v>0</v>
      </c>
      <c r="I127" s="25">
        <v>0</v>
      </c>
      <c r="J127" s="18">
        <v>0</v>
      </c>
      <c r="K127" s="18">
        <v>0</v>
      </c>
      <c r="L127" s="56"/>
    </row>
    <row r="128" spans="1:12" x14ac:dyDescent="0.25">
      <c r="A128" s="18">
        <v>1996</v>
      </c>
      <c r="B128" s="20" t="s">
        <v>27</v>
      </c>
      <c r="C128" s="20">
        <v>4</v>
      </c>
      <c r="D128" s="22" t="s">
        <v>425</v>
      </c>
      <c r="E128" s="22" t="s">
        <v>425</v>
      </c>
      <c r="F128" s="25">
        <v>0</v>
      </c>
      <c r="G128" s="25">
        <v>4350</v>
      </c>
      <c r="H128" s="25">
        <v>0</v>
      </c>
      <c r="I128" s="25">
        <v>0</v>
      </c>
      <c r="J128" s="18">
        <v>0</v>
      </c>
      <c r="K128" s="18">
        <v>0</v>
      </c>
      <c r="L128" s="56"/>
    </row>
    <row r="129" spans="1:12" x14ac:dyDescent="0.25">
      <c r="A129" s="18">
        <v>1996</v>
      </c>
      <c r="B129" s="20" t="s">
        <v>27</v>
      </c>
      <c r="C129" s="20">
        <v>5</v>
      </c>
      <c r="D129" s="22" t="s">
        <v>128</v>
      </c>
      <c r="E129" s="22" t="s">
        <v>128</v>
      </c>
      <c r="F129" s="25">
        <v>0</v>
      </c>
      <c r="G129" s="25">
        <v>4300</v>
      </c>
      <c r="H129" s="25">
        <v>0</v>
      </c>
      <c r="I129" s="25">
        <v>0</v>
      </c>
      <c r="J129" s="18">
        <v>0</v>
      </c>
      <c r="K129" s="18">
        <v>0</v>
      </c>
      <c r="L129" s="56"/>
    </row>
    <row r="130" spans="1:12" x14ac:dyDescent="0.25">
      <c r="A130" s="18">
        <v>1996</v>
      </c>
      <c r="B130" s="20" t="s">
        <v>27</v>
      </c>
      <c r="C130" s="20">
        <v>6</v>
      </c>
      <c r="D130" s="22" t="s">
        <v>128</v>
      </c>
      <c r="E130" s="22" t="s">
        <v>128</v>
      </c>
      <c r="F130" s="25">
        <v>0</v>
      </c>
      <c r="G130" s="25">
        <v>4300</v>
      </c>
      <c r="H130" s="25">
        <v>0</v>
      </c>
      <c r="I130" s="25">
        <v>0</v>
      </c>
      <c r="J130" s="18">
        <v>0</v>
      </c>
      <c r="K130" s="18">
        <v>0</v>
      </c>
      <c r="L130" s="56"/>
    </row>
    <row r="131" spans="1:12" x14ac:dyDescent="0.25">
      <c r="A131" s="18">
        <v>1996</v>
      </c>
      <c r="B131" s="20" t="s">
        <v>27</v>
      </c>
      <c r="C131" s="20">
        <v>7</v>
      </c>
      <c r="D131" s="22" t="s">
        <v>128</v>
      </c>
      <c r="E131" s="22" t="s">
        <v>128</v>
      </c>
      <c r="F131" s="25">
        <v>0</v>
      </c>
      <c r="G131" s="25">
        <v>4300</v>
      </c>
      <c r="H131" s="25">
        <v>0</v>
      </c>
      <c r="I131" s="25">
        <v>0</v>
      </c>
      <c r="J131" s="18">
        <v>0</v>
      </c>
      <c r="K131" s="18">
        <v>0</v>
      </c>
      <c r="L131" s="56"/>
    </row>
    <row r="132" spans="1:12" x14ac:dyDescent="0.25">
      <c r="A132" s="18">
        <v>1996</v>
      </c>
      <c r="B132" s="20" t="s">
        <v>27</v>
      </c>
      <c r="C132" s="20">
        <v>8</v>
      </c>
      <c r="D132" s="22" t="s">
        <v>128</v>
      </c>
      <c r="E132" s="22" t="s">
        <v>128</v>
      </c>
      <c r="F132" s="25">
        <v>0</v>
      </c>
      <c r="G132" s="25">
        <v>4300</v>
      </c>
      <c r="H132" s="25">
        <v>0</v>
      </c>
      <c r="I132" s="25">
        <v>0</v>
      </c>
      <c r="J132" s="18">
        <v>0</v>
      </c>
      <c r="K132" s="18">
        <v>0</v>
      </c>
      <c r="L132" s="56"/>
    </row>
    <row r="133" spans="1:12" x14ac:dyDescent="0.25">
      <c r="A133" s="18">
        <v>1996</v>
      </c>
      <c r="B133" s="20" t="s">
        <v>27</v>
      </c>
      <c r="C133" s="20">
        <v>9</v>
      </c>
      <c r="D133" s="22" t="s">
        <v>128</v>
      </c>
      <c r="E133" s="22" t="s">
        <v>128</v>
      </c>
      <c r="F133" s="25">
        <v>0</v>
      </c>
      <c r="G133" s="25">
        <v>4300</v>
      </c>
      <c r="H133" s="25">
        <v>0</v>
      </c>
      <c r="I133" s="25">
        <v>0</v>
      </c>
      <c r="J133" s="18">
        <v>0</v>
      </c>
      <c r="K133" s="18">
        <v>0</v>
      </c>
      <c r="L133" s="56"/>
    </row>
    <row r="134" spans="1:12" x14ac:dyDescent="0.25">
      <c r="A134" s="18">
        <v>1996</v>
      </c>
      <c r="B134" s="20" t="s">
        <v>27</v>
      </c>
      <c r="C134" s="20">
        <v>10</v>
      </c>
      <c r="D134" s="22" t="s">
        <v>528</v>
      </c>
      <c r="E134" s="22" t="s">
        <v>1024</v>
      </c>
      <c r="F134" s="25">
        <v>0</v>
      </c>
      <c r="G134" s="20">
        <v>4275</v>
      </c>
      <c r="H134" s="25">
        <v>0</v>
      </c>
      <c r="I134" s="25">
        <v>0</v>
      </c>
      <c r="J134" s="18">
        <v>0</v>
      </c>
      <c r="K134" s="18">
        <v>0</v>
      </c>
      <c r="L134" s="56"/>
    </row>
    <row r="135" spans="1:12" x14ac:dyDescent="0.25">
      <c r="A135" s="18">
        <v>1996</v>
      </c>
      <c r="B135" s="20" t="s">
        <v>27</v>
      </c>
      <c r="C135" s="20">
        <v>11</v>
      </c>
      <c r="D135" s="22" t="s">
        <v>528</v>
      </c>
      <c r="E135" s="22" t="s">
        <v>1024</v>
      </c>
      <c r="F135" s="25">
        <v>0</v>
      </c>
      <c r="G135" s="20">
        <v>4275</v>
      </c>
      <c r="H135" s="25">
        <v>0</v>
      </c>
      <c r="I135" s="25">
        <v>0</v>
      </c>
      <c r="J135" s="18">
        <v>0</v>
      </c>
      <c r="K135" s="18">
        <v>0</v>
      </c>
      <c r="L135" s="56"/>
    </row>
    <row r="136" spans="1:12" x14ac:dyDescent="0.25">
      <c r="A136" s="18">
        <v>1996</v>
      </c>
      <c r="B136" s="20" t="s">
        <v>27</v>
      </c>
      <c r="C136" s="20">
        <v>12</v>
      </c>
      <c r="D136" s="22" t="s">
        <v>132</v>
      </c>
      <c r="E136" s="22" t="s">
        <v>132</v>
      </c>
      <c r="F136" s="25">
        <v>0</v>
      </c>
      <c r="G136" s="20">
        <v>4250</v>
      </c>
      <c r="H136" s="25">
        <v>0</v>
      </c>
      <c r="I136" s="25">
        <v>0</v>
      </c>
      <c r="J136" s="18">
        <v>0</v>
      </c>
      <c r="K136" s="18">
        <v>0</v>
      </c>
      <c r="L136" s="56"/>
    </row>
    <row r="137" spans="1:12" x14ac:dyDescent="0.25">
      <c r="A137" s="18">
        <v>1996</v>
      </c>
      <c r="B137" s="20" t="s">
        <v>27</v>
      </c>
      <c r="C137" s="20">
        <v>13</v>
      </c>
      <c r="D137" s="22" t="s">
        <v>132</v>
      </c>
      <c r="E137" s="22" t="s">
        <v>132</v>
      </c>
      <c r="F137" s="25">
        <v>0</v>
      </c>
      <c r="G137" s="20">
        <v>4250</v>
      </c>
      <c r="H137" s="25">
        <v>0</v>
      </c>
      <c r="I137" s="25">
        <v>0</v>
      </c>
      <c r="J137" s="18">
        <v>0</v>
      </c>
      <c r="K137" s="18">
        <v>0</v>
      </c>
      <c r="L137" s="56"/>
    </row>
    <row r="138" spans="1:12" x14ac:dyDescent="0.25">
      <c r="A138" s="18">
        <v>1996</v>
      </c>
      <c r="B138" s="20" t="s">
        <v>27</v>
      </c>
      <c r="C138" s="20">
        <v>14</v>
      </c>
      <c r="D138" s="22" t="s">
        <v>529</v>
      </c>
      <c r="E138" s="22" t="s">
        <v>1025</v>
      </c>
      <c r="F138" s="25">
        <v>0</v>
      </c>
      <c r="G138" s="20">
        <v>4225</v>
      </c>
      <c r="H138" s="25">
        <v>0</v>
      </c>
      <c r="I138" s="25">
        <v>0</v>
      </c>
      <c r="J138" s="18">
        <v>0</v>
      </c>
      <c r="K138" s="18">
        <v>0</v>
      </c>
      <c r="L138" s="56"/>
    </row>
    <row r="139" spans="1:12" x14ac:dyDescent="0.25">
      <c r="A139" s="18">
        <v>1996</v>
      </c>
      <c r="B139" s="20" t="s">
        <v>27</v>
      </c>
      <c r="C139" s="20">
        <v>15</v>
      </c>
      <c r="D139" s="22" t="s">
        <v>529</v>
      </c>
      <c r="E139" s="22" t="s">
        <v>1025</v>
      </c>
      <c r="F139" s="25">
        <v>0</v>
      </c>
      <c r="G139" s="20">
        <v>4225</v>
      </c>
      <c r="H139" s="25">
        <v>0</v>
      </c>
      <c r="I139" s="25">
        <v>0</v>
      </c>
      <c r="J139" s="18">
        <v>0</v>
      </c>
      <c r="K139" s="18">
        <v>0</v>
      </c>
      <c r="L139" s="56"/>
    </row>
    <row r="140" spans="1:12" x14ac:dyDescent="0.25">
      <c r="A140" s="18">
        <v>1996</v>
      </c>
      <c r="B140" s="20" t="s">
        <v>27</v>
      </c>
      <c r="C140" s="20">
        <v>16</v>
      </c>
      <c r="D140" s="22" t="s">
        <v>127</v>
      </c>
      <c r="E140" s="22" t="s">
        <v>127</v>
      </c>
      <c r="F140" s="25">
        <v>0</v>
      </c>
      <c r="G140" s="20">
        <v>4200</v>
      </c>
      <c r="H140" s="25">
        <v>0</v>
      </c>
      <c r="I140" s="25">
        <v>0</v>
      </c>
      <c r="J140" s="18">
        <v>0</v>
      </c>
      <c r="K140" s="18">
        <v>0</v>
      </c>
      <c r="L140" s="56"/>
    </row>
    <row r="141" spans="1:12" x14ac:dyDescent="0.25">
      <c r="A141" s="18">
        <v>1996</v>
      </c>
      <c r="B141" s="20" t="s">
        <v>27</v>
      </c>
      <c r="C141" s="20">
        <v>17</v>
      </c>
      <c r="D141" s="22" t="s">
        <v>127</v>
      </c>
      <c r="E141" s="22" t="s">
        <v>127</v>
      </c>
      <c r="F141" s="25">
        <v>0</v>
      </c>
      <c r="G141" s="20">
        <v>4200</v>
      </c>
      <c r="H141" s="25">
        <v>0</v>
      </c>
      <c r="I141" s="25">
        <v>0</v>
      </c>
      <c r="J141" s="18">
        <v>0</v>
      </c>
      <c r="K141" s="18">
        <v>0</v>
      </c>
      <c r="L141" s="56"/>
    </row>
    <row r="142" spans="1:12" x14ac:dyDescent="0.25">
      <c r="A142" s="18">
        <v>1996</v>
      </c>
      <c r="B142" s="20" t="s">
        <v>27</v>
      </c>
      <c r="C142" s="20">
        <v>18</v>
      </c>
      <c r="D142" s="22" t="s">
        <v>127</v>
      </c>
      <c r="E142" s="22" t="s">
        <v>127</v>
      </c>
      <c r="F142" s="25">
        <v>0</v>
      </c>
      <c r="G142" s="20">
        <v>4200</v>
      </c>
      <c r="H142" s="25">
        <v>0</v>
      </c>
      <c r="I142" s="25">
        <v>0</v>
      </c>
      <c r="J142" s="18">
        <v>0</v>
      </c>
      <c r="K142" s="18">
        <v>0</v>
      </c>
      <c r="L142" s="56"/>
    </row>
    <row r="143" spans="1:12" x14ac:dyDescent="0.25">
      <c r="A143" s="18">
        <v>1996</v>
      </c>
      <c r="B143" s="20" t="s">
        <v>27</v>
      </c>
      <c r="C143" s="20">
        <v>19</v>
      </c>
      <c r="D143" s="22" t="s">
        <v>126</v>
      </c>
      <c r="E143" s="22" t="s">
        <v>126</v>
      </c>
      <c r="F143" s="25">
        <v>0</v>
      </c>
      <c r="G143" s="20">
        <v>4150</v>
      </c>
      <c r="H143" s="25">
        <v>0</v>
      </c>
      <c r="I143" s="25">
        <v>0</v>
      </c>
      <c r="J143" s="18">
        <v>0</v>
      </c>
      <c r="K143" s="18">
        <v>0</v>
      </c>
      <c r="L143" s="56"/>
    </row>
    <row r="144" spans="1:12" x14ac:dyDescent="0.25">
      <c r="A144" s="18">
        <v>1996</v>
      </c>
      <c r="B144" s="20" t="s">
        <v>27</v>
      </c>
      <c r="C144" s="20">
        <v>20</v>
      </c>
      <c r="D144" s="22" t="s">
        <v>126</v>
      </c>
      <c r="E144" s="22" t="s">
        <v>126</v>
      </c>
      <c r="F144" s="25">
        <v>0</v>
      </c>
      <c r="G144" s="20">
        <v>4150</v>
      </c>
      <c r="H144" s="25">
        <v>0</v>
      </c>
      <c r="I144" s="25">
        <v>0</v>
      </c>
      <c r="J144" s="18">
        <v>0</v>
      </c>
      <c r="K144" s="18">
        <v>0</v>
      </c>
      <c r="L144" s="56"/>
    </row>
    <row r="145" spans="1:12" x14ac:dyDescent="0.25">
      <c r="A145" s="18">
        <v>1996</v>
      </c>
      <c r="B145" s="20" t="s">
        <v>27</v>
      </c>
      <c r="C145" s="20">
        <v>21</v>
      </c>
      <c r="D145" s="22" t="s">
        <v>126</v>
      </c>
      <c r="E145" s="22" t="s">
        <v>126</v>
      </c>
      <c r="F145" s="25">
        <v>0</v>
      </c>
      <c r="G145" s="25">
        <v>4150</v>
      </c>
      <c r="H145" s="25">
        <v>0</v>
      </c>
      <c r="I145" s="25">
        <v>0</v>
      </c>
      <c r="J145" s="18">
        <v>0</v>
      </c>
      <c r="K145" s="18">
        <v>0</v>
      </c>
      <c r="L145" s="56"/>
    </row>
    <row r="146" spans="1:12" x14ac:dyDescent="0.25">
      <c r="A146" s="18">
        <v>1996</v>
      </c>
      <c r="B146" s="20" t="s">
        <v>27</v>
      </c>
      <c r="C146" s="20">
        <v>22</v>
      </c>
      <c r="D146" s="22" t="s">
        <v>290</v>
      </c>
      <c r="E146" s="22" t="s">
        <v>290</v>
      </c>
      <c r="F146" s="25">
        <v>0</v>
      </c>
      <c r="G146" s="25">
        <v>4100</v>
      </c>
      <c r="H146" s="25">
        <v>0</v>
      </c>
      <c r="I146" s="25">
        <v>0</v>
      </c>
      <c r="J146" s="18">
        <v>0</v>
      </c>
      <c r="K146" s="18">
        <v>0</v>
      </c>
      <c r="L146" s="56"/>
    </row>
    <row r="147" spans="1:12" x14ac:dyDescent="0.25">
      <c r="A147" s="18">
        <v>1996</v>
      </c>
      <c r="B147" s="20" t="s">
        <v>27</v>
      </c>
      <c r="C147" s="20">
        <v>23</v>
      </c>
      <c r="D147" s="22" t="s">
        <v>290</v>
      </c>
      <c r="E147" s="22" t="s">
        <v>290</v>
      </c>
      <c r="F147" s="25">
        <v>0</v>
      </c>
      <c r="G147" s="25">
        <v>4100</v>
      </c>
      <c r="H147" s="25">
        <v>0</v>
      </c>
      <c r="I147" s="25">
        <v>0</v>
      </c>
      <c r="J147" s="18">
        <v>0</v>
      </c>
      <c r="K147" s="18">
        <v>0</v>
      </c>
      <c r="L147" s="56"/>
    </row>
    <row r="148" spans="1:12" x14ac:dyDescent="0.25">
      <c r="A148" s="18">
        <v>1996</v>
      </c>
      <c r="B148" s="20" t="s">
        <v>27</v>
      </c>
      <c r="C148" s="20">
        <v>24</v>
      </c>
      <c r="D148" s="22" t="s">
        <v>124</v>
      </c>
      <c r="E148" s="22" t="s">
        <v>124</v>
      </c>
      <c r="F148" s="25">
        <v>0</v>
      </c>
      <c r="G148" s="20">
        <v>4000</v>
      </c>
      <c r="H148" s="25">
        <v>0</v>
      </c>
      <c r="I148" s="25">
        <v>0</v>
      </c>
      <c r="J148" s="18">
        <v>0</v>
      </c>
      <c r="K148" s="18">
        <v>0</v>
      </c>
      <c r="L148" s="56"/>
    </row>
    <row r="149" spans="1:12" x14ac:dyDescent="0.25">
      <c r="A149" s="18">
        <v>1996</v>
      </c>
      <c r="B149" s="20" t="s">
        <v>27</v>
      </c>
      <c r="C149" s="20">
        <v>25</v>
      </c>
      <c r="D149" s="22" t="s">
        <v>124</v>
      </c>
      <c r="E149" s="22" t="s">
        <v>124</v>
      </c>
      <c r="F149" s="25">
        <v>0</v>
      </c>
      <c r="G149" s="20">
        <v>4000</v>
      </c>
      <c r="H149" s="25">
        <v>0</v>
      </c>
      <c r="I149" s="25">
        <v>0</v>
      </c>
      <c r="J149" s="18">
        <v>0</v>
      </c>
      <c r="K149" s="18">
        <v>0</v>
      </c>
      <c r="L149" s="56"/>
    </row>
    <row r="150" spans="1:12" x14ac:dyDescent="0.25">
      <c r="A150" s="18">
        <v>1996</v>
      </c>
      <c r="B150" s="20" t="s">
        <v>27</v>
      </c>
      <c r="C150" s="20">
        <v>26</v>
      </c>
      <c r="D150" s="22" t="s">
        <v>123</v>
      </c>
      <c r="E150" s="22" t="s">
        <v>123</v>
      </c>
      <c r="F150" s="25">
        <v>0</v>
      </c>
      <c r="G150" s="25">
        <v>3900</v>
      </c>
      <c r="H150" s="25">
        <v>0</v>
      </c>
      <c r="I150" s="25">
        <v>0</v>
      </c>
      <c r="J150" s="18">
        <v>0</v>
      </c>
      <c r="K150" s="18">
        <v>0</v>
      </c>
      <c r="L150" s="56"/>
    </row>
    <row r="151" spans="1:12" x14ac:dyDescent="0.25">
      <c r="A151" s="18">
        <v>1996</v>
      </c>
      <c r="B151" s="20" t="s">
        <v>27</v>
      </c>
      <c r="C151" s="20">
        <v>27</v>
      </c>
      <c r="D151" s="22" t="s">
        <v>123</v>
      </c>
      <c r="E151" s="22" t="s">
        <v>123</v>
      </c>
      <c r="F151" s="25">
        <v>0</v>
      </c>
      <c r="G151" s="25">
        <v>3900</v>
      </c>
      <c r="H151" s="25">
        <v>0</v>
      </c>
      <c r="I151" s="25">
        <v>0</v>
      </c>
      <c r="J151" s="18">
        <v>0</v>
      </c>
      <c r="K151" s="18">
        <v>0</v>
      </c>
      <c r="L151" s="56"/>
    </row>
    <row r="152" spans="1:12" x14ac:dyDescent="0.25">
      <c r="A152" s="18">
        <v>1996</v>
      </c>
      <c r="B152" s="20" t="s">
        <v>27</v>
      </c>
      <c r="C152" s="20">
        <v>28</v>
      </c>
      <c r="D152" s="22" t="s">
        <v>123</v>
      </c>
      <c r="E152" s="22" t="s">
        <v>123</v>
      </c>
      <c r="F152" s="25">
        <v>0</v>
      </c>
      <c r="G152" s="25">
        <v>3900</v>
      </c>
      <c r="H152" s="25">
        <v>0</v>
      </c>
      <c r="I152" s="25">
        <v>0</v>
      </c>
      <c r="J152" s="18">
        <v>0</v>
      </c>
      <c r="K152" s="18">
        <v>0</v>
      </c>
      <c r="L152" s="56"/>
    </row>
    <row r="153" spans="1:12" x14ac:dyDescent="0.25">
      <c r="A153" s="18">
        <v>1996</v>
      </c>
      <c r="B153" s="20" t="s">
        <v>27</v>
      </c>
      <c r="C153" s="20">
        <v>29</v>
      </c>
      <c r="D153" s="22" t="s">
        <v>530</v>
      </c>
      <c r="E153" s="22" t="s">
        <v>1026</v>
      </c>
      <c r="F153" s="25">
        <v>0</v>
      </c>
      <c r="G153" s="25">
        <v>3850</v>
      </c>
      <c r="H153" s="25">
        <v>0</v>
      </c>
      <c r="I153" s="25">
        <v>0</v>
      </c>
      <c r="J153" s="18">
        <v>0</v>
      </c>
      <c r="K153" s="18">
        <v>0</v>
      </c>
      <c r="L153" s="56"/>
    </row>
    <row r="154" spans="1:12" x14ac:dyDescent="0.25">
      <c r="A154" s="18">
        <v>1996</v>
      </c>
      <c r="B154" s="20" t="s">
        <v>27</v>
      </c>
      <c r="C154" s="20">
        <v>30</v>
      </c>
      <c r="D154" s="22" t="s">
        <v>530</v>
      </c>
      <c r="E154" s="22" t="s">
        <v>1026</v>
      </c>
      <c r="F154" s="25">
        <v>0</v>
      </c>
      <c r="G154" s="25">
        <v>3850</v>
      </c>
      <c r="H154" s="25">
        <v>0</v>
      </c>
      <c r="I154" s="25">
        <v>0</v>
      </c>
      <c r="J154" s="18">
        <v>0</v>
      </c>
      <c r="K154" s="18">
        <v>0</v>
      </c>
      <c r="L154" s="56"/>
    </row>
    <row r="155" spans="1:12" x14ac:dyDescent="0.25">
      <c r="A155" s="18">
        <v>1996</v>
      </c>
      <c r="B155" s="20" t="s">
        <v>27</v>
      </c>
      <c r="C155" s="20">
        <v>31</v>
      </c>
      <c r="D155" s="22" t="s">
        <v>530</v>
      </c>
      <c r="E155" s="22" t="s">
        <v>1026</v>
      </c>
      <c r="F155" s="25">
        <v>0</v>
      </c>
      <c r="G155" s="20">
        <v>3850</v>
      </c>
      <c r="H155" s="25">
        <v>0</v>
      </c>
      <c r="I155" s="25">
        <v>0</v>
      </c>
      <c r="J155" s="18">
        <v>0</v>
      </c>
      <c r="K155" s="18">
        <v>0</v>
      </c>
      <c r="L155" s="56"/>
    </row>
    <row r="156" spans="1:12" x14ac:dyDescent="0.25">
      <c r="A156" s="18">
        <v>1996</v>
      </c>
      <c r="B156" s="20" t="s">
        <v>28</v>
      </c>
      <c r="C156" s="20">
        <v>1</v>
      </c>
      <c r="D156" s="22" t="s">
        <v>294</v>
      </c>
      <c r="E156" s="22" t="s">
        <v>294</v>
      </c>
      <c r="F156" s="25">
        <v>0</v>
      </c>
      <c r="G156" s="25">
        <v>3800</v>
      </c>
      <c r="H156" s="25">
        <v>0</v>
      </c>
      <c r="I156" s="25">
        <v>0</v>
      </c>
      <c r="J156" s="18">
        <v>0</v>
      </c>
      <c r="K156" s="18">
        <v>0</v>
      </c>
      <c r="L156" s="56"/>
    </row>
    <row r="157" spans="1:12" x14ac:dyDescent="0.25">
      <c r="A157" s="18">
        <v>1996</v>
      </c>
      <c r="B157" s="20" t="s">
        <v>28</v>
      </c>
      <c r="C157" s="20">
        <v>2</v>
      </c>
      <c r="D157" s="22" t="s">
        <v>294</v>
      </c>
      <c r="E157" s="22" t="s">
        <v>294</v>
      </c>
      <c r="F157" s="25">
        <v>0</v>
      </c>
      <c r="G157" s="25">
        <v>3800</v>
      </c>
      <c r="H157" s="25">
        <v>0</v>
      </c>
      <c r="I157" s="25">
        <v>0</v>
      </c>
      <c r="J157" s="18">
        <v>0</v>
      </c>
      <c r="K157" s="18">
        <v>0</v>
      </c>
      <c r="L157" s="56"/>
    </row>
    <row r="158" spans="1:12" x14ac:dyDescent="0.25">
      <c r="A158" s="18">
        <v>1996</v>
      </c>
      <c r="B158" s="20" t="s">
        <v>28</v>
      </c>
      <c r="C158" s="20">
        <v>3</v>
      </c>
      <c r="D158" s="22" t="s">
        <v>294</v>
      </c>
      <c r="E158" s="22" t="s">
        <v>294</v>
      </c>
      <c r="F158" s="25">
        <v>0</v>
      </c>
      <c r="G158" s="25">
        <v>3800</v>
      </c>
      <c r="H158" s="25">
        <v>0</v>
      </c>
      <c r="I158" s="25">
        <v>0</v>
      </c>
      <c r="J158" s="18">
        <v>0</v>
      </c>
      <c r="K158" s="18">
        <v>0</v>
      </c>
      <c r="L158" s="56"/>
    </row>
    <row r="159" spans="1:12" x14ac:dyDescent="0.25">
      <c r="A159" s="18">
        <v>1996</v>
      </c>
      <c r="B159" s="20" t="s">
        <v>28</v>
      </c>
      <c r="C159" s="20">
        <v>4</v>
      </c>
      <c r="D159" s="22" t="s">
        <v>294</v>
      </c>
      <c r="E159" s="22" t="s">
        <v>294</v>
      </c>
      <c r="F159" s="25">
        <v>0</v>
      </c>
      <c r="G159" s="25">
        <v>3800</v>
      </c>
      <c r="H159" s="25">
        <v>0</v>
      </c>
      <c r="I159" s="25">
        <v>0</v>
      </c>
      <c r="J159" s="18">
        <v>0</v>
      </c>
      <c r="K159" s="18">
        <v>0</v>
      </c>
      <c r="L159" s="56"/>
    </row>
    <row r="160" spans="1:12" x14ac:dyDescent="0.25">
      <c r="A160" s="18">
        <v>1996</v>
      </c>
      <c r="B160" s="20" t="s">
        <v>28</v>
      </c>
      <c r="C160" s="20">
        <v>5</v>
      </c>
      <c r="D160" s="22" t="s">
        <v>294</v>
      </c>
      <c r="E160" s="22" t="s">
        <v>294</v>
      </c>
      <c r="F160" s="25">
        <v>0</v>
      </c>
      <c r="G160" s="25">
        <v>3800</v>
      </c>
      <c r="H160" s="25">
        <v>0</v>
      </c>
      <c r="I160" s="25">
        <v>0</v>
      </c>
      <c r="J160" s="18">
        <v>0</v>
      </c>
      <c r="K160" s="18">
        <v>0</v>
      </c>
      <c r="L160" s="56"/>
    </row>
    <row r="161" spans="1:12" x14ac:dyDescent="0.25">
      <c r="A161" s="18">
        <v>1996</v>
      </c>
      <c r="B161" s="20" t="s">
        <v>28</v>
      </c>
      <c r="C161" s="20">
        <v>6</v>
      </c>
      <c r="D161" s="22" t="s">
        <v>294</v>
      </c>
      <c r="E161" s="22" t="s">
        <v>294</v>
      </c>
      <c r="F161" s="25">
        <v>0</v>
      </c>
      <c r="G161" s="25">
        <v>3800</v>
      </c>
      <c r="H161" s="25">
        <v>0</v>
      </c>
      <c r="I161" s="25">
        <v>0</v>
      </c>
      <c r="J161" s="18">
        <v>0</v>
      </c>
      <c r="K161" s="18">
        <v>0</v>
      </c>
      <c r="L161" s="56"/>
    </row>
    <row r="162" spans="1:12" x14ac:dyDescent="0.25">
      <c r="A162" s="18">
        <v>1996</v>
      </c>
      <c r="B162" s="20" t="s">
        <v>28</v>
      </c>
      <c r="C162" s="20">
        <v>7</v>
      </c>
      <c r="D162" s="22" t="s">
        <v>294</v>
      </c>
      <c r="E162" s="22" t="s">
        <v>294</v>
      </c>
      <c r="F162" s="25">
        <v>0</v>
      </c>
      <c r="G162" s="25">
        <v>3800</v>
      </c>
      <c r="H162" s="25">
        <v>0</v>
      </c>
      <c r="I162" s="25">
        <v>0</v>
      </c>
      <c r="J162" s="18">
        <v>0</v>
      </c>
      <c r="K162" s="18">
        <v>0</v>
      </c>
      <c r="L162" s="56"/>
    </row>
    <row r="163" spans="1:12" x14ac:dyDescent="0.25">
      <c r="A163" s="18">
        <v>1996</v>
      </c>
      <c r="B163" s="20" t="s">
        <v>28</v>
      </c>
      <c r="C163" s="20">
        <v>8</v>
      </c>
      <c r="D163" s="22" t="s">
        <v>294</v>
      </c>
      <c r="E163" s="22" t="s">
        <v>294</v>
      </c>
      <c r="F163" s="25">
        <v>0</v>
      </c>
      <c r="G163" s="25">
        <v>3800</v>
      </c>
      <c r="H163" s="25">
        <v>0</v>
      </c>
      <c r="I163" s="25">
        <v>0</v>
      </c>
      <c r="J163" s="18">
        <v>0</v>
      </c>
      <c r="K163" s="18">
        <v>0</v>
      </c>
      <c r="L163" s="56"/>
    </row>
    <row r="164" spans="1:12" x14ac:dyDescent="0.25">
      <c r="A164" s="18">
        <v>1996</v>
      </c>
      <c r="B164" s="20" t="s">
        <v>28</v>
      </c>
      <c r="C164" s="20">
        <v>9</v>
      </c>
      <c r="D164" s="22" t="s">
        <v>294</v>
      </c>
      <c r="E164" s="22" t="s">
        <v>294</v>
      </c>
      <c r="F164" s="25">
        <v>0</v>
      </c>
      <c r="G164" s="25">
        <v>3800</v>
      </c>
      <c r="H164" s="25">
        <v>0</v>
      </c>
      <c r="I164" s="25">
        <v>0</v>
      </c>
      <c r="J164" s="18">
        <v>0</v>
      </c>
      <c r="K164" s="18">
        <v>0</v>
      </c>
      <c r="L164" s="56"/>
    </row>
    <row r="165" spans="1:12" x14ac:dyDescent="0.25">
      <c r="A165" s="18">
        <v>1996</v>
      </c>
      <c r="B165" s="20" t="s">
        <v>28</v>
      </c>
      <c r="C165" s="20">
        <v>10</v>
      </c>
      <c r="D165" s="22" t="s">
        <v>294</v>
      </c>
      <c r="E165" s="22" t="s">
        <v>294</v>
      </c>
      <c r="F165" s="25">
        <v>0</v>
      </c>
      <c r="G165" s="25">
        <v>3800</v>
      </c>
      <c r="H165" s="25">
        <v>0</v>
      </c>
      <c r="I165" s="25">
        <v>0</v>
      </c>
      <c r="J165" s="18">
        <v>0</v>
      </c>
      <c r="K165" s="18">
        <v>0</v>
      </c>
      <c r="L165" s="56"/>
    </row>
    <row r="166" spans="1:12" x14ac:dyDescent="0.25">
      <c r="A166" s="18">
        <v>1996</v>
      </c>
      <c r="B166" s="20" t="s">
        <v>28</v>
      </c>
      <c r="C166" s="20">
        <v>11</v>
      </c>
      <c r="D166" s="22" t="s">
        <v>294</v>
      </c>
      <c r="E166" s="22" t="s">
        <v>294</v>
      </c>
      <c r="F166" s="25">
        <v>0</v>
      </c>
      <c r="G166" s="25">
        <v>3800</v>
      </c>
      <c r="H166" s="25">
        <v>0</v>
      </c>
      <c r="I166" s="25">
        <v>0</v>
      </c>
      <c r="J166" s="18">
        <v>0</v>
      </c>
      <c r="K166" s="18">
        <v>0</v>
      </c>
      <c r="L166" s="56"/>
    </row>
    <row r="167" spans="1:12" x14ac:dyDescent="0.25">
      <c r="A167" s="18">
        <v>1996</v>
      </c>
      <c r="B167" s="20" t="s">
        <v>28</v>
      </c>
      <c r="C167" s="20">
        <v>12</v>
      </c>
      <c r="D167" s="22" t="s">
        <v>530</v>
      </c>
      <c r="E167" s="22" t="s">
        <v>1026</v>
      </c>
      <c r="F167" s="25">
        <v>0</v>
      </c>
      <c r="G167" s="25">
        <v>3850</v>
      </c>
      <c r="H167" s="25">
        <v>0</v>
      </c>
      <c r="I167" s="25">
        <v>0</v>
      </c>
      <c r="J167" s="18">
        <v>0</v>
      </c>
      <c r="K167" s="18">
        <v>0</v>
      </c>
      <c r="L167" s="56"/>
    </row>
    <row r="168" spans="1:12" x14ac:dyDescent="0.25">
      <c r="A168" s="18">
        <v>1996</v>
      </c>
      <c r="B168" s="20" t="s">
        <v>28</v>
      </c>
      <c r="C168" s="20">
        <v>13</v>
      </c>
      <c r="D168" s="22" t="s">
        <v>123</v>
      </c>
      <c r="E168" s="22" t="s">
        <v>123</v>
      </c>
      <c r="F168" s="25">
        <v>0</v>
      </c>
      <c r="G168" s="25">
        <v>3900</v>
      </c>
      <c r="H168" s="25">
        <v>0</v>
      </c>
      <c r="I168" s="25">
        <v>0</v>
      </c>
      <c r="J168" s="18">
        <v>0</v>
      </c>
      <c r="K168" s="18">
        <v>0</v>
      </c>
      <c r="L168" s="56"/>
    </row>
    <row r="169" spans="1:12" x14ac:dyDescent="0.25">
      <c r="A169" s="18">
        <v>1996</v>
      </c>
      <c r="B169" s="20" t="s">
        <v>28</v>
      </c>
      <c r="C169" s="20">
        <v>14</v>
      </c>
      <c r="D169" s="22" t="s">
        <v>530</v>
      </c>
      <c r="E169" s="22" t="s">
        <v>1026</v>
      </c>
      <c r="F169" s="25">
        <v>0</v>
      </c>
      <c r="G169" s="20">
        <v>3850</v>
      </c>
      <c r="H169" s="25">
        <v>0</v>
      </c>
      <c r="I169" s="25">
        <v>0</v>
      </c>
      <c r="J169" s="18">
        <v>0</v>
      </c>
      <c r="K169" s="18">
        <v>0</v>
      </c>
      <c r="L169" s="56"/>
    </row>
    <row r="170" spans="1:12" x14ac:dyDescent="0.25">
      <c r="A170" s="18">
        <v>1996</v>
      </c>
      <c r="B170" s="20" t="s">
        <v>28</v>
      </c>
      <c r="C170" s="20">
        <v>15</v>
      </c>
      <c r="D170" s="22" t="s">
        <v>530</v>
      </c>
      <c r="E170" s="22" t="s">
        <v>1026</v>
      </c>
      <c r="F170" s="25">
        <v>0</v>
      </c>
      <c r="G170" s="20">
        <v>3850</v>
      </c>
      <c r="H170" s="25">
        <v>0</v>
      </c>
      <c r="I170" s="25">
        <v>0</v>
      </c>
      <c r="J170" s="18">
        <v>0</v>
      </c>
      <c r="K170" s="18">
        <v>0</v>
      </c>
      <c r="L170" s="56"/>
    </row>
    <row r="171" spans="1:12" x14ac:dyDescent="0.25">
      <c r="A171" s="18">
        <v>1996</v>
      </c>
      <c r="B171" s="20" t="s">
        <v>28</v>
      </c>
      <c r="C171" s="20">
        <v>16</v>
      </c>
      <c r="D171" s="22" t="s">
        <v>530</v>
      </c>
      <c r="E171" s="22" t="s">
        <v>1026</v>
      </c>
      <c r="F171" s="25">
        <v>0</v>
      </c>
      <c r="G171" s="20">
        <v>3850</v>
      </c>
      <c r="H171" s="25">
        <v>0</v>
      </c>
      <c r="I171" s="25">
        <v>0</v>
      </c>
      <c r="J171" s="18">
        <v>0</v>
      </c>
      <c r="K171" s="18">
        <v>0</v>
      </c>
      <c r="L171" s="56"/>
    </row>
    <row r="172" spans="1:12" x14ac:dyDescent="0.25">
      <c r="A172" s="18">
        <v>1996</v>
      </c>
      <c r="B172" s="20" t="s">
        <v>28</v>
      </c>
      <c r="C172" s="20">
        <v>17</v>
      </c>
      <c r="D172" s="22" t="s">
        <v>294</v>
      </c>
      <c r="E172" s="22" t="s">
        <v>294</v>
      </c>
      <c r="F172" s="25">
        <v>0</v>
      </c>
      <c r="G172" s="25">
        <v>3800</v>
      </c>
      <c r="H172" s="25">
        <v>0</v>
      </c>
      <c r="I172" s="25">
        <v>0</v>
      </c>
      <c r="J172" s="18">
        <v>0</v>
      </c>
      <c r="K172" s="18">
        <v>0</v>
      </c>
      <c r="L172" s="56"/>
    </row>
    <row r="173" spans="1:12" x14ac:dyDescent="0.25">
      <c r="A173" s="18">
        <v>1996</v>
      </c>
      <c r="B173" s="20" t="s">
        <v>28</v>
      </c>
      <c r="C173" s="20">
        <v>18</v>
      </c>
      <c r="D173" s="22" t="s">
        <v>294</v>
      </c>
      <c r="E173" s="22" t="s">
        <v>294</v>
      </c>
      <c r="F173" s="25">
        <v>0</v>
      </c>
      <c r="G173" s="25">
        <v>3800</v>
      </c>
      <c r="H173" s="25">
        <v>0</v>
      </c>
      <c r="I173" s="25">
        <v>0</v>
      </c>
      <c r="J173" s="18">
        <v>0</v>
      </c>
      <c r="K173" s="18">
        <v>0</v>
      </c>
      <c r="L173" s="56"/>
    </row>
    <row r="174" spans="1:12" x14ac:dyDescent="0.25">
      <c r="A174" s="18">
        <v>1996</v>
      </c>
      <c r="B174" s="20" t="s">
        <v>28</v>
      </c>
      <c r="C174" s="20">
        <v>19</v>
      </c>
      <c r="D174" s="22" t="s">
        <v>294</v>
      </c>
      <c r="E174" s="22" t="s">
        <v>294</v>
      </c>
      <c r="F174" s="25">
        <v>0</v>
      </c>
      <c r="G174" s="25">
        <v>3800</v>
      </c>
      <c r="H174" s="25">
        <v>0</v>
      </c>
      <c r="I174" s="25">
        <v>0</v>
      </c>
      <c r="J174" s="18">
        <v>0</v>
      </c>
      <c r="K174" s="18">
        <v>0</v>
      </c>
      <c r="L174" s="56"/>
    </row>
    <row r="175" spans="1:12" x14ac:dyDescent="0.25">
      <c r="A175" s="18">
        <v>1996</v>
      </c>
      <c r="B175" s="20" t="s">
        <v>28</v>
      </c>
      <c r="C175" s="20">
        <v>20</v>
      </c>
      <c r="D175" s="22" t="s">
        <v>294</v>
      </c>
      <c r="E175" s="22" t="s">
        <v>294</v>
      </c>
      <c r="F175" s="25">
        <v>0</v>
      </c>
      <c r="G175" s="25">
        <v>3800</v>
      </c>
      <c r="H175" s="25">
        <v>0</v>
      </c>
      <c r="I175" s="25">
        <v>0</v>
      </c>
      <c r="J175" s="18">
        <v>0</v>
      </c>
      <c r="K175" s="18">
        <v>0</v>
      </c>
      <c r="L175" s="56"/>
    </row>
    <row r="176" spans="1:12" x14ac:dyDescent="0.25">
      <c r="A176" s="18">
        <v>1996</v>
      </c>
      <c r="B176" s="20" t="s">
        <v>28</v>
      </c>
      <c r="C176" s="20">
        <v>21</v>
      </c>
      <c r="D176" s="22" t="s">
        <v>294</v>
      </c>
      <c r="E176" s="22" t="s">
        <v>294</v>
      </c>
      <c r="F176" s="25">
        <v>0</v>
      </c>
      <c r="G176" s="25">
        <v>3800</v>
      </c>
      <c r="H176" s="25">
        <v>0</v>
      </c>
      <c r="I176" s="25">
        <v>0</v>
      </c>
      <c r="J176" s="18">
        <v>0</v>
      </c>
      <c r="K176" s="18">
        <v>0</v>
      </c>
      <c r="L176" s="56"/>
    </row>
    <row r="177" spans="1:12" x14ac:dyDescent="0.25">
      <c r="A177" s="18">
        <v>1996</v>
      </c>
      <c r="B177" s="20" t="s">
        <v>28</v>
      </c>
      <c r="C177" s="20">
        <v>22</v>
      </c>
      <c r="D177" s="22" t="s">
        <v>294</v>
      </c>
      <c r="E177" s="22" t="s">
        <v>294</v>
      </c>
      <c r="F177" s="25">
        <v>0</v>
      </c>
      <c r="G177" s="25">
        <v>3800</v>
      </c>
      <c r="H177" s="25">
        <v>0</v>
      </c>
      <c r="I177" s="25">
        <v>0</v>
      </c>
      <c r="J177" s="18">
        <v>0</v>
      </c>
      <c r="K177" s="18">
        <v>0</v>
      </c>
      <c r="L177" s="56"/>
    </row>
    <row r="178" spans="1:12" x14ac:dyDescent="0.25">
      <c r="A178" s="18">
        <v>1996</v>
      </c>
      <c r="B178" s="20" t="s">
        <v>28</v>
      </c>
      <c r="C178" s="20">
        <v>23</v>
      </c>
      <c r="D178" s="22" t="s">
        <v>296</v>
      </c>
      <c r="E178" s="22" t="s">
        <v>294</v>
      </c>
      <c r="F178" s="25">
        <v>0</v>
      </c>
      <c r="G178" s="20">
        <v>3750</v>
      </c>
      <c r="H178" s="25">
        <v>0</v>
      </c>
      <c r="I178" s="25">
        <v>0</v>
      </c>
      <c r="J178" s="18">
        <v>0</v>
      </c>
      <c r="K178" s="18">
        <v>0</v>
      </c>
      <c r="L178" s="56"/>
    </row>
    <row r="179" spans="1:12" x14ac:dyDescent="0.25">
      <c r="A179" s="18">
        <v>1996</v>
      </c>
      <c r="B179" s="20" t="s">
        <v>28</v>
      </c>
      <c r="C179" s="20">
        <v>24</v>
      </c>
      <c r="D179" s="22" t="s">
        <v>296</v>
      </c>
      <c r="E179" s="22" t="s">
        <v>296</v>
      </c>
      <c r="F179" s="25">
        <v>0</v>
      </c>
      <c r="G179" s="20">
        <v>3750</v>
      </c>
      <c r="H179" s="25">
        <v>0</v>
      </c>
      <c r="I179" s="25">
        <v>0</v>
      </c>
      <c r="J179" s="18">
        <v>0</v>
      </c>
      <c r="K179" s="18">
        <v>0</v>
      </c>
      <c r="L179" s="56"/>
    </row>
    <row r="180" spans="1:12" x14ac:dyDescent="0.25">
      <c r="A180" s="18">
        <v>1996</v>
      </c>
      <c r="B180" s="20" t="s">
        <v>28</v>
      </c>
      <c r="C180" s="20">
        <v>25</v>
      </c>
      <c r="D180" s="22" t="s">
        <v>296</v>
      </c>
      <c r="E180" s="22" t="s">
        <v>296</v>
      </c>
      <c r="F180" s="25">
        <v>0</v>
      </c>
      <c r="G180" s="20">
        <v>3750</v>
      </c>
      <c r="H180" s="25">
        <v>0</v>
      </c>
      <c r="I180" s="25">
        <v>0</v>
      </c>
      <c r="J180" s="18">
        <v>0</v>
      </c>
      <c r="K180" s="18">
        <v>0</v>
      </c>
      <c r="L180" s="56"/>
    </row>
    <row r="181" spans="1:12" x14ac:dyDescent="0.25">
      <c r="A181" s="18">
        <v>1996</v>
      </c>
      <c r="B181" s="20" t="s">
        <v>28</v>
      </c>
      <c r="C181" s="20">
        <v>26</v>
      </c>
      <c r="D181" s="22" t="s">
        <v>122</v>
      </c>
      <c r="E181" s="22" t="s">
        <v>296</v>
      </c>
      <c r="F181" s="25">
        <v>0</v>
      </c>
      <c r="G181" s="22" t="s">
        <v>1027</v>
      </c>
      <c r="H181" s="25">
        <v>0</v>
      </c>
      <c r="I181" s="25">
        <v>0</v>
      </c>
      <c r="J181" s="18">
        <v>0</v>
      </c>
      <c r="K181" s="18">
        <v>0</v>
      </c>
      <c r="L181" s="56"/>
    </row>
    <row r="182" spans="1:12" x14ac:dyDescent="0.25">
      <c r="A182" s="18">
        <v>1996</v>
      </c>
      <c r="B182" s="20" t="s">
        <v>28</v>
      </c>
      <c r="C182" s="20">
        <v>27</v>
      </c>
      <c r="D182" s="22" t="s">
        <v>122</v>
      </c>
      <c r="E182" s="22" t="s">
        <v>296</v>
      </c>
      <c r="F182" s="25">
        <v>0</v>
      </c>
      <c r="G182" s="22" t="s">
        <v>1027</v>
      </c>
      <c r="H182" s="25">
        <v>0</v>
      </c>
      <c r="I182" s="25">
        <v>0</v>
      </c>
      <c r="J182" s="18">
        <v>0</v>
      </c>
      <c r="K182" s="18">
        <v>0</v>
      </c>
      <c r="L182" s="56"/>
    </row>
    <row r="183" spans="1:12" x14ac:dyDescent="0.25">
      <c r="A183" s="18">
        <v>1996</v>
      </c>
      <c r="B183" s="20" t="s">
        <v>28</v>
      </c>
      <c r="C183" s="20">
        <v>28</v>
      </c>
      <c r="D183" s="22" t="s">
        <v>122</v>
      </c>
      <c r="E183" s="22" t="s">
        <v>296</v>
      </c>
      <c r="F183" s="25">
        <v>0</v>
      </c>
      <c r="G183" s="22" t="s">
        <v>1027</v>
      </c>
      <c r="H183" s="25">
        <v>0</v>
      </c>
      <c r="I183" s="25">
        <v>0</v>
      </c>
      <c r="J183" s="18">
        <v>0</v>
      </c>
      <c r="K183" s="18">
        <v>0</v>
      </c>
      <c r="L183" s="56"/>
    </row>
    <row r="184" spans="1:12" x14ac:dyDescent="0.25">
      <c r="A184" s="18">
        <v>1996</v>
      </c>
      <c r="B184" s="20" t="s">
        <v>28</v>
      </c>
      <c r="C184" s="20">
        <v>29</v>
      </c>
      <c r="D184" s="22" t="s">
        <v>122</v>
      </c>
      <c r="E184" s="22" t="s">
        <v>296</v>
      </c>
      <c r="F184" s="25">
        <v>0</v>
      </c>
      <c r="G184" s="22" t="s">
        <v>1027</v>
      </c>
      <c r="H184" s="25">
        <v>0</v>
      </c>
      <c r="I184" s="25">
        <v>0</v>
      </c>
      <c r="J184" s="18">
        <v>0</v>
      </c>
      <c r="K184" s="18">
        <v>0</v>
      </c>
      <c r="L184" s="56"/>
    </row>
    <row r="185" spans="1:12" x14ac:dyDescent="0.25">
      <c r="A185" s="18">
        <v>1996</v>
      </c>
      <c r="B185" s="20" t="s">
        <v>28</v>
      </c>
      <c r="C185" s="20">
        <v>30</v>
      </c>
      <c r="D185" s="22" t="s">
        <v>122</v>
      </c>
      <c r="E185" s="22" t="s">
        <v>296</v>
      </c>
      <c r="F185" s="25">
        <v>0</v>
      </c>
      <c r="G185" s="22" t="s">
        <v>1027</v>
      </c>
      <c r="H185" s="25">
        <v>0</v>
      </c>
      <c r="I185" s="25">
        <v>0</v>
      </c>
      <c r="J185" s="18">
        <v>0</v>
      </c>
      <c r="K185" s="18">
        <v>0</v>
      </c>
      <c r="L185" s="56"/>
    </row>
    <row r="186" spans="1:12" x14ac:dyDescent="0.25">
      <c r="A186" s="18">
        <v>1996</v>
      </c>
      <c r="B186" s="20" t="s">
        <v>29</v>
      </c>
      <c r="C186" s="20">
        <v>1</v>
      </c>
      <c r="D186" s="22" t="s">
        <v>300</v>
      </c>
      <c r="E186" s="22" t="s">
        <v>300</v>
      </c>
      <c r="F186" s="25">
        <v>0</v>
      </c>
      <c r="G186" s="25">
        <v>3700</v>
      </c>
      <c r="H186" s="25">
        <v>0</v>
      </c>
      <c r="I186" s="25">
        <v>0</v>
      </c>
      <c r="J186" s="18">
        <v>0</v>
      </c>
      <c r="K186" s="18">
        <v>0</v>
      </c>
      <c r="L186" s="56"/>
    </row>
    <row r="187" spans="1:12" x14ac:dyDescent="0.25">
      <c r="A187" s="18">
        <v>1996</v>
      </c>
      <c r="B187" s="20" t="s">
        <v>29</v>
      </c>
      <c r="C187" s="20">
        <v>2</v>
      </c>
      <c r="D187" s="22" t="s">
        <v>300</v>
      </c>
      <c r="E187" s="22" t="s">
        <v>300</v>
      </c>
      <c r="F187" s="25">
        <v>0</v>
      </c>
      <c r="G187" s="25">
        <v>3700</v>
      </c>
      <c r="H187" s="25">
        <v>0</v>
      </c>
      <c r="I187" s="25">
        <v>0</v>
      </c>
      <c r="J187" s="18">
        <v>0</v>
      </c>
      <c r="K187" s="18">
        <v>0</v>
      </c>
      <c r="L187" s="56"/>
    </row>
    <row r="188" spans="1:12" x14ac:dyDescent="0.25">
      <c r="A188" s="18">
        <v>1996</v>
      </c>
      <c r="B188" s="20" t="s">
        <v>29</v>
      </c>
      <c r="C188" s="20">
        <v>3</v>
      </c>
      <c r="D188" s="22" t="s">
        <v>300</v>
      </c>
      <c r="E188" s="22" t="s">
        <v>300</v>
      </c>
      <c r="F188" s="25">
        <v>0</v>
      </c>
      <c r="G188" s="25">
        <v>3700</v>
      </c>
      <c r="H188" s="25">
        <v>0</v>
      </c>
      <c r="I188" s="25">
        <v>0</v>
      </c>
      <c r="J188" s="18">
        <v>0</v>
      </c>
      <c r="K188" s="18">
        <v>0</v>
      </c>
      <c r="L188" s="56"/>
    </row>
    <row r="189" spans="1:12" x14ac:dyDescent="0.25">
      <c r="A189" s="18">
        <v>1996</v>
      </c>
      <c r="B189" s="20" t="s">
        <v>29</v>
      </c>
      <c r="C189" s="20">
        <v>4</v>
      </c>
      <c r="D189" s="22" t="s">
        <v>300</v>
      </c>
      <c r="E189" s="22" t="s">
        <v>300</v>
      </c>
      <c r="F189" s="25">
        <v>0</v>
      </c>
      <c r="G189" s="25">
        <v>3700</v>
      </c>
      <c r="H189" s="25">
        <v>0</v>
      </c>
      <c r="I189" s="25">
        <v>0</v>
      </c>
      <c r="J189" s="18">
        <v>0</v>
      </c>
      <c r="K189" s="18">
        <v>0</v>
      </c>
      <c r="L189" s="56"/>
    </row>
    <row r="190" spans="1:12" x14ac:dyDescent="0.25">
      <c r="A190" s="18">
        <v>1996</v>
      </c>
      <c r="B190" s="20" t="s">
        <v>29</v>
      </c>
      <c r="C190" s="20">
        <v>5</v>
      </c>
      <c r="D190" s="22" t="s">
        <v>300</v>
      </c>
      <c r="E190" s="22" t="s">
        <v>300</v>
      </c>
      <c r="F190" s="25">
        <v>0</v>
      </c>
      <c r="G190" s="25">
        <v>3700</v>
      </c>
      <c r="H190" s="25">
        <v>0</v>
      </c>
      <c r="I190" s="25">
        <v>0</v>
      </c>
      <c r="J190" s="18">
        <v>0</v>
      </c>
      <c r="K190" s="18">
        <v>0</v>
      </c>
      <c r="L190" s="56"/>
    </row>
    <row r="191" spans="1:12" x14ac:dyDescent="0.25">
      <c r="A191" s="18">
        <v>1996</v>
      </c>
      <c r="B191" s="20" t="s">
        <v>29</v>
      </c>
      <c r="C191" s="20">
        <v>6</v>
      </c>
      <c r="D191" s="22" t="s">
        <v>304</v>
      </c>
      <c r="E191" s="22" t="s">
        <v>304</v>
      </c>
      <c r="F191" s="25">
        <v>0</v>
      </c>
      <c r="G191" s="20">
        <v>3650</v>
      </c>
      <c r="H191" s="25">
        <v>0</v>
      </c>
      <c r="I191" s="25">
        <v>0</v>
      </c>
      <c r="J191" s="18">
        <v>0</v>
      </c>
      <c r="K191" s="18">
        <v>0</v>
      </c>
      <c r="L191" s="56"/>
    </row>
    <row r="192" spans="1:12" x14ac:dyDescent="0.25">
      <c r="A192" s="18">
        <v>1996</v>
      </c>
      <c r="B192" s="20" t="s">
        <v>29</v>
      </c>
      <c r="C192" s="20">
        <v>7</v>
      </c>
      <c r="D192" s="22" t="s">
        <v>304</v>
      </c>
      <c r="E192" s="22" t="s">
        <v>304</v>
      </c>
      <c r="F192" s="25">
        <v>0</v>
      </c>
      <c r="G192" s="20">
        <v>3650</v>
      </c>
      <c r="H192" s="25">
        <v>0</v>
      </c>
      <c r="I192" s="25">
        <v>0</v>
      </c>
      <c r="J192" s="18">
        <v>0</v>
      </c>
      <c r="K192" s="18">
        <v>0</v>
      </c>
      <c r="L192" s="56"/>
    </row>
    <row r="193" spans="1:12" x14ac:dyDescent="0.25">
      <c r="A193" s="18">
        <v>1996</v>
      </c>
      <c r="B193" s="20" t="s">
        <v>29</v>
      </c>
      <c r="C193" s="20">
        <v>8</v>
      </c>
      <c r="D193" s="22" t="s">
        <v>304</v>
      </c>
      <c r="E193" s="22" t="s">
        <v>304</v>
      </c>
      <c r="F193" s="25">
        <v>0</v>
      </c>
      <c r="G193" s="20">
        <v>3650</v>
      </c>
      <c r="H193" s="25">
        <v>0</v>
      </c>
      <c r="I193" s="25">
        <v>0</v>
      </c>
      <c r="J193" s="18">
        <v>0</v>
      </c>
      <c r="K193" s="18">
        <v>0</v>
      </c>
      <c r="L193" s="56"/>
    </row>
    <row r="194" spans="1:12" x14ac:dyDescent="0.25">
      <c r="A194" s="18">
        <v>1996</v>
      </c>
      <c r="B194" s="20" t="s">
        <v>29</v>
      </c>
      <c r="C194" s="20">
        <v>9</v>
      </c>
      <c r="D194" s="22" t="s">
        <v>304</v>
      </c>
      <c r="E194" s="22" t="s">
        <v>304</v>
      </c>
      <c r="F194" s="25">
        <v>0</v>
      </c>
      <c r="G194" s="20">
        <v>3650</v>
      </c>
      <c r="H194" s="25">
        <v>0</v>
      </c>
      <c r="I194" s="25">
        <v>0</v>
      </c>
      <c r="J194" s="18">
        <v>0</v>
      </c>
      <c r="K194" s="18">
        <v>0</v>
      </c>
      <c r="L194" s="56"/>
    </row>
    <row r="195" spans="1:12" x14ac:dyDescent="0.25">
      <c r="A195" s="18">
        <v>1996</v>
      </c>
      <c r="B195" s="20" t="s">
        <v>29</v>
      </c>
      <c r="C195" s="20">
        <v>10</v>
      </c>
      <c r="D195" s="22" t="s">
        <v>304</v>
      </c>
      <c r="E195" s="22" t="s">
        <v>304</v>
      </c>
      <c r="F195" s="25">
        <v>0</v>
      </c>
      <c r="G195" s="20">
        <v>3650</v>
      </c>
      <c r="H195" s="25">
        <v>0</v>
      </c>
      <c r="I195" s="25">
        <v>0</v>
      </c>
      <c r="J195" s="18">
        <v>0</v>
      </c>
      <c r="K195" s="18">
        <v>0</v>
      </c>
      <c r="L195" s="56"/>
    </row>
    <row r="196" spans="1:12" x14ac:dyDescent="0.25">
      <c r="A196" s="18">
        <v>1996</v>
      </c>
      <c r="B196" s="20" t="s">
        <v>29</v>
      </c>
      <c r="C196" s="20">
        <v>11</v>
      </c>
      <c r="D196" s="22" t="s">
        <v>510</v>
      </c>
      <c r="E196" s="22" t="s">
        <v>510</v>
      </c>
      <c r="F196" s="25">
        <v>0</v>
      </c>
      <c r="G196" s="25">
        <v>3600</v>
      </c>
      <c r="H196" s="25">
        <v>0</v>
      </c>
      <c r="I196" s="25">
        <v>0</v>
      </c>
      <c r="J196" s="18">
        <v>0</v>
      </c>
      <c r="K196" s="18">
        <v>0</v>
      </c>
      <c r="L196" s="56"/>
    </row>
    <row r="197" spans="1:12" x14ac:dyDescent="0.25">
      <c r="A197" s="18">
        <v>1996</v>
      </c>
      <c r="B197" s="20" t="s">
        <v>29</v>
      </c>
      <c r="C197" s="20">
        <v>12</v>
      </c>
      <c r="D197" s="22" t="s">
        <v>510</v>
      </c>
      <c r="E197" s="22" t="s">
        <v>510</v>
      </c>
      <c r="F197" s="25">
        <v>0</v>
      </c>
      <c r="G197" s="25">
        <v>3600</v>
      </c>
      <c r="H197" s="25">
        <v>0</v>
      </c>
      <c r="I197" s="25">
        <v>0</v>
      </c>
      <c r="J197" s="18">
        <v>0</v>
      </c>
      <c r="K197" s="18">
        <v>0</v>
      </c>
      <c r="L197" s="56"/>
    </row>
    <row r="198" spans="1:12" x14ac:dyDescent="0.25">
      <c r="A198" s="18">
        <v>1996</v>
      </c>
      <c r="B198" s="20" t="s">
        <v>29</v>
      </c>
      <c r="C198" s="20">
        <v>13</v>
      </c>
      <c r="D198" s="22" t="s">
        <v>311</v>
      </c>
      <c r="E198" s="22" t="s">
        <v>311</v>
      </c>
      <c r="F198" s="25">
        <v>0</v>
      </c>
      <c r="G198" s="20">
        <v>3550</v>
      </c>
      <c r="H198" s="25">
        <v>0</v>
      </c>
      <c r="I198" s="25">
        <v>0</v>
      </c>
      <c r="J198" s="18">
        <v>0</v>
      </c>
      <c r="K198" s="18">
        <v>0</v>
      </c>
      <c r="L198" s="56"/>
    </row>
    <row r="199" spans="1:12" x14ac:dyDescent="0.25">
      <c r="A199" s="18">
        <v>1996</v>
      </c>
      <c r="B199" s="20" t="s">
        <v>29</v>
      </c>
      <c r="C199" s="20">
        <v>14</v>
      </c>
      <c r="D199" s="22" t="s">
        <v>311</v>
      </c>
      <c r="E199" s="22" t="s">
        <v>311</v>
      </c>
      <c r="F199" s="25">
        <v>0</v>
      </c>
      <c r="G199" s="25">
        <v>3550</v>
      </c>
      <c r="H199" s="25">
        <v>0</v>
      </c>
      <c r="I199" s="25">
        <v>0</v>
      </c>
      <c r="J199" s="18">
        <v>0</v>
      </c>
      <c r="K199" s="18">
        <v>0</v>
      </c>
      <c r="L199" s="56"/>
    </row>
    <row r="200" spans="1:12" x14ac:dyDescent="0.25">
      <c r="A200" s="18">
        <v>1996</v>
      </c>
      <c r="B200" s="20" t="s">
        <v>29</v>
      </c>
      <c r="C200" s="20">
        <v>15</v>
      </c>
      <c r="D200" s="22" t="s">
        <v>311</v>
      </c>
      <c r="E200" s="22" t="s">
        <v>311</v>
      </c>
      <c r="F200" s="25">
        <v>0</v>
      </c>
      <c r="G200" s="25">
        <v>3550</v>
      </c>
      <c r="H200" s="25">
        <v>0</v>
      </c>
      <c r="I200" s="25">
        <v>0</v>
      </c>
      <c r="J200" s="18">
        <v>0</v>
      </c>
      <c r="K200" s="18">
        <v>0</v>
      </c>
      <c r="L200" s="56"/>
    </row>
    <row r="201" spans="1:12" x14ac:dyDescent="0.25">
      <c r="A201" s="18">
        <v>1996</v>
      </c>
      <c r="B201" s="20" t="s">
        <v>29</v>
      </c>
      <c r="C201" s="20">
        <v>16</v>
      </c>
      <c r="D201" s="22" t="s">
        <v>317</v>
      </c>
      <c r="E201" s="22" t="s">
        <v>317</v>
      </c>
      <c r="F201" s="25">
        <v>0</v>
      </c>
      <c r="G201" s="20">
        <v>3500</v>
      </c>
      <c r="H201" s="25">
        <v>0</v>
      </c>
      <c r="I201" s="25">
        <v>0</v>
      </c>
      <c r="J201" s="18">
        <v>0</v>
      </c>
      <c r="K201" s="18">
        <v>0</v>
      </c>
      <c r="L201" s="56"/>
    </row>
    <row r="202" spans="1:12" x14ac:dyDescent="0.25">
      <c r="A202" s="18">
        <v>1996</v>
      </c>
      <c r="B202" s="20" t="s">
        <v>29</v>
      </c>
      <c r="C202" s="20">
        <v>17</v>
      </c>
      <c r="D202" s="22" t="s">
        <v>317</v>
      </c>
      <c r="E202" s="22" t="s">
        <v>317</v>
      </c>
      <c r="F202" s="25">
        <v>0</v>
      </c>
      <c r="G202" s="25">
        <v>3500</v>
      </c>
      <c r="H202" s="25">
        <v>0</v>
      </c>
      <c r="I202" s="25">
        <v>0</v>
      </c>
      <c r="J202" s="18">
        <v>0</v>
      </c>
      <c r="K202" s="18">
        <v>0</v>
      </c>
      <c r="L202" s="56"/>
    </row>
    <row r="203" spans="1:12" x14ac:dyDescent="0.25">
      <c r="A203" s="18">
        <v>1996</v>
      </c>
      <c r="B203" s="20" t="s">
        <v>29</v>
      </c>
      <c r="C203" s="20">
        <v>18</v>
      </c>
      <c r="D203" s="22" t="s">
        <v>317</v>
      </c>
      <c r="E203" s="22" t="s">
        <v>317</v>
      </c>
      <c r="F203" s="25">
        <v>0</v>
      </c>
      <c r="G203" s="25">
        <v>3500</v>
      </c>
      <c r="H203" s="25">
        <v>0</v>
      </c>
      <c r="I203" s="25">
        <v>0</v>
      </c>
      <c r="J203" s="18">
        <v>0</v>
      </c>
      <c r="K203" s="18">
        <v>0</v>
      </c>
      <c r="L203" s="56"/>
    </row>
    <row r="204" spans="1:12" x14ac:dyDescent="0.25">
      <c r="A204" s="18">
        <v>1996</v>
      </c>
      <c r="B204" s="20" t="s">
        <v>29</v>
      </c>
      <c r="C204" s="20">
        <v>19</v>
      </c>
      <c r="D204" s="22" t="s">
        <v>122</v>
      </c>
      <c r="E204" s="22" t="s">
        <v>319</v>
      </c>
      <c r="F204" s="25">
        <v>0</v>
      </c>
      <c r="G204" s="22" t="s">
        <v>1028</v>
      </c>
      <c r="H204" s="25">
        <v>0</v>
      </c>
      <c r="I204" s="25">
        <v>0</v>
      </c>
      <c r="J204" s="18">
        <v>0</v>
      </c>
      <c r="K204" s="18">
        <v>0</v>
      </c>
      <c r="L204" s="56"/>
    </row>
    <row r="205" spans="1:12" x14ac:dyDescent="0.25">
      <c r="A205" s="18">
        <v>1996</v>
      </c>
      <c r="B205" s="20" t="s">
        <v>29</v>
      </c>
      <c r="C205" s="20">
        <v>20</v>
      </c>
      <c r="D205" s="22" t="s">
        <v>122</v>
      </c>
      <c r="E205" s="22" t="s">
        <v>319</v>
      </c>
      <c r="F205" s="25">
        <v>0</v>
      </c>
      <c r="G205" s="22" t="s">
        <v>1028</v>
      </c>
      <c r="H205" s="25">
        <v>0</v>
      </c>
      <c r="I205" s="25">
        <v>0</v>
      </c>
      <c r="J205" s="18">
        <v>0</v>
      </c>
      <c r="K205" s="18">
        <v>0</v>
      </c>
      <c r="L205" s="56"/>
    </row>
    <row r="206" spans="1:12" x14ac:dyDescent="0.25">
      <c r="A206" s="18">
        <v>1996</v>
      </c>
      <c r="B206" s="20" t="s">
        <v>29</v>
      </c>
      <c r="C206" s="20">
        <v>21</v>
      </c>
      <c r="D206" s="22" t="s">
        <v>122</v>
      </c>
      <c r="E206" s="22" t="s">
        <v>319</v>
      </c>
      <c r="F206" s="25">
        <v>0</v>
      </c>
      <c r="G206" s="22" t="s">
        <v>1028</v>
      </c>
      <c r="H206" s="25">
        <v>0</v>
      </c>
      <c r="I206" s="25">
        <v>0</v>
      </c>
      <c r="J206" s="18">
        <v>0</v>
      </c>
      <c r="K206" s="18">
        <v>0</v>
      </c>
      <c r="L206" s="56"/>
    </row>
    <row r="207" spans="1:12" x14ac:dyDescent="0.25">
      <c r="A207" s="18">
        <v>1996</v>
      </c>
      <c r="B207" s="20" t="s">
        <v>29</v>
      </c>
      <c r="C207" s="20">
        <v>22</v>
      </c>
      <c r="D207" s="22" t="s">
        <v>122</v>
      </c>
      <c r="E207" s="22" t="s">
        <v>321</v>
      </c>
      <c r="F207" s="25">
        <v>0</v>
      </c>
      <c r="G207" s="22" t="s">
        <v>1029</v>
      </c>
      <c r="H207" s="25">
        <v>0</v>
      </c>
      <c r="I207" s="25">
        <v>0</v>
      </c>
      <c r="J207" s="18">
        <v>0</v>
      </c>
      <c r="K207" s="18">
        <v>0</v>
      </c>
      <c r="L207" s="56"/>
    </row>
    <row r="208" spans="1:12" x14ac:dyDescent="0.25">
      <c r="A208" s="18">
        <v>1996</v>
      </c>
      <c r="B208" s="20" t="s">
        <v>29</v>
      </c>
      <c r="C208" s="20">
        <v>23</v>
      </c>
      <c r="D208" s="22" t="s">
        <v>122</v>
      </c>
      <c r="E208" s="22" t="s">
        <v>321</v>
      </c>
      <c r="F208" s="25">
        <v>0</v>
      </c>
      <c r="G208" s="22" t="s">
        <v>1029</v>
      </c>
      <c r="H208" s="25">
        <v>0</v>
      </c>
      <c r="I208" s="25">
        <v>0</v>
      </c>
      <c r="J208" s="18">
        <v>0</v>
      </c>
      <c r="K208" s="18">
        <v>0</v>
      </c>
      <c r="L208" s="56"/>
    </row>
    <row r="209" spans="1:12" x14ac:dyDescent="0.25">
      <c r="A209" s="18">
        <v>1996</v>
      </c>
      <c r="B209" s="20" t="s">
        <v>29</v>
      </c>
      <c r="C209" s="20">
        <v>24</v>
      </c>
      <c r="D209" s="22" t="s">
        <v>122</v>
      </c>
      <c r="E209" s="22" t="s">
        <v>426</v>
      </c>
      <c r="F209" s="25">
        <v>0</v>
      </c>
      <c r="G209" s="22" t="s">
        <v>1030</v>
      </c>
      <c r="H209" s="25">
        <v>0</v>
      </c>
      <c r="I209" s="25">
        <v>0</v>
      </c>
      <c r="J209" s="18">
        <v>0</v>
      </c>
      <c r="K209" s="18">
        <v>0</v>
      </c>
      <c r="L209" s="56"/>
    </row>
    <row r="210" spans="1:12" x14ac:dyDescent="0.25">
      <c r="A210" s="18">
        <v>1996</v>
      </c>
      <c r="B210" s="20" t="s">
        <v>29</v>
      </c>
      <c r="C210" s="20">
        <v>25</v>
      </c>
      <c r="D210" s="22" t="s">
        <v>122</v>
      </c>
      <c r="E210" s="22" t="s">
        <v>426</v>
      </c>
      <c r="F210" s="25">
        <v>0</v>
      </c>
      <c r="G210" s="22" t="s">
        <v>1030</v>
      </c>
      <c r="H210" s="25">
        <v>0</v>
      </c>
      <c r="I210" s="25">
        <v>0</v>
      </c>
      <c r="J210" s="18">
        <v>0</v>
      </c>
      <c r="K210" s="18">
        <v>0</v>
      </c>
      <c r="L210" s="56"/>
    </row>
    <row r="211" spans="1:12" x14ac:dyDescent="0.25">
      <c r="A211" s="18">
        <v>1996</v>
      </c>
      <c r="B211" s="20" t="s">
        <v>29</v>
      </c>
      <c r="C211" s="20">
        <v>26</v>
      </c>
      <c r="D211" s="22" t="s">
        <v>122</v>
      </c>
      <c r="E211" s="22" t="s">
        <v>417</v>
      </c>
      <c r="F211" s="25">
        <v>0</v>
      </c>
      <c r="G211" s="22" t="s">
        <v>1031</v>
      </c>
      <c r="H211" s="25">
        <v>0</v>
      </c>
      <c r="I211" s="25">
        <v>0</v>
      </c>
      <c r="J211" s="18">
        <v>0</v>
      </c>
      <c r="K211" s="18">
        <v>0</v>
      </c>
      <c r="L211" s="56"/>
    </row>
    <row r="212" spans="1:12" x14ac:dyDescent="0.25">
      <c r="A212" s="18">
        <v>1996</v>
      </c>
      <c r="B212" s="20" t="s">
        <v>29</v>
      </c>
      <c r="C212" s="20">
        <v>27</v>
      </c>
      <c r="D212" s="22" t="s">
        <v>122</v>
      </c>
      <c r="E212" s="22" t="s">
        <v>417</v>
      </c>
      <c r="F212" s="25">
        <v>0</v>
      </c>
      <c r="G212" s="22" t="s">
        <v>1032</v>
      </c>
      <c r="H212" s="25">
        <v>0</v>
      </c>
      <c r="I212" s="25">
        <v>0</v>
      </c>
      <c r="J212" s="18">
        <v>0</v>
      </c>
      <c r="K212" s="18">
        <v>0</v>
      </c>
      <c r="L212" s="56"/>
    </row>
    <row r="213" spans="1:12" x14ac:dyDescent="0.25">
      <c r="A213" s="18">
        <v>1996</v>
      </c>
      <c r="B213" s="20" t="s">
        <v>29</v>
      </c>
      <c r="C213" s="20">
        <v>28</v>
      </c>
      <c r="D213" s="22" t="s">
        <v>122</v>
      </c>
      <c r="E213" s="22" t="s">
        <v>427</v>
      </c>
      <c r="F213" s="25">
        <v>0</v>
      </c>
      <c r="G213" s="22" t="s">
        <v>1032</v>
      </c>
      <c r="H213" s="25">
        <v>0</v>
      </c>
      <c r="I213" s="25">
        <v>0</v>
      </c>
      <c r="J213" s="18">
        <v>0</v>
      </c>
      <c r="K213" s="18">
        <v>0</v>
      </c>
      <c r="L213" s="56"/>
    </row>
    <row r="214" spans="1:12" x14ac:dyDescent="0.25">
      <c r="A214" s="18">
        <v>1996</v>
      </c>
      <c r="B214" s="20" t="s">
        <v>29</v>
      </c>
      <c r="C214" s="20">
        <v>29</v>
      </c>
      <c r="D214" s="22" t="s">
        <v>122</v>
      </c>
      <c r="E214" s="22" t="s">
        <v>427</v>
      </c>
      <c r="F214" s="25">
        <v>0</v>
      </c>
      <c r="G214" s="22" t="s">
        <v>1032</v>
      </c>
      <c r="H214" s="25">
        <v>0</v>
      </c>
      <c r="I214" s="25">
        <v>0</v>
      </c>
      <c r="J214" s="18">
        <v>0</v>
      </c>
      <c r="K214" s="18">
        <v>0</v>
      </c>
      <c r="L214" s="56"/>
    </row>
    <row r="215" spans="1:12" x14ac:dyDescent="0.25">
      <c r="A215" s="18">
        <v>1996</v>
      </c>
      <c r="B215" s="20" t="s">
        <v>29</v>
      </c>
      <c r="C215" s="20">
        <v>30</v>
      </c>
      <c r="D215" s="22" t="s">
        <v>122</v>
      </c>
      <c r="E215" s="22" t="s">
        <v>416</v>
      </c>
      <c r="F215" s="25">
        <v>0</v>
      </c>
      <c r="G215" s="22" t="s">
        <v>1033</v>
      </c>
      <c r="H215" s="25">
        <v>0</v>
      </c>
      <c r="I215" s="25">
        <v>0</v>
      </c>
      <c r="J215" s="18">
        <v>0</v>
      </c>
      <c r="K215" s="18">
        <v>0</v>
      </c>
      <c r="L215" s="56"/>
    </row>
    <row r="216" spans="1:12" x14ac:dyDescent="0.25">
      <c r="A216" s="18">
        <v>1996</v>
      </c>
      <c r="B216" s="20" t="s">
        <v>29</v>
      </c>
      <c r="C216" s="20">
        <v>31</v>
      </c>
      <c r="D216" s="22" t="s">
        <v>122</v>
      </c>
      <c r="E216" s="22" t="s">
        <v>415</v>
      </c>
      <c r="F216" s="25">
        <v>0</v>
      </c>
      <c r="G216" s="22" t="s">
        <v>1034</v>
      </c>
      <c r="H216" s="25">
        <v>0</v>
      </c>
      <c r="I216" s="25">
        <v>0</v>
      </c>
      <c r="J216" s="18">
        <v>0</v>
      </c>
      <c r="K216" s="18">
        <v>0</v>
      </c>
      <c r="L216" s="56"/>
    </row>
    <row r="217" spans="1:12" x14ac:dyDescent="0.25">
      <c r="A217" s="18">
        <v>1996</v>
      </c>
      <c r="B217" s="20" t="s">
        <v>30</v>
      </c>
      <c r="C217" s="20">
        <v>1</v>
      </c>
      <c r="D217" s="22" t="s">
        <v>415</v>
      </c>
      <c r="E217" s="22" t="s">
        <v>415</v>
      </c>
      <c r="F217" s="25">
        <v>0</v>
      </c>
      <c r="G217" s="30">
        <v>3000</v>
      </c>
      <c r="H217" s="25">
        <v>0</v>
      </c>
      <c r="I217" s="25">
        <v>0</v>
      </c>
      <c r="J217" s="18">
        <v>0</v>
      </c>
      <c r="K217" s="18">
        <v>0</v>
      </c>
      <c r="L217" s="56"/>
    </row>
    <row r="218" spans="1:12" x14ac:dyDescent="0.25">
      <c r="A218" s="18">
        <v>1996</v>
      </c>
      <c r="B218" s="20" t="s">
        <v>30</v>
      </c>
      <c r="C218" s="20">
        <v>2</v>
      </c>
      <c r="D218" s="22" t="s">
        <v>415</v>
      </c>
      <c r="E218" s="22" t="s">
        <v>415</v>
      </c>
      <c r="F218" s="25">
        <v>0</v>
      </c>
      <c r="G218" s="18">
        <v>3000</v>
      </c>
      <c r="H218" s="25">
        <v>0</v>
      </c>
      <c r="I218" s="25">
        <v>0</v>
      </c>
      <c r="J218" s="18">
        <v>0</v>
      </c>
      <c r="K218" s="18">
        <v>0</v>
      </c>
      <c r="L218" s="56"/>
    </row>
    <row r="219" spans="1:12" x14ac:dyDescent="0.25">
      <c r="A219" s="18">
        <v>1996</v>
      </c>
      <c r="B219" s="20" t="s">
        <v>30</v>
      </c>
      <c r="C219" s="20">
        <v>3</v>
      </c>
      <c r="D219" s="22" t="s">
        <v>414</v>
      </c>
      <c r="E219" s="22" t="s">
        <v>414</v>
      </c>
      <c r="F219" s="25">
        <v>0</v>
      </c>
      <c r="G219" s="18">
        <v>2900</v>
      </c>
      <c r="H219" s="25">
        <v>0</v>
      </c>
      <c r="I219" s="25">
        <v>0</v>
      </c>
      <c r="J219" s="18">
        <v>0</v>
      </c>
      <c r="K219" s="18">
        <v>0</v>
      </c>
      <c r="L219" s="56"/>
    </row>
    <row r="220" spans="1:12" x14ac:dyDescent="0.25">
      <c r="A220" s="18">
        <v>1996</v>
      </c>
      <c r="B220" s="20" t="s">
        <v>30</v>
      </c>
      <c r="C220" s="20">
        <v>4</v>
      </c>
      <c r="D220" s="22" t="s">
        <v>414</v>
      </c>
      <c r="E220" s="22" t="s">
        <v>414</v>
      </c>
      <c r="F220" s="25">
        <v>0</v>
      </c>
      <c r="G220" s="18">
        <v>2900</v>
      </c>
      <c r="H220" s="25">
        <v>0</v>
      </c>
      <c r="I220" s="25">
        <v>0</v>
      </c>
      <c r="J220" s="18">
        <v>0</v>
      </c>
      <c r="K220" s="18">
        <v>0</v>
      </c>
      <c r="L220" s="56"/>
    </row>
    <row r="221" spans="1:12" x14ac:dyDescent="0.25">
      <c r="A221" s="18">
        <v>1996</v>
      </c>
      <c r="B221" s="20" t="s">
        <v>30</v>
      </c>
      <c r="C221" s="20">
        <v>5</v>
      </c>
      <c r="D221" s="22" t="s">
        <v>414</v>
      </c>
      <c r="E221" s="22" t="s">
        <v>414</v>
      </c>
      <c r="F221" s="25">
        <v>0</v>
      </c>
      <c r="G221" s="18">
        <v>2900</v>
      </c>
      <c r="H221" s="25">
        <v>0</v>
      </c>
      <c r="I221" s="25">
        <v>0</v>
      </c>
      <c r="J221" s="18">
        <v>0</v>
      </c>
      <c r="K221" s="18">
        <v>0</v>
      </c>
      <c r="L221" s="56"/>
    </row>
    <row r="222" spans="1:12" x14ac:dyDescent="0.25">
      <c r="A222" s="18">
        <v>1996</v>
      </c>
      <c r="B222" s="20" t="s">
        <v>30</v>
      </c>
      <c r="C222" s="20">
        <v>6</v>
      </c>
      <c r="D222" s="22" t="s">
        <v>413</v>
      </c>
      <c r="E222" s="22" t="s">
        <v>413</v>
      </c>
      <c r="F222" s="25">
        <v>0</v>
      </c>
      <c r="G222" s="18">
        <v>2800</v>
      </c>
      <c r="H222" s="25">
        <v>0</v>
      </c>
      <c r="I222" s="25">
        <v>0</v>
      </c>
      <c r="J222" s="18">
        <v>0</v>
      </c>
      <c r="K222" s="18">
        <v>0</v>
      </c>
      <c r="L222" s="56"/>
    </row>
    <row r="223" spans="1:12" x14ac:dyDescent="0.25">
      <c r="A223" s="18">
        <v>1996</v>
      </c>
      <c r="B223" s="20" t="s">
        <v>30</v>
      </c>
      <c r="C223" s="20">
        <v>7</v>
      </c>
      <c r="D223" s="22" t="s">
        <v>413</v>
      </c>
      <c r="E223" s="22" t="s">
        <v>413</v>
      </c>
      <c r="F223" s="25">
        <v>0</v>
      </c>
      <c r="G223" s="18">
        <v>2800</v>
      </c>
      <c r="H223" s="25">
        <v>0</v>
      </c>
      <c r="I223" s="25">
        <v>0</v>
      </c>
      <c r="J223" s="18">
        <v>0</v>
      </c>
      <c r="K223" s="18">
        <v>0</v>
      </c>
      <c r="L223" s="56"/>
    </row>
    <row r="224" spans="1:12" x14ac:dyDescent="0.25">
      <c r="A224" s="18">
        <v>1996</v>
      </c>
      <c r="B224" s="20" t="s">
        <v>30</v>
      </c>
      <c r="C224" s="20">
        <v>8</v>
      </c>
      <c r="D224" s="22" t="s">
        <v>527</v>
      </c>
      <c r="E224" s="22" t="s">
        <v>527</v>
      </c>
      <c r="F224" s="25">
        <v>0</v>
      </c>
      <c r="G224" s="18">
        <v>2700</v>
      </c>
      <c r="H224" s="25">
        <v>0</v>
      </c>
      <c r="I224" s="25">
        <v>0</v>
      </c>
      <c r="J224" s="18">
        <v>0</v>
      </c>
      <c r="K224" s="18">
        <v>0</v>
      </c>
      <c r="L224" s="56"/>
    </row>
    <row r="225" spans="1:12" x14ac:dyDescent="0.25">
      <c r="A225" s="18">
        <v>1996</v>
      </c>
      <c r="B225" s="20" t="s">
        <v>30</v>
      </c>
      <c r="C225" s="20">
        <v>9</v>
      </c>
      <c r="D225" s="22" t="s">
        <v>527</v>
      </c>
      <c r="E225" s="22" t="s">
        <v>527</v>
      </c>
      <c r="F225" s="25">
        <v>0</v>
      </c>
      <c r="G225" s="18">
        <v>2700</v>
      </c>
      <c r="H225" s="25">
        <v>0</v>
      </c>
      <c r="I225" s="25">
        <v>0</v>
      </c>
      <c r="J225" s="18">
        <v>0</v>
      </c>
      <c r="K225" s="18">
        <v>0</v>
      </c>
      <c r="L225" s="56"/>
    </row>
    <row r="226" spans="1:12" x14ac:dyDescent="0.25">
      <c r="A226" s="18">
        <v>1996</v>
      </c>
      <c r="B226" s="20" t="s">
        <v>30</v>
      </c>
      <c r="C226" s="20">
        <v>10</v>
      </c>
      <c r="D226" s="22" t="s">
        <v>527</v>
      </c>
      <c r="E226" s="22" t="s">
        <v>527</v>
      </c>
      <c r="F226" s="25">
        <v>0</v>
      </c>
      <c r="G226" s="18">
        <v>2700</v>
      </c>
      <c r="H226" s="25">
        <v>0</v>
      </c>
      <c r="I226" s="25">
        <v>0</v>
      </c>
      <c r="J226" s="18">
        <v>0</v>
      </c>
      <c r="K226" s="18">
        <v>0</v>
      </c>
      <c r="L226" s="56"/>
    </row>
    <row r="227" spans="1:12" x14ac:dyDescent="0.25">
      <c r="A227" s="18">
        <v>1996</v>
      </c>
      <c r="B227" s="20" t="s">
        <v>30</v>
      </c>
      <c r="C227" s="20">
        <v>11</v>
      </c>
      <c r="D227" s="22" t="s">
        <v>527</v>
      </c>
      <c r="E227" s="22" t="s">
        <v>527</v>
      </c>
      <c r="F227" s="25">
        <v>0</v>
      </c>
      <c r="G227" s="18">
        <v>2700</v>
      </c>
      <c r="H227" s="25">
        <v>0</v>
      </c>
      <c r="I227" s="25">
        <v>0</v>
      </c>
      <c r="J227" s="18">
        <v>0</v>
      </c>
      <c r="K227" s="18">
        <v>0</v>
      </c>
      <c r="L227" s="56"/>
    </row>
    <row r="228" spans="1:12" x14ac:dyDescent="0.25">
      <c r="A228" s="18">
        <v>1996</v>
      </c>
      <c r="B228" s="20" t="s">
        <v>30</v>
      </c>
      <c r="C228" s="20">
        <v>12</v>
      </c>
      <c r="D228" s="22" t="s">
        <v>428</v>
      </c>
      <c r="E228" s="22" t="s">
        <v>428</v>
      </c>
      <c r="F228" s="25">
        <v>0</v>
      </c>
      <c r="G228" s="18">
        <v>2700</v>
      </c>
      <c r="H228" s="25">
        <v>0</v>
      </c>
      <c r="I228" s="25">
        <v>0</v>
      </c>
      <c r="J228" s="18">
        <v>0</v>
      </c>
      <c r="K228" s="18">
        <v>0</v>
      </c>
      <c r="L228" s="56"/>
    </row>
    <row r="229" spans="1:12" x14ac:dyDescent="0.25">
      <c r="A229" s="18">
        <v>1996</v>
      </c>
      <c r="B229" s="20" t="s">
        <v>30</v>
      </c>
      <c r="C229" s="20">
        <v>13</v>
      </c>
      <c r="D229" s="22" t="s">
        <v>428</v>
      </c>
      <c r="E229" s="22" t="s">
        <v>428</v>
      </c>
      <c r="F229" s="25">
        <v>0</v>
      </c>
      <c r="G229" s="18">
        <v>2700</v>
      </c>
      <c r="H229" s="25">
        <v>0</v>
      </c>
      <c r="I229" s="25">
        <v>0</v>
      </c>
      <c r="J229" s="18">
        <v>0</v>
      </c>
      <c r="K229" s="18">
        <v>0</v>
      </c>
      <c r="L229" s="56"/>
    </row>
    <row r="230" spans="1:12" x14ac:dyDescent="0.25">
      <c r="A230" s="18">
        <v>1996</v>
      </c>
      <c r="B230" s="20" t="s">
        <v>30</v>
      </c>
      <c r="C230" s="20">
        <v>14</v>
      </c>
      <c r="D230" s="22" t="s">
        <v>428</v>
      </c>
      <c r="E230" s="22" t="s">
        <v>428</v>
      </c>
      <c r="F230" s="25">
        <v>0</v>
      </c>
      <c r="G230" s="18">
        <v>2700</v>
      </c>
      <c r="H230" s="25">
        <v>0</v>
      </c>
      <c r="I230" s="25">
        <v>0</v>
      </c>
      <c r="J230" s="18">
        <v>0</v>
      </c>
      <c r="K230" s="18">
        <v>0</v>
      </c>
      <c r="L230" s="56"/>
    </row>
    <row r="231" spans="1:12" x14ac:dyDescent="0.25">
      <c r="A231" s="18">
        <v>1996</v>
      </c>
      <c r="B231" s="20" t="s">
        <v>30</v>
      </c>
      <c r="C231" s="20">
        <v>15</v>
      </c>
      <c r="D231" s="22" t="s">
        <v>428</v>
      </c>
      <c r="E231" s="22" t="s">
        <v>428</v>
      </c>
      <c r="F231" s="25">
        <v>0</v>
      </c>
      <c r="G231" s="18">
        <v>2700</v>
      </c>
      <c r="H231" s="25">
        <v>0</v>
      </c>
      <c r="I231" s="25">
        <v>0</v>
      </c>
      <c r="J231" s="18">
        <v>0</v>
      </c>
      <c r="K231" s="18">
        <v>0</v>
      </c>
      <c r="L231" s="56"/>
    </row>
    <row r="232" spans="1:12" x14ac:dyDescent="0.25">
      <c r="A232" s="18">
        <v>1996</v>
      </c>
      <c r="B232" s="20" t="s">
        <v>30</v>
      </c>
      <c r="C232" s="20">
        <v>16</v>
      </c>
      <c r="D232" s="22" t="s">
        <v>428</v>
      </c>
      <c r="E232" s="22" t="s">
        <v>428</v>
      </c>
      <c r="F232" s="25">
        <v>0</v>
      </c>
      <c r="G232" s="18">
        <v>2700</v>
      </c>
      <c r="H232" s="25">
        <v>0</v>
      </c>
      <c r="I232" s="25">
        <v>0</v>
      </c>
      <c r="J232" s="18">
        <v>0</v>
      </c>
      <c r="K232" s="18">
        <v>0</v>
      </c>
      <c r="L232" s="56"/>
    </row>
    <row r="233" spans="1:12" x14ac:dyDescent="0.25">
      <c r="A233" s="18">
        <v>1996</v>
      </c>
      <c r="B233" s="20" t="s">
        <v>30</v>
      </c>
      <c r="C233" s="20">
        <v>17</v>
      </c>
      <c r="D233" s="22" t="s">
        <v>527</v>
      </c>
      <c r="E233" s="22" t="s">
        <v>527</v>
      </c>
      <c r="F233" s="25">
        <v>0</v>
      </c>
      <c r="G233" s="18">
        <v>2700</v>
      </c>
      <c r="H233" s="25">
        <v>0</v>
      </c>
      <c r="I233" s="25">
        <v>0</v>
      </c>
      <c r="J233" s="18">
        <v>0</v>
      </c>
      <c r="K233" s="18">
        <v>0</v>
      </c>
      <c r="L233" s="56"/>
    </row>
    <row r="234" spans="1:12" x14ac:dyDescent="0.25">
      <c r="A234" s="18">
        <v>1996</v>
      </c>
      <c r="B234" s="20" t="s">
        <v>30</v>
      </c>
      <c r="C234" s="20">
        <v>18</v>
      </c>
      <c r="D234" s="22" t="s">
        <v>527</v>
      </c>
      <c r="E234" s="22" t="s">
        <v>527</v>
      </c>
      <c r="F234" s="25">
        <v>0</v>
      </c>
      <c r="G234" s="18">
        <v>2700</v>
      </c>
      <c r="H234" s="25">
        <v>0</v>
      </c>
      <c r="I234" s="25">
        <v>0</v>
      </c>
      <c r="J234" s="18">
        <v>0</v>
      </c>
      <c r="K234" s="18">
        <v>0</v>
      </c>
      <c r="L234" s="56"/>
    </row>
    <row r="235" spans="1:12" x14ac:dyDescent="0.25">
      <c r="A235" s="18">
        <v>1996</v>
      </c>
      <c r="B235" s="20" t="s">
        <v>30</v>
      </c>
      <c r="C235" s="20">
        <v>19</v>
      </c>
      <c r="D235" s="22" t="s">
        <v>527</v>
      </c>
      <c r="E235" s="22" t="s">
        <v>527</v>
      </c>
      <c r="F235" s="25">
        <v>0</v>
      </c>
      <c r="G235" s="18">
        <v>2700</v>
      </c>
      <c r="H235" s="25">
        <v>0</v>
      </c>
      <c r="I235" s="25">
        <v>0</v>
      </c>
      <c r="J235" s="18">
        <v>0</v>
      </c>
      <c r="K235" s="18">
        <v>0</v>
      </c>
      <c r="L235" s="56"/>
    </row>
    <row r="236" spans="1:12" x14ac:dyDescent="0.25">
      <c r="A236" s="18">
        <v>1996</v>
      </c>
      <c r="B236" s="20" t="s">
        <v>30</v>
      </c>
      <c r="C236" s="20">
        <v>20</v>
      </c>
      <c r="D236" s="22" t="s">
        <v>527</v>
      </c>
      <c r="E236" s="22" t="s">
        <v>527</v>
      </c>
      <c r="F236" s="25">
        <v>0</v>
      </c>
      <c r="G236" s="18">
        <v>2700</v>
      </c>
      <c r="H236" s="25">
        <v>0</v>
      </c>
      <c r="I236" s="25">
        <v>0</v>
      </c>
      <c r="J236" s="18">
        <v>0</v>
      </c>
      <c r="K236" s="18">
        <v>0</v>
      </c>
      <c r="L236" s="56"/>
    </row>
    <row r="237" spans="1:12" x14ac:dyDescent="0.25">
      <c r="A237" s="18">
        <v>1996</v>
      </c>
      <c r="B237" s="20" t="s">
        <v>30</v>
      </c>
      <c r="C237" s="20">
        <v>21</v>
      </c>
      <c r="D237" s="22" t="s">
        <v>122</v>
      </c>
      <c r="E237" s="22" t="s">
        <v>527</v>
      </c>
      <c r="F237" s="25">
        <v>0</v>
      </c>
      <c r="G237" s="18">
        <v>2700</v>
      </c>
      <c r="H237" s="25">
        <v>0</v>
      </c>
      <c r="I237" s="25">
        <v>0</v>
      </c>
      <c r="J237" s="18">
        <v>0</v>
      </c>
      <c r="K237" s="18">
        <v>0</v>
      </c>
      <c r="L237" s="56"/>
    </row>
    <row r="238" spans="1:12" x14ac:dyDescent="0.25">
      <c r="A238" s="18">
        <v>1996</v>
      </c>
      <c r="B238" s="20" t="s">
        <v>30</v>
      </c>
      <c r="C238" s="20">
        <v>22</v>
      </c>
      <c r="D238" s="22" t="s">
        <v>122</v>
      </c>
      <c r="E238" s="22" t="s">
        <v>527</v>
      </c>
      <c r="F238" s="25">
        <v>0</v>
      </c>
      <c r="G238" s="18">
        <v>2700</v>
      </c>
      <c r="H238" s="25">
        <v>0</v>
      </c>
      <c r="I238" s="25">
        <v>0</v>
      </c>
      <c r="J238" s="18">
        <v>0</v>
      </c>
      <c r="K238" s="18">
        <v>0</v>
      </c>
      <c r="L238" s="56"/>
    </row>
    <row r="239" spans="1:12" x14ac:dyDescent="0.25">
      <c r="A239" s="18">
        <v>1996</v>
      </c>
      <c r="B239" s="20" t="s">
        <v>30</v>
      </c>
      <c r="C239" s="20">
        <v>23</v>
      </c>
      <c r="D239" s="22" t="s">
        <v>122</v>
      </c>
      <c r="E239" s="22" t="s">
        <v>527</v>
      </c>
      <c r="F239" s="25">
        <v>0</v>
      </c>
      <c r="G239" s="18">
        <v>2700</v>
      </c>
      <c r="H239" s="25">
        <v>0</v>
      </c>
      <c r="I239" s="25">
        <v>0</v>
      </c>
      <c r="J239" s="18">
        <v>0</v>
      </c>
      <c r="K239" s="18">
        <v>0</v>
      </c>
      <c r="L239" s="56"/>
    </row>
    <row r="240" spans="1:12" x14ac:dyDescent="0.25">
      <c r="A240" s="18">
        <v>1996</v>
      </c>
      <c r="B240" s="20" t="s">
        <v>30</v>
      </c>
      <c r="C240" s="20">
        <v>24</v>
      </c>
      <c r="D240" s="22" t="s">
        <v>122</v>
      </c>
      <c r="E240" s="22" t="s">
        <v>527</v>
      </c>
      <c r="F240" s="25">
        <v>0</v>
      </c>
      <c r="G240" s="18">
        <v>2700</v>
      </c>
      <c r="H240" s="25">
        <v>0</v>
      </c>
      <c r="I240" s="25">
        <v>0</v>
      </c>
      <c r="J240" s="18">
        <v>0</v>
      </c>
      <c r="K240" s="18">
        <v>0</v>
      </c>
      <c r="L240" s="56"/>
    </row>
    <row r="241" spans="1:12" x14ac:dyDescent="0.25">
      <c r="A241" s="18">
        <v>1996</v>
      </c>
      <c r="B241" s="20" t="s">
        <v>30</v>
      </c>
      <c r="C241" s="20">
        <v>25</v>
      </c>
      <c r="D241" s="22" t="s">
        <v>122</v>
      </c>
      <c r="E241" s="22" t="s">
        <v>527</v>
      </c>
      <c r="F241" s="25">
        <v>0</v>
      </c>
      <c r="G241" s="18">
        <v>2700</v>
      </c>
      <c r="H241" s="25">
        <v>0</v>
      </c>
      <c r="I241" s="25">
        <v>0</v>
      </c>
      <c r="J241" s="18">
        <v>0</v>
      </c>
      <c r="K241" s="18">
        <v>0</v>
      </c>
      <c r="L241" s="56"/>
    </row>
    <row r="242" spans="1:12" x14ac:dyDescent="0.25">
      <c r="A242" s="18">
        <v>1996</v>
      </c>
      <c r="B242" s="20" t="s">
        <v>30</v>
      </c>
      <c r="C242" s="20">
        <v>26</v>
      </c>
      <c r="D242" s="22" t="s">
        <v>122</v>
      </c>
      <c r="E242" s="22" t="s">
        <v>527</v>
      </c>
      <c r="F242" s="25">
        <v>0</v>
      </c>
      <c r="G242" s="18">
        <v>2700</v>
      </c>
      <c r="H242" s="25">
        <v>0</v>
      </c>
      <c r="I242" s="25">
        <v>0</v>
      </c>
      <c r="J242" s="18">
        <v>0</v>
      </c>
      <c r="K242" s="18">
        <v>0</v>
      </c>
      <c r="L242" s="56"/>
    </row>
    <row r="243" spans="1:12" x14ac:dyDescent="0.25">
      <c r="A243" s="18">
        <v>1996</v>
      </c>
      <c r="B243" s="20" t="s">
        <v>30</v>
      </c>
      <c r="C243" s="20">
        <v>27</v>
      </c>
      <c r="D243" s="22" t="s">
        <v>122</v>
      </c>
      <c r="E243" s="22" t="s">
        <v>527</v>
      </c>
      <c r="F243" s="25">
        <v>0</v>
      </c>
      <c r="G243" s="18">
        <v>2700</v>
      </c>
      <c r="H243" s="25">
        <v>0</v>
      </c>
      <c r="I243" s="25">
        <v>0</v>
      </c>
      <c r="J243" s="18">
        <v>0</v>
      </c>
      <c r="K243" s="18">
        <v>0</v>
      </c>
      <c r="L243" s="56"/>
    </row>
    <row r="244" spans="1:12" x14ac:dyDescent="0.25">
      <c r="A244" s="18">
        <v>1996</v>
      </c>
      <c r="B244" s="20" t="s">
        <v>30</v>
      </c>
      <c r="C244" s="20">
        <v>28</v>
      </c>
      <c r="D244" s="22" t="s">
        <v>122</v>
      </c>
      <c r="E244" s="22" t="s">
        <v>527</v>
      </c>
      <c r="F244" s="25">
        <v>0</v>
      </c>
      <c r="G244" s="18">
        <v>2700</v>
      </c>
      <c r="H244" s="25">
        <v>0</v>
      </c>
      <c r="I244" s="25">
        <v>0</v>
      </c>
      <c r="J244" s="18">
        <v>0</v>
      </c>
      <c r="K244" s="18">
        <v>0</v>
      </c>
      <c r="L244" s="56"/>
    </row>
    <row r="245" spans="1:12" x14ac:dyDescent="0.25">
      <c r="A245" s="18">
        <v>1996</v>
      </c>
      <c r="B245" s="20" t="s">
        <v>30</v>
      </c>
      <c r="C245" s="20">
        <v>29</v>
      </c>
      <c r="D245" s="22" t="s">
        <v>122</v>
      </c>
      <c r="E245" s="22" t="s">
        <v>527</v>
      </c>
      <c r="F245" s="25">
        <v>0</v>
      </c>
      <c r="G245" s="18">
        <v>2700</v>
      </c>
      <c r="H245" s="25">
        <v>0</v>
      </c>
      <c r="I245" s="25">
        <v>0</v>
      </c>
      <c r="J245" s="18">
        <v>0</v>
      </c>
      <c r="K245" s="18">
        <v>0</v>
      </c>
      <c r="L245" s="56"/>
    </row>
    <row r="246" spans="1:12" x14ac:dyDescent="0.25">
      <c r="A246" s="18">
        <v>1996</v>
      </c>
      <c r="B246" s="20" t="s">
        <v>30</v>
      </c>
      <c r="C246" s="20">
        <v>30</v>
      </c>
      <c r="D246" s="22" t="s">
        <v>122</v>
      </c>
      <c r="E246" s="22" t="s">
        <v>527</v>
      </c>
      <c r="F246" s="25">
        <v>0</v>
      </c>
      <c r="G246" s="18">
        <v>2700</v>
      </c>
      <c r="H246" s="25">
        <v>0</v>
      </c>
      <c r="I246" s="25">
        <v>0</v>
      </c>
      <c r="J246" s="18">
        <v>0</v>
      </c>
      <c r="K246" s="18">
        <v>0</v>
      </c>
      <c r="L246" s="56"/>
    </row>
    <row r="247" spans="1:12" x14ac:dyDescent="0.25">
      <c r="A247" s="18">
        <v>1996</v>
      </c>
      <c r="B247" s="20" t="s">
        <v>30</v>
      </c>
      <c r="C247" s="20">
        <v>31</v>
      </c>
      <c r="D247" s="22" t="s">
        <v>122</v>
      </c>
      <c r="E247" s="22" t="s">
        <v>527</v>
      </c>
      <c r="F247" s="25">
        <v>0</v>
      </c>
      <c r="G247" s="18">
        <v>2700</v>
      </c>
      <c r="H247" s="25">
        <v>0</v>
      </c>
      <c r="I247" s="25">
        <v>0</v>
      </c>
      <c r="J247" s="18">
        <v>0</v>
      </c>
      <c r="K247" s="18">
        <v>0</v>
      </c>
      <c r="L247" s="56"/>
    </row>
    <row r="248" spans="1:12" x14ac:dyDescent="0.25">
      <c r="A248" s="18">
        <v>1996</v>
      </c>
      <c r="B248" s="20" t="s">
        <v>31</v>
      </c>
      <c r="C248" s="20">
        <v>1</v>
      </c>
      <c r="D248" s="22" t="s">
        <v>415</v>
      </c>
      <c r="E248" s="22" t="s">
        <v>415</v>
      </c>
      <c r="F248" s="25">
        <v>0.38</v>
      </c>
      <c r="G248" s="57">
        <v>3000</v>
      </c>
      <c r="H248" s="58">
        <v>3.69</v>
      </c>
      <c r="I248" s="57"/>
      <c r="J248" s="56"/>
      <c r="K248" s="56"/>
      <c r="L248" s="56"/>
    </row>
    <row r="249" spans="1:12" x14ac:dyDescent="0.25">
      <c r="A249" s="18">
        <v>1996</v>
      </c>
      <c r="B249" s="20" t="s">
        <v>31</v>
      </c>
      <c r="C249" s="20">
        <v>2</v>
      </c>
      <c r="D249" s="22" t="s">
        <v>415</v>
      </c>
      <c r="E249" s="22" t="s">
        <v>415</v>
      </c>
      <c r="F249" s="25">
        <v>0.38</v>
      </c>
      <c r="G249" s="57">
        <v>3000</v>
      </c>
      <c r="H249" s="58">
        <v>3.69</v>
      </c>
      <c r="I249" s="57"/>
      <c r="J249" s="56"/>
      <c r="K249" s="56"/>
      <c r="L249" s="56"/>
    </row>
    <row r="250" spans="1:12" x14ac:dyDescent="0.25">
      <c r="A250" s="18">
        <v>1996</v>
      </c>
      <c r="B250" s="20" t="s">
        <v>31</v>
      </c>
      <c r="C250" s="20">
        <v>3</v>
      </c>
      <c r="D250" s="22" t="s">
        <v>415</v>
      </c>
      <c r="E250" s="22" t="s">
        <v>415</v>
      </c>
      <c r="F250" s="25">
        <v>0.38</v>
      </c>
      <c r="G250" s="57">
        <v>3000</v>
      </c>
      <c r="H250" s="58">
        <v>3.69</v>
      </c>
      <c r="I250" s="57"/>
      <c r="J250" s="56"/>
      <c r="K250" s="56"/>
      <c r="L250" s="56"/>
    </row>
    <row r="251" spans="1:12" x14ac:dyDescent="0.25">
      <c r="A251" s="18">
        <v>1996</v>
      </c>
      <c r="B251" s="20" t="s">
        <v>31</v>
      </c>
      <c r="C251" s="20">
        <v>4</v>
      </c>
      <c r="D251" s="22" t="s">
        <v>415</v>
      </c>
      <c r="E251" s="22" t="s">
        <v>415</v>
      </c>
      <c r="F251" s="25">
        <v>0.38</v>
      </c>
      <c r="G251" s="57">
        <v>3000</v>
      </c>
      <c r="H251" s="58">
        <v>3.69</v>
      </c>
      <c r="I251" s="57"/>
      <c r="J251" s="56"/>
      <c r="K251" s="56"/>
      <c r="L251" s="56"/>
    </row>
    <row r="252" spans="1:12" x14ac:dyDescent="0.25">
      <c r="A252" s="18">
        <v>1996</v>
      </c>
      <c r="B252" s="20" t="s">
        <v>31</v>
      </c>
      <c r="C252" s="20">
        <v>5</v>
      </c>
      <c r="D252" s="22" t="s">
        <v>414</v>
      </c>
      <c r="E252" s="22" t="s">
        <v>414</v>
      </c>
      <c r="F252" s="25">
        <v>0.36</v>
      </c>
      <c r="G252" s="25">
        <v>2900</v>
      </c>
      <c r="H252" s="25">
        <v>3.57</v>
      </c>
      <c r="I252" s="22"/>
      <c r="J252" s="56"/>
      <c r="K252" s="56"/>
      <c r="L252" s="56"/>
    </row>
    <row r="253" spans="1:12" x14ac:dyDescent="0.25">
      <c r="A253" s="18">
        <v>1996</v>
      </c>
      <c r="B253" s="20" t="s">
        <v>31</v>
      </c>
      <c r="C253" s="20">
        <v>6</v>
      </c>
      <c r="D253" s="22" t="s">
        <v>414</v>
      </c>
      <c r="E253" s="22" t="s">
        <v>414</v>
      </c>
      <c r="F253" s="25">
        <v>0.36</v>
      </c>
      <c r="G253" s="25">
        <v>2900</v>
      </c>
      <c r="H253" s="25">
        <v>3.57</v>
      </c>
      <c r="I253" s="22"/>
      <c r="J253" s="56"/>
      <c r="K253" s="56"/>
      <c r="L253" s="56"/>
    </row>
    <row r="254" spans="1:12" x14ac:dyDescent="0.25">
      <c r="A254" s="18">
        <v>1996</v>
      </c>
      <c r="B254" s="20" t="s">
        <v>31</v>
      </c>
      <c r="C254" s="20">
        <v>7</v>
      </c>
      <c r="D254" s="22" t="s">
        <v>414</v>
      </c>
      <c r="E254" s="22" t="s">
        <v>414</v>
      </c>
      <c r="F254" s="25">
        <v>0.36</v>
      </c>
      <c r="G254" s="25">
        <v>2900</v>
      </c>
      <c r="H254" s="25">
        <v>3.57</v>
      </c>
      <c r="I254" s="22"/>
      <c r="J254" s="56"/>
      <c r="K254" s="56"/>
      <c r="L254" s="56"/>
    </row>
    <row r="255" spans="1:12" x14ac:dyDescent="0.25">
      <c r="A255" s="18">
        <v>1996</v>
      </c>
      <c r="B255" s="20" t="s">
        <v>31</v>
      </c>
      <c r="C255" s="20">
        <v>8</v>
      </c>
      <c r="D255" s="22" t="s">
        <v>414</v>
      </c>
      <c r="E255" s="22" t="s">
        <v>414</v>
      </c>
      <c r="F255" s="25">
        <v>0.36</v>
      </c>
      <c r="G255" s="25">
        <v>2900</v>
      </c>
      <c r="H255" s="25">
        <v>3.57</v>
      </c>
      <c r="I255" s="22"/>
      <c r="J255" s="56"/>
      <c r="K255" s="56"/>
      <c r="L255" s="56"/>
    </row>
    <row r="256" spans="1:12" x14ac:dyDescent="0.25">
      <c r="A256" s="18">
        <v>1996</v>
      </c>
      <c r="B256" s="20" t="s">
        <v>31</v>
      </c>
      <c r="C256" s="20">
        <v>9</v>
      </c>
      <c r="D256" s="22" t="s">
        <v>414</v>
      </c>
      <c r="E256" s="22" t="s">
        <v>414</v>
      </c>
      <c r="F256" s="25">
        <v>0.36</v>
      </c>
      <c r="G256" s="25">
        <v>2900</v>
      </c>
      <c r="H256" s="25">
        <v>3.57</v>
      </c>
      <c r="I256" s="22"/>
      <c r="J256" s="56"/>
      <c r="K256" s="56"/>
      <c r="L256" s="56"/>
    </row>
    <row r="257" spans="1:12" x14ac:dyDescent="0.25">
      <c r="A257" s="18">
        <v>1996</v>
      </c>
      <c r="B257" s="20" t="s">
        <v>31</v>
      </c>
      <c r="C257" s="20">
        <v>10</v>
      </c>
      <c r="D257" s="22" t="s">
        <v>414</v>
      </c>
      <c r="E257" s="22" t="s">
        <v>414</v>
      </c>
      <c r="F257" s="25">
        <v>0.36</v>
      </c>
      <c r="G257" s="25">
        <v>2900</v>
      </c>
      <c r="H257" s="25">
        <v>3.57</v>
      </c>
      <c r="I257" s="22"/>
      <c r="J257" s="56"/>
      <c r="K257" s="56"/>
      <c r="L257" s="56"/>
    </row>
    <row r="258" spans="1:12" x14ac:dyDescent="0.25">
      <c r="A258" s="18">
        <v>1996</v>
      </c>
      <c r="B258" s="20" t="s">
        <v>31</v>
      </c>
      <c r="C258" s="20">
        <v>11</v>
      </c>
      <c r="D258" s="22" t="s">
        <v>414</v>
      </c>
      <c r="E258" s="22" t="s">
        <v>414</v>
      </c>
      <c r="F258" s="25">
        <v>0.36</v>
      </c>
      <c r="G258" s="25">
        <v>2900</v>
      </c>
      <c r="H258" s="25">
        <v>3.57</v>
      </c>
      <c r="I258" s="22"/>
      <c r="J258" s="56"/>
      <c r="K258" s="56"/>
      <c r="L258" s="56"/>
    </row>
    <row r="259" spans="1:12" x14ac:dyDescent="0.25">
      <c r="A259" s="18">
        <v>1996</v>
      </c>
      <c r="B259" s="20" t="s">
        <v>31</v>
      </c>
      <c r="C259" s="20">
        <v>12</v>
      </c>
      <c r="D259" s="22" t="s">
        <v>414</v>
      </c>
      <c r="E259" s="22" t="s">
        <v>414</v>
      </c>
      <c r="F259" s="25">
        <v>0.36</v>
      </c>
      <c r="G259" s="25">
        <v>2900</v>
      </c>
      <c r="H259" s="25">
        <v>3.57</v>
      </c>
      <c r="I259" s="22"/>
      <c r="J259" s="56"/>
      <c r="K259" s="56"/>
      <c r="L259" s="56"/>
    </row>
    <row r="260" spans="1:12" x14ac:dyDescent="0.25">
      <c r="A260" s="18">
        <v>1996</v>
      </c>
      <c r="B260" s="20" t="s">
        <v>31</v>
      </c>
      <c r="C260" s="20">
        <v>13</v>
      </c>
      <c r="D260" s="22" t="s">
        <v>414</v>
      </c>
      <c r="E260" s="22" t="s">
        <v>414</v>
      </c>
      <c r="F260" s="25">
        <v>0.36</v>
      </c>
      <c r="G260" s="25">
        <v>2900</v>
      </c>
      <c r="H260" s="25">
        <v>3.57</v>
      </c>
      <c r="I260" s="22"/>
      <c r="J260" s="56"/>
      <c r="K260" s="56"/>
      <c r="L260" s="56"/>
    </row>
    <row r="261" spans="1:12" x14ac:dyDescent="0.25">
      <c r="A261" s="18">
        <v>1996</v>
      </c>
      <c r="B261" s="20" t="s">
        <v>31</v>
      </c>
      <c r="C261" s="20">
        <v>14</v>
      </c>
      <c r="D261" s="22" t="s">
        <v>414</v>
      </c>
      <c r="E261" s="22" t="s">
        <v>414</v>
      </c>
      <c r="F261" s="25">
        <v>0.36</v>
      </c>
      <c r="G261" s="25">
        <v>2900</v>
      </c>
      <c r="H261" s="25">
        <v>3.57</v>
      </c>
      <c r="I261" s="22"/>
      <c r="J261" s="56"/>
      <c r="K261" s="56"/>
      <c r="L261" s="56"/>
    </row>
    <row r="262" spans="1:12" x14ac:dyDescent="0.25">
      <c r="A262" s="18">
        <v>1996</v>
      </c>
      <c r="B262" s="20" t="s">
        <v>31</v>
      </c>
      <c r="C262" s="20">
        <v>15</v>
      </c>
      <c r="D262" s="22" t="s">
        <v>414</v>
      </c>
      <c r="E262" s="22" t="s">
        <v>414</v>
      </c>
      <c r="F262" s="25">
        <v>0.36</v>
      </c>
      <c r="G262" s="25">
        <v>2900</v>
      </c>
      <c r="H262" s="25">
        <v>3.57</v>
      </c>
      <c r="I262" s="22"/>
      <c r="J262" s="56"/>
      <c r="K262" s="56"/>
      <c r="L262" s="56"/>
    </row>
    <row r="263" spans="1:12" x14ac:dyDescent="0.25">
      <c r="A263" s="18">
        <v>1996</v>
      </c>
      <c r="B263" s="20" t="s">
        <v>31</v>
      </c>
      <c r="C263" s="20">
        <v>16</v>
      </c>
      <c r="D263" s="22" t="s">
        <v>414</v>
      </c>
      <c r="E263" s="22" t="s">
        <v>414</v>
      </c>
      <c r="F263" s="25">
        <v>0.36</v>
      </c>
      <c r="G263" s="25">
        <v>2900</v>
      </c>
      <c r="H263" s="25">
        <v>3.57</v>
      </c>
      <c r="I263" s="22"/>
      <c r="J263" s="56"/>
      <c r="K263" s="56"/>
      <c r="L263" s="56"/>
    </row>
    <row r="264" spans="1:12" x14ac:dyDescent="0.25">
      <c r="A264" s="18">
        <v>1996</v>
      </c>
      <c r="B264" s="20" t="s">
        <v>31</v>
      </c>
      <c r="C264" s="20">
        <v>17</v>
      </c>
      <c r="D264" s="22" t="s">
        <v>414</v>
      </c>
      <c r="E264" s="22" t="s">
        <v>414</v>
      </c>
      <c r="F264" s="25">
        <v>0.36</v>
      </c>
      <c r="G264" s="25">
        <v>2900</v>
      </c>
      <c r="H264" s="25">
        <v>3.57</v>
      </c>
      <c r="I264" s="22"/>
      <c r="J264" s="56"/>
      <c r="K264" s="56"/>
      <c r="L264" s="56"/>
    </row>
    <row r="265" spans="1:12" x14ac:dyDescent="0.25">
      <c r="A265" s="18">
        <v>1996</v>
      </c>
      <c r="B265" s="20" t="s">
        <v>31</v>
      </c>
      <c r="C265" s="20">
        <v>18</v>
      </c>
      <c r="D265" s="22" t="s">
        <v>414</v>
      </c>
      <c r="E265" s="22" t="s">
        <v>414</v>
      </c>
      <c r="F265" s="25">
        <v>0.36</v>
      </c>
      <c r="G265" s="25">
        <v>2900</v>
      </c>
      <c r="H265" s="25">
        <v>3.57</v>
      </c>
      <c r="I265" s="22"/>
      <c r="J265" s="56"/>
      <c r="K265" s="56"/>
      <c r="L265" s="56"/>
    </row>
    <row r="266" spans="1:12" x14ac:dyDescent="0.25">
      <c r="A266" s="18">
        <v>1996</v>
      </c>
      <c r="B266" s="20" t="s">
        <v>31</v>
      </c>
      <c r="C266" s="20">
        <v>19</v>
      </c>
      <c r="D266" s="22" t="s">
        <v>414</v>
      </c>
      <c r="E266" s="22" t="s">
        <v>414</v>
      </c>
      <c r="F266" s="25">
        <v>0.36</v>
      </c>
      <c r="G266" s="25">
        <v>2900</v>
      </c>
      <c r="H266" s="25">
        <v>3.57</v>
      </c>
      <c r="I266" s="22"/>
      <c r="J266" s="56"/>
      <c r="K266" s="56"/>
      <c r="L266" s="56"/>
    </row>
    <row r="267" spans="1:12" x14ac:dyDescent="0.25">
      <c r="A267" s="18">
        <v>1996</v>
      </c>
      <c r="B267" s="20" t="s">
        <v>31</v>
      </c>
      <c r="C267" s="20">
        <v>20</v>
      </c>
      <c r="D267" s="22" t="s">
        <v>414</v>
      </c>
      <c r="E267" s="22" t="s">
        <v>414</v>
      </c>
      <c r="F267" s="25">
        <v>0.36</v>
      </c>
      <c r="G267" s="25">
        <v>2900</v>
      </c>
      <c r="H267" s="25">
        <v>3.57</v>
      </c>
      <c r="I267" s="22"/>
      <c r="J267" s="56"/>
      <c r="K267" s="56"/>
      <c r="L267" s="56"/>
    </row>
    <row r="268" spans="1:12" x14ac:dyDescent="0.25">
      <c r="A268" s="18">
        <v>1996</v>
      </c>
      <c r="B268" s="20" t="s">
        <v>31</v>
      </c>
      <c r="C268" s="20">
        <v>21</v>
      </c>
      <c r="D268" s="22" t="s">
        <v>414</v>
      </c>
      <c r="E268" s="22" t="s">
        <v>414</v>
      </c>
      <c r="F268" s="25">
        <v>0.36</v>
      </c>
      <c r="G268" s="25">
        <v>2900</v>
      </c>
      <c r="H268" s="25">
        <v>3.57</v>
      </c>
      <c r="I268" s="22"/>
      <c r="J268" s="56"/>
      <c r="K268" s="56"/>
      <c r="L268" s="56"/>
    </row>
    <row r="269" spans="1:12" x14ac:dyDescent="0.25">
      <c r="A269" s="18">
        <v>1996</v>
      </c>
      <c r="B269" s="20" t="s">
        <v>31</v>
      </c>
      <c r="C269" s="20">
        <v>22</v>
      </c>
      <c r="D269" s="22" t="s">
        <v>414</v>
      </c>
      <c r="E269" s="22" t="s">
        <v>414</v>
      </c>
      <c r="F269" s="25">
        <v>0.36</v>
      </c>
      <c r="G269" s="25">
        <v>2900</v>
      </c>
      <c r="H269" s="25">
        <v>3.57</v>
      </c>
      <c r="I269" s="22"/>
      <c r="J269" s="56"/>
      <c r="K269" s="56"/>
      <c r="L269" s="56"/>
    </row>
    <row r="270" spans="1:12" x14ac:dyDescent="0.25">
      <c r="A270" s="18">
        <v>1996</v>
      </c>
      <c r="B270" s="20" t="s">
        <v>31</v>
      </c>
      <c r="C270" s="20">
        <v>23</v>
      </c>
      <c r="D270" s="22" t="s">
        <v>413</v>
      </c>
      <c r="E270" s="22" t="s">
        <v>413</v>
      </c>
      <c r="F270" s="25">
        <v>0.33</v>
      </c>
      <c r="G270" s="20">
        <v>2800</v>
      </c>
      <c r="H270" s="20">
        <v>3.44</v>
      </c>
      <c r="I270" s="19"/>
      <c r="J270" s="56"/>
      <c r="K270" s="56"/>
      <c r="L270" s="56"/>
    </row>
    <row r="271" spans="1:12" x14ac:dyDescent="0.25">
      <c r="A271" s="18">
        <v>1996</v>
      </c>
      <c r="B271" s="20" t="s">
        <v>31</v>
      </c>
      <c r="C271" s="20">
        <v>24</v>
      </c>
      <c r="D271" s="22" t="s">
        <v>413</v>
      </c>
      <c r="E271" s="22" t="s">
        <v>413</v>
      </c>
      <c r="F271" s="25">
        <v>0.33</v>
      </c>
      <c r="G271" s="20">
        <v>2800</v>
      </c>
      <c r="H271" s="20">
        <v>3.44</v>
      </c>
      <c r="I271" s="19"/>
      <c r="J271" s="56"/>
      <c r="K271" s="56"/>
      <c r="L271" s="56"/>
    </row>
    <row r="272" spans="1:12" x14ac:dyDescent="0.25">
      <c r="A272" s="18">
        <v>1996</v>
      </c>
      <c r="B272" s="20" t="s">
        <v>31</v>
      </c>
      <c r="C272" s="20">
        <v>25</v>
      </c>
      <c r="D272" s="22" t="s">
        <v>413</v>
      </c>
      <c r="E272" s="22" t="s">
        <v>413</v>
      </c>
      <c r="F272" s="25">
        <v>0.33</v>
      </c>
      <c r="G272" s="20">
        <v>2800</v>
      </c>
      <c r="H272" s="20">
        <v>3.44</v>
      </c>
      <c r="I272" s="19"/>
      <c r="J272" s="56"/>
      <c r="K272" s="56"/>
      <c r="L272" s="56"/>
    </row>
    <row r="273" spans="1:12" x14ac:dyDescent="0.25">
      <c r="A273" s="18">
        <v>1996</v>
      </c>
      <c r="B273" s="20" t="s">
        <v>31</v>
      </c>
      <c r="C273" s="20">
        <v>26</v>
      </c>
      <c r="D273" s="22" t="s">
        <v>413</v>
      </c>
      <c r="E273" s="22" t="s">
        <v>413</v>
      </c>
      <c r="F273" s="25">
        <v>0.33</v>
      </c>
      <c r="G273" s="20">
        <v>2800</v>
      </c>
      <c r="H273" s="20">
        <v>3.44</v>
      </c>
      <c r="I273" s="19"/>
      <c r="J273" s="56"/>
      <c r="K273" s="56"/>
      <c r="L273" s="56"/>
    </row>
    <row r="274" spans="1:12" x14ac:dyDescent="0.25">
      <c r="A274" s="18">
        <v>1996</v>
      </c>
      <c r="B274" s="20" t="s">
        <v>31</v>
      </c>
      <c r="C274" s="20">
        <v>27</v>
      </c>
      <c r="D274" s="22" t="s">
        <v>413</v>
      </c>
      <c r="E274" s="22" t="s">
        <v>413</v>
      </c>
      <c r="F274" s="25">
        <v>0.33</v>
      </c>
      <c r="G274" s="20">
        <v>2800</v>
      </c>
      <c r="H274" s="20">
        <v>3.44</v>
      </c>
      <c r="I274" s="19"/>
      <c r="J274" s="56"/>
      <c r="K274" s="56"/>
      <c r="L274" s="56"/>
    </row>
    <row r="275" spans="1:12" x14ac:dyDescent="0.25">
      <c r="A275" s="18">
        <v>1996</v>
      </c>
      <c r="B275" s="20" t="s">
        <v>31</v>
      </c>
      <c r="C275" s="20">
        <v>28</v>
      </c>
      <c r="D275" s="22" t="s">
        <v>413</v>
      </c>
      <c r="E275" s="22" t="s">
        <v>413</v>
      </c>
      <c r="F275" s="25">
        <v>0.33</v>
      </c>
      <c r="G275" s="20">
        <v>2800</v>
      </c>
      <c r="H275" s="20">
        <v>3.44</v>
      </c>
      <c r="I275" s="19"/>
      <c r="J275" s="56"/>
      <c r="K275" s="56"/>
      <c r="L275" s="56"/>
    </row>
    <row r="276" spans="1:12" x14ac:dyDescent="0.25">
      <c r="A276" s="18">
        <v>1996</v>
      </c>
      <c r="B276" s="20" t="s">
        <v>31</v>
      </c>
      <c r="C276" s="20">
        <v>29</v>
      </c>
      <c r="D276" s="22" t="s">
        <v>413</v>
      </c>
      <c r="E276" s="22" t="s">
        <v>413</v>
      </c>
      <c r="F276" s="25">
        <v>0.33</v>
      </c>
      <c r="G276" s="20">
        <v>2800</v>
      </c>
      <c r="H276" s="20">
        <v>3.44</v>
      </c>
      <c r="I276" s="19"/>
      <c r="J276" s="56"/>
      <c r="K276" s="56"/>
      <c r="L276" s="56"/>
    </row>
    <row r="277" spans="1:12" x14ac:dyDescent="0.25">
      <c r="A277" s="18">
        <v>1996</v>
      </c>
      <c r="B277" s="20" t="s">
        <v>31</v>
      </c>
      <c r="C277" s="20">
        <v>30</v>
      </c>
      <c r="D277" s="22" t="s">
        <v>413</v>
      </c>
      <c r="E277" s="22" t="s">
        <v>413</v>
      </c>
      <c r="F277" s="25">
        <v>0.33</v>
      </c>
      <c r="G277" s="20">
        <v>2800</v>
      </c>
      <c r="H277" s="20">
        <v>3.44</v>
      </c>
      <c r="I277" s="19"/>
      <c r="J277" s="56"/>
      <c r="K277" s="56"/>
      <c r="L277" s="56"/>
    </row>
    <row r="278" spans="1:12" x14ac:dyDescent="0.25">
      <c r="A278" s="18">
        <v>1996</v>
      </c>
      <c r="B278" s="20" t="s">
        <v>1750</v>
      </c>
      <c r="C278" s="20">
        <v>1</v>
      </c>
      <c r="D278" s="22" t="s">
        <v>413</v>
      </c>
      <c r="E278" s="22"/>
      <c r="F278" s="25">
        <v>0.33</v>
      </c>
      <c r="G278" s="30">
        <v>2800</v>
      </c>
      <c r="H278" s="29">
        <v>3.44</v>
      </c>
      <c r="I278" s="57"/>
      <c r="J278" s="56"/>
      <c r="K278" s="56"/>
      <c r="L278" s="56"/>
    </row>
    <row r="279" spans="1:12" x14ac:dyDescent="0.25">
      <c r="A279" s="18">
        <v>1996</v>
      </c>
      <c r="B279" s="20" t="s">
        <v>1750</v>
      </c>
      <c r="C279" s="20">
        <v>2</v>
      </c>
      <c r="D279" s="22" t="s">
        <v>413</v>
      </c>
      <c r="E279" s="22"/>
      <c r="F279" s="25">
        <v>0.33</v>
      </c>
      <c r="G279" s="30">
        <v>2800</v>
      </c>
      <c r="H279" s="29">
        <v>0</v>
      </c>
      <c r="I279" s="57"/>
      <c r="J279" s="56"/>
      <c r="K279" s="56"/>
      <c r="L279" s="56"/>
    </row>
    <row r="280" spans="1:12" x14ac:dyDescent="0.25">
      <c r="A280" s="18">
        <v>1996</v>
      </c>
      <c r="B280" s="20" t="s">
        <v>1750</v>
      </c>
      <c r="C280" s="20">
        <v>3</v>
      </c>
      <c r="D280" s="22" t="s">
        <v>413</v>
      </c>
      <c r="E280" s="22"/>
      <c r="F280" s="25">
        <v>0.33</v>
      </c>
      <c r="G280" s="30">
        <v>2800</v>
      </c>
      <c r="H280" s="29">
        <v>0</v>
      </c>
      <c r="I280" s="57"/>
      <c r="J280" s="56"/>
      <c r="K280" s="56"/>
      <c r="L280" s="56"/>
    </row>
    <row r="281" spans="1:12" x14ac:dyDescent="0.25">
      <c r="A281" s="18">
        <v>1996</v>
      </c>
      <c r="B281" s="20" t="s">
        <v>1750</v>
      </c>
      <c r="C281" s="20">
        <v>4</v>
      </c>
      <c r="D281" s="22" t="s">
        <v>413</v>
      </c>
      <c r="E281" s="22"/>
      <c r="F281" s="25">
        <v>0.33</v>
      </c>
      <c r="G281" s="30">
        <v>2800</v>
      </c>
      <c r="H281" s="29">
        <v>0</v>
      </c>
      <c r="I281" s="57"/>
      <c r="J281" s="56"/>
      <c r="K281" s="56"/>
      <c r="L281" s="56"/>
    </row>
    <row r="282" spans="1:12" x14ac:dyDescent="0.25">
      <c r="A282" s="18">
        <v>1996</v>
      </c>
      <c r="B282" s="20" t="s">
        <v>1750</v>
      </c>
      <c r="C282" s="20">
        <v>5</v>
      </c>
      <c r="D282" s="22" t="s">
        <v>413</v>
      </c>
      <c r="E282" s="22"/>
      <c r="F282" s="22" t="s">
        <v>736</v>
      </c>
      <c r="G282" s="30">
        <v>2800</v>
      </c>
      <c r="H282" s="29">
        <v>0</v>
      </c>
      <c r="I282" s="57"/>
      <c r="J282" s="56"/>
      <c r="K282" s="56"/>
      <c r="L282" s="56"/>
    </row>
    <row r="283" spans="1:12" x14ac:dyDescent="0.25">
      <c r="A283" s="18">
        <v>1996</v>
      </c>
      <c r="B283" s="20" t="s">
        <v>1750</v>
      </c>
      <c r="C283" s="20">
        <v>6</v>
      </c>
      <c r="D283" s="22" t="s">
        <v>413</v>
      </c>
      <c r="E283" s="22"/>
      <c r="F283" s="22" t="s">
        <v>736</v>
      </c>
      <c r="G283" s="30">
        <v>2800</v>
      </c>
      <c r="H283" s="29">
        <v>0</v>
      </c>
      <c r="I283" s="57"/>
      <c r="J283" s="56"/>
      <c r="K283" s="56"/>
      <c r="L283" s="56"/>
    </row>
    <row r="284" spans="1:12" x14ac:dyDescent="0.25">
      <c r="A284" s="18">
        <v>1996</v>
      </c>
      <c r="B284" s="20" t="s">
        <v>1750</v>
      </c>
      <c r="C284" s="20">
        <v>7</v>
      </c>
      <c r="D284" s="22" t="s">
        <v>413</v>
      </c>
      <c r="E284" s="22"/>
      <c r="F284" s="22" t="s">
        <v>736</v>
      </c>
      <c r="G284" s="30">
        <v>2800</v>
      </c>
      <c r="H284" s="29">
        <v>0</v>
      </c>
      <c r="I284" s="57"/>
      <c r="J284" s="56"/>
      <c r="K284" s="56"/>
      <c r="L284" s="56"/>
    </row>
    <row r="285" spans="1:12" x14ac:dyDescent="0.25">
      <c r="A285" s="18">
        <v>1996</v>
      </c>
      <c r="B285" s="20" t="s">
        <v>1750</v>
      </c>
      <c r="C285" s="20">
        <v>8</v>
      </c>
      <c r="D285" s="22" t="s">
        <v>413</v>
      </c>
      <c r="E285" s="22"/>
      <c r="F285" s="25">
        <v>0.33</v>
      </c>
      <c r="G285" s="30">
        <v>2800</v>
      </c>
      <c r="H285" s="29">
        <v>3.44</v>
      </c>
      <c r="I285" s="57"/>
      <c r="J285" s="56"/>
      <c r="K285" s="56"/>
      <c r="L285" s="56"/>
    </row>
    <row r="286" spans="1:12" x14ac:dyDescent="0.25">
      <c r="A286" s="18">
        <v>1996</v>
      </c>
      <c r="B286" s="20" t="s">
        <v>1750</v>
      </c>
      <c r="C286" s="20">
        <v>9</v>
      </c>
      <c r="D286" s="22" t="s">
        <v>527</v>
      </c>
      <c r="E286" s="22"/>
      <c r="F286" s="25">
        <v>0.33</v>
      </c>
      <c r="G286" s="30">
        <v>2700</v>
      </c>
      <c r="H286" s="29">
        <v>3.44</v>
      </c>
      <c r="I286" s="57"/>
      <c r="J286" s="56"/>
      <c r="K286" s="56"/>
      <c r="L286" s="56"/>
    </row>
    <row r="287" spans="1:12" x14ac:dyDescent="0.25">
      <c r="A287" s="18">
        <v>1996</v>
      </c>
      <c r="B287" s="20" t="s">
        <v>1750</v>
      </c>
      <c r="C287" s="20">
        <v>10</v>
      </c>
      <c r="D287" s="22" t="s">
        <v>527</v>
      </c>
      <c r="E287" s="22"/>
      <c r="F287" s="25">
        <v>0.33</v>
      </c>
      <c r="G287" s="30">
        <v>2700</v>
      </c>
      <c r="H287" s="29">
        <v>3.44</v>
      </c>
      <c r="I287" s="57"/>
      <c r="J287" s="56"/>
      <c r="K287" s="56"/>
      <c r="L287" s="56"/>
    </row>
    <row r="288" spans="1:12" x14ac:dyDescent="0.25">
      <c r="A288" s="18">
        <v>1996</v>
      </c>
      <c r="B288" s="20" t="s">
        <v>1750</v>
      </c>
      <c r="C288" s="20">
        <v>11</v>
      </c>
      <c r="D288" s="22" t="s">
        <v>527</v>
      </c>
      <c r="E288" s="22"/>
      <c r="F288" s="25">
        <v>0.33</v>
      </c>
      <c r="G288" s="30">
        <v>2700</v>
      </c>
      <c r="H288" s="29">
        <v>3.44</v>
      </c>
      <c r="I288" s="57"/>
      <c r="J288" s="56"/>
      <c r="K288" s="56"/>
      <c r="L288" s="56"/>
    </row>
    <row r="289" spans="1:12" x14ac:dyDescent="0.25">
      <c r="A289" s="18">
        <v>1996</v>
      </c>
      <c r="B289" s="20" t="s">
        <v>1750</v>
      </c>
      <c r="C289" s="20">
        <v>12</v>
      </c>
      <c r="D289" s="22" t="s">
        <v>428</v>
      </c>
      <c r="E289" s="22"/>
      <c r="F289" s="25">
        <v>0.28000000000000003</v>
      </c>
      <c r="G289" s="59" t="s">
        <v>122</v>
      </c>
      <c r="H289" s="59">
        <v>0</v>
      </c>
      <c r="I289" s="22"/>
      <c r="J289" s="56"/>
      <c r="K289" s="56"/>
      <c r="L289" s="56"/>
    </row>
    <row r="290" spans="1:12" x14ac:dyDescent="0.25">
      <c r="A290" s="18">
        <v>1996</v>
      </c>
      <c r="B290" s="20" t="s">
        <v>1750</v>
      </c>
      <c r="C290" s="20">
        <v>13</v>
      </c>
      <c r="D290" s="22" t="s">
        <v>428</v>
      </c>
      <c r="E290" s="22"/>
      <c r="F290" s="25">
        <v>0.28000000000000003</v>
      </c>
      <c r="G290" s="59" t="s">
        <v>122</v>
      </c>
      <c r="H290" s="59">
        <v>0</v>
      </c>
      <c r="I290" s="22"/>
      <c r="J290" s="56"/>
      <c r="K290" s="56"/>
      <c r="L290" s="56"/>
    </row>
    <row r="291" spans="1:12" x14ac:dyDescent="0.25">
      <c r="A291" s="18">
        <v>1996</v>
      </c>
      <c r="B291" s="20" t="s">
        <v>1750</v>
      </c>
      <c r="C291" s="20">
        <v>14</v>
      </c>
      <c r="D291" s="22" t="s">
        <v>428</v>
      </c>
      <c r="E291" s="22"/>
      <c r="F291" s="25">
        <v>0.28000000000000003</v>
      </c>
      <c r="G291" s="59" t="s">
        <v>122</v>
      </c>
      <c r="H291" s="59">
        <v>0</v>
      </c>
      <c r="I291" s="22"/>
      <c r="J291" s="56"/>
      <c r="K291" s="56"/>
      <c r="L291" s="56"/>
    </row>
    <row r="292" spans="1:12" x14ac:dyDescent="0.25">
      <c r="A292" s="18">
        <v>1996</v>
      </c>
      <c r="B292" s="20" t="s">
        <v>1750</v>
      </c>
      <c r="C292" s="20">
        <v>15</v>
      </c>
      <c r="D292" s="22" t="s">
        <v>429</v>
      </c>
      <c r="E292" s="22"/>
      <c r="F292" s="25">
        <v>0.25</v>
      </c>
      <c r="G292" s="59" t="s">
        <v>122</v>
      </c>
      <c r="H292" s="59">
        <v>0</v>
      </c>
      <c r="I292" s="22"/>
      <c r="J292" s="56"/>
      <c r="K292" s="56"/>
      <c r="L292" s="56"/>
    </row>
    <row r="293" spans="1:12" x14ac:dyDescent="0.25">
      <c r="A293" s="18">
        <v>1996</v>
      </c>
      <c r="B293" s="20" t="s">
        <v>1750</v>
      </c>
      <c r="C293" s="20">
        <v>16</v>
      </c>
      <c r="D293" s="22" t="s">
        <v>429</v>
      </c>
      <c r="E293" s="22"/>
      <c r="F293" s="25">
        <v>0.25</v>
      </c>
      <c r="G293" s="59" t="s">
        <v>122</v>
      </c>
      <c r="H293" s="59">
        <v>0</v>
      </c>
      <c r="I293" s="22"/>
      <c r="J293" s="56"/>
      <c r="K293" s="56"/>
      <c r="L293" s="56"/>
    </row>
    <row r="294" spans="1:12" x14ac:dyDescent="0.25">
      <c r="A294" s="18">
        <v>1996</v>
      </c>
      <c r="B294" s="20" t="s">
        <v>1750</v>
      </c>
      <c r="C294" s="20">
        <v>17</v>
      </c>
      <c r="D294" s="22" t="s">
        <v>414</v>
      </c>
      <c r="E294" s="22"/>
      <c r="F294" s="25">
        <v>0.35</v>
      </c>
      <c r="G294" s="30">
        <v>2900</v>
      </c>
      <c r="H294" s="29">
        <v>3.56</v>
      </c>
      <c r="I294" s="57"/>
      <c r="J294" s="56"/>
      <c r="K294" s="56"/>
      <c r="L294" s="56"/>
    </row>
    <row r="295" spans="1:12" x14ac:dyDescent="0.25">
      <c r="A295" s="18">
        <v>1996</v>
      </c>
      <c r="B295" s="20" t="s">
        <v>1750</v>
      </c>
      <c r="C295" s="20">
        <v>18</v>
      </c>
      <c r="D295" s="22" t="s">
        <v>416</v>
      </c>
      <c r="E295" s="22"/>
      <c r="F295" s="25">
        <v>0.41</v>
      </c>
      <c r="G295" s="18">
        <v>3100</v>
      </c>
      <c r="H295" s="60">
        <v>3.81</v>
      </c>
      <c r="I295" s="56"/>
      <c r="J295" s="56"/>
      <c r="K295" s="56"/>
      <c r="L295" s="56"/>
    </row>
    <row r="296" spans="1:12" x14ac:dyDescent="0.25">
      <c r="A296" s="18">
        <v>1996</v>
      </c>
      <c r="B296" s="20" t="s">
        <v>1750</v>
      </c>
      <c r="C296" s="20">
        <v>19</v>
      </c>
      <c r="D296" s="22" t="s">
        <v>417</v>
      </c>
      <c r="E296" s="22"/>
      <c r="F296" s="25">
        <v>0.46</v>
      </c>
      <c r="G296" s="18">
        <v>3250</v>
      </c>
      <c r="H296" s="60">
        <v>3.99</v>
      </c>
      <c r="I296" s="56"/>
      <c r="J296" s="56"/>
      <c r="K296" s="56"/>
      <c r="L296" s="56"/>
    </row>
    <row r="297" spans="1:12" x14ac:dyDescent="0.25">
      <c r="A297" s="18">
        <v>1996</v>
      </c>
      <c r="B297" s="20" t="s">
        <v>1750</v>
      </c>
      <c r="C297" s="20">
        <v>20</v>
      </c>
      <c r="D297" s="22" t="s">
        <v>417</v>
      </c>
      <c r="E297" s="22"/>
      <c r="F297" s="25">
        <v>0</v>
      </c>
      <c r="G297" s="18"/>
      <c r="H297" s="60">
        <v>0</v>
      </c>
      <c r="I297" s="56"/>
      <c r="J297" s="56"/>
      <c r="K297" s="56"/>
      <c r="L297" s="56"/>
    </row>
    <row r="298" spans="1:12" x14ac:dyDescent="0.25">
      <c r="A298" s="18">
        <v>1996</v>
      </c>
      <c r="B298" s="20" t="s">
        <v>1750</v>
      </c>
      <c r="C298" s="20">
        <v>21</v>
      </c>
      <c r="D298" s="22" t="s">
        <v>417</v>
      </c>
      <c r="E298" s="22"/>
      <c r="F298" s="25">
        <v>0.46</v>
      </c>
      <c r="G298" s="18">
        <v>3250</v>
      </c>
      <c r="H298" s="60">
        <v>3.99</v>
      </c>
      <c r="I298" s="56"/>
      <c r="J298" s="56"/>
      <c r="K298" s="56"/>
      <c r="L298" s="56"/>
    </row>
    <row r="299" spans="1:12" x14ac:dyDescent="0.25">
      <c r="A299" s="18">
        <v>1996</v>
      </c>
      <c r="B299" s="20" t="s">
        <v>1750</v>
      </c>
      <c r="C299" s="20">
        <v>22</v>
      </c>
      <c r="D299" s="22" t="s">
        <v>417</v>
      </c>
      <c r="E299" s="22"/>
      <c r="F299" s="22"/>
      <c r="G299" s="18">
        <v>3250</v>
      </c>
      <c r="H299" s="60">
        <v>0</v>
      </c>
      <c r="I299" s="56"/>
      <c r="J299" s="56"/>
      <c r="K299" s="56"/>
      <c r="L299" s="56"/>
    </row>
    <row r="300" spans="1:12" x14ac:dyDescent="0.25">
      <c r="A300" s="18">
        <v>1996</v>
      </c>
      <c r="B300" s="20" t="s">
        <v>1750</v>
      </c>
      <c r="C300" s="20">
        <v>23</v>
      </c>
      <c r="D300" s="22" t="s">
        <v>417</v>
      </c>
      <c r="E300" s="22"/>
      <c r="F300" s="25">
        <v>0</v>
      </c>
      <c r="G300" s="18">
        <v>3250</v>
      </c>
      <c r="H300" s="60">
        <v>0</v>
      </c>
      <c r="I300" s="56"/>
      <c r="J300" s="56"/>
      <c r="K300" s="56"/>
      <c r="L300" s="56"/>
    </row>
    <row r="301" spans="1:12" x14ac:dyDescent="0.25">
      <c r="A301" s="18">
        <v>1996</v>
      </c>
      <c r="B301" s="20" t="s">
        <v>1750</v>
      </c>
      <c r="C301" s="20">
        <v>24</v>
      </c>
      <c r="D301" s="22" t="s">
        <v>417</v>
      </c>
      <c r="E301" s="22"/>
      <c r="F301" s="25">
        <v>0</v>
      </c>
      <c r="G301" s="18">
        <v>3250</v>
      </c>
      <c r="H301" s="60">
        <v>0</v>
      </c>
      <c r="I301" s="56"/>
      <c r="J301" s="56"/>
      <c r="K301" s="56"/>
      <c r="L301" s="56"/>
    </row>
    <row r="302" spans="1:12" x14ac:dyDescent="0.25">
      <c r="A302" s="18">
        <v>1996</v>
      </c>
      <c r="B302" s="20" t="s">
        <v>1750</v>
      </c>
      <c r="C302" s="20">
        <v>25</v>
      </c>
      <c r="D302" s="22" t="s">
        <v>417</v>
      </c>
      <c r="E302" s="22"/>
      <c r="F302" s="25">
        <v>0</v>
      </c>
      <c r="G302" s="18">
        <v>3250</v>
      </c>
      <c r="H302" s="60">
        <v>0</v>
      </c>
      <c r="I302" s="56"/>
      <c r="J302" s="56"/>
      <c r="K302" s="56"/>
      <c r="L302" s="56"/>
    </row>
    <row r="303" spans="1:12" x14ac:dyDescent="0.25">
      <c r="A303" s="18">
        <v>1996</v>
      </c>
      <c r="B303" s="20" t="s">
        <v>1750</v>
      </c>
      <c r="C303" s="20">
        <v>26</v>
      </c>
      <c r="D303" s="22" t="s">
        <v>417</v>
      </c>
      <c r="E303" s="22"/>
      <c r="F303" s="25">
        <v>0</v>
      </c>
      <c r="G303" s="18">
        <v>3250</v>
      </c>
      <c r="H303" s="60">
        <v>0</v>
      </c>
      <c r="I303" s="56"/>
      <c r="J303" s="56"/>
      <c r="K303" s="56"/>
      <c r="L303" s="56"/>
    </row>
    <row r="304" spans="1:12" x14ac:dyDescent="0.25">
      <c r="A304" s="18">
        <v>1996</v>
      </c>
      <c r="B304" s="20" t="s">
        <v>1750</v>
      </c>
      <c r="C304" s="20">
        <v>27</v>
      </c>
      <c r="D304" s="22" t="s">
        <v>417</v>
      </c>
      <c r="E304" s="22"/>
      <c r="F304" s="25">
        <v>0</v>
      </c>
      <c r="G304" s="18">
        <v>3250</v>
      </c>
      <c r="H304" s="60">
        <v>0</v>
      </c>
      <c r="I304" s="56"/>
      <c r="J304" s="56"/>
      <c r="K304" s="56"/>
      <c r="L304" s="56"/>
    </row>
    <row r="305" spans="1:12" x14ac:dyDescent="0.25">
      <c r="A305" s="18">
        <v>1996</v>
      </c>
      <c r="B305" s="20" t="s">
        <v>1750</v>
      </c>
      <c r="C305" s="20">
        <v>28</v>
      </c>
      <c r="D305" s="22" t="s">
        <v>417</v>
      </c>
      <c r="E305" s="22"/>
      <c r="F305" s="25">
        <v>0</v>
      </c>
      <c r="G305" s="18">
        <v>3250</v>
      </c>
      <c r="H305" s="60">
        <v>0</v>
      </c>
      <c r="I305" s="56"/>
      <c r="J305" s="56"/>
      <c r="K305" s="56"/>
      <c r="L305" s="56"/>
    </row>
    <row r="306" spans="1:12" x14ac:dyDescent="0.25">
      <c r="A306" s="18">
        <v>1996</v>
      </c>
      <c r="B306" s="20" t="s">
        <v>1750</v>
      </c>
      <c r="C306" s="20">
        <v>29</v>
      </c>
      <c r="D306" s="22" t="s">
        <v>417</v>
      </c>
      <c r="E306" s="22"/>
      <c r="F306" s="25">
        <v>0</v>
      </c>
      <c r="G306" s="18">
        <v>3250</v>
      </c>
      <c r="H306" s="60">
        <v>0</v>
      </c>
      <c r="I306" s="56"/>
      <c r="J306" s="56"/>
      <c r="K306" s="56"/>
      <c r="L306" s="56"/>
    </row>
    <row r="307" spans="1:12" x14ac:dyDescent="0.25">
      <c r="A307" s="18">
        <v>1996</v>
      </c>
      <c r="B307" s="20" t="s">
        <v>1750</v>
      </c>
      <c r="C307" s="20">
        <v>30</v>
      </c>
      <c r="D307" s="22" t="s">
        <v>427</v>
      </c>
      <c r="E307" s="22"/>
      <c r="F307" s="25">
        <v>0</v>
      </c>
      <c r="G307" s="58">
        <v>3200</v>
      </c>
      <c r="H307" s="29">
        <v>0</v>
      </c>
      <c r="I307" s="57"/>
      <c r="J307" s="56"/>
      <c r="K307" s="56"/>
      <c r="L307" s="56"/>
    </row>
    <row r="308" spans="1:12" x14ac:dyDescent="0.25">
      <c r="A308" s="18">
        <v>1996</v>
      </c>
      <c r="B308" s="20" t="s">
        <v>1750</v>
      </c>
      <c r="C308" s="20">
        <v>31</v>
      </c>
      <c r="D308" s="22" t="s">
        <v>122</v>
      </c>
      <c r="E308" s="22"/>
      <c r="F308" s="25">
        <v>0</v>
      </c>
      <c r="G308" s="22" t="s">
        <v>122</v>
      </c>
      <c r="H308" s="59">
        <v>0</v>
      </c>
      <c r="I308" s="22"/>
      <c r="J308" s="56"/>
      <c r="K308" s="56"/>
      <c r="L308" s="56"/>
    </row>
    <row r="309" spans="1:12" x14ac:dyDescent="0.25">
      <c r="A309" s="18">
        <v>1996</v>
      </c>
      <c r="B309" s="20" t="s">
        <v>32</v>
      </c>
      <c r="C309" s="20">
        <v>1</v>
      </c>
      <c r="D309" s="22" t="s">
        <v>427</v>
      </c>
      <c r="E309" s="22"/>
      <c r="F309" s="25">
        <v>0.43</v>
      </c>
      <c r="G309" s="18">
        <v>3200</v>
      </c>
      <c r="H309" s="60">
        <v>3.94</v>
      </c>
      <c r="I309" s="56"/>
      <c r="J309" s="56"/>
      <c r="K309" s="56"/>
      <c r="L309" s="56"/>
    </row>
    <row r="310" spans="1:12" x14ac:dyDescent="0.25">
      <c r="A310" s="18">
        <v>1996</v>
      </c>
      <c r="B310" s="20" t="s">
        <v>32</v>
      </c>
      <c r="C310" s="20">
        <v>2</v>
      </c>
      <c r="D310" s="22" t="s">
        <v>427</v>
      </c>
      <c r="E310" s="22"/>
      <c r="F310" s="25">
        <v>0.43</v>
      </c>
      <c r="G310" s="18">
        <v>3200</v>
      </c>
      <c r="H310" s="60">
        <v>3.94</v>
      </c>
      <c r="I310" s="56"/>
      <c r="J310" s="56"/>
      <c r="K310" s="56"/>
      <c r="L310" s="56"/>
    </row>
    <row r="311" spans="1:12" x14ac:dyDescent="0.25">
      <c r="A311" s="18">
        <v>1996</v>
      </c>
      <c r="B311" s="20" t="s">
        <v>32</v>
      </c>
      <c r="C311" s="20">
        <v>3</v>
      </c>
      <c r="D311" s="22" t="s">
        <v>427</v>
      </c>
      <c r="E311" s="22"/>
      <c r="F311" s="25">
        <v>0.43</v>
      </c>
      <c r="G311" s="18">
        <v>3200</v>
      </c>
      <c r="H311" s="60">
        <v>3.94</v>
      </c>
      <c r="I311" s="56"/>
      <c r="J311" s="56"/>
      <c r="K311" s="56"/>
      <c r="L311" s="56"/>
    </row>
    <row r="312" spans="1:12" x14ac:dyDescent="0.25">
      <c r="A312" s="18">
        <v>1996</v>
      </c>
      <c r="B312" s="20" t="s">
        <v>32</v>
      </c>
      <c r="C312" s="20">
        <v>4</v>
      </c>
      <c r="D312" s="22" t="s">
        <v>416</v>
      </c>
      <c r="E312" s="22"/>
      <c r="F312" s="25">
        <v>0.41</v>
      </c>
      <c r="G312" s="18">
        <v>3100</v>
      </c>
      <c r="H312" s="60">
        <v>3.94</v>
      </c>
      <c r="I312" s="56"/>
      <c r="J312" s="56"/>
      <c r="K312" s="56"/>
      <c r="L312" s="56"/>
    </row>
    <row r="313" spans="1:12" x14ac:dyDescent="0.25">
      <c r="A313" s="18">
        <v>1996</v>
      </c>
      <c r="B313" s="20" t="s">
        <v>32</v>
      </c>
      <c r="C313" s="20">
        <v>5</v>
      </c>
      <c r="D313" s="22" t="s">
        <v>416</v>
      </c>
      <c r="E313" s="22"/>
      <c r="F313" s="25">
        <v>0.41</v>
      </c>
      <c r="G313" s="18">
        <v>3100</v>
      </c>
      <c r="H313" s="60">
        <v>3.81</v>
      </c>
      <c r="I313" s="56"/>
      <c r="J313" s="56"/>
      <c r="K313" s="56"/>
      <c r="L313" s="56"/>
    </row>
    <row r="314" spans="1:12" x14ac:dyDescent="0.25">
      <c r="A314" s="18">
        <v>1996</v>
      </c>
      <c r="B314" s="20" t="s">
        <v>32</v>
      </c>
      <c r="C314" s="20">
        <v>6</v>
      </c>
      <c r="D314" s="22" t="s">
        <v>416</v>
      </c>
      <c r="E314" s="22"/>
      <c r="F314" s="25">
        <v>0.41</v>
      </c>
      <c r="G314" s="18">
        <v>3100</v>
      </c>
      <c r="H314" s="60">
        <v>3.81</v>
      </c>
      <c r="I314" s="56"/>
      <c r="J314" s="56"/>
      <c r="K314" s="56"/>
      <c r="L314" s="56"/>
    </row>
    <row r="315" spans="1:12" x14ac:dyDescent="0.25">
      <c r="A315" s="18">
        <v>1996</v>
      </c>
      <c r="B315" s="20" t="s">
        <v>32</v>
      </c>
      <c r="C315" s="20">
        <v>7</v>
      </c>
      <c r="D315" s="22" t="s">
        <v>416</v>
      </c>
      <c r="E315" s="22"/>
      <c r="F315" s="25">
        <v>0.41</v>
      </c>
      <c r="G315" s="18">
        <v>3100</v>
      </c>
      <c r="H315" s="60">
        <v>3.81</v>
      </c>
      <c r="I315" s="56"/>
      <c r="J315" s="56"/>
      <c r="K315" s="56"/>
      <c r="L315" s="56"/>
    </row>
    <row r="316" spans="1:12" x14ac:dyDescent="0.25">
      <c r="A316" s="18">
        <v>1996</v>
      </c>
      <c r="B316" s="20" t="s">
        <v>32</v>
      </c>
      <c r="C316" s="20">
        <v>8</v>
      </c>
      <c r="D316" s="22" t="s">
        <v>416</v>
      </c>
      <c r="E316" s="22"/>
      <c r="F316" s="25">
        <v>0</v>
      </c>
      <c r="G316" s="18">
        <v>3100</v>
      </c>
      <c r="H316" s="60">
        <v>0</v>
      </c>
      <c r="I316" s="56"/>
      <c r="J316" s="56"/>
      <c r="K316" s="56"/>
      <c r="L316" s="56"/>
    </row>
    <row r="317" spans="1:12" x14ac:dyDescent="0.25">
      <c r="A317" s="18">
        <v>1996</v>
      </c>
      <c r="B317" s="20" t="s">
        <v>32</v>
      </c>
      <c r="C317" s="20">
        <v>9</v>
      </c>
      <c r="D317" s="22" t="s">
        <v>416</v>
      </c>
      <c r="E317" s="22"/>
      <c r="F317" s="25">
        <v>0</v>
      </c>
      <c r="G317" s="18">
        <v>3100</v>
      </c>
      <c r="H317" s="60">
        <v>0</v>
      </c>
      <c r="I317" s="56"/>
      <c r="J317" s="56"/>
      <c r="K317" s="56"/>
      <c r="L317" s="56"/>
    </row>
    <row r="318" spans="1:12" x14ac:dyDescent="0.25">
      <c r="A318" s="18">
        <v>1996</v>
      </c>
      <c r="B318" s="20" t="s">
        <v>32</v>
      </c>
      <c r="C318" s="20">
        <v>10</v>
      </c>
      <c r="D318" s="22" t="s">
        <v>416</v>
      </c>
      <c r="E318" s="22"/>
      <c r="F318" s="25">
        <v>0</v>
      </c>
      <c r="G318" s="18">
        <v>3100</v>
      </c>
      <c r="H318" s="60">
        <v>0</v>
      </c>
      <c r="I318" s="56"/>
      <c r="J318" s="56"/>
      <c r="K318" s="56"/>
      <c r="L318" s="56"/>
    </row>
    <row r="319" spans="1:12" x14ac:dyDescent="0.25">
      <c r="A319" s="18">
        <v>1996</v>
      </c>
      <c r="B319" s="20" t="s">
        <v>32</v>
      </c>
      <c r="C319" s="20">
        <v>11</v>
      </c>
      <c r="D319" s="22" t="s">
        <v>416</v>
      </c>
      <c r="E319" s="22"/>
      <c r="F319" s="25">
        <v>0</v>
      </c>
      <c r="G319" s="18">
        <v>3100</v>
      </c>
      <c r="H319" s="60">
        <v>0</v>
      </c>
      <c r="I319" s="56"/>
      <c r="J319" s="56"/>
      <c r="K319" s="56"/>
      <c r="L319" s="56"/>
    </row>
    <row r="320" spans="1:12" x14ac:dyDescent="0.25">
      <c r="A320" s="18">
        <v>1996</v>
      </c>
      <c r="B320" s="20" t="s">
        <v>32</v>
      </c>
      <c r="C320" s="20">
        <v>12</v>
      </c>
      <c r="D320" s="22" t="s">
        <v>416</v>
      </c>
      <c r="E320" s="22"/>
      <c r="F320" s="25">
        <v>0.41</v>
      </c>
      <c r="G320" s="18">
        <v>3100</v>
      </c>
      <c r="H320" s="60">
        <v>3.81</v>
      </c>
      <c r="I320" s="56"/>
      <c r="J320" s="56"/>
      <c r="K320" s="56"/>
      <c r="L320" s="56"/>
    </row>
    <row r="321" spans="1:12" x14ac:dyDescent="0.25">
      <c r="A321" s="18">
        <v>1996</v>
      </c>
      <c r="B321" s="20" t="s">
        <v>32</v>
      </c>
      <c r="C321" s="20">
        <v>13</v>
      </c>
      <c r="D321" s="22" t="s">
        <v>416</v>
      </c>
      <c r="E321" s="22"/>
      <c r="F321" s="25">
        <v>0.41</v>
      </c>
      <c r="G321" s="18">
        <v>3100</v>
      </c>
      <c r="H321" s="60">
        <v>3.81</v>
      </c>
      <c r="I321" s="56"/>
      <c r="J321" s="56"/>
      <c r="K321" s="56"/>
      <c r="L321" s="56"/>
    </row>
    <row r="322" spans="1:12" x14ac:dyDescent="0.25">
      <c r="A322" s="18">
        <v>1996</v>
      </c>
      <c r="B322" s="20" t="s">
        <v>32</v>
      </c>
      <c r="C322" s="20">
        <v>14</v>
      </c>
      <c r="D322" s="22" t="s">
        <v>416</v>
      </c>
      <c r="E322" s="22"/>
      <c r="F322" s="25">
        <v>0</v>
      </c>
      <c r="G322" s="25">
        <v>0</v>
      </c>
      <c r="H322" s="60">
        <v>0</v>
      </c>
      <c r="I322" s="56"/>
      <c r="J322" s="56"/>
      <c r="K322" s="56"/>
      <c r="L322" s="56"/>
    </row>
    <row r="323" spans="1:12" x14ac:dyDescent="0.25">
      <c r="A323" s="18">
        <v>1996</v>
      </c>
      <c r="B323" s="20" t="s">
        <v>32</v>
      </c>
      <c r="C323" s="20">
        <v>15</v>
      </c>
      <c r="D323" s="22" t="s">
        <v>416</v>
      </c>
      <c r="E323" s="22"/>
      <c r="F323" s="25">
        <v>0</v>
      </c>
      <c r="G323" s="25">
        <v>0</v>
      </c>
      <c r="H323" s="60">
        <v>0</v>
      </c>
      <c r="I323" s="56"/>
      <c r="J323" s="56"/>
      <c r="K323" s="56"/>
      <c r="L323" s="56"/>
    </row>
    <row r="324" spans="1:12" x14ac:dyDescent="0.25">
      <c r="A324" s="18">
        <v>1996</v>
      </c>
      <c r="B324" s="20" t="s">
        <v>32</v>
      </c>
      <c r="C324" s="20">
        <v>16</v>
      </c>
      <c r="D324" s="22" t="s">
        <v>416</v>
      </c>
      <c r="E324" s="22"/>
      <c r="F324" s="25">
        <v>0</v>
      </c>
      <c r="G324" s="25">
        <v>0</v>
      </c>
      <c r="H324" s="60">
        <v>0</v>
      </c>
      <c r="I324" s="56"/>
      <c r="J324" s="56"/>
      <c r="K324" s="56"/>
      <c r="L324" s="56"/>
    </row>
    <row r="325" spans="1:12" x14ac:dyDescent="0.25">
      <c r="A325" s="18">
        <v>1996</v>
      </c>
      <c r="B325" s="20" t="s">
        <v>32</v>
      </c>
      <c r="C325" s="20">
        <v>17</v>
      </c>
      <c r="D325" s="22" t="s">
        <v>416</v>
      </c>
      <c r="E325" s="22"/>
      <c r="F325" s="25">
        <v>0</v>
      </c>
      <c r="G325" s="25">
        <v>0</v>
      </c>
      <c r="H325" s="60">
        <v>0</v>
      </c>
      <c r="I325" s="56"/>
      <c r="J325" s="56"/>
      <c r="K325" s="56"/>
      <c r="L325" s="56"/>
    </row>
    <row r="326" spans="1:12" x14ac:dyDescent="0.25">
      <c r="A326" s="18">
        <v>1996</v>
      </c>
      <c r="B326" s="20" t="s">
        <v>32</v>
      </c>
      <c r="C326" s="20">
        <v>18</v>
      </c>
      <c r="D326" s="22" t="s">
        <v>416</v>
      </c>
      <c r="E326" s="22"/>
      <c r="F326" s="25">
        <v>0</v>
      </c>
      <c r="G326" s="25">
        <v>0</v>
      </c>
      <c r="H326" s="60">
        <v>0</v>
      </c>
      <c r="I326" s="56"/>
      <c r="J326" s="56"/>
      <c r="K326" s="56"/>
      <c r="L326" s="56"/>
    </row>
    <row r="327" spans="1:12" x14ac:dyDescent="0.25">
      <c r="A327" s="18">
        <v>1996</v>
      </c>
      <c r="B327" s="20" t="s">
        <v>32</v>
      </c>
      <c r="C327" s="20">
        <v>19</v>
      </c>
      <c r="D327" s="22" t="s">
        <v>416</v>
      </c>
      <c r="E327" s="22"/>
      <c r="F327" s="25">
        <v>0</v>
      </c>
      <c r="G327" s="25">
        <v>0</v>
      </c>
      <c r="H327" s="60">
        <v>0</v>
      </c>
      <c r="I327" s="56"/>
      <c r="J327" s="56"/>
      <c r="K327" s="56"/>
      <c r="L327" s="56"/>
    </row>
    <row r="328" spans="1:12" x14ac:dyDescent="0.25">
      <c r="A328" s="18">
        <v>1996</v>
      </c>
      <c r="B328" s="20" t="s">
        <v>32</v>
      </c>
      <c r="C328" s="20">
        <v>20</v>
      </c>
      <c r="D328" s="22" t="s">
        <v>416</v>
      </c>
      <c r="E328" s="22"/>
      <c r="F328" s="25">
        <v>0.41</v>
      </c>
      <c r="G328" s="18">
        <v>3100</v>
      </c>
      <c r="H328" s="60">
        <v>3.81</v>
      </c>
      <c r="I328" s="56"/>
      <c r="J328" s="56"/>
      <c r="K328" s="56"/>
      <c r="L328" s="56"/>
    </row>
    <row r="329" spans="1:12" x14ac:dyDescent="0.25">
      <c r="A329" s="18">
        <v>1996</v>
      </c>
      <c r="B329" s="20" t="s">
        <v>32</v>
      </c>
      <c r="C329" s="20">
        <v>21</v>
      </c>
      <c r="D329" s="22" t="s">
        <v>416</v>
      </c>
      <c r="E329" s="22"/>
      <c r="F329" s="25">
        <v>0.41</v>
      </c>
      <c r="G329" s="18">
        <v>3100</v>
      </c>
      <c r="H329" s="60">
        <v>3.81</v>
      </c>
      <c r="I329" s="56"/>
      <c r="J329" s="56"/>
      <c r="K329" s="56"/>
      <c r="L329" s="56"/>
    </row>
    <row r="330" spans="1:12" x14ac:dyDescent="0.25">
      <c r="A330" s="18">
        <v>1996</v>
      </c>
      <c r="B330" s="20" t="s">
        <v>32</v>
      </c>
      <c r="C330" s="20">
        <v>22</v>
      </c>
      <c r="D330" s="22" t="s">
        <v>416</v>
      </c>
      <c r="E330" s="22"/>
      <c r="F330" s="25">
        <v>0</v>
      </c>
      <c r="G330" s="18">
        <v>3100</v>
      </c>
      <c r="H330" s="60">
        <v>0</v>
      </c>
      <c r="I330" s="56"/>
      <c r="J330" s="56"/>
      <c r="K330" s="56"/>
      <c r="L330" s="56"/>
    </row>
    <row r="331" spans="1:12" x14ac:dyDescent="0.25">
      <c r="A331" s="18">
        <v>1996</v>
      </c>
      <c r="B331" s="20" t="s">
        <v>32</v>
      </c>
      <c r="C331" s="20">
        <v>23</v>
      </c>
      <c r="D331" s="22" t="s">
        <v>416</v>
      </c>
      <c r="E331" s="22"/>
      <c r="F331" s="25">
        <v>0</v>
      </c>
      <c r="G331" s="18">
        <v>3100</v>
      </c>
      <c r="H331" s="60">
        <v>0</v>
      </c>
      <c r="I331" s="56"/>
      <c r="J331" s="56"/>
      <c r="K331" s="56"/>
      <c r="L331" s="56"/>
    </row>
    <row r="332" spans="1:12" x14ac:dyDescent="0.25">
      <c r="A332" s="18">
        <v>1996</v>
      </c>
      <c r="B332" s="20" t="s">
        <v>32</v>
      </c>
      <c r="C332" s="20">
        <v>24</v>
      </c>
      <c r="D332" s="22" t="s">
        <v>416</v>
      </c>
      <c r="E332" s="22"/>
      <c r="F332" s="25">
        <v>0</v>
      </c>
      <c r="G332" s="18">
        <v>3100</v>
      </c>
      <c r="H332" s="60">
        <v>0</v>
      </c>
      <c r="I332" s="56"/>
      <c r="J332" s="56"/>
      <c r="K332" s="56"/>
      <c r="L332" s="56"/>
    </row>
    <row r="333" spans="1:12" x14ac:dyDescent="0.25">
      <c r="A333" s="18">
        <v>1996</v>
      </c>
      <c r="B333" s="20" t="s">
        <v>32</v>
      </c>
      <c r="C333" s="20">
        <v>25</v>
      </c>
      <c r="D333" s="22" t="s">
        <v>416</v>
      </c>
      <c r="E333" s="22"/>
      <c r="F333" s="25">
        <v>0</v>
      </c>
      <c r="G333" s="18">
        <v>3100</v>
      </c>
      <c r="H333" s="60">
        <v>0</v>
      </c>
      <c r="I333" s="56"/>
      <c r="J333" s="56"/>
      <c r="K333" s="56"/>
      <c r="L333" s="56"/>
    </row>
    <row r="334" spans="1:12" x14ac:dyDescent="0.25">
      <c r="A334" s="18">
        <v>1996</v>
      </c>
      <c r="B334" s="20" t="s">
        <v>32</v>
      </c>
      <c r="C334" s="20">
        <v>26</v>
      </c>
      <c r="D334" s="22" t="s">
        <v>416</v>
      </c>
      <c r="E334" s="22"/>
      <c r="F334" s="25">
        <v>0.41</v>
      </c>
      <c r="G334" s="18">
        <v>3100</v>
      </c>
      <c r="H334" s="60">
        <v>3.81</v>
      </c>
      <c r="I334" s="56"/>
      <c r="J334" s="56"/>
      <c r="K334" s="56"/>
      <c r="L334" s="56"/>
    </row>
    <row r="335" spans="1:12" x14ac:dyDescent="0.25">
      <c r="A335" s="18">
        <v>1996</v>
      </c>
      <c r="B335" s="20" t="s">
        <v>32</v>
      </c>
      <c r="C335" s="20">
        <v>27</v>
      </c>
      <c r="D335" s="22" t="s">
        <v>416</v>
      </c>
      <c r="E335" s="22"/>
      <c r="F335" s="25">
        <v>0</v>
      </c>
      <c r="G335" s="18">
        <v>3100</v>
      </c>
      <c r="H335" s="60">
        <v>4</v>
      </c>
      <c r="I335" s="56"/>
      <c r="J335" s="56"/>
      <c r="K335" s="56"/>
      <c r="L335" s="56"/>
    </row>
    <row r="336" spans="1:12" x14ac:dyDescent="0.25">
      <c r="A336" s="18">
        <v>1996</v>
      </c>
      <c r="B336" s="20" t="s">
        <v>32</v>
      </c>
      <c r="C336" s="20">
        <v>28</v>
      </c>
      <c r="D336" s="22" t="s">
        <v>417</v>
      </c>
      <c r="E336" s="22"/>
      <c r="F336" s="25">
        <v>0</v>
      </c>
      <c r="G336" s="18">
        <v>3250</v>
      </c>
      <c r="H336" s="60">
        <v>4.4000000000000004</v>
      </c>
      <c r="I336" s="56"/>
      <c r="J336" s="56"/>
      <c r="K336" s="56"/>
      <c r="L336" s="56"/>
    </row>
    <row r="337" spans="1:12" x14ac:dyDescent="0.25">
      <c r="A337" s="18">
        <v>1996</v>
      </c>
      <c r="B337" s="20" t="s">
        <v>32</v>
      </c>
      <c r="C337" s="20">
        <v>29</v>
      </c>
      <c r="D337" s="22" t="s">
        <v>304</v>
      </c>
      <c r="E337" s="22"/>
      <c r="F337" s="25">
        <v>0</v>
      </c>
      <c r="G337" s="58">
        <v>3650</v>
      </c>
      <c r="H337" s="29">
        <v>5.17</v>
      </c>
      <c r="I337" s="57"/>
      <c r="J337" s="56"/>
      <c r="K337" s="56"/>
      <c r="L337" s="56"/>
    </row>
    <row r="338" spans="1:12" x14ac:dyDescent="0.25">
      <c r="A338" s="18">
        <v>1996</v>
      </c>
      <c r="B338" s="20" t="s">
        <v>32</v>
      </c>
      <c r="C338" s="20">
        <v>30</v>
      </c>
      <c r="D338" s="22" t="s">
        <v>127</v>
      </c>
      <c r="E338" s="22"/>
      <c r="F338" s="25">
        <v>0</v>
      </c>
      <c r="G338" s="58">
        <v>4200</v>
      </c>
      <c r="H338" s="29">
        <v>0</v>
      </c>
      <c r="I338" s="57"/>
      <c r="J338" s="56"/>
      <c r="K338" s="56"/>
      <c r="L338" s="56"/>
    </row>
    <row r="339" spans="1:12" x14ac:dyDescent="0.25">
      <c r="A339" s="18">
        <v>1996</v>
      </c>
      <c r="B339" s="20" t="s">
        <v>33</v>
      </c>
      <c r="C339" s="20">
        <v>1</v>
      </c>
      <c r="D339" s="22" t="s">
        <v>531</v>
      </c>
      <c r="E339" s="22"/>
      <c r="F339" s="22"/>
      <c r="G339" s="22" t="s">
        <v>531</v>
      </c>
      <c r="H339" s="59"/>
      <c r="I339" s="22"/>
      <c r="J339" s="56"/>
      <c r="K339" s="56"/>
      <c r="L339" s="56"/>
    </row>
    <row r="340" spans="1:12" x14ac:dyDescent="0.25">
      <c r="A340" s="18">
        <v>1996</v>
      </c>
      <c r="B340" s="20" t="s">
        <v>33</v>
      </c>
      <c r="C340" s="20">
        <v>2</v>
      </c>
      <c r="D340" s="22" t="s">
        <v>531</v>
      </c>
      <c r="E340" s="22"/>
      <c r="F340" s="22"/>
      <c r="G340" s="22" t="s">
        <v>531</v>
      </c>
      <c r="H340" s="59"/>
      <c r="I340" s="22"/>
      <c r="J340" s="56"/>
      <c r="K340" s="56"/>
      <c r="L340" s="56"/>
    </row>
    <row r="341" spans="1:12" x14ac:dyDescent="0.25">
      <c r="A341" s="18">
        <v>1996</v>
      </c>
      <c r="B341" s="20" t="s">
        <v>33</v>
      </c>
      <c r="C341" s="20">
        <v>3</v>
      </c>
      <c r="D341" s="22" t="s">
        <v>284</v>
      </c>
      <c r="E341" s="22"/>
      <c r="F341" s="22"/>
      <c r="G341" s="30">
        <v>4450</v>
      </c>
      <c r="H341" s="29"/>
      <c r="I341" s="57"/>
      <c r="J341" s="56"/>
      <c r="K341" s="56"/>
      <c r="L341" s="56"/>
    </row>
    <row r="342" spans="1:12" x14ac:dyDescent="0.25">
      <c r="A342" s="18">
        <v>1996</v>
      </c>
      <c r="B342" s="20" t="s">
        <v>33</v>
      </c>
      <c r="C342" s="20">
        <v>4</v>
      </c>
      <c r="D342" s="22" t="s">
        <v>284</v>
      </c>
      <c r="E342" s="22"/>
      <c r="F342" s="22"/>
      <c r="G342" s="30">
        <v>4450</v>
      </c>
      <c r="H342" s="29"/>
      <c r="I342" s="57"/>
      <c r="J342" s="56"/>
      <c r="K342" s="56"/>
      <c r="L342" s="56"/>
    </row>
    <row r="343" spans="1:12" x14ac:dyDescent="0.25">
      <c r="A343" s="18">
        <v>1996</v>
      </c>
      <c r="B343" s="20" t="s">
        <v>33</v>
      </c>
      <c r="C343" s="20">
        <v>5</v>
      </c>
      <c r="D343" s="22" t="s">
        <v>284</v>
      </c>
      <c r="E343" s="22"/>
      <c r="F343" s="22"/>
      <c r="G343" s="30">
        <v>4450</v>
      </c>
      <c r="H343" s="29"/>
      <c r="I343" s="57"/>
      <c r="J343" s="56"/>
      <c r="K343" s="56"/>
      <c r="L343" s="56"/>
    </row>
    <row r="344" spans="1:12" x14ac:dyDescent="0.25">
      <c r="A344" s="18">
        <v>1996</v>
      </c>
      <c r="B344" s="20" t="s">
        <v>33</v>
      </c>
      <c r="C344" s="20">
        <v>6</v>
      </c>
      <c r="D344" s="22" t="s">
        <v>284</v>
      </c>
      <c r="E344" s="22"/>
      <c r="F344" s="22"/>
      <c r="G344" s="30">
        <v>4450</v>
      </c>
      <c r="H344" s="29"/>
      <c r="I344" s="57"/>
      <c r="J344" s="56"/>
      <c r="K344" s="56"/>
      <c r="L344" s="56"/>
    </row>
    <row r="345" spans="1:12" x14ac:dyDescent="0.25">
      <c r="A345" s="18">
        <v>1996</v>
      </c>
      <c r="B345" s="20" t="s">
        <v>33</v>
      </c>
      <c r="C345" s="20">
        <v>7</v>
      </c>
      <c r="D345" s="22" t="s">
        <v>284</v>
      </c>
      <c r="E345" s="22"/>
      <c r="F345" s="22"/>
      <c r="G345" s="30">
        <v>4450</v>
      </c>
      <c r="H345" s="29"/>
      <c r="I345" s="57"/>
      <c r="J345" s="19">
        <v>13.5</v>
      </c>
      <c r="K345" s="56"/>
      <c r="L345" s="56"/>
    </row>
    <row r="346" spans="1:12" x14ac:dyDescent="0.25">
      <c r="A346" s="18">
        <v>1996</v>
      </c>
      <c r="B346" s="20" t="s">
        <v>33</v>
      </c>
      <c r="C346" s="20">
        <v>8</v>
      </c>
      <c r="D346" s="22" t="s">
        <v>284</v>
      </c>
      <c r="E346" s="22"/>
      <c r="F346" s="22"/>
      <c r="G346" s="30">
        <v>4450</v>
      </c>
      <c r="H346" s="29"/>
      <c r="I346" s="57"/>
      <c r="J346" s="19">
        <v>15</v>
      </c>
      <c r="K346" s="56"/>
      <c r="L346" s="56"/>
    </row>
    <row r="347" spans="1:12" x14ac:dyDescent="0.25">
      <c r="A347" s="18">
        <v>1996</v>
      </c>
      <c r="B347" s="20" t="s">
        <v>33</v>
      </c>
      <c r="C347" s="20">
        <v>9</v>
      </c>
      <c r="D347" s="22" t="s">
        <v>284</v>
      </c>
      <c r="E347" s="22"/>
      <c r="F347" s="22"/>
      <c r="G347" s="30">
        <v>4450</v>
      </c>
      <c r="H347" s="29"/>
      <c r="I347" s="57"/>
      <c r="J347" s="19">
        <v>11.1</v>
      </c>
      <c r="K347" s="56"/>
      <c r="L347" s="56"/>
    </row>
    <row r="348" spans="1:12" x14ac:dyDescent="0.25">
      <c r="A348" s="18">
        <v>1996</v>
      </c>
      <c r="B348" s="20" t="s">
        <v>33</v>
      </c>
      <c r="C348" s="20">
        <v>10</v>
      </c>
      <c r="D348" s="22" t="s">
        <v>133</v>
      </c>
      <c r="E348" s="22"/>
      <c r="F348" s="22"/>
      <c r="G348" s="30">
        <v>4500</v>
      </c>
      <c r="H348" s="29"/>
      <c r="I348" s="57"/>
      <c r="J348" s="19">
        <v>8.4</v>
      </c>
      <c r="K348" s="56"/>
      <c r="L348" s="56"/>
    </row>
    <row r="349" spans="1:12" x14ac:dyDescent="0.25">
      <c r="A349" s="18">
        <v>1996</v>
      </c>
      <c r="B349" s="20" t="s">
        <v>33</v>
      </c>
      <c r="C349" s="20">
        <v>11</v>
      </c>
      <c r="D349" s="22" t="s">
        <v>133</v>
      </c>
      <c r="E349" s="22"/>
      <c r="F349" s="22"/>
      <c r="G349" s="30">
        <v>4500</v>
      </c>
      <c r="H349" s="29"/>
      <c r="I349" s="57"/>
      <c r="J349" s="19">
        <v>5.0999999999999996</v>
      </c>
      <c r="K349" s="56"/>
      <c r="L349" s="56"/>
    </row>
    <row r="350" spans="1:12" x14ac:dyDescent="0.25">
      <c r="A350" s="18">
        <v>1996</v>
      </c>
      <c r="B350" s="20" t="s">
        <v>33</v>
      </c>
      <c r="C350" s="20">
        <v>12</v>
      </c>
      <c r="D350" s="22" t="s">
        <v>133</v>
      </c>
      <c r="E350" s="22"/>
      <c r="F350" s="22"/>
      <c r="G350" s="30">
        <v>4500</v>
      </c>
      <c r="H350" s="29"/>
      <c r="I350" s="57"/>
      <c r="J350" s="19">
        <v>0.6</v>
      </c>
      <c r="K350" s="56"/>
      <c r="L350" s="56"/>
    </row>
    <row r="351" spans="1:12" x14ac:dyDescent="0.25">
      <c r="A351" s="18">
        <v>1996</v>
      </c>
      <c r="B351" s="20" t="s">
        <v>33</v>
      </c>
      <c r="C351" s="20">
        <v>13</v>
      </c>
      <c r="D351" s="22" t="s">
        <v>135</v>
      </c>
      <c r="E351" s="22"/>
      <c r="F351" s="22"/>
      <c r="G351" s="61">
        <v>4500</v>
      </c>
      <c r="H351" s="60"/>
      <c r="I351" s="56"/>
      <c r="J351" s="19">
        <v>7</v>
      </c>
      <c r="K351" s="56"/>
      <c r="L351" s="56"/>
    </row>
    <row r="352" spans="1:12" x14ac:dyDescent="0.25">
      <c r="A352" s="18">
        <v>1996</v>
      </c>
      <c r="B352" s="20" t="s">
        <v>33</v>
      </c>
      <c r="C352" s="20">
        <v>14</v>
      </c>
      <c r="D352" s="22" t="s">
        <v>135</v>
      </c>
      <c r="E352" s="22"/>
      <c r="F352" s="22"/>
      <c r="G352" s="61">
        <v>4500</v>
      </c>
      <c r="H352" s="60"/>
      <c r="I352" s="56"/>
      <c r="J352" s="19">
        <v>3</v>
      </c>
      <c r="K352" s="56"/>
      <c r="L352" s="56"/>
    </row>
    <row r="353" spans="1:12" x14ac:dyDescent="0.25">
      <c r="A353" s="18">
        <v>1996</v>
      </c>
      <c r="B353" s="20" t="s">
        <v>33</v>
      </c>
      <c r="C353" s="20">
        <v>15</v>
      </c>
      <c r="D353" s="22" t="s">
        <v>135</v>
      </c>
      <c r="E353" s="22"/>
      <c r="F353" s="22"/>
      <c r="G353" s="61">
        <v>4500</v>
      </c>
      <c r="H353" s="60"/>
      <c r="I353" s="56"/>
      <c r="J353" s="19">
        <v>57</v>
      </c>
      <c r="K353" s="56"/>
      <c r="L353" s="56"/>
    </row>
    <row r="354" spans="1:12" x14ac:dyDescent="0.25">
      <c r="A354" s="18">
        <v>1996</v>
      </c>
      <c r="B354" s="20" t="s">
        <v>33</v>
      </c>
      <c r="C354" s="20">
        <v>16</v>
      </c>
      <c r="D354" s="22" t="s">
        <v>279</v>
      </c>
      <c r="E354" s="22"/>
      <c r="F354" s="22"/>
      <c r="G354" s="61">
        <v>4750</v>
      </c>
      <c r="H354" s="60"/>
      <c r="I354" s="56"/>
      <c r="J354" s="19">
        <v>5</v>
      </c>
      <c r="K354" s="56"/>
      <c r="L354" s="56"/>
    </row>
    <row r="355" spans="1:12" x14ac:dyDescent="0.25">
      <c r="A355" s="18">
        <v>1996</v>
      </c>
      <c r="B355" s="20" t="s">
        <v>33</v>
      </c>
      <c r="C355" s="20">
        <v>17</v>
      </c>
      <c r="D355" s="22" t="s">
        <v>279</v>
      </c>
      <c r="E355" s="22"/>
      <c r="F355" s="22"/>
      <c r="G355" s="61">
        <v>4750</v>
      </c>
      <c r="H355" s="60"/>
      <c r="I355" s="56"/>
      <c r="J355" s="19">
        <v>1</v>
      </c>
      <c r="K355" s="56"/>
      <c r="L355" s="56"/>
    </row>
    <row r="356" spans="1:12" x14ac:dyDescent="0.25">
      <c r="A356" s="18">
        <v>1996</v>
      </c>
      <c r="B356" s="20" t="s">
        <v>33</v>
      </c>
      <c r="C356" s="20">
        <v>18</v>
      </c>
      <c r="D356" s="22" t="s">
        <v>279</v>
      </c>
      <c r="E356" s="22"/>
      <c r="F356" s="22"/>
      <c r="G356" s="61">
        <v>4750</v>
      </c>
      <c r="H356" s="60"/>
      <c r="I356" s="56"/>
      <c r="J356" s="56"/>
      <c r="K356" s="56"/>
      <c r="L356" s="56"/>
    </row>
    <row r="357" spans="1:12" x14ac:dyDescent="0.25">
      <c r="A357" s="18">
        <v>1996</v>
      </c>
      <c r="B357" s="20" t="s">
        <v>33</v>
      </c>
      <c r="C357" s="20">
        <v>19</v>
      </c>
      <c r="D357" s="22" t="s">
        <v>279</v>
      </c>
      <c r="E357" s="22"/>
      <c r="F357" s="22"/>
      <c r="G357" s="61">
        <v>4750</v>
      </c>
      <c r="H357" s="60"/>
      <c r="I357" s="56"/>
      <c r="J357" s="56"/>
      <c r="K357" s="56"/>
      <c r="L357" s="56"/>
    </row>
    <row r="358" spans="1:12" x14ac:dyDescent="0.25">
      <c r="A358" s="18">
        <v>1996</v>
      </c>
      <c r="B358" s="20" t="s">
        <v>33</v>
      </c>
      <c r="C358" s="20">
        <v>20</v>
      </c>
      <c r="D358" s="22" t="s">
        <v>279</v>
      </c>
      <c r="E358" s="22"/>
      <c r="F358" s="22"/>
      <c r="G358" s="61">
        <v>4750</v>
      </c>
      <c r="H358" s="60"/>
      <c r="I358" s="56"/>
      <c r="J358" s="56"/>
      <c r="K358" s="56"/>
      <c r="L358" s="56"/>
    </row>
    <row r="359" spans="1:12" x14ac:dyDescent="0.25">
      <c r="A359" s="18">
        <v>1996</v>
      </c>
      <c r="B359" s="20" t="s">
        <v>33</v>
      </c>
      <c r="C359" s="20">
        <v>21</v>
      </c>
      <c r="D359" s="22" t="s">
        <v>279</v>
      </c>
      <c r="E359" s="22"/>
      <c r="F359" s="22"/>
      <c r="G359" s="61">
        <v>4750</v>
      </c>
      <c r="H359" s="60"/>
      <c r="I359" s="56"/>
      <c r="J359" s="56"/>
      <c r="K359" s="56"/>
      <c r="L359" s="56"/>
    </row>
    <row r="360" spans="1:12" x14ac:dyDescent="0.25">
      <c r="A360" s="18">
        <v>1996</v>
      </c>
      <c r="B360" s="20" t="s">
        <v>33</v>
      </c>
      <c r="C360" s="20">
        <v>22</v>
      </c>
      <c r="D360" s="22" t="s">
        <v>279</v>
      </c>
      <c r="E360" s="22"/>
      <c r="F360" s="22"/>
      <c r="G360" s="61">
        <v>4750</v>
      </c>
      <c r="H360" s="60"/>
      <c r="I360" s="56"/>
      <c r="J360" s="56"/>
      <c r="K360" s="56"/>
      <c r="L360" s="56"/>
    </row>
    <row r="361" spans="1:12" x14ac:dyDescent="0.25">
      <c r="A361" s="18">
        <v>1996</v>
      </c>
      <c r="B361" s="20" t="s">
        <v>33</v>
      </c>
      <c r="C361" s="20">
        <v>23</v>
      </c>
      <c r="D361" s="22" t="s">
        <v>279</v>
      </c>
      <c r="E361" s="22"/>
      <c r="F361" s="22"/>
      <c r="G361" s="61">
        <v>4750</v>
      </c>
      <c r="H361" s="60"/>
      <c r="I361" s="56"/>
      <c r="J361" s="56"/>
      <c r="K361" s="56"/>
      <c r="L361" s="56"/>
    </row>
    <row r="362" spans="1:12" x14ac:dyDescent="0.25">
      <c r="A362" s="18">
        <v>1996</v>
      </c>
      <c r="B362" s="20" t="s">
        <v>33</v>
      </c>
      <c r="C362" s="20">
        <v>24</v>
      </c>
      <c r="D362" s="22" t="s">
        <v>279</v>
      </c>
      <c r="E362" s="22"/>
      <c r="F362" s="22"/>
      <c r="G362" s="61">
        <v>4750</v>
      </c>
      <c r="H362" s="60"/>
      <c r="I362" s="56"/>
      <c r="J362" s="56"/>
      <c r="K362" s="56"/>
      <c r="L362" s="56"/>
    </row>
    <row r="363" spans="1:12" x14ac:dyDescent="0.25">
      <c r="A363" s="18">
        <v>1996</v>
      </c>
      <c r="B363" s="20" t="s">
        <v>33</v>
      </c>
      <c r="C363" s="20">
        <v>25</v>
      </c>
      <c r="D363" s="22" t="s">
        <v>279</v>
      </c>
      <c r="E363" s="22"/>
      <c r="F363" s="22"/>
      <c r="G363" s="61">
        <v>4750</v>
      </c>
      <c r="H363" s="60"/>
      <c r="I363" s="56"/>
      <c r="J363" s="56"/>
      <c r="K363" s="56"/>
      <c r="L363" s="56"/>
    </row>
    <row r="364" spans="1:12" x14ac:dyDescent="0.25">
      <c r="A364" s="18">
        <v>1996</v>
      </c>
      <c r="B364" s="20" t="s">
        <v>33</v>
      </c>
      <c r="C364" s="20">
        <v>26</v>
      </c>
      <c r="D364" s="22" t="s">
        <v>279</v>
      </c>
      <c r="E364" s="22"/>
      <c r="F364" s="22"/>
      <c r="G364" s="61">
        <v>4750</v>
      </c>
      <c r="H364" s="60"/>
      <c r="I364" s="56"/>
      <c r="J364" s="19">
        <v>16</v>
      </c>
      <c r="K364" s="56"/>
      <c r="L364" s="56"/>
    </row>
    <row r="365" spans="1:12" x14ac:dyDescent="0.25">
      <c r="A365" s="18">
        <v>1996</v>
      </c>
      <c r="B365" s="20" t="s">
        <v>33</v>
      </c>
      <c r="C365" s="20">
        <v>27</v>
      </c>
      <c r="D365" s="22" t="s">
        <v>279</v>
      </c>
      <c r="E365" s="22"/>
      <c r="F365" s="22"/>
      <c r="G365" s="61">
        <v>4750</v>
      </c>
      <c r="H365" s="60"/>
      <c r="I365" s="56"/>
      <c r="J365" s="19">
        <v>17</v>
      </c>
      <c r="K365" s="56"/>
      <c r="L365" s="56"/>
    </row>
    <row r="366" spans="1:12" x14ac:dyDescent="0.25">
      <c r="A366" s="18">
        <v>1996</v>
      </c>
      <c r="B366" s="20" t="s">
        <v>33</v>
      </c>
      <c r="C366" s="20">
        <v>28</v>
      </c>
      <c r="D366" s="22" t="s">
        <v>141</v>
      </c>
      <c r="E366" s="22"/>
      <c r="F366" s="22"/>
      <c r="G366" s="30">
        <v>4900</v>
      </c>
      <c r="H366" s="29"/>
      <c r="I366" s="57"/>
      <c r="J366" s="56"/>
      <c r="K366" s="56"/>
      <c r="L366" s="56"/>
    </row>
    <row r="367" spans="1:12" x14ac:dyDescent="0.25">
      <c r="A367" s="18">
        <v>1996</v>
      </c>
      <c r="B367" s="20" t="s">
        <v>33</v>
      </c>
      <c r="C367" s="20">
        <v>29</v>
      </c>
      <c r="D367" s="22" t="s">
        <v>141</v>
      </c>
      <c r="E367" s="22"/>
      <c r="F367" s="22"/>
      <c r="G367" s="30">
        <v>4900</v>
      </c>
      <c r="H367" s="29"/>
      <c r="I367" s="57"/>
      <c r="J367" s="56"/>
      <c r="K367" s="56"/>
      <c r="L367" s="56"/>
    </row>
    <row r="368" spans="1:12" x14ac:dyDescent="0.25">
      <c r="A368" s="18">
        <v>1996</v>
      </c>
      <c r="B368" s="20" t="s">
        <v>33</v>
      </c>
      <c r="C368" s="20">
        <v>30</v>
      </c>
      <c r="D368" s="22" t="s">
        <v>141</v>
      </c>
      <c r="E368" s="22"/>
      <c r="F368" s="22"/>
      <c r="G368" s="30">
        <v>4900</v>
      </c>
      <c r="H368" s="29"/>
      <c r="I368" s="57"/>
      <c r="J368" s="56"/>
      <c r="K368" s="56"/>
      <c r="L368" s="56"/>
    </row>
    <row r="369" spans="1:12" x14ac:dyDescent="0.25">
      <c r="A369" s="18">
        <v>1996</v>
      </c>
      <c r="B369" s="20" t="s">
        <v>33</v>
      </c>
      <c r="C369" s="20">
        <v>31</v>
      </c>
      <c r="D369" s="22" t="s">
        <v>531</v>
      </c>
      <c r="E369" s="22"/>
      <c r="F369" s="22"/>
      <c r="G369" s="22" t="s">
        <v>531</v>
      </c>
      <c r="H369" s="59"/>
      <c r="I369" s="22"/>
      <c r="J369" s="56"/>
      <c r="K369" s="56"/>
      <c r="L369" s="56"/>
    </row>
    <row r="370" spans="1:12" x14ac:dyDescent="0.25">
      <c r="A370" s="409" t="s">
        <v>1759</v>
      </c>
      <c r="B370" s="410"/>
      <c r="C370" s="410"/>
      <c r="D370" s="410"/>
      <c r="E370" s="410"/>
      <c r="F370" s="410"/>
      <c r="G370" s="410"/>
      <c r="H370" s="410"/>
      <c r="I370" s="410"/>
      <c r="J370" s="410"/>
      <c r="K370" s="410"/>
      <c r="L370" s="410"/>
    </row>
  </sheetData>
  <mergeCells count="9">
    <mergeCell ref="A370:L370"/>
    <mergeCell ref="I2:J2"/>
    <mergeCell ref="A1:L1"/>
    <mergeCell ref="K2:L2"/>
    <mergeCell ref="B2:B3"/>
    <mergeCell ref="C2:C3"/>
    <mergeCell ref="A2:A3"/>
    <mergeCell ref="D2:F2"/>
    <mergeCell ref="G2:H2"/>
  </mergeCells>
  <pageMargins left="1" right="0.75" top="0.75" bottom="0.25" header="0.3" footer="0.3"/>
  <pageSetup paperSize="9" orientation="portrait" r:id="rId1"/>
  <ignoredErrors>
    <ignoredError sqref="D35:E35 D52:E52 D110:E110 D119:D124 D125:D128 D196:D197 D224:D227 D233:D236 D286:D288 E17 E77:E82 E119:E124 E125:E128 E196:E197 E233:E236 E237:E247 E224:E227" twoDigitTextYear="1"/>
    <ignoredError sqref="F282:F284 J4:K4 I17:I34 J5:J6 K5:K6 K23:K34 K35:K63 G75:G78 J64:J78 J79:J82 G181:G185 G204:G21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xSplit="3" ySplit="3" topLeftCell="D4" activePane="bottomRight" state="frozen"/>
      <selection pane="topRight" activeCell="D1" sqref="D1"/>
      <selection pane="bottomLeft" activeCell="A4" sqref="A4"/>
      <selection pane="bottomRight" activeCell="H9" sqref="H9"/>
    </sheetView>
  </sheetViews>
  <sheetFormatPr defaultColWidth="9.140625" defaultRowHeight="15" x14ac:dyDescent="0.25"/>
  <cols>
    <col min="1" max="1" width="7.42578125" style="14" customWidth="1"/>
    <col min="2" max="2" width="11.28515625" style="14" customWidth="1"/>
    <col min="3" max="3" width="7.5703125" style="14" customWidth="1"/>
    <col min="4" max="4" width="9.140625" style="14"/>
    <col min="5" max="5" width="6.28515625" style="14" customWidth="1"/>
    <col min="6" max="6" width="10.28515625" style="14" customWidth="1"/>
    <col min="7" max="8" width="5.42578125" style="14" customWidth="1"/>
    <col min="9" max="9" width="6.28515625" style="14" customWidth="1"/>
    <col min="10" max="10" width="6.140625" style="14" customWidth="1"/>
    <col min="11" max="11" width="5.5703125" style="14" customWidth="1"/>
    <col min="12" max="16384" width="9.140625" style="14"/>
  </cols>
  <sheetData>
    <row r="1" spans="1:11" ht="17.45" x14ac:dyDescent="0.3">
      <c r="A1" s="385" t="s">
        <v>1754</v>
      </c>
      <c r="B1" s="385"/>
      <c r="C1" s="385"/>
      <c r="D1" s="385"/>
      <c r="E1" s="385"/>
      <c r="F1" s="385"/>
      <c r="G1" s="385"/>
      <c r="H1" s="385"/>
      <c r="I1" s="385"/>
      <c r="J1" s="385"/>
      <c r="K1" s="385"/>
    </row>
    <row r="2" spans="1:11" ht="30" customHeight="1" x14ac:dyDescent="0.25">
      <c r="A2" s="396" t="s">
        <v>532</v>
      </c>
      <c r="B2" s="396" t="s">
        <v>22</v>
      </c>
      <c r="C2" s="396" t="s">
        <v>0</v>
      </c>
      <c r="D2" s="397" t="s">
        <v>728</v>
      </c>
      <c r="E2" s="397"/>
      <c r="F2" s="398" t="s">
        <v>729</v>
      </c>
      <c r="G2" s="398"/>
      <c r="H2" s="399" t="s">
        <v>1746</v>
      </c>
      <c r="I2" s="399"/>
      <c r="J2" s="399" t="s">
        <v>1747</v>
      </c>
      <c r="K2" s="399"/>
    </row>
    <row r="3" spans="1:11" ht="81.75" customHeight="1" x14ac:dyDescent="0.25">
      <c r="A3" s="396"/>
      <c r="B3" s="396"/>
      <c r="C3" s="396"/>
      <c r="D3" s="15" t="s">
        <v>1755</v>
      </c>
      <c r="E3" s="15" t="s">
        <v>1756</v>
      </c>
      <c r="F3" s="15" t="s">
        <v>732</v>
      </c>
      <c r="G3" s="15" t="s">
        <v>733</v>
      </c>
      <c r="H3" s="16" t="s">
        <v>734</v>
      </c>
      <c r="I3" s="17" t="s">
        <v>735</v>
      </c>
      <c r="J3" s="16" t="s">
        <v>734</v>
      </c>
      <c r="K3" s="17" t="s">
        <v>735</v>
      </c>
    </row>
    <row r="4" spans="1:11" ht="13.9" x14ac:dyDescent="0.25">
      <c r="A4" s="43">
        <v>1997</v>
      </c>
      <c r="B4" s="43" t="s">
        <v>23</v>
      </c>
      <c r="C4" s="43">
        <v>1</v>
      </c>
      <c r="D4" s="35" t="s">
        <v>141</v>
      </c>
      <c r="E4" s="35"/>
      <c r="F4" s="43">
        <v>4900</v>
      </c>
      <c r="G4" s="43"/>
      <c r="H4" s="43"/>
      <c r="I4" s="43"/>
      <c r="J4" s="43"/>
      <c r="K4" s="43"/>
    </row>
    <row r="5" spans="1:11" ht="13.9" x14ac:dyDescent="0.25">
      <c r="A5" s="43">
        <v>1997</v>
      </c>
      <c r="B5" s="43" t="s">
        <v>23</v>
      </c>
      <c r="C5" s="43">
        <v>2</v>
      </c>
      <c r="D5" s="35" t="s">
        <v>141</v>
      </c>
      <c r="E5" s="35"/>
      <c r="F5" s="43">
        <v>4900</v>
      </c>
      <c r="G5" s="43"/>
      <c r="H5" s="43"/>
      <c r="I5" s="43"/>
      <c r="J5" s="43"/>
      <c r="K5" s="43"/>
    </row>
    <row r="6" spans="1:11" ht="13.9" x14ac:dyDescent="0.25">
      <c r="A6" s="43">
        <v>1997</v>
      </c>
      <c r="B6" s="43" t="s">
        <v>23</v>
      </c>
      <c r="C6" s="43">
        <v>3</v>
      </c>
      <c r="D6" s="35" t="s">
        <v>141</v>
      </c>
      <c r="E6" s="35"/>
      <c r="F6" s="43">
        <v>4900</v>
      </c>
      <c r="G6" s="43"/>
      <c r="H6" s="43"/>
      <c r="I6" s="43"/>
      <c r="J6" s="43"/>
      <c r="K6" s="43"/>
    </row>
    <row r="7" spans="1:11" ht="13.9" x14ac:dyDescent="0.25">
      <c r="A7" s="43">
        <v>1997</v>
      </c>
      <c r="B7" s="43" t="s">
        <v>23</v>
      </c>
      <c r="C7" s="43">
        <v>4</v>
      </c>
      <c r="D7" s="35" t="s">
        <v>141</v>
      </c>
      <c r="E7" s="35"/>
      <c r="F7" s="43">
        <v>4900</v>
      </c>
      <c r="G7" s="43"/>
      <c r="H7" s="43"/>
      <c r="I7" s="43"/>
      <c r="J7" s="43"/>
      <c r="K7" s="43"/>
    </row>
    <row r="8" spans="1:11" ht="13.9" x14ac:dyDescent="0.25">
      <c r="A8" s="43">
        <v>1997</v>
      </c>
      <c r="B8" s="43" t="s">
        <v>23</v>
      </c>
      <c r="C8" s="43">
        <v>5</v>
      </c>
      <c r="D8" s="35" t="s">
        <v>141</v>
      </c>
      <c r="E8" s="35"/>
      <c r="F8" s="43">
        <v>4900</v>
      </c>
      <c r="G8" s="43"/>
      <c r="H8" s="43"/>
      <c r="I8" s="43"/>
      <c r="J8" s="43"/>
      <c r="K8" s="43"/>
    </row>
    <row r="9" spans="1:11" ht="13.9" x14ac:dyDescent="0.25">
      <c r="A9" s="43">
        <v>1997</v>
      </c>
      <c r="B9" s="43" t="s">
        <v>23</v>
      </c>
      <c r="C9" s="43">
        <v>6</v>
      </c>
      <c r="D9" s="35" t="s">
        <v>141</v>
      </c>
      <c r="E9" s="35"/>
      <c r="F9" s="43">
        <v>4900</v>
      </c>
      <c r="G9" s="43"/>
      <c r="H9" s="43"/>
      <c r="I9" s="43"/>
      <c r="J9" s="43"/>
      <c r="K9" s="43"/>
    </row>
    <row r="10" spans="1:11" ht="13.9" x14ac:dyDescent="0.25">
      <c r="A10" s="43">
        <v>1997</v>
      </c>
      <c r="B10" s="43" t="s">
        <v>23</v>
      </c>
      <c r="C10" s="43">
        <v>7</v>
      </c>
      <c r="D10" s="35" t="s">
        <v>141</v>
      </c>
      <c r="E10" s="35"/>
      <c r="F10" s="43">
        <v>4900</v>
      </c>
      <c r="G10" s="43"/>
      <c r="H10" s="43"/>
      <c r="I10" s="43"/>
      <c r="J10" s="43"/>
      <c r="K10" s="43"/>
    </row>
    <row r="11" spans="1:11" ht="13.9" x14ac:dyDescent="0.25">
      <c r="A11" s="43">
        <v>1997</v>
      </c>
      <c r="B11" s="43" t="s">
        <v>23</v>
      </c>
      <c r="C11" s="43">
        <v>8</v>
      </c>
      <c r="D11" s="35" t="s">
        <v>141</v>
      </c>
      <c r="E11" s="35"/>
      <c r="F11" s="43">
        <v>4900</v>
      </c>
      <c r="G11" s="43"/>
      <c r="H11" s="43"/>
      <c r="I11" s="43"/>
      <c r="J11" s="43"/>
      <c r="K11" s="43"/>
    </row>
    <row r="12" spans="1:11" ht="13.9" x14ac:dyDescent="0.25">
      <c r="A12" s="43">
        <v>1997</v>
      </c>
      <c r="B12" s="43" t="s">
        <v>23</v>
      </c>
      <c r="C12" s="43">
        <v>9</v>
      </c>
      <c r="D12" s="35" t="s">
        <v>141</v>
      </c>
      <c r="E12" s="35"/>
      <c r="F12" s="43">
        <v>4900</v>
      </c>
      <c r="G12" s="43"/>
      <c r="H12" s="43"/>
      <c r="I12" s="43"/>
      <c r="J12" s="43"/>
      <c r="K12" s="43"/>
    </row>
    <row r="13" spans="1:11" ht="13.9" x14ac:dyDescent="0.25">
      <c r="A13" s="43">
        <v>1997</v>
      </c>
      <c r="B13" s="43" t="s">
        <v>23</v>
      </c>
      <c r="C13" s="43">
        <v>10</v>
      </c>
      <c r="D13" s="35" t="s">
        <v>141</v>
      </c>
      <c r="E13" s="35"/>
      <c r="F13" s="43">
        <v>4900</v>
      </c>
      <c r="G13" s="43"/>
      <c r="H13" s="43"/>
      <c r="I13" s="43"/>
      <c r="J13" s="43"/>
      <c r="K13" s="43"/>
    </row>
    <row r="14" spans="1:11" ht="13.9" x14ac:dyDescent="0.25">
      <c r="A14" s="43">
        <v>1997</v>
      </c>
      <c r="B14" s="43" t="s">
        <v>23</v>
      </c>
      <c r="C14" s="43">
        <v>11</v>
      </c>
      <c r="D14" s="35" t="s">
        <v>139</v>
      </c>
      <c r="E14" s="35"/>
      <c r="F14" s="43">
        <v>4800</v>
      </c>
      <c r="G14" s="43"/>
      <c r="H14" s="43"/>
      <c r="I14" s="43"/>
      <c r="J14" s="43"/>
      <c r="K14" s="43"/>
    </row>
    <row r="15" spans="1:11" ht="13.9" x14ac:dyDescent="0.25">
      <c r="A15" s="43">
        <v>1997</v>
      </c>
      <c r="B15" s="43" t="s">
        <v>23</v>
      </c>
      <c r="C15" s="43">
        <v>12</v>
      </c>
      <c r="D15" s="35" t="s">
        <v>139</v>
      </c>
      <c r="E15" s="35"/>
      <c r="F15" s="43">
        <v>4800</v>
      </c>
      <c r="G15" s="43"/>
      <c r="H15" s="43"/>
      <c r="I15" s="43"/>
      <c r="J15" s="43"/>
      <c r="K15" s="43"/>
    </row>
    <row r="16" spans="1:11" ht="13.9" x14ac:dyDescent="0.25">
      <c r="A16" s="43">
        <v>1997</v>
      </c>
      <c r="B16" s="43" t="s">
        <v>23</v>
      </c>
      <c r="C16" s="43">
        <v>13</v>
      </c>
      <c r="D16" s="35" t="s">
        <v>139</v>
      </c>
      <c r="E16" s="35"/>
      <c r="F16" s="43">
        <v>4800</v>
      </c>
      <c r="G16" s="43"/>
      <c r="H16" s="43"/>
      <c r="I16" s="43"/>
      <c r="J16" s="43"/>
      <c r="K16" s="43"/>
    </row>
    <row r="17" spans="1:11" ht="13.9" x14ac:dyDescent="0.25">
      <c r="A17" s="43">
        <v>1997</v>
      </c>
      <c r="B17" s="43" t="s">
        <v>23</v>
      </c>
      <c r="C17" s="43">
        <v>14</v>
      </c>
      <c r="D17" s="35" t="s">
        <v>139</v>
      </c>
      <c r="E17" s="35"/>
      <c r="F17" s="43">
        <v>4800</v>
      </c>
      <c r="G17" s="43"/>
      <c r="H17" s="43"/>
      <c r="I17" s="43"/>
      <c r="J17" s="43"/>
      <c r="K17" s="43"/>
    </row>
    <row r="18" spans="1:11" ht="13.9" x14ac:dyDescent="0.25">
      <c r="A18" s="43">
        <v>1997</v>
      </c>
      <c r="B18" s="43" t="s">
        <v>23</v>
      </c>
      <c r="C18" s="43">
        <v>15</v>
      </c>
      <c r="D18" s="35" t="s">
        <v>139</v>
      </c>
      <c r="E18" s="35"/>
      <c r="F18" s="43">
        <v>4800</v>
      </c>
      <c r="G18" s="43"/>
      <c r="H18" s="43"/>
      <c r="I18" s="43"/>
      <c r="J18" s="43"/>
      <c r="K18" s="43"/>
    </row>
    <row r="19" spans="1:11" ht="13.9" x14ac:dyDescent="0.25">
      <c r="A19" s="43">
        <v>1997</v>
      </c>
      <c r="B19" s="43" t="s">
        <v>23</v>
      </c>
      <c r="C19" s="43">
        <v>16</v>
      </c>
      <c r="D19" s="35" t="s">
        <v>139</v>
      </c>
      <c r="E19" s="35"/>
      <c r="F19" s="43">
        <v>4800</v>
      </c>
      <c r="G19" s="43"/>
      <c r="H19" s="43"/>
      <c r="I19" s="43"/>
      <c r="J19" s="43"/>
      <c r="K19" s="43"/>
    </row>
    <row r="20" spans="1:11" ht="13.9" x14ac:dyDescent="0.25">
      <c r="A20" s="43">
        <v>1997</v>
      </c>
      <c r="B20" s="43" t="s">
        <v>23</v>
      </c>
      <c r="C20" s="43">
        <v>17</v>
      </c>
      <c r="D20" s="35" t="s">
        <v>279</v>
      </c>
      <c r="E20" s="35"/>
      <c r="F20" s="43">
        <v>4750</v>
      </c>
      <c r="G20" s="43"/>
      <c r="H20" s="43"/>
      <c r="I20" s="43"/>
      <c r="J20" s="43"/>
      <c r="K20" s="43"/>
    </row>
    <row r="21" spans="1:11" ht="13.9" x14ac:dyDescent="0.25">
      <c r="A21" s="43">
        <v>1997</v>
      </c>
      <c r="B21" s="43" t="s">
        <v>23</v>
      </c>
      <c r="C21" s="43">
        <v>18</v>
      </c>
      <c r="D21" s="35" t="s">
        <v>279</v>
      </c>
      <c r="E21" s="35"/>
      <c r="F21" s="43">
        <v>4750</v>
      </c>
      <c r="G21" s="43"/>
      <c r="H21" s="43"/>
      <c r="I21" s="43"/>
      <c r="J21" s="43"/>
      <c r="K21" s="43"/>
    </row>
    <row r="22" spans="1:11" ht="13.9" x14ac:dyDescent="0.25">
      <c r="A22" s="43">
        <v>1997</v>
      </c>
      <c r="B22" s="43" t="s">
        <v>23</v>
      </c>
      <c r="C22" s="43">
        <v>19</v>
      </c>
      <c r="D22" s="35" t="s">
        <v>279</v>
      </c>
      <c r="E22" s="35"/>
      <c r="F22" s="43">
        <v>4750</v>
      </c>
      <c r="G22" s="43"/>
      <c r="H22" s="43"/>
      <c r="I22" s="43"/>
      <c r="J22" s="43"/>
      <c r="K22" s="43"/>
    </row>
    <row r="23" spans="1:11" ht="13.9" x14ac:dyDescent="0.25">
      <c r="A23" s="43">
        <v>1997</v>
      </c>
      <c r="B23" s="43" t="s">
        <v>23</v>
      </c>
      <c r="C23" s="43">
        <v>20</v>
      </c>
      <c r="D23" s="35" t="s">
        <v>279</v>
      </c>
      <c r="E23" s="35"/>
      <c r="F23" s="43">
        <v>4750</v>
      </c>
      <c r="G23" s="43"/>
      <c r="H23" s="43"/>
      <c r="I23" s="43"/>
      <c r="J23" s="43"/>
      <c r="K23" s="43"/>
    </row>
    <row r="24" spans="1:11" ht="13.9" x14ac:dyDescent="0.25">
      <c r="A24" s="43">
        <v>1997</v>
      </c>
      <c r="B24" s="43" t="s">
        <v>23</v>
      </c>
      <c r="C24" s="43">
        <v>21</v>
      </c>
      <c r="D24" s="35" t="s">
        <v>279</v>
      </c>
      <c r="E24" s="35"/>
      <c r="F24" s="43">
        <v>4750</v>
      </c>
      <c r="G24" s="43"/>
      <c r="H24" s="43"/>
      <c r="I24" s="43"/>
      <c r="J24" s="43"/>
      <c r="K24" s="43"/>
    </row>
    <row r="25" spans="1:11" ht="13.9" x14ac:dyDescent="0.25">
      <c r="A25" s="43">
        <v>1997</v>
      </c>
      <c r="B25" s="43" t="s">
        <v>23</v>
      </c>
      <c r="C25" s="43">
        <v>22</v>
      </c>
      <c r="D25" s="35" t="s">
        <v>279</v>
      </c>
      <c r="E25" s="35"/>
      <c r="F25" s="43">
        <v>4750</v>
      </c>
      <c r="G25" s="43"/>
      <c r="H25" s="43"/>
      <c r="I25" s="43"/>
      <c r="J25" s="43"/>
      <c r="K25" s="43"/>
    </row>
    <row r="26" spans="1:11" ht="13.9" x14ac:dyDescent="0.25">
      <c r="A26" s="43">
        <v>1997</v>
      </c>
      <c r="B26" s="43" t="s">
        <v>23</v>
      </c>
      <c r="C26" s="43">
        <v>23</v>
      </c>
      <c r="D26" s="35" t="s">
        <v>279</v>
      </c>
      <c r="E26" s="35"/>
      <c r="F26" s="43">
        <v>4750</v>
      </c>
      <c r="G26" s="43"/>
      <c r="H26" s="43"/>
      <c r="I26" s="43"/>
      <c r="J26" s="43"/>
      <c r="K26" s="43"/>
    </row>
    <row r="27" spans="1:11" ht="13.9" x14ac:dyDescent="0.25">
      <c r="A27" s="43">
        <v>1997</v>
      </c>
      <c r="B27" s="43" t="s">
        <v>23</v>
      </c>
      <c r="C27" s="43">
        <v>24</v>
      </c>
      <c r="D27" s="35" t="s">
        <v>279</v>
      </c>
      <c r="E27" s="35"/>
      <c r="F27" s="43">
        <v>4750</v>
      </c>
      <c r="G27" s="43"/>
      <c r="H27" s="43"/>
      <c r="I27" s="43"/>
      <c r="J27" s="43"/>
      <c r="K27" s="43"/>
    </row>
    <row r="28" spans="1:11" ht="13.9" x14ac:dyDescent="0.25">
      <c r="A28" s="43">
        <v>1997</v>
      </c>
      <c r="B28" s="43" t="s">
        <v>23</v>
      </c>
      <c r="C28" s="43">
        <v>25</v>
      </c>
      <c r="D28" s="35" t="s">
        <v>281</v>
      </c>
      <c r="E28" s="35"/>
      <c r="F28" s="43">
        <v>4700</v>
      </c>
      <c r="G28" s="43"/>
      <c r="H28" s="43"/>
      <c r="I28" s="43"/>
      <c r="J28" s="43"/>
      <c r="K28" s="43"/>
    </row>
    <row r="29" spans="1:11" ht="13.9" x14ac:dyDescent="0.25">
      <c r="A29" s="43">
        <v>1997</v>
      </c>
      <c r="B29" s="43" t="s">
        <v>23</v>
      </c>
      <c r="C29" s="43">
        <v>26</v>
      </c>
      <c r="D29" s="35" t="s">
        <v>281</v>
      </c>
      <c r="E29" s="35"/>
      <c r="F29" s="43">
        <v>4700</v>
      </c>
      <c r="G29" s="43"/>
      <c r="H29" s="43"/>
      <c r="I29" s="43"/>
      <c r="J29" s="43"/>
      <c r="K29" s="43"/>
    </row>
    <row r="30" spans="1:11" ht="13.9" x14ac:dyDescent="0.25">
      <c r="A30" s="43">
        <v>1997</v>
      </c>
      <c r="B30" s="43" t="s">
        <v>23</v>
      </c>
      <c r="C30" s="43">
        <v>27</v>
      </c>
      <c r="D30" s="35" t="s">
        <v>281</v>
      </c>
      <c r="E30" s="35"/>
      <c r="F30" s="43">
        <v>4700</v>
      </c>
      <c r="G30" s="43"/>
      <c r="H30" s="43"/>
      <c r="I30" s="43"/>
      <c r="J30" s="43"/>
      <c r="K30" s="43"/>
    </row>
    <row r="31" spans="1:11" ht="13.9" x14ac:dyDescent="0.25">
      <c r="A31" s="43">
        <v>1997</v>
      </c>
      <c r="B31" s="43" t="s">
        <v>23</v>
      </c>
      <c r="C31" s="43">
        <v>28</v>
      </c>
      <c r="D31" s="38" t="s">
        <v>122</v>
      </c>
      <c r="E31" s="38"/>
      <c r="F31" s="38" t="s">
        <v>122</v>
      </c>
      <c r="G31" s="38"/>
      <c r="H31" s="43"/>
      <c r="I31" s="43"/>
      <c r="J31" s="43"/>
      <c r="K31" s="43"/>
    </row>
    <row r="32" spans="1:11" ht="13.9" x14ac:dyDescent="0.25">
      <c r="A32" s="43">
        <v>1997</v>
      </c>
      <c r="B32" s="43" t="s">
        <v>23</v>
      </c>
      <c r="C32" s="43">
        <v>29</v>
      </c>
      <c r="D32" s="38" t="s">
        <v>122</v>
      </c>
      <c r="E32" s="38"/>
      <c r="F32" s="38" t="s">
        <v>122</v>
      </c>
      <c r="G32" s="38"/>
      <c r="H32" s="43"/>
      <c r="I32" s="43"/>
      <c r="J32" s="43"/>
      <c r="K32" s="43"/>
    </row>
    <row r="33" spans="1:11" ht="13.9" x14ac:dyDescent="0.25">
      <c r="A33" s="43">
        <v>1997</v>
      </c>
      <c r="B33" s="43" t="s">
        <v>23</v>
      </c>
      <c r="C33" s="43">
        <v>30</v>
      </c>
      <c r="D33" s="38" t="s">
        <v>122</v>
      </c>
      <c r="E33" s="38"/>
      <c r="F33" s="38" t="s">
        <v>122</v>
      </c>
      <c r="G33" s="38"/>
      <c r="H33" s="43"/>
      <c r="I33" s="43"/>
      <c r="J33" s="43"/>
      <c r="K33" s="43"/>
    </row>
    <row r="34" spans="1:11" ht="13.9" x14ac:dyDescent="0.25">
      <c r="A34" s="43">
        <v>1997</v>
      </c>
      <c r="B34" s="43" t="s">
        <v>23</v>
      </c>
      <c r="C34" s="43">
        <v>31</v>
      </c>
      <c r="D34" s="38" t="s">
        <v>122</v>
      </c>
      <c r="E34" s="38"/>
      <c r="F34" s="38" t="s">
        <v>122</v>
      </c>
      <c r="G34" s="38"/>
      <c r="H34" s="43"/>
      <c r="I34" s="43"/>
      <c r="J34" s="43"/>
      <c r="K34" s="43"/>
    </row>
    <row r="35" spans="1:11" ht="13.9" x14ac:dyDescent="0.25">
      <c r="A35" s="43">
        <v>1997</v>
      </c>
      <c r="B35" s="36" t="s">
        <v>24</v>
      </c>
      <c r="C35" s="36">
        <v>1</v>
      </c>
      <c r="D35" s="35" t="s">
        <v>135</v>
      </c>
      <c r="E35" s="35"/>
      <c r="F35" s="43">
        <v>4600</v>
      </c>
      <c r="G35" s="43"/>
      <c r="H35" s="43"/>
      <c r="I35" s="43"/>
      <c r="J35" s="43"/>
      <c r="K35" s="43"/>
    </row>
    <row r="36" spans="1:11" ht="13.9" x14ac:dyDescent="0.25">
      <c r="A36" s="43">
        <v>1997</v>
      </c>
      <c r="B36" s="36" t="s">
        <v>24</v>
      </c>
      <c r="C36" s="36">
        <v>2</v>
      </c>
      <c r="D36" s="35" t="s">
        <v>135</v>
      </c>
      <c r="E36" s="35"/>
      <c r="F36" s="43">
        <v>4600</v>
      </c>
      <c r="G36" s="43"/>
      <c r="H36" s="43"/>
      <c r="I36" s="43"/>
      <c r="J36" s="43"/>
      <c r="K36" s="43"/>
    </row>
    <row r="37" spans="1:11" ht="13.9" x14ac:dyDescent="0.25">
      <c r="A37" s="43">
        <v>1997</v>
      </c>
      <c r="B37" s="36" t="s">
        <v>24</v>
      </c>
      <c r="C37" s="36">
        <v>3</v>
      </c>
      <c r="D37" s="35" t="s">
        <v>135</v>
      </c>
      <c r="E37" s="35"/>
      <c r="F37" s="43">
        <v>4600</v>
      </c>
      <c r="G37" s="43"/>
      <c r="H37" s="43"/>
      <c r="I37" s="43"/>
      <c r="J37" s="43"/>
      <c r="K37" s="43"/>
    </row>
    <row r="38" spans="1:11" ht="13.9" x14ac:dyDescent="0.25">
      <c r="A38" s="43">
        <v>1997</v>
      </c>
      <c r="B38" s="36" t="s">
        <v>24</v>
      </c>
      <c r="C38" s="36">
        <v>4</v>
      </c>
      <c r="D38" s="35" t="s">
        <v>135</v>
      </c>
      <c r="E38" s="35"/>
      <c r="F38" s="43">
        <v>4600</v>
      </c>
      <c r="G38" s="43"/>
      <c r="H38" s="43"/>
      <c r="I38" s="43"/>
      <c r="J38" s="43"/>
      <c r="K38" s="43"/>
    </row>
    <row r="39" spans="1:11" ht="13.9" x14ac:dyDescent="0.25">
      <c r="A39" s="43">
        <v>1997</v>
      </c>
      <c r="B39" s="36" t="s">
        <v>24</v>
      </c>
      <c r="C39" s="36">
        <v>5</v>
      </c>
      <c r="D39" s="35" t="s">
        <v>133</v>
      </c>
      <c r="E39" s="35"/>
      <c r="F39" s="43">
        <v>4500</v>
      </c>
      <c r="G39" s="43"/>
      <c r="H39" s="43"/>
      <c r="I39" s="43"/>
      <c r="J39" s="43"/>
      <c r="K39" s="43"/>
    </row>
    <row r="40" spans="1:11" ht="13.9" x14ac:dyDescent="0.25">
      <c r="A40" s="43">
        <v>1997</v>
      </c>
      <c r="B40" s="36" t="s">
        <v>24</v>
      </c>
      <c r="C40" s="36">
        <v>6</v>
      </c>
      <c r="D40" s="35" t="s">
        <v>133</v>
      </c>
      <c r="E40" s="35"/>
      <c r="F40" s="43">
        <v>4500</v>
      </c>
      <c r="G40" s="43"/>
      <c r="H40" s="43"/>
      <c r="I40" s="43"/>
      <c r="J40" s="43"/>
      <c r="K40" s="43"/>
    </row>
    <row r="41" spans="1:11" ht="13.9" x14ac:dyDescent="0.25">
      <c r="A41" s="43">
        <v>1997</v>
      </c>
      <c r="B41" s="36" t="s">
        <v>24</v>
      </c>
      <c r="C41" s="36">
        <v>7</v>
      </c>
      <c r="D41" s="35" t="s">
        <v>133</v>
      </c>
      <c r="E41" s="35"/>
      <c r="F41" s="43">
        <v>4500</v>
      </c>
      <c r="G41" s="43"/>
      <c r="H41" s="43"/>
      <c r="I41" s="43"/>
      <c r="J41" s="43"/>
      <c r="K41" s="43"/>
    </row>
    <row r="42" spans="1:11" ht="13.9" x14ac:dyDescent="0.25">
      <c r="A42" s="43">
        <v>1997</v>
      </c>
      <c r="B42" s="36" t="s">
        <v>24</v>
      </c>
      <c r="C42" s="36">
        <v>8</v>
      </c>
      <c r="D42" s="35" t="s">
        <v>133</v>
      </c>
      <c r="E42" s="35"/>
      <c r="F42" s="43">
        <v>4500</v>
      </c>
      <c r="G42" s="43"/>
      <c r="H42" s="43"/>
      <c r="I42" s="43"/>
      <c r="J42" s="43"/>
      <c r="K42" s="43"/>
    </row>
    <row r="43" spans="1:11" ht="13.9" x14ac:dyDescent="0.25">
      <c r="A43" s="43">
        <v>1997</v>
      </c>
      <c r="B43" s="36" t="s">
        <v>24</v>
      </c>
      <c r="C43" s="36">
        <v>9</v>
      </c>
      <c r="D43" s="35" t="s">
        <v>284</v>
      </c>
      <c r="E43" s="35"/>
      <c r="F43" s="43">
        <v>4450</v>
      </c>
      <c r="G43" s="43"/>
      <c r="H43" s="43"/>
      <c r="I43" s="43"/>
      <c r="J43" s="43"/>
      <c r="K43" s="43"/>
    </row>
    <row r="44" spans="1:11" ht="13.9" x14ac:dyDescent="0.25">
      <c r="A44" s="43">
        <v>1997</v>
      </c>
      <c r="B44" s="36" t="s">
        <v>24</v>
      </c>
      <c r="C44" s="36">
        <v>10</v>
      </c>
      <c r="D44" s="35" t="s">
        <v>284</v>
      </c>
      <c r="E44" s="35"/>
      <c r="F44" s="43">
        <v>4450</v>
      </c>
      <c r="G44" s="43"/>
      <c r="H44" s="43"/>
      <c r="I44" s="43"/>
      <c r="J44" s="43"/>
      <c r="K44" s="43"/>
    </row>
    <row r="45" spans="1:11" ht="13.9" x14ac:dyDescent="0.25">
      <c r="A45" s="43">
        <v>1997</v>
      </c>
      <c r="B45" s="36" t="s">
        <v>24</v>
      </c>
      <c r="C45" s="36">
        <v>11</v>
      </c>
      <c r="D45" s="35" t="s">
        <v>284</v>
      </c>
      <c r="E45" s="35"/>
      <c r="F45" s="43">
        <v>4450</v>
      </c>
      <c r="G45" s="43"/>
      <c r="H45" s="43"/>
      <c r="I45" s="43"/>
      <c r="J45" s="43"/>
      <c r="K45" s="43"/>
    </row>
    <row r="46" spans="1:11" x14ac:dyDescent="0.25">
      <c r="A46" s="43">
        <v>1997</v>
      </c>
      <c r="B46" s="36" t="s">
        <v>24</v>
      </c>
      <c r="C46" s="36">
        <v>12</v>
      </c>
      <c r="D46" s="35" t="s">
        <v>284</v>
      </c>
      <c r="E46" s="35"/>
      <c r="F46" s="43">
        <v>4450</v>
      </c>
      <c r="G46" s="43"/>
      <c r="H46" s="43"/>
      <c r="I46" s="43"/>
      <c r="J46" s="43"/>
      <c r="K46" s="43"/>
    </row>
    <row r="47" spans="1:11" x14ac:dyDescent="0.25">
      <c r="A47" s="43">
        <v>1997</v>
      </c>
      <c r="B47" s="36" t="s">
        <v>24</v>
      </c>
      <c r="C47" s="36">
        <v>13</v>
      </c>
      <c r="D47" s="35" t="s">
        <v>424</v>
      </c>
      <c r="E47" s="35"/>
      <c r="F47" s="43">
        <v>4400</v>
      </c>
      <c r="G47" s="43"/>
      <c r="H47" s="43"/>
      <c r="I47" s="43"/>
      <c r="J47" s="43"/>
      <c r="K47" s="43"/>
    </row>
    <row r="48" spans="1:11" x14ac:dyDescent="0.25">
      <c r="A48" s="43">
        <v>1997</v>
      </c>
      <c r="B48" s="36" t="s">
        <v>24</v>
      </c>
      <c r="C48" s="36">
        <v>14</v>
      </c>
      <c r="D48" s="35" t="s">
        <v>424</v>
      </c>
      <c r="E48" s="35"/>
      <c r="F48" s="43">
        <v>4400</v>
      </c>
      <c r="G48" s="43"/>
      <c r="H48" s="43"/>
      <c r="I48" s="43"/>
      <c r="J48" s="43"/>
      <c r="K48" s="43"/>
    </row>
    <row r="49" spans="1:11" x14ac:dyDescent="0.25">
      <c r="A49" s="43">
        <v>1997</v>
      </c>
      <c r="B49" s="36" t="s">
        <v>24</v>
      </c>
      <c r="C49" s="36">
        <v>15</v>
      </c>
      <c r="D49" s="35" t="s">
        <v>424</v>
      </c>
      <c r="E49" s="35"/>
      <c r="F49" s="43">
        <v>4400</v>
      </c>
      <c r="G49" s="43"/>
      <c r="H49" s="43"/>
      <c r="I49" s="43"/>
      <c r="J49" s="43"/>
      <c r="K49" s="43"/>
    </row>
    <row r="50" spans="1:11" x14ac:dyDescent="0.25">
      <c r="A50" s="43">
        <v>1997</v>
      </c>
      <c r="B50" s="36" t="s">
        <v>24</v>
      </c>
      <c r="C50" s="36">
        <v>16</v>
      </c>
      <c r="D50" s="35" t="s">
        <v>425</v>
      </c>
      <c r="E50" s="35"/>
      <c r="F50" s="43">
        <v>4350</v>
      </c>
      <c r="G50" s="43"/>
      <c r="H50" s="43"/>
      <c r="I50" s="43"/>
      <c r="J50" s="43"/>
      <c r="K50" s="43"/>
    </row>
    <row r="51" spans="1:11" x14ac:dyDescent="0.25">
      <c r="A51" s="43">
        <v>1997</v>
      </c>
      <c r="B51" s="36" t="s">
        <v>24</v>
      </c>
      <c r="C51" s="36">
        <v>17</v>
      </c>
      <c r="D51" s="35" t="s">
        <v>425</v>
      </c>
      <c r="E51" s="35"/>
      <c r="F51" s="43">
        <v>4350</v>
      </c>
      <c r="G51" s="43"/>
      <c r="H51" s="43"/>
      <c r="I51" s="43"/>
      <c r="J51" s="43"/>
      <c r="K51" s="43"/>
    </row>
    <row r="52" spans="1:11" x14ac:dyDescent="0.25">
      <c r="A52" s="43">
        <v>1997</v>
      </c>
      <c r="B52" s="36" t="s">
        <v>24</v>
      </c>
      <c r="C52" s="36">
        <v>18</v>
      </c>
      <c r="D52" s="35" t="s">
        <v>425</v>
      </c>
      <c r="E52" s="35"/>
      <c r="F52" s="43">
        <v>4350</v>
      </c>
      <c r="G52" s="43"/>
      <c r="H52" s="43"/>
      <c r="I52" s="43"/>
      <c r="J52" s="43"/>
      <c r="K52" s="43"/>
    </row>
    <row r="53" spans="1:11" x14ac:dyDescent="0.25">
      <c r="A53" s="43">
        <v>1997</v>
      </c>
      <c r="B53" s="36" t="s">
        <v>24</v>
      </c>
      <c r="C53" s="36">
        <v>19</v>
      </c>
      <c r="D53" s="35" t="s">
        <v>425</v>
      </c>
      <c r="E53" s="35"/>
      <c r="F53" s="43">
        <v>4350</v>
      </c>
      <c r="G53" s="43"/>
      <c r="H53" s="43"/>
      <c r="I53" s="43"/>
      <c r="J53" s="43"/>
      <c r="K53" s="43"/>
    </row>
    <row r="54" spans="1:11" x14ac:dyDescent="0.25">
      <c r="A54" s="43">
        <v>1997</v>
      </c>
      <c r="B54" s="36" t="s">
        <v>24</v>
      </c>
      <c r="C54" s="36">
        <v>20</v>
      </c>
      <c r="D54" s="35" t="s">
        <v>425</v>
      </c>
      <c r="E54" s="35"/>
      <c r="F54" s="43">
        <v>4350</v>
      </c>
      <c r="G54" s="43"/>
      <c r="H54" s="43"/>
      <c r="I54" s="43"/>
      <c r="J54" s="43"/>
      <c r="K54" s="43"/>
    </row>
    <row r="55" spans="1:11" x14ac:dyDescent="0.25">
      <c r="A55" s="43">
        <v>1997</v>
      </c>
      <c r="B55" s="36" t="s">
        <v>24</v>
      </c>
      <c r="C55" s="36">
        <v>21</v>
      </c>
      <c r="D55" s="35" t="s">
        <v>425</v>
      </c>
      <c r="E55" s="35"/>
      <c r="F55" s="43">
        <v>4350</v>
      </c>
      <c r="G55" s="43"/>
      <c r="H55" s="43"/>
      <c r="I55" s="43"/>
      <c r="J55" s="43"/>
      <c r="K55" s="43"/>
    </row>
    <row r="56" spans="1:11" x14ac:dyDescent="0.25">
      <c r="A56" s="43">
        <v>1997</v>
      </c>
      <c r="B56" s="36" t="s">
        <v>24</v>
      </c>
      <c r="C56" s="36">
        <v>22</v>
      </c>
      <c r="D56" s="35" t="s">
        <v>425</v>
      </c>
      <c r="E56" s="35"/>
      <c r="F56" s="43">
        <v>4350</v>
      </c>
      <c r="G56" s="43"/>
      <c r="H56" s="43"/>
      <c r="I56" s="43"/>
      <c r="J56" s="43"/>
      <c r="K56" s="43"/>
    </row>
    <row r="57" spans="1:11" x14ac:dyDescent="0.25">
      <c r="A57" s="43">
        <v>1997</v>
      </c>
      <c r="B57" s="36" t="s">
        <v>24</v>
      </c>
      <c r="C57" s="36">
        <v>23</v>
      </c>
      <c r="D57" s="35" t="s">
        <v>425</v>
      </c>
      <c r="E57" s="35"/>
      <c r="F57" s="43">
        <v>4350</v>
      </c>
      <c r="G57" s="43"/>
      <c r="H57" s="43"/>
      <c r="I57" s="43"/>
      <c r="J57" s="43"/>
      <c r="K57" s="43"/>
    </row>
    <row r="58" spans="1:11" x14ac:dyDescent="0.25">
      <c r="A58" s="43">
        <v>1997</v>
      </c>
      <c r="B58" s="36" t="s">
        <v>24</v>
      </c>
      <c r="C58" s="36">
        <v>24</v>
      </c>
      <c r="D58" s="35" t="s">
        <v>425</v>
      </c>
      <c r="E58" s="35"/>
      <c r="F58" s="43">
        <v>4350</v>
      </c>
      <c r="G58" s="43"/>
      <c r="H58" s="43"/>
      <c r="I58" s="43"/>
      <c r="J58" s="43"/>
      <c r="K58" s="43"/>
    </row>
    <row r="59" spans="1:11" x14ac:dyDescent="0.25">
      <c r="A59" s="43">
        <v>1997</v>
      </c>
      <c r="B59" s="36" t="s">
        <v>24</v>
      </c>
      <c r="C59" s="36">
        <v>25</v>
      </c>
      <c r="D59" s="35" t="s">
        <v>425</v>
      </c>
      <c r="E59" s="35"/>
      <c r="F59" s="43">
        <v>4350</v>
      </c>
      <c r="G59" s="43"/>
      <c r="H59" s="43"/>
      <c r="I59" s="43"/>
      <c r="J59" s="43"/>
      <c r="K59" s="43"/>
    </row>
    <row r="60" spans="1:11" x14ac:dyDescent="0.25">
      <c r="A60" s="43">
        <v>1997</v>
      </c>
      <c r="B60" s="36" t="s">
        <v>24</v>
      </c>
      <c r="C60" s="36">
        <v>26</v>
      </c>
      <c r="D60" s="35" t="s">
        <v>425</v>
      </c>
      <c r="E60" s="35"/>
      <c r="F60" s="43">
        <v>4350</v>
      </c>
      <c r="G60" s="43"/>
      <c r="H60" s="43"/>
      <c r="I60" s="43"/>
      <c r="J60" s="43"/>
      <c r="K60" s="43"/>
    </row>
    <row r="61" spans="1:11" x14ac:dyDescent="0.25">
      <c r="A61" s="43">
        <v>1997</v>
      </c>
      <c r="B61" s="36" t="s">
        <v>24</v>
      </c>
      <c r="C61" s="36">
        <v>27</v>
      </c>
      <c r="D61" s="35" t="s">
        <v>425</v>
      </c>
      <c r="E61" s="35"/>
      <c r="F61" s="43">
        <v>4350</v>
      </c>
      <c r="G61" s="43"/>
      <c r="H61" s="43"/>
      <c r="I61" s="43"/>
      <c r="J61" s="43"/>
      <c r="K61" s="43"/>
    </row>
    <row r="62" spans="1:11" x14ac:dyDescent="0.25">
      <c r="A62" s="43">
        <v>1997</v>
      </c>
      <c r="B62" s="36" t="s">
        <v>24</v>
      </c>
      <c r="C62" s="36">
        <v>28</v>
      </c>
      <c r="D62" s="35" t="s">
        <v>425</v>
      </c>
      <c r="E62" s="35"/>
      <c r="F62" s="43">
        <v>4350</v>
      </c>
      <c r="G62" s="43"/>
      <c r="H62" s="43"/>
      <c r="I62" s="43"/>
      <c r="J62" s="43"/>
      <c r="K62" s="43"/>
    </row>
    <row r="63" spans="1:11" x14ac:dyDescent="0.25">
      <c r="A63" s="43">
        <v>1997</v>
      </c>
      <c r="B63" s="36" t="s">
        <v>24</v>
      </c>
      <c r="C63" s="36">
        <v>29</v>
      </c>
      <c r="D63" s="43"/>
      <c r="E63" s="43"/>
      <c r="F63" s="43"/>
      <c r="G63" s="43"/>
      <c r="H63" s="43"/>
      <c r="I63" s="43"/>
      <c r="J63" s="43"/>
      <c r="K63" s="43"/>
    </row>
    <row r="64" spans="1:11" x14ac:dyDescent="0.25">
      <c r="A64" s="43">
        <v>1997</v>
      </c>
      <c r="B64" s="36" t="s">
        <v>25</v>
      </c>
      <c r="C64" s="36">
        <v>1</v>
      </c>
      <c r="D64" s="35" t="s">
        <v>132</v>
      </c>
      <c r="E64" s="35"/>
      <c r="F64" s="43">
        <v>4250</v>
      </c>
      <c r="G64" s="43"/>
      <c r="H64" s="43"/>
      <c r="I64" s="43"/>
      <c r="J64" s="43"/>
      <c r="K64" s="43"/>
    </row>
    <row r="65" spans="1:11" x14ac:dyDescent="0.25">
      <c r="A65" s="43">
        <v>1997</v>
      </c>
      <c r="B65" s="36" t="s">
        <v>25</v>
      </c>
      <c r="C65" s="36">
        <v>2</v>
      </c>
      <c r="D65" s="35" t="s">
        <v>132</v>
      </c>
      <c r="E65" s="35"/>
      <c r="F65" s="43">
        <v>4250</v>
      </c>
      <c r="G65" s="43"/>
      <c r="H65" s="43"/>
      <c r="I65" s="43"/>
      <c r="J65" s="43"/>
      <c r="K65" s="43"/>
    </row>
    <row r="66" spans="1:11" x14ac:dyDescent="0.25">
      <c r="A66" s="43">
        <v>1997</v>
      </c>
      <c r="B66" s="36" t="s">
        <v>25</v>
      </c>
      <c r="C66" s="36">
        <v>3</v>
      </c>
      <c r="D66" s="35" t="s">
        <v>127</v>
      </c>
      <c r="E66" s="35"/>
      <c r="F66" s="43">
        <v>4200</v>
      </c>
      <c r="G66" s="43"/>
      <c r="H66" s="43"/>
      <c r="I66" s="43"/>
      <c r="J66" s="43"/>
      <c r="K66" s="43"/>
    </row>
    <row r="67" spans="1:11" x14ac:dyDescent="0.25">
      <c r="A67" s="43">
        <v>1997</v>
      </c>
      <c r="B67" s="36" t="s">
        <v>25</v>
      </c>
      <c r="C67" s="36">
        <v>4</v>
      </c>
      <c r="D67" s="35" t="s">
        <v>127</v>
      </c>
      <c r="E67" s="35"/>
      <c r="F67" s="43">
        <v>4200</v>
      </c>
      <c r="G67" s="43"/>
      <c r="H67" s="43"/>
      <c r="I67" s="43"/>
      <c r="J67" s="43"/>
      <c r="K67" s="43"/>
    </row>
    <row r="68" spans="1:11" x14ac:dyDescent="0.25">
      <c r="A68" s="43">
        <v>1997</v>
      </c>
      <c r="B68" s="36" t="s">
        <v>25</v>
      </c>
      <c r="C68" s="36">
        <v>5</v>
      </c>
      <c r="D68" s="35" t="s">
        <v>127</v>
      </c>
      <c r="E68" s="35"/>
      <c r="F68" s="43">
        <v>4200</v>
      </c>
      <c r="G68" s="43"/>
      <c r="H68" s="43"/>
      <c r="I68" s="43"/>
      <c r="J68" s="43"/>
      <c r="K68" s="43"/>
    </row>
    <row r="69" spans="1:11" x14ac:dyDescent="0.25">
      <c r="A69" s="43">
        <v>1997</v>
      </c>
      <c r="B69" s="36" t="s">
        <v>25</v>
      </c>
      <c r="C69" s="36">
        <v>6</v>
      </c>
      <c r="D69" s="35" t="s">
        <v>126</v>
      </c>
      <c r="E69" s="35"/>
      <c r="F69" s="43">
        <v>4150</v>
      </c>
      <c r="G69" s="43"/>
      <c r="H69" s="43"/>
      <c r="I69" s="43"/>
      <c r="J69" s="43"/>
      <c r="K69" s="43"/>
    </row>
    <row r="70" spans="1:11" x14ac:dyDescent="0.25">
      <c r="A70" s="43">
        <v>1997</v>
      </c>
      <c r="B70" s="36" t="s">
        <v>25</v>
      </c>
      <c r="C70" s="36">
        <v>7</v>
      </c>
      <c r="D70" s="35" t="s">
        <v>126</v>
      </c>
      <c r="E70" s="35"/>
      <c r="F70" s="43">
        <v>4150</v>
      </c>
      <c r="G70" s="43"/>
      <c r="H70" s="43"/>
      <c r="I70" s="43"/>
      <c r="J70" s="43"/>
      <c r="K70" s="43"/>
    </row>
    <row r="71" spans="1:11" x14ac:dyDescent="0.25">
      <c r="A71" s="43">
        <v>1997</v>
      </c>
      <c r="B71" s="36" t="s">
        <v>25</v>
      </c>
      <c r="C71" s="36">
        <v>8</v>
      </c>
      <c r="D71" s="35" t="s">
        <v>290</v>
      </c>
      <c r="E71" s="35"/>
      <c r="F71" s="43">
        <v>4100</v>
      </c>
      <c r="G71" s="43"/>
      <c r="H71" s="43"/>
      <c r="I71" s="43"/>
      <c r="J71" s="43"/>
      <c r="K71" s="43"/>
    </row>
    <row r="72" spans="1:11" x14ac:dyDescent="0.25">
      <c r="A72" s="43">
        <v>1997</v>
      </c>
      <c r="B72" s="36" t="s">
        <v>25</v>
      </c>
      <c r="C72" s="36">
        <v>9</v>
      </c>
      <c r="D72" s="35" t="s">
        <v>290</v>
      </c>
      <c r="E72" s="35"/>
      <c r="F72" s="43">
        <v>4100</v>
      </c>
      <c r="G72" s="43"/>
      <c r="H72" s="43"/>
      <c r="I72" s="43"/>
      <c r="J72" s="43"/>
      <c r="K72" s="43"/>
    </row>
    <row r="73" spans="1:11" x14ac:dyDescent="0.25">
      <c r="A73" s="43">
        <v>1997</v>
      </c>
      <c r="B73" s="36" t="s">
        <v>25</v>
      </c>
      <c r="C73" s="36">
        <v>10</v>
      </c>
      <c r="D73" s="35" t="s">
        <v>290</v>
      </c>
      <c r="E73" s="35"/>
      <c r="F73" s="43">
        <v>4100</v>
      </c>
      <c r="G73" s="43"/>
      <c r="H73" s="43"/>
      <c r="I73" s="43"/>
      <c r="J73" s="43"/>
      <c r="K73" s="43"/>
    </row>
    <row r="74" spans="1:11" x14ac:dyDescent="0.25">
      <c r="A74" s="43">
        <v>1997</v>
      </c>
      <c r="B74" s="36" t="s">
        <v>25</v>
      </c>
      <c r="C74" s="36">
        <v>11</v>
      </c>
      <c r="D74" s="35" t="s">
        <v>290</v>
      </c>
      <c r="E74" s="35"/>
      <c r="F74" s="43">
        <v>4100</v>
      </c>
      <c r="G74" s="43"/>
      <c r="H74" s="43"/>
      <c r="I74" s="43"/>
      <c r="J74" s="43"/>
      <c r="K74" s="43"/>
    </row>
    <row r="75" spans="1:11" x14ac:dyDescent="0.25">
      <c r="A75" s="43">
        <v>1997</v>
      </c>
      <c r="B75" s="36" t="s">
        <v>25</v>
      </c>
      <c r="C75" s="36">
        <v>12</v>
      </c>
      <c r="D75" s="35" t="s">
        <v>290</v>
      </c>
      <c r="E75" s="35"/>
      <c r="F75" s="43">
        <v>4100</v>
      </c>
      <c r="G75" s="43"/>
      <c r="H75" s="43"/>
      <c r="I75" s="43"/>
      <c r="J75" s="43"/>
      <c r="K75" s="43"/>
    </row>
    <row r="76" spans="1:11" x14ac:dyDescent="0.25">
      <c r="A76" s="43">
        <v>1997</v>
      </c>
      <c r="B76" s="36" t="s">
        <v>25</v>
      </c>
      <c r="C76" s="36">
        <v>13</v>
      </c>
      <c r="D76" s="35" t="s">
        <v>290</v>
      </c>
      <c r="E76" s="35"/>
      <c r="F76" s="43">
        <v>4100</v>
      </c>
      <c r="G76" s="43"/>
      <c r="H76" s="43"/>
      <c r="I76" s="43"/>
      <c r="J76" s="43"/>
      <c r="K76" s="43"/>
    </row>
    <row r="77" spans="1:11" x14ac:dyDescent="0.25">
      <c r="A77" s="43">
        <v>1997</v>
      </c>
      <c r="B77" s="36" t="s">
        <v>25</v>
      </c>
      <c r="C77" s="36">
        <v>14</v>
      </c>
      <c r="D77" s="35" t="s">
        <v>124</v>
      </c>
      <c r="E77" s="35"/>
      <c r="F77" s="43">
        <v>4000</v>
      </c>
      <c r="G77" s="43"/>
      <c r="H77" s="43"/>
      <c r="I77" s="43"/>
      <c r="J77" s="43"/>
      <c r="K77" s="43"/>
    </row>
    <row r="78" spans="1:11" x14ac:dyDescent="0.25">
      <c r="A78" s="43">
        <v>1997</v>
      </c>
      <c r="B78" s="36" t="s">
        <v>25</v>
      </c>
      <c r="C78" s="62">
        <v>15</v>
      </c>
      <c r="D78" s="35" t="s">
        <v>124</v>
      </c>
      <c r="E78" s="35"/>
      <c r="F78" s="43">
        <v>4000</v>
      </c>
      <c r="G78" s="43"/>
      <c r="H78" s="43"/>
      <c r="I78" s="43"/>
      <c r="J78" s="43"/>
      <c r="K78" s="43"/>
    </row>
    <row r="79" spans="1:11" x14ac:dyDescent="0.25">
      <c r="A79" s="43">
        <v>1997</v>
      </c>
      <c r="B79" s="36" t="s">
        <v>25</v>
      </c>
      <c r="C79" s="36">
        <v>16</v>
      </c>
      <c r="D79" s="35" t="s">
        <v>124</v>
      </c>
      <c r="E79" s="35"/>
      <c r="F79" s="43">
        <v>4000</v>
      </c>
      <c r="G79" s="43"/>
      <c r="H79" s="43"/>
      <c r="I79" s="43"/>
      <c r="J79" s="43"/>
      <c r="K79" s="43"/>
    </row>
    <row r="80" spans="1:11" x14ac:dyDescent="0.25">
      <c r="A80" s="43">
        <v>1997</v>
      </c>
      <c r="B80" s="36" t="s">
        <v>25</v>
      </c>
      <c r="C80" s="36">
        <v>17</v>
      </c>
      <c r="D80" s="35" t="s">
        <v>124</v>
      </c>
      <c r="E80" s="35"/>
      <c r="F80" s="43">
        <v>4000</v>
      </c>
      <c r="G80" s="43"/>
      <c r="H80" s="43"/>
      <c r="I80" s="43"/>
      <c r="J80" s="43"/>
      <c r="K80" s="43"/>
    </row>
    <row r="81" spans="1:11" x14ac:dyDescent="0.25">
      <c r="A81" s="43">
        <v>1997</v>
      </c>
      <c r="B81" s="36" t="s">
        <v>25</v>
      </c>
      <c r="C81" s="36">
        <v>18</v>
      </c>
      <c r="D81" s="35" t="s">
        <v>124</v>
      </c>
      <c r="E81" s="35"/>
      <c r="F81" s="43">
        <v>4000</v>
      </c>
      <c r="G81" s="43"/>
      <c r="H81" s="43"/>
      <c r="I81" s="43"/>
      <c r="J81" s="43"/>
      <c r="K81" s="43"/>
    </row>
    <row r="82" spans="1:11" x14ac:dyDescent="0.25">
      <c r="A82" s="43">
        <v>1997</v>
      </c>
      <c r="B82" s="36" t="s">
        <v>25</v>
      </c>
      <c r="C82" s="36">
        <v>19</v>
      </c>
      <c r="D82" s="38" t="s">
        <v>123</v>
      </c>
      <c r="E82" s="38"/>
      <c r="F82" s="43">
        <v>3900</v>
      </c>
      <c r="G82" s="43"/>
      <c r="H82" s="43"/>
      <c r="I82" s="43"/>
      <c r="J82" s="43"/>
      <c r="K82" s="43"/>
    </row>
    <row r="83" spans="1:11" x14ac:dyDescent="0.25">
      <c r="A83" s="43">
        <v>1997</v>
      </c>
      <c r="B83" s="36" t="s">
        <v>25</v>
      </c>
      <c r="C83" s="36">
        <v>20</v>
      </c>
      <c r="D83" s="38" t="s">
        <v>123</v>
      </c>
      <c r="E83" s="38"/>
      <c r="F83" s="43">
        <v>3900</v>
      </c>
      <c r="G83" s="43"/>
      <c r="H83" s="43"/>
      <c r="I83" s="43"/>
      <c r="J83" s="43"/>
      <c r="K83" s="43"/>
    </row>
    <row r="84" spans="1:11" x14ac:dyDescent="0.25">
      <c r="A84" s="43">
        <v>1997</v>
      </c>
      <c r="B84" s="36" t="s">
        <v>25</v>
      </c>
      <c r="C84" s="36">
        <v>21</v>
      </c>
      <c r="D84" s="38" t="s">
        <v>123</v>
      </c>
      <c r="E84" s="38"/>
      <c r="F84" s="43">
        <v>3900</v>
      </c>
      <c r="G84" s="43"/>
      <c r="H84" s="43"/>
      <c r="I84" s="43"/>
      <c r="J84" s="43"/>
      <c r="K84" s="43"/>
    </row>
    <row r="85" spans="1:11" x14ac:dyDescent="0.25">
      <c r="A85" s="43">
        <v>1997</v>
      </c>
      <c r="B85" s="36" t="s">
        <v>25</v>
      </c>
      <c r="C85" s="36">
        <v>22</v>
      </c>
      <c r="D85" s="38" t="s">
        <v>123</v>
      </c>
      <c r="E85" s="38"/>
      <c r="F85" s="43">
        <v>3900</v>
      </c>
      <c r="G85" s="43"/>
      <c r="H85" s="43"/>
      <c r="I85" s="43"/>
      <c r="J85" s="43"/>
      <c r="K85" s="43"/>
    </row>
    <row r="86" spans="1:11" x14ac:dyDescent="0.25">
      <c r="A86" s="43">
        <v>1997</v>
      </c>
      <c r="B86" s="36" t="s">
        <v>25</v>
      </c>
      <c r="C86" s="36">
        <v>23</v>
      </c>
      <c r="D86" s="38" t="s">
        <v>123</v>
      </c>
      <c r="E86" s="38"/>
      <c r="F86" s="43">
        <v>3900</v>
      </c>
      <c r="G86" s="43"/>
      <c r="H86" s="43"/>
      <c r="I86" s="43"/>
      <c r="J86" s="43"/>
      <c r="K86" s="43"/>
    </row>
    <row r="87" spans="1:11" x14ac:dyDescent="0.25">
      <c r="A87" s="43">
        <v>1997</v>
      </c>
      <c r="B87" s="36" t="s">
        <v>25</v>
      </c>
      <c r="C87" s="36">
        <v>24</v>
      </c>
      <c r="D87" s="38" t="s">
        <v>294</v>
      </c>
      <c r="E87" s="38"/>
      <c r="F87" s="63">
        <v>3800</v>
      </c>
      <c r="G87" s="63"/>
      <c r="H87" s="43"/>
      <c r="I87" s="43"/>
      <c r="J87" s="43"/>
      <c r="K87" s="43"/>
    </row>
    <row r="88" spans="1:11" x14ac:dyDescent="0.25">
      <c r="A88" s="43">
        <v>1997</v>
      </c>
      <c r="B88" s="36" t="s">
        <v>25</v>
      </c>
      <c r="C88" s="36">
        <v>25</v>
      </c>
      <c r="D88" s="38" t="s">
        <v>294</v>
      </c>
      <c r="E88" s="38"/>
      <c r="F88" s="63">
        <v>3800</v>
      </c>
      <c r="G88" s="63"/>
      <c r="H88" s="43"/>
      <c r="I88" s="43"/>
      <c r="J88" s="43"/>
      <c r="K88" s="43"/>
    </row>
    <row r="89" spans="1:11" x14ac:dyDescent="0.25">
      <c r="A89" s="43">
        <v>1997</v>
      </c>
      <c r="B89" s="36" t="s">
        <v>25</v>
      </c>
      <c r="C89" s="36">
        <v>26</v>
      </c>
      <c r="D89" s="38" t="s">
        <v>294</v>
      </c>
      <c r="E89" s="38"/>
      <c r="F89" s="63">
        <v>3800</v>
      </c>
      <c r="G89" s="63"/>
      <c r="H89" s="43"/>
      <c r="I89" s="43"/>
      <c r="J89" s="43"/>
      <c r="K89" s="43"/>
    </row>
    <row r="90" spans="1:11" x14ac:dyDescent="0.25">
      <c r="A90" s="43">
        <v>1997</v>
      </c>
      <c r="B90" s="36" t="s">
        <v>25</v>
      </c>
      <c r="C90" s="36">
        <v>27</v>
      </c>
      <c r="D90" s="38" t="s">
        <v>294</v>
      </c>
      <c r="E90" s="38"/>
      <c r="F90" s="63">
        <v>3800</v>
      </c>
      <c r="G90" s="63"/>
      <c r="H90" s="43"/>
      <c r="I90" s="43"/>
      <c r="J90" s="43"/>
      <c r="K90" s="43"/>
    </row>
    <row r="91" spans="1:11" x14ac:dyDescent="0.25">
      <c r="A91" s="43">
        <v>1997</v>
      </c>
      <c r="B91" s="36" t="s">
        <v>25</v>
      </c>
      <c r="C91" s="36">
        <v>28</v>
      </c>
      <c r="D91" s="38" t="s">
        <v>294</v>
      </c>
      <c r="E91" s="38"/>
      <c r="F91" s="63">
        <v>3800</v>
      </c>
      <c r="G91" s="63"/>
      <c r="H91" s="43"/>
      <c r="I91" s="43"/>
      <c r="J91" s="43"/>
      <c r="K91" s="43"/>
    </row>
    <row r="92" spans="1:11" x14ac:dyDescent="0.25">
      <c r="A92" s="43">
        <v>1997</v>
      </c>
      <c r="B92" s="36" t="s">
        <v>25</v>
      </c>
      <c r="C92" s="36">
        <v>29</v>
      </c>
      <c r="D92" s="38" t="s">
        <v>294</v>
      </c>
      <c r="E92" s="38"/>
      <c r="F92" s="63">
        <v>3800</v>
      </c>
      <c r="G92" s="63"/>
      <c r="H92" s="43"/>
      <c r="I92" s="43"/>
      <c r="J92" s="43"/>
      <c r="K92" s="43"/>
    </row>
    <row r="93" spans="1:11" x14ac:dyDescent="0.25">
      <c r="A93" s="43">
        <v>1997</v>
      </c>
      <c r="B93" s="36" t="s">
        <v>25</v>
      </c>
      <c r="C93" s="36">
        <v>30</v>
      </c>
      <c r="D93" s="38" t="s">
        <v>294</v>
      </c>
      <c r="E93" s="38"/>
      <c r="F93" s="63">
        <v>3800</v>
      </c>
      <c r="G93" s="63"/>
      <c r="H93" s="43"/>
      <c r="I93" s="43"/>
      <c r="J93" s="43"/>
      <c r="K93" s="43"/>
    </row>
    <row r="94" spans="1:11" x14ac:dyDescent="0.25">
      <c r="A94" s="43">
        <v>1997</v>
      </c>
      <c r="B94" s="36" t="s">
        <v>25</v>
      </c>
      <c r="C94" s="36">
        <v>31</v>
      </c>
      <c r="D94" s="38" t="s">
        <v>294</v>
      </c>
      <c r="E94" s="38"/>
      <c r="F94" s="63">
        <v>3800</v>
      </c>
      <c r="G94" s="63"/>
      <c r="H94" s="43"/>
      <c r="I94" s="43"/>
      <c r="J94" s="43"/>
      <c r="K94" s="43"/>
    </row>
    <row r="95" spans="1:11" x14ac:dyDescent="0.25">
      <c r="A95" s="43">
        <v>1997</v>
      </c>
      <c r="B95" s="36" t="s">
        <v>26</v>
      </c>
      <c r="C95" s="36">
        <v>1</v>
      </c>
      <c r="D95" s="38" t="s">
        <v>300</v>
      </c>
      <c r="E95" s="38"/>
      <c r="F95" s="64">
        <v>3700</v>
      </c>
      <c r="G95" s="64"/>
      <c r="H95" s="43"/>
      <c r="I95" s="43"/>
      <c r="J95" s="43"/>
      <c r="K95" s="43"/>
    </row>
    <row r="96" spans="1:11" x14ac:dyDescent="0.25">
      <c r="A96" s="43">
        <v>1997</v>
      </c>
      <c r="B96" s="36" t="s">
        <v>26</v>
      </c>
      <c r="C96" s="36">
        <v>2</v>
      </c>
      <c r="D96" s="38" t="s">
        <v>300</v>
      </c>
      <c r="E96" s="38"/>
      <c r="F96" s="64">
        <v>3700</v>
      </c>
      <c r="G96" s="64"/>
      <c r="H96" s="43"/>
      <c r="I96" s="43"/>
      <c r="J96" s="43"/>
      <c r="K96" s="43"/>
    </row>
    <row r="97" spans="1:11" x14ac:dyDescent="0.25">
      <c r="A97" s="43">
        <v>1997</v>
      </c>
      <c r="B97" s="36" t="s">
        <v>26</v>
      </c>
      <c r="C97" s="36">
        <v>3</v>
      </c>
      <c r="D97" s="38" t="s">
        <v>300</v>
      </c>
      <c r="E97" s="38"/>
      <c r="F97" s="64">
        <v>3700</v>
      </c>
      <c r="G97" s="64"/>
      <c r="H97" s="43"/>
      <c r="I97" s="43"/>
      <c r="J97" s="43"/>
      <c r="K97" s="43"/>
    </row>
    <row r="98" spans="1:11" x14ac:dyDescent="0.25">
      <c r="A98" s="43">
        <v>1997</v>
      </c>
      <c r="B98" s="36" t="s">
        <v>26</v>
      </c>
      <c r="C98" s="36">
        <v>4</v>
      </c>
      <c r="D98" s="38" t="s">
        <v>300</v>
      </c>
      <c r="E98" s="38"/>
      <c r="F98" s="64">
        <v>3700</v>
      </c>
      <c r="G98" s="64"/>
      <c r="H98" s="43"/>
      <c r="I98" s="43"/>
      <c r="J98" s="43"/>
      <c r="K98" s="43"/>
    </row>
    <row r="99" spans="1:11" x14ac:dyDescent="0.25">
      <c r="A99" s="43">
        <v>1997</v>
      </c>
      <c r="B99" s="36" t="s">
        <v>26</v>
      </c>
      <c r="C99" s="36">
        <v>5</v>
      </c>
      <c r="D99" s="38" t="s">
        <v>300</v>
      </c>
      <c r="E99" s="38"/>
      <c r="F99" s="64">
        <v>3700</v>
      </c>
      <c r="G99" s="64"/>
      <c r="H99" s="43"/>
      <c r="I99" s="43"/>
      <c r="J99" s="43"/>
      <c r="K99" s="43"/>
    </row>
    <row r="100" spans="1:11" x14ac:dyDescent="0.25">
      <c r="A100" s="43">
        <v>1997</v>
      </c>
      <c r="B100" s="36" t="s">
        <v>26</v>
      </c>
      <c r="C100" s="36">
        <v>6</v>
      </c>
      <c r="D100" s="38" t="s">
        <v>300</v>
      </c>
      <c r="E100" s="38"/>
      <c r="F100" s="64">
        <v>3700</v>
      </c>
      <c r="G100" s="64"/>
      <c r="H100" s="43"/>
      <c r="I100" s="43"/>
      <c r="J100" s="43"/>
      <c r="K100" s="43"/>
    </row>
    <row r="101" spans="1:11" x14ac:dyDescent="0.25">
      <c r="A101" s="43">
        <v>1997</v>
      </c>
      <c r="B101" s="36" t="s">
        <v>26</v>
      </c>
      <c r="C101" s="36">
        <v>7</v>
      </c>
      <c r="D101" s="38" t="s">
        <v>296</v>
      </c>
      <c r="E101" s="38"/>
      <c r="F101" s="43">
        <v>3750</v>
      </c>
      <c r="G101" s="43"/>
      <c r="H101" s="43"/>
      <c r="I101" s="43"/>
      <c r="J101" s="43"/>
      <c r="K101" s="43"/>
    </row>
    <row r="102" spans="1:11" x14ac:dyDescent="0.25">
      <c r="A102" s="43">
        <v>1997</v>
      </c>
      <c r="B102" s="36" t="s">
        <v>26</v>
      </c>
      <c r="C102" s="36">
        <v>8</v>
      </c>
      <c r="D102" s="38" t="s">
        <v>290</v>
      </c>
      <c r="E102" s="38"/>
      <c r="F102" s="43">
        <v>4100</v>
      </c>
      <c r="G102" s="43"/>
      <c r="H102" s="43"/>
      <c r="I102" s="43"/>
      <c r="J102" s="43"/>
      <c r="K102" s="43"/>
    </row>
    <row r="103" spans="1:11" x14ac:dyDescent="0.25">
      <c r="A103" s="43">
        <v>1997</v>
      </c>
      <c r="B103" s="36" t="s">
        <v>26</v>
      </c>
      <c r="C103" s="36">
        <v>9</v>
      </c>
      <c r="D103" s="38" t="s">
        <v>127</v>
      </c>
      <c r="E103" s="38"/>
      <c r="F103" s="43">
        <v>4200</v>
      </c>
      <c r="G103" s="43"/>
      <c r="H103" s="43"/>
      <c r="I103" s="43"/>
      <c r="J103" s="43"/>
      <c r="K103" s="43"/>
    </row>
    <row r="104" spans="1:11" x14ac:dyDescent="0.25">
      <c r="A104" s="43">
        <v>1997</v>
      </c>
      <c r="B104" s="36" t="s">
        <v>26</v>
      </c>
      <c r="C104" s="36">
        <v>10</v>
      </c>
      <c r="D104" s="38" t="s">
        <v>127</v>
      </c>
      <c r="E104" s="38"/>
      <c r="F104" s="43">
        <v>4200</v>
      </c>
      <c r="G104" s="43"/>
      <c r="H104" s="43"/>
      <c r="I104" s="43"/>
      <c r="J104" s="43"/>
      <c r="K104" s="43"/>
    </row>
    <row r="105" spans="1:11" x14ac:dyDescent="0.25">
      <c r="A105" s="43">
        <v>1997</v>
      </c>
      <c r="B105" s="36" t="s">
        <v>26</v>
      </c>
      <c r="C105" s="36">
        <v>11</v>
      </c>
      <c r="D105" s="38" t="s">
        <v>127</v>
      </c>
      <c r="E105" s="38"/>
      <c r="F105" s="43">
        <v>4200</v>
      </c>
      <c r="G105" s="43"/>
      <c r="H105" s="43"/>
      <c r="I105" s="43"/>
      <c r="J105" s="43"/>
      <c r="K105" s="43"/>
    </row>
    <row r="106" spans="1:11" x14ac:dyDescent="0.25">
      <c r="A106" s="43">
        <v>1997</v>
      </c>
      <c r="B106" s="36" t="s">
        <v>26</v>
      </c>
      <c r="C106" s="36">
        <v>12</v>
      </c>
      <c r="D106" s="38" t="s">
        <v>127</v>
      </c>
      <c r="E106" s="38"/>
      <c r="F106" s="43">
        <v>4200</v>
      </c>
      <c r="G106" s="43"/>
      <c r="H106" s="43"/>
      <c r="I106" s="43"/>
      <c r="J106" s="43"/>
      <c r="K106" s="43"/>
    </row>
    <row r="107" spans="1:11" x14ac:dyDescent="0.25">
      <c r="A107" s="43">
        <v>1997</v>
      </c>
      <c r="B107" s="36" t="s">
        <v>26</v>
      </c>
      <c r="C107" s="36">
        <v>13</v>
      </c>
      <c r="D107" s="38" t="s">
        <v>127</v>
      </c>
      <c r="E107" s="38"/>
      <c r="F107" s="43">
        <v>4200</v>
      </c>
      <c r="G107" s="43"/>
      <c r="H107" s="43"/>
      <c r="I107" s="43"/>
      <c r="J107" s="43"/>
      <c r="K107" s="43"/>
    </row>
    <row r="108" spans="1:11" x14ac:dyDescent="0.25">
      <c r="A108" s="43">
        <v>1997</v>
      </c>
      <c r="B108" s="36" t="s">
        <v>26</v>
      </c>
      <c r="C108" s="36">
        <v>14</v>
      </c>
      <c r="D108" s="38" t="s">
        <v>127</v>
      </c>
      <c r="E108" s="38"/>
      <c r="F108" s="43">
        <v>4200</v>
      </c>
      <c r="G108" s="43"/>
      <c r="H108" s="43"/>
      <c r="I108" s="43"/>
      <c r="J108" s="43"/>
      <c r="K108" s="43"/>
    </row>
    <row r="109" spans="1:11" x14ac:dyDescent="0.25">
      <c r="A109" s="43">
        <v>1997</v>
      </c>
      <c r="B109" s="36" t="s">
        <v>26</v>
      </c>
      <c r="C109" s="36">
        <v>15</v>
      </c>
      <c r="D109" s="38" t="s">
        <v>127</v>
      </c>
      <c r="E109" s="38"/>
      <c r="F109" s="43">
        <v>4200</v>
      </c>
      <c r="G109" s="43"/>
      <c r="H109" s="43"/>
      <c r="I109" s="43"/>
      <c r="J109" s="43"/>
      <c r="K109" s="43"/>
    </row>
    <row r="110" spans="1:11" x14ac:dyDescent="0.25">
      <c r="A110" s="43">
        <v>1997</v>
      </c>
      <c r="B110" s="36" t="s">
        <v>26</v>
      </c>
      <c r="C110" s="36">
        <v>16</v>
      </c>
      <c r="D110" s="38" t="s">
        <v>425</v>
      </c>
      <c r="E110" s="38"/>
      <c r="F110" s="65">
        <v>4350</v>
      </c>
      <c r="G110" s="65"/>
      <c r="H110" s="43"/>
      <c r="I110" s="43"/>
      <c r="J110" s="43"/>
      <c r="K110" s="43"/>
    </row>
    <row r="111" spans="1:11" x14ac:dyDescent="0.25">
      <c r="A111" s="43">
        <v>1997</v>
      </c>
      <c r="B111" s="36" t="s">
        <v>26</v>
      </c>
      <c r="C111" s="36">
        <v>17</v>
      </c>
      <c r="D111" s="38" t="s">
        <v>425</v>
      </c>
      <c r="E111" s="38"/>
      <c r="F111" s="65">
        <v>4350</v>
      </c>
      <c r="G111" s="65"/>
      <c r="H111" s="43"/>
      <c r="I111" s="43"/>
      <c r="J111" s="43"/>
      <c r="K111" s="43"/>
    </row>
    <row r="112" spans="1:11" x14ac:dyDescent="0.25">
      <c r="A112" s="43">
        <v>1997</v>
      </c>
      <c r="B112" s="36" t="s">
        <v>26</v>
      </c>
      <c r="C112" s="36">
        <v>18</v>
      </c>
      <c r="D112" s="38" t="s">
        <v>425</v>
      </c>
      <c r="E112" s="38"/>
      <c r="F112" s="65">
        <v>4350</v>
      </c>
      <c r="G112" s="65"/>
      <c r="H112" s="43"/>
      <c r="I112" s="43"/>
      <c r="J112" s="43"/>
      <c r="K112" s="43"/>
    </row>
    <row r="113" spans="1:11" x14ac:dyDescent="0.25">
      <c r="A113" s="43">
        <v>1997</v>
      </c>
      <c r="B113" s="36" t="s">
        <v>26</v>
      </c>
      <c r="C113" s="36">
        <v>19</v>
      </c>
      <c r="D113" s="38" t="s">
        <v>425</v>
      </c>
      <c r="E113" s="38"/>
      <c r="F113" s="65">
        <v>4350</v>
      </c>
      <c r="G113" s="65"/>
      <c r="H113" s="43"/>
      <c r="I113" s="43"/>
      <c r="J113" s="43"/>
      <c r="K113" s="43"/>
    </row>
    <row r="114" spans="1:11" x14ac:dyDescent="0.25">
      <c r="A114" s="43">
        <v>1997</v>
      </c>
      <c r="B114" s="36" t="s">
        <v>26</v>
      </c>
      <c r="C114" s="36">
        <v>20</v>
      </c>
      <c r="D114" s="38" t="s">
        <v>425</v>
      </c>
      <c r="E114" s="38"/>
      <c r="F114" s="65">
        <v>4350</v>
      </c>
      <c r="G114" s="65"/>
      <c r="H114" s="43"/>
      <c r="I114" s="43"/>
      <c r="J114" s="43"/>
      <c r="K114" s="43"/>
    </row>
    <row r="115" spans="1:11" x14ac:dyDescent="0.25">
      <c r="A115" s="43">
        <v>1997</v>
      </c>
      <c r="B115" s="36" t="s">
        <v>26</v>
      </c>
      <c r="C115" s="36">
        <v>21</v>
      </c>
      <c r="D115" s="38" t="s">
        <v>425</v>
      </c>
      <c r="E115" s="38"/>
      <c r="F115" s="65">
        <v>4350</v>
      </c>
      <c r="G115" s="65"/>
      <c r="H115" s="43"/>
      <c r="I115" s="43"/>
      <c r="J115" s="43"/>
      <c r="K115" s="43"/>
    </row>
    <row r="116" spans="1:11" x14ac:dyDescent="0.25">
      <c r="A116" s="43">
        <v>1997</v>
      </c>
      <c r="B116" s="36" t="s">
        <v>26</v>
      </c>
      <c r="C116" s="36">
        <v>22</v>
      </c>
      <c r="D116" s="38" t="s">
        <v>425</v>
      </c>
      <c r="E116" s="38"/>
      <c r="F116" s="65">
        <v>4350</v>
      </c>
      <c r="G116" s="65"/>
      <c r="H116" s="43"/>
      <c r="I116" s="43"/>
      <c r="J116" s="43"/>
      <c r="K116" s="43"/>
    </row>
    <row r="117" spans="1:11" x14ac:dyDescent="0.25">
      <c r="A117" s="43">
        <v>1997</v>
      </c>
      <c r="B117" s="36" t="s">
        <v>26</v>
      </c>
      <c r="C117" s="36">
        <v>23</v>
      </c>
      <c r="D117" s="38" t="s">
        <v>425</v>
      </c>
      <c r="E117" s="38"/>
      <c r="F117" s="65">
        <v>4350</v>
      </c>
      <c r="G117" s="65"/>
      <c r="H117" s="43"/>
      <c r="I117" s="43"/>
      <c r="J117" s="43"/>
      <c r="K117" s="43"/>
    </row>
    <row r="118" spans="1:11" x14ac:dyDescent="0.25">
      <c r="A118" s="43">
        <v>1997</v>
      </c>
      <c r="B118" s="36" t="s">
        <v>26</v>
      </c>
      <c r="C118" s="36">
        <v>24</v>
      </c>
      <c r="D118" s="38" t="s">
        <v>425</v>
      </c>
      <c r="E118" s="38"/>
      <c r="F118" s="65">
        <v>4350</v>
      </c>
      <c r="G118" s="65"/>
      <c r="H118" s="43"/>
      <c r="I118" s="43"/>
      <c r="J118" s="43"/>
      <c r="K118" s="43"/>
    </row>
    <row r="119" spans="1:11" x14ac:dyDescent="0.25">
      <c r="A119" s="43">
        <v>1997</v>
      </c>
      <c r="B119" s="36" t="s">
        <v>26</v>
      </c>
      <c r="C119" s="36">
        <v>25</v>
      </c>
      <c r="D119" s="38" t="s">
        <v>425</v>
      </c>
      <c r="E119" s="38"/>
      <c r="F119" s="65">
        <v>4350</v>
      </c>
      <c r="G119" s="65"/>
      <c r="H119" s="43"/>
      <c r="I119" s="43"/>
      <c r="J119" s="43"/>
      <c r="K119" s="43"/>
    </row>
    <row r="120" spans="1:11" x14ac:dyDescent="0.25">
      <c r="A120" s="43">
        <v>1997</v>
      </c>
      <c r="B120" s="36" t="s">
        <v>26</v>
      </c>
      <c r="C120" s="36">
        <v>26</v>
      </c>
      <c r="D120" s="38" t="s">
        <v>425</v>
      </c>
      <c r="E120" s="38"/>
      <c r="F120" s="65">
        <v>4350</v>
      </c>
      <c r="G120" s="65"/>
      <c r="H120" s="43"/>
      <c r="I120" s="43"/>
      <c r="J120" s="43"/>
      <c r="K120" s="43"/>
    </row>
    <row r="121" spans="1:11" x14ac:dyDescent="0.25">
      <c r="A121" s="43">
        <v>1997</v>
      </c>
      <c r="B121" s="36" t="s">
        <v>26</v>
      </c>
      <c r="C121" s="36">
        <v>27</v>
      </c>
      <c r="D121" s="38" t="s">
        <v>425</v>
      </c>
      <c r="E121" s="38"/>
      <c r="F121" s="65">
        <v>4350</v>
      </c>
      <c r="G121" s="65"/>
      <c r="H121" s="43"/>
      <c r="I121" s="43"/>
      <c r="J121" s="43"/>
      <c r="K121" s="43"/>
    </row>
    <row r="122" spans="1:11" x14ac:dyDescent="0.25">
      <c r="A122" s="43">
        <v>1997</v>
      </c>
      <c r="B122" s="36" t="s">
        <v>26</v>
      </c>
      <c r="C122" s="36">
        <v>28</v>
      </c>
      <c r="D122" s="38" t="s">
        <v>425</v>
      </c>
      <c r="E122" s="38"/>
      <c r="F122" s="65">
        <v>4350</v>
      </c>
      <c r="G122" s="65"/>
      <c r="H122" s="43"/>
      <c r="I122" s="43"/>
      <c r="J122" s="43"/>
      <c r="K122" s="43"/>
    </row>
    <row r="123" spans="1:11" x14ac:dyDescent="0.25">
      <c r="A123" s="43">
        <v>1997</v>
      </c>
      <c r="B123" s="36" t="s">
        <v>26</v>
      </c>
      <c r="C123" s="36">
        <v>29</v>
      </c>
      <c r="D123" s="38" t="s">
        <v>425</v>
      </c>
      <c r="E123" s="38"/>
      <c r="F123" s="65">
        <v>4350</v>
      </c>
      <c r="G123" s="65"/>
      <c r="H123" s="43"/>
      <c r="I123" s="43"/>
      <c r="J123" s="43"/>
      <c r="K123" s="43"/>
    </row>
    <row r="124" spans="1:11" x14ac:dyDescent="0.25">
      <c r="A124" s="43">
        <v>1997</v>
      </c>
      <c r="B124" s="36" t="s">
        <v>26</v>
      </c>
      <c r="C124" s="36">
        <v>30</v>
      </c>
      <c r="D124" s="38" t="s">
        <v>425</v>
      </c>
      <c r="E124" s="38"/>
      <c r="F124" s="65">
        <v>4350</v>
      </c>
      <c r="G124" s="65"/>
      <c r="H124" s="43"/>
      <c r="I124" s="43"/>
      <c r="J124" s="43"/>
      <c r="K124" s="43"/>
    </row>
    <row r="125" spans="1:11" x14ac:dyDescent="0.25">
      <c r="A125" s="43">
        <v>1997</v>
      </c>
      <c r="B125" s="36" t="s">
        <v>27</v>
      </c>
      <c r="C125" s="36">
        <v>1</v>
      </c>
      <c r="D125" s="38" t="s">
        <v>425</v>
      </c>
      <c r="E125" s="38"/>
      <c r="F125" s="64">
        <v>4350</v>
      </c>
      <c r="G125" s="64"/>
      <c r="H125" s="43"/>
      <c r="I125" s="43"/>
      <c r="J125" s="43"/>
      <c r="K125" s="43"/>
    </row>
    <row r="126" spans="1:11" x14ac:dyDescent="0.25">
      <c r="A126" s="43">
        <v>1997</v>
      </c>
      <c r="B126" s="36" t="s">
        <v>27</v>
      </c>
      <c r="C126" s="36">
        <v>2</v>
      </c>
      <c r="D126" s="38" t="s">
        <v>425</v>
      </c>
      <c r="E126" s="38"/>
      <c r="F126" s="64">
        <v>4350</v>
      </c>
      <c r="G126" s="64"/>
      <c r="H126" s="43"/>
      <c r="I126" s="43"/>
      <c r="J126" s="43"/>
      <c r="K126" s="43"/>
    </row>
    <row r="127" spans="1:11" x14ac:dyDescent="0.25">
      <c r="A127" s="43">
        <v>1997</v>
      </c>
      <c r="B127" s="36" t="s">
        <v>27</v>
      </c>
      <c r="C127" s="36">
        <v>3</v>
      </c>
      <c r="D127" s="38" t="s">
        <v>425</v>
      </c>
      <c r="E127" s="38"/>
      <c r="F127" s="64">
        <v>4350</v>
      </c>
      <c r="G127" s="64"/>
      <c r="H127" s="43"/>
      <c r="I127" s="43"/>
      <c r="J127" s="43"/>
      <c r="K127" s="43"/>
    </row>
    <row r="128" spans="1:11" x14ac:dyDescent="0.25">
      <c r="A128" s="43">
        <v>1997</v>
      </c>
      <c r="B128" s="36" t="s">
        <v>27</v>
      </c>
      <c r="C128" s="36">
        <v>4</v>
      </c>
      <c r="D128" s="38" t="s">
        <v>425</v>
      </c>
      <c r="E128" s="38"/>
      <c r="F128" s="64">
        <v>4350</v>
      </c>
      <c r="G128" s="64"/>
      <c r="H128" s="43"/>
      <c r="I128" s="43"/>
      <c r="J128" s="43"/>
      <c r="K128" s="43"/>
    </row>
    <row r="129" spans="1:11" x14ac:dyDescent="0.25">
      <c r="A129" s="43">
        <v>1997</v>
      </c>
      <c r="B129" s="36" t="s">
        <v>27</v>
      </c>
      <c r="C129" s="36">
        <v>5</v>
      </c>
      <c r="D129" s="38" t="s">
        <v>425</v>
      </c>
      <c r="E129" s="38"/>
      <c r="F129" s="64">
        <v>4350</v>
      </c>
      <c r="G129" s="64"/>
      <c r="H129" s="43"/>
      <c r="I129" s="43"/>
      <c r="J129" s="43"/>
      <c r="K129" s="43"/>
    </row>
    <row r="130" spans="1:11" x14ac:dyDescent="0.25">
      <c r="A130" s="43">
        <v>1997</v>
      </c>
      <c r="B130" s="36" t="s">
        <v>27</v>
      </c>
      <c r="C130" s="36">
        <v>6</v>
      </c>
      <c r="D130" s="38" t="s">
        <v>425</v>
      </c>
      <c r="E130" s="38"/>
      <c r="F130" s="64">
        <v>4350</v>
      </c>
      <c r="G130" s="64"/>
      <c r="H130" s="43"/>
      <c r="I130" s="43"/>
      <c r="J130" s="43"/>
      <c r="K130" s="43"/>
    </row>
    <row r="131" spans="1:11" x14ac:dyDescent="0.25">
      <c r="A131" s="43">
        <v>1997</v>
      </c>
      <c r="B131" s="36" t="s">
        <v>27</v>
      </c>
      <c r="C131" s="36">
        <v>7</v>
      </c>
      <c r="D131" s="38" t="s">
        <v>425</v>
      </c>
      <c r="E131" s="38"/>
      <c r="F131" s="64">
        <v>4350</v>
      </c>
      <c r="G131" s="64"/>
      <c r="H131" s="43"/>
      <c r="I131" s="43"/>
      <c r="J131" s="43"/>
      <c r="K131" s="43"/>
    </row>
    <row r="132" spans="1:11" x14ac:dyDescent="0.25">
      <c r="A132" s="43">
        <v>1997</v>
      </c>
      <c r="B132" s="36" t="s">
        <v>27</v>
      </c>
      <c r="C132" s="36">
        <v>8</v>
      </c>
      <c r="D132" s="38" t="s">
        <v>425</v>
      </c>
      <c r="E132" s="38"/>
      <c r="F132" s="64">
        <v>4350</v>
      </c>
      <c r="G132" s="64"/>
      <c r="H132" s="43"/>
      <c r="I132" s="43"/>
      <c r="J132" s="43"/>
      <c r="K132" s="43"/>
    </row>
    <row r="133" spans="1:11" x14ac:dyDescent="0.25">
      <c r="A133" s="43">
        <v>1997</v>
      </c>
      <c r="B133" s="36" t="s">
        <v>27</v>
      </c>
      <c r="C133" s="36">
        <v>9</v>
      </c>
      <c r="D133" s="38" t="s">
        <v>425</v>
      </c>
      <c r="E133" s="38"/>
      <c r="F133" s="64">
        <v>4350</v>
      </c>
      <c r="G133" s="64"/>
      <c r="H133" s="43"/>
      <c r="I133" s="43"/>
      <c r="J133" s="43"/>
      <c r="K133" s="43"/>
    </row>
    <row r="134" spans="1:11" x14ac:dyDescent="0.25">
      <c r="A134" s="43">
        <v>1997</v>
      </c>
      <c r="B134" s="36" t="s">
        <v>27</v>
      </c>
      <c r="C134" s="36">
        <v>10</v>
      </c>
      <c r="D134" s="38" t="s">
        <v>425</v>
      </c>
      <c r="E134" s="38"/>
      <c r="F134" s="64">
        <v>4350</v>
      </c>
      <c r="G134" s="64"/>
      <c r="H134" s="43"/>
      <c r="I134" s="43"/>
      <c r="J134" s="43"/>
      <c r="K134" s="43"/>
    </row>
    <row r="135" spans="1:11" x14ac:dyDescent="0.25">
      <c r="A135" s="43">
        <v>1997</v>
      </c>
      <c r="B135" s="36" t="s">
        <v>27</v>
      </c>
      <c r="C135" s="36">
        <v>11</v>
      </c>
      <c r="D135" s="38" t="s">
        <v>425</v>
      </c>
      <c r="E135" s="38"/>
      <c r="F135" s="64">
        <v>4350</v>
      </c>
      <c r="G135" s="64"/>
      <c r="H135" s="43"/>
      <c r="I135" s="43"/>
      <c r="J135" s="43"/>
      <c r="K135" s="43"/>
    </row>
    <row r="136" spans="1:11" x14ac:dyDescent="0.25">
      <c r="A136" s="43">
        <v>1997</v>
      </c>
      <c r="B136" s="36" t="s">
        <v>27</v>
      </c>
      <c r="C136" s="36">
        <v>12</v>
      </c>
      <c r="D136" s="38" t="s">
        <v>425</v>
      </c>
      <c r="E136" s="38"/>
      <c r="F136" s="64">
        <v>4350</v>
      </c>
      <c r="G136" s="64"/>
      <c r="H136" s="43"/>
      <c r="I136" s="43"/>
      <c r="J136" s="43"/>
      <c r="K136" s="43"/>
    </row>
    <row r="137" spans="1:11" x14ac:dyDescent="0.25">
      <c r="A137" s="43">
        <v>1997</v>
      </c>
      <c r="B137" s="36" t="s">
        <v>27</v>
      </c>
      <c r="C137" s="36">
        <v>13</v>
      </c>
      <c r="D137" s="38" t="s">
        <v>425</v>
      </c>
      <c r="E137" s="38"/>
      <c r="F137" s="64">
        <v>4350</v>
      </c>
      <c r="G137" s="64"/>
      <c r="H137" s="43"/>
      <c r="I137" s="43"/>
      <c r="J137" s="43"/>
      <c r="K137" s="43"/>
    </row>
    <row r="138" spans="1:11" x14ac:dyDescent="0.25">
      <c r="A138" s="43">
        <v>1997</v>
      </c>
      <c r="B138" s="36" t="s">
        <v>27</v>
      </c>
      <c r="C138" s="36">
        <v>14</v>
      </c>
      <c r="D138" s="38" t="s">
        <v>425</v>
      </c>
      <c r="E138" s="38"/>
      <c r="F138" s="64">
        <v>4350</v>
      </c>
      <c r="G138" s="64"/>
      <c r="H138" s="43"/>
      <c r="I138" s="43"/>
      <c r="J138" s="43"/>
      <c r="K138" s="43"/>
    </row>
    <row r="139" spans="1:11" x14ac:dyDescent="0.25">
      <c r="A139" s="43">
        <v>1997</v>
      </c>
      <c r="B139" s="36" t="s">
        <v>27</v>
      </c>
      <c r="C139" s="36">
        <v>15</v>
      </c>
      <c r="D139" s="38" t="s">
        <v>425</v>
      </c>
      <c r="E139" s="38"/>
      <c r="F139" s="64">
        <v>4350</v>
      </c>
      <c r="G139" s="64"/>
      <c r="H139" s="43"/>
      <c r="I139" s="43"/>
      <c r="J139" s="43"/>
      <c r="K139" s="43"/>
    </row>
    <row r="140" spans="1:11" x14ac:dyDescent="0.25">
      <c r="A140" s="43">
        <v>1997</v>
      </c>
      <c r="B140" s="36" t="s">
        <v>27</v>
      </c>
      <c r="C140" s="36">
        <v>16</v>
      </c>
      <c r="D140" s="38" t="s">
        <v>425</v>
      </c>
      <c r="E140" s="38"/>
      <c r="F140" s="64">
        <v>4350</v>
      </c>
      <c r="G140" s="64"/>
      <c r="H140" s="43"/>
      <c r="I140" s="43"/>
      <c r="J140" s="43"/>
      <c r="K140" s="43"/>
    </row>
    <row r="141" spans="1:11" x14ac:dyDescent="0.25">
      <c r="A141" s="43">
        <v>1997</v>
      </c>
      <c r="B141" s="36" t="s">
        <v>27</v>
      </c>
      <c r="C141" s="36">
        <v>17</v>
      </c>
      <c r="D141" s="38" t="s">
        <v>128</v>
      </c>
      <c r="E141" s="38"/>
      <c r="F141" s="43">
        <v>4300</v>
      </c>
      <c r="G141" s="43"/>
      <c r="H141" s="43"/>
      <c r="I141" s="43"/>
      <c r="J141" s="43"/>
      <c r="K141" s="43"/>
    </row>
    <row r="142" spans="1:11" x14ac:dyDescent="0.25">
      <c r="A142" s="43">
        <v>1997</v>
      </c>
      <c r="B142" s="36" t="s">
        <v>27</v>
      </c>
      <c r="C142" s="36">
        <v>18</v>
      </c>
      <c r="D142" s="38" t="s">
        <v>128</v>
      </c>
      <c r="E142" s="38"/>
      <c r="F142" s="43">
        <v>4300</v>
      </c>
      <c r="G142" s="43"/>
      <c r="H142" s="43"/>
      <c r="I142" s="43"/>
      <c r="J142" s="43"/>
      <c r="K142" s="43"/>
    </row>
    <row r="143" spans="1:11" x14ac:dyDescent="0.25">
      <c r="A143" s="43">
        <v>1997</v>
      </c>
      <c r="B143" s="36" t="s">
        <v>27</v>
      </c>
      <c r="C143" s="36">
        <v>19</v>
      </c>
      <c r="D143" s="38" t="s">
        <v>128</v>
      </c>
      <c r="E143" s="38"/>
      <c r="F143" s="43">
        <v>4300</v>
      </c>
      <c r="G143" s="43"/>
      <c r="H143" s="43"/>
      <c r="I143" s="43"/>
      <c r="J143" s="43"/>
      <c r="K143" s="43"/>
    </row>
    <row r="144" spans="1:11" x14ac:dyDescent="0.25">
      <c r="A144" s="43">
        <v>1997</v>
      </c>
      <c r="B144" s="36" t="s">
        <v>27</v>
      </c>
      <c r="C144" s="36">
        <v>20</v>
      </c>
      <c r="D144" s="38" t="s">
        <v>128</v>
      </c>
      <c r="E144" s="38"/>
      <c r="F144" s="43">
        <v>4300</v>
      </c>
      <c r="G144" s="43"/>
      <c r="H144" s="43"/>
      <c r="I144" s="43"/>
      <c r="J144" s="43"/>
      <c r="K144" s="43"/>
    </row>
    <row r="145" spans="1:11" x14ac:dyDescent="0.25">
      <c r="A145" s="43">
        <v>1997</v>
      </c>
      <c r="B145" s="36" t="s">
        <v>27</v>
      </c>
      <c r="C145" s="36">
        <v>21</v>
      </c>
      <c r="D145" s="38" t="s">
        <v>128</v>
      </c>
      <c r="E145" s="38"/>
      <c r="F145" s="43">
        <v>4300</v>
      </c>
      <c r="G145" s="43"/>
      <c r="H145" s="43"/>
      <c r="I145" s="43"/>
      <c r="J145" s="43"/>
      <c r="K145" s="43"/>
    </row>
    <row r="146" spans="1:11" x14ac:dyDescent="0.25">
      <c r="A146" s="43">
        <v>1997</v>
      </c>
      <c r="B146" s="36" t="s">
        <v>27</v>
      </c>
      <c r="C146" s="36">
        <v>22</v>
      </c>
      <c r="D146" s="38" t="s">
        <v>128</v>
      </c>
      <c r="E146" s="38"/>
      <c r="F146" s="43">
        <v>4300</v>
      </c>
      <c r="G146" s="43"/>
      <c r="H146" s="43"/>
      <c r="I146" s="43"/>
      <c r="J146" s="43"/>
      <c r="K146" s="43"/>
    </row>
    <row r="147" spans="1:11" x14ac:dyDescent="0.25">
      <c r="A147" s="43">
        <v>1997</v>
      </c>
      <c r="B147" s="36" t="s">
        <v>27</v>
      </c>
      <c r="C147" s="36">
        <v>23</v>
      </c>
      <c r="D147" s="38" t="s">
        <v>128</v>
      </c>
      <c r="E147" s="38"/>
      <c r="F147" s="43">
        <v>4300</v>
      </c>
      <c r="G147" s="43"/>
      <c r="H147" s="43"/>
      <c r="I147" s="43"/>
      <c r="J147" s="43"/>
      <c r="K147" s="43"/>
    </row>
    <row r="148" spans="1:11" x14ac:dyDescent="0.25">
      <c r="A148" s="43">
        <v>1997</v>
      </c>
      <c r="B148" s="36" t="s">
        <v>27</v>
      </c>
      <c r="C148" s="36">
        <v>24</v>
      </c>
      <c r="D148" s="38" t="s">
        <v>128</v>
      </c>
      <c r="E148" s="38"/>
      <c r="F148" s="43">
        <v>4300</v>
      </c>
      <c r="G148" s="43"/>
      <c r="H148" s="43"/>
      <c r="I148" s="43"/>
      <c r="J148" s="43"/>
      <c r="K148" s="43"/>
    </row>
    <row r="149" spans="1:11" x14ac:dyDescent="0.25">
      <c r="A149" s="43">
        <v>1997</v>
      </c>
      <c r="B149" s="36" t="s">
        <v>27</v>
      </c>
      <c r="C149" s="36">
        <v>25</v>
      </c>
      <c r="D149" s="38" t="s">
        <v>128</v>
      </c>
      <c r="E149" s="38"/>
      <c r="F149" s="43">
        <v>4300</v>
      </c>
      <c r="G149" s="43"/>
      <c r="H149" s="43"/>
      <c r="I149" s="43"/>
      <c r="J149" s="43"/>
      <c r="K149" s="43"/>
    </row>
    <row r="150" spans="1:11" x14ac:dyDescent="0.25">
      <c r="A150" s="43">
        <v>1997</v>
      </c>
      <c r="B150" s="36" t="s">
        <v>27</v>
      </c>
      <c r="C150" s="36">
        <v>26</v>
      </c>
      <c r="D150" s="38" t="s">
        <v>128</v>
      </c>
      <c r="E150" s="38"/>
      <c r="F150" s="43">
        <v>4300</v>
      </c>
      <c r="G150" s="43"/>
      <c r="H150" s="43"/>
      <c r="I150" s="43"/>
      <c r="J150" s="43"/>
      <c r="K150" s="43"/>
    </row>
    <row r="151" spans="1:11" x14ac:dyDescent="0.25">
      <c r="A151" s="43">
        <v>1997</v>
      </c>
      <c r="B151" s="36" t="s">
        <v>27</v>
      </c>
      <c r="C151" s="36">
        <v>27</v>
      </c>
      <c r="D151" s="38" t="s">
        <v>132</v>
      </c>
      <c r="E151" s="38"/>
      <c r="F151" s="65">
        <v>4250</v>
      </c>
      <c r="G151" s="65"/>
      <c r="H151" s="43"/>
      <c r="I151" s="43"/>
      <c r="J151" s="43"/>
      <c r="K151" s="43"/>
    </row>
    <row r="152" spans="1:11" x14ac:dyDescent="0.25">
      <c r="A152" s="43">
        <v>1997</v>
      </c>
      <c r="B152" s="36" t="s">
        <v>27</v>
      </c>
      <c r="C152" s="36">
        <v>28</v>
      </c>
      <c r="D152" s="38" t="s">
        <v>132</v>
      </c>
      <c r="E152" s="38"/>
      <c r="F152" s="65">
        <v>4250</v>
      </c>
      <c r="G152" s="65"/>
      <c r="H152" s="43"/>
      <c r="I152" s="43"/>
      <c r="J152" s="43"/>
      <c r="K152" s="43"/>
    </row>
    <row r="153" spans="1:11" x14ac:dyDescent="0.25">
      <c r="A153" s="43">
        <v>1997</v>
      </c>
      <c r="B153" s="36" t="s">
        <v>27</v>
      </c>
      <c r="C153" s="36">
        <v>29</v>
      </c>
      <c r="D153" s="38" t="s">
        <v>132</v>
      </c>
      <c r="E153" s="38"/>
      <c r="F153" s="65">
        <v>4250</v>
      </c>
      <c r="G153" s="65"/>
      <c r="H153" s="43"/>
      <c r="I153" s="43"/>
      <c r="J153" s="43"/>
      <c r="K153" s="43"/>
    </row>
    <row r="154" spans="1:11" x14ac:dyDescent="0.25">
      <c r="A154" s="43">
        <v>1997</v>
      </c>
      <c r="B154" s="36" t="s">
        <v>27</v>
      </c>
      <c r="C154" s="36">
        <v>30</v>
      </c>
      <c r="D154" s="38" t="s">
        <v>132</v>
      </c>
      <c r="E154" s="38"/>
      <c r="F154" s="65">
        <v>4250</v>
      </c>
      <c r="G154" s="65"/>
      <c r="H154" s="43"/>
      <c r="I154" s="43"/>
      <c r="J154" s="43"/>
      <c r="K154" s="43"/>
    </row>
    <row r="155" spans="1:11" x14ac:dyDescent="0.25">
      <c r="A155" s="43">
        <v>1997</v>
      </c>
      <c r="B155" s="36" t="s">
        <v>27</v>
      </c>
      <c r="C155" s="36">
        <v>31</v>
      </c>
      <c r="D155" s="38" t="s">
        <v>132</v>
      </c>
      <c r="E155" s="38"/>
      <c r="F155" s="65">
        <v>4250</v>
      </c>
      <c r="G155" s="65"/>
      <c r="H155" s="43"/>
      <c r="I155" s="43"/>
      <c r="J155" s="43"/>
      <c r="K155" s="43"/>
    </row>
    <row r="156" spans="1:11" x14ac:dyDescent="0.25">
      <c r="A156" s="43">
        <v>1997</v>
      </c>
      <c r="B156" s="36" t="s">
        <v>28</v>
      </c>
      <c r="C156" s="36">
        <v>1</v>
      </c>
      <c r="D156" s="38" t="s">
        <v>290</v>
      </c>
      <c r="E156" s="40">
        <v>0.79</v>
      </c>
      <c r="F156" s="64">
        <v>4100</v>
      </c>
      <c r="G156" s="64"/>
      <c r="H156" s="43"/>
      <c r="I156" s="43"/>
      <c r="J156" s="43"/>
      <c r="K156" s="43"/>
    </row>
    <row r="157" spans="1:11" x14ac:dyDescent="0.25">
      <c r="A157" s="43">
        <v>1997</v>
      </c>
      <c r="B157" s="36" t="s">
        <v>28</v>
      </c>
      <c r="C157" s="36">
        <v>2</v>
      </c>
      <c r="D157" s="38" t="s">
        <v>290</v>
      </c>
      <c r="E157" s="40">
        <v>0.79</v>
      </c>
      <c r="F157" s="64">
        <v>4100</v>
      </c>
      <c r="G157" s="64"/>
      <c r="H157" s="43"/>
      <c r="I157" s="43"/>
      <c r="J157" s="43"/>
      <c r="K157" s="43"/>
    </row>
    <row r="158" spans="1:11" x14ac:dyDescent="0.25">
      <c r="A158" s="43">
        <v>1997</v>
      </c>
      <c r="B158" s="36" t="s">
        <v>28</v>
      </c>
      <c r="C158" s="36">
        <v>3</v>
      </c>
      <c r="D158" s="38" t="s">
        <v>290</v>
      </c>
      <c r="E158" s="40">
        <v>0.79</v>
      </c>
      <c r="F158" s="64">
        <v>4100</v>
      </c>
      <c r="G158" s="64"/>
      <c r="H158" s="43"/>
      <c r="I158" s="43"/>
      <c r="J158" s="43"/>
      <c r="K158" s="43"/>
    </row>
    <row r="159" spans="1:11" x14ac:dyDescent="0.25">
      <c r="A159" s="43">
        <v>1997</v>
      </c>
      <c r="B159" s="36" t="s">
        <v>28</v>
      </c>
      <c r="C159" s="36">
        <v>4</v>
      </c>
      <c r="D159" s="38" t="s">
        <v>290</v>
      </c>
      <c r="E159" s="40">
        <v>0.79</v>
      </c>
      <c r="F159" s="64">
        <v>4100</v>
      </c>
      <c r="G159" s="64"/>
      <c r="H159" s="43"/>
      <c r="I159" s="43"/>
      <c r="J159" s="43"/>
      <c r="K159" s="43"/>
    </row>
    <row r="160" spans="1:11" x14ac:dyDescent="0.25">
      <c r="A160" s="43">
        <v>1997</v>
      </c>
      <c r="B160" s="36" t="s">
        <v>28</v>
      </c>
      <c r="C160" s="36">
        <v>5</v>
      </c>
      <c r="D160" s="38" t="s">
        <v>290</v>
      </c>
      <c r="E160" s="40">
        <v>0.79</v>
      </c>
      <c r="F160" s="64">
        <v>4100</v>
      </c>
      <c r="G160" s="64"/>
      <c r="H160" s="43"/>
      <c r="I160" s="43"/>
      <c r="J160" s="43"/>
      <c r="K160" s="43"/>
    </row>
    <row r="161" spans="1:11" x14ac:dyDescent="0.25">
      <c r="A161" s="43">
        <v>1997</v>
      </c>
      <c r="B161" s="36" t="s">
        <v>28</v>
      </c>
      <c r="C161" s="36">
        <v>6</v>
      </c>
      <c r="D161" s="38" t="s">
        <v>290</v>
      </c>
      <c r="E161" s="40">
        <v>0.79</v>
      </c>
      <c r="F161" s="64">
        <v>4100</v>
      </c>
      <c r="G161" s="64"/>
      <c r="H161" s="43"/>
      <c r="I161" s="43"/>
      <c r="J161" s="43"/>
      <c r="K161" s="43"/>
    </row>
    <row r="162" spans="1:11" x14ac:dyDescent="0.25">
      <c r="A162" s="43">
        <v>1997</v>
      </c>
      <c r="B162" s="36" t="s">
        <v>28</v>
      </c>
      <c r="C162" s="36">
        <v>7</v>
      </c>
      <c r="D162" s="38" t="s">
        <v>290</v>
      </c>
      <c r="E162" s="40">
        <v>0.79</v>
      </c>
      <c r="F162" s="64">
        <v>4100</v>
      </c>
      <c r="G162" s="64"/>
      <c r="H162" s="43"/>
      <c r="I162" s="43"/>
      <c r="J162" s="43"/>
      <c r="K162" s="43"/>
    </row>
    <row r="163" spans="1:11" x14ac:dyDescent="0.25">
      <c r="A163" s="43">
        <v>1997</v>
      </c>
      <c r="B163" s="36" t="s">
        <v>28</v>
      </c>
      <c r="C163" s="36">
        <v>8</v>
      </c>
      <c r="D163" s="38" t="s">
        <v>290</v>
      </c>
      <c r="E163" s="40">
        <v>0.79</v>
      </c>
      <c r="F163" s="64">
        <v>4100</v>
      </c>
      <c r="G163" s="64"/>
      <c r="H163" s="43"/>
      <c r="I163" s="43"/>
      <c r="J163" s="43"/>
      <c r="K163" s="43"/>
    </row>
    <row r="164" spans="1:11" x14ac:dyDescent="0.25">
      <c r="A164" s="43">
        <v>1997</v>
      </c>
      <c r="B164" s="36" t="s">
        <v>28</v>
      </c>
      <c r="C164" s="36">
        <v>9</v>
      </c>
      <c r="D164" s="38" t="s">
        <v>124</v>
      </c>
      <c r="E164" s="40">
        <v>0.79</v>
      </c>
      <c r="F164" s="43">
        <v>4000</v>
      </c>
      <c r="G164" s="43"/>
      <c r="H164" s="43"/>
      <c r="I164" s="43"/>
      <c r="J164" s="43"/>
      <c r="K164" s="43"/>
    </row>
    <row r="165" spans="1:11" x14ac:dyDescent="0.25">
      <c r="A165" s="43">
        <v>1997</v>
      </c>
      <c r="B165" s="36" t="s">
        <v>28</v>
      </c>
      <c r="C165" s="36">
        <v>10</v>
      </c>
      <c r="D165" s="38" t="s">
        <v>124</v>
      </c>
      <c r="E165" s="40">
        <v>0.79</v>
      </c>
      <c r="F165" s="43">
        <v>4000</v>
      </c>
      <c r="G165" s="43"/>
      <c r="H165" s="43"/>
      <c r="I165" s="43"/>
      <c r="J165" s="43"/>
      <c r="K165" s="43"/>
    </row>
    <row r="166" spans="1:11" x14ac:dyDescent="0.25">
      <c r="A166" s="43">
        <v>1997</v>
      </c>
      <c r="B166" s="36" t="s">
        <v>28</v>
      </c>
      <c r="C166" s="36">
        <v>11</v>
      </c>
      <c r="D166" s="38" t="s">
        <v>124</v>
      </c>
      <c r="E166" s="40">
        <v>0.79</v>
      </c>
      <c r="F166" s="43">
        <v>4000</v>
      </c>
      <c r="G166" s="43"/>
      <c r="H166" s="43"/>
      <c r="I166" s="43"/>
      <c r="J166" s="43"/>
      <c r="K166" s="43"/>
    </row>
    <row r="167" spans="1:11" x14ac:dyDescent="0.25">
      <c r="A167" s="43">
        <v>1997</v>
      </c>
      <c r="B167" s="36" t="s">
        <v>28</v>
      </c>
      <c r="C167" s="36">
        <v>12</v>
      </c>
      <c r="D167" s="40">
        <v>2.5</v>
      </c>
      <c r="E167" s="40">
        <v>0.79</v>
      </c>
      <c r="F167" s="40">
        <v>3900</v>
      </c>
      <c r="G167" s="38"/>
      <c r="H167" s="43"/>
      <c r="I167" s="43"/>
      <c r="J167" s="43"/>
      <c r="K167" s="43"/>
    </row>
    <row r="168" spans="1:11" x14ac:dyDescent="0.25">
      <c r="A168" s="43">
        <v>1997</v>
      </c>
      <c r="B168" s="36" t="s">
        <v>28</v>
      </c>
      <c r="C168" s="36">
        <v>13</v>
      </c>
      <c r="D168" s="40">
        <v>2.5</v>
      </c>
      <c r="E168" s="40">
        <v>0.79</v>
      </c>
      <c r="F168" s="40">
        <v>3900</v>
      </c>
      <c r="G168" s="38"/>
      <c r="H168" s="43"/>
      <c r="I168" s="43"/>
      <c r="J168" s="43"/>
      <c r="K168" s="43"/>
    </row>
    <row r="169" spans="1:11" x14ac:dyDescent="0.25">
      <c r="A169" s="43">
        <v>1997</v>
      </c>
      <c r="B169" s="36" t="s">
        <v>28</v>
      </c>
      <c r="C169" s="36">
        <v>14</v>
      </c>
      <c r="D169" s="40">
        <v>2.5</v>
      </c>
      <c r="E169" s="40">
        <v>0.79</v>
      </c>
      <c r="F169" s="40">
        <v>3900</v>
      </c>
      <c r="G169" s="38"/>
      <c r="H169" s="43"/>
      <c r="I169" s="43"/>
      <c r="J169" s="43"/>
      <c r="K169" s="43"/>
    </row>
    <row r="170" spans="1:11" x14ac:dyDescent="0.25">
      <c r="A170" s="43">
        <v>1997</v>
      </c>
      <c r="B170" s="36" t="s">
        <v>28</v>
      </c>
      <c r="C170" s="36">
        <v>15</v>
      </c>
      <c r="D170" s="40">
        <v>2.5</v>
      </c>
      <c r="E170" s="40">
        <v>0.74</v>
      </c>
      <c r="F170" s="40">
        <v>3900</v>
      </c>
      <c r="G170" s="38"/>
      <c r="H170" s="43"/>
      <c r="I170" s="43"/>
      <c r="J170" s="43"/>
      <c r="K170" s="43"/>
    </row>
    <row r="171" spans="1:11" x14ac:dyDescent="0.25">
      <c r="A171" s="43">
        <v>1997</v>
      </c>
      <c r="B171" s="36" t="s">
        <v>28</v>
      </c>
      <c r="C171" s="36">
        <v>16</v>
      </c>
      <c r="D171" s="40">
        <v>2.5</v>
      </c>
      <c r="E171" s="40">
        <v>0.74</v>
      </c>
      <c r="F171" s="40">
        <v>3900</v>
      </c>
      <c r="G171" s="38"/>
      <c r="H171" s="43"/>
      <c r="I171" s="43"/>
      <c r="J171" s="43"/>
      <c r="K171" s="43"/>
    </row>
    <row r="172" spans="1:11" x14ac:dyDescent="0.25">
      <c r="A172" s="43">
        <v>1997</v>
      </c>
      <c r="B172" s="36" t="s">
        <v>28</v>
      </c>
      <c r="C172" s="36">
        <v>17</v>
      </c>
      <c r="D172" s="40">
        <v>2.5</v>
      </c>
      <c r="E172" s="40">
        <v>0.74</v>
      </c>
      <c r="F172" s="40">
        <v>3900</v>
      </c>
      <c r="G172" s="38"/>
      <c r="H172" s="43"/>
      <c r="I172" s="43"/>
      <c r="J172" s="43"/>
      <c r="K172" s="43"/>
    </row>
    <row r="173" spans="1:11" x14ac:dyDescent="0.25">
      <c r="A173" s="43">
        <v>1997</v>
      </c>
      <c r="B173" s="36" t="s">
        <v>28</v>
      </c>
      <c r="C173" s="36">
        <v>18</v>
      </c>
      <c r="D173" s="40">
        <v>2.4</v>
      </c>
      <c r="E173" s="40">
        <v>0.74</v>
      </c>
      <c r="F173" s="40">
        <v>3800</v>
      </c>
      <c r="G173" s="38"/>
      <c r="H173" s="43"/>
      <c r="I173" s="43"/>
      <c r="J173" s="43"/>
      <c r="K173" s="43"/>
    </row>
    <row r="174" spans="1:11" x14ac:dyDescent="0.25">
      <c r="A174" s="43">
        <v>1997</v>
      </c>
      <c r="B174" s="36" t="s">
        <v>28</v>
      </c>
      <c r="C174" s="36">
        <v>19</v>
      </c>
      <c r="D174" s="66">
        <v>2</v>
      </c>
      <c r="E174" s="40">
        <v>0.74</v>
      </c>
      <c r="F174" s="40">
        <v>3600</v>
      </c>
      <c r="G174" s="38"/>
      <c r="H174" s="43"/>
      <c r="I174" s="43"/>
      <c r="J174" s="43"/>
      <c r="K174" s="43"/>
    </row>
    <row r="175" spans="1:11" x14ac:dyDescent="0.25">
      <c r="A175" s="43">
        <v>1997</v>
      </c>
      <c r="B175" s="36" t="s">
        <v>28</v>
      </c>
      <c r="C175" s="36">
        <v>20</v>
      </c>
      <c r="D175" s="66">
        <v>2</v>
      </c>
      <c r="E175" s="40">
        <v>0.74</v>
      </c>
      <c r="F175" s="40">
        <v>3600</v>
      </c>
      <c r="G175" s="38"/>
      <c r="H175" s="43"/>
      <c r="I175" s="43"/>
      <c r="J175" s="43"/>
      <c r="K175" s="43"/>
    </row>
    <row r="176" spans="1:11" x14ac:dyDescent="0.25">
      <c r="A176" s="43">
        <v>1997</v>
      </c>
      <c r="B176" s="36" t="s">
        <v>28</v>
      </c>
      <c r="C176" s="36">
        <v>21</v>
      </c>
      <c r="D176" s="66">
        <v>2</v>
      </c>
      <c r="E176" s="40">
        <v>0.74</v>
      </c>
      <c r="F176" s="40">
        <v>3600</v>
      </c>
      <c r="G176" s="38"/>
      <c r="H176" s="43"/>
      <c r="I176" s="43"/>
      <c r="J176" s="43"/>
      <c r="K176" s="43"/>
    </row>
    <row r="177" spans="1:11" x14ac:dyDescent="0.25">
      <c r="A177" s="43">
        <v>1997</v>
      </c>
      <c r="B177" s="36" t="s">
        <v>28</v>
      </c>
      <c r="C177" s="36">
        <v>22</v>
      </c>
      <c r="D177" s="66">
        <v>2</v>
      </c>
      <c r="E177" s="40">
        <v>0.61</v>
      </c>
      <c r="F177" s="40">
        <v>3600</v>
      </c>
      <c r="G177" s="38"/>
      <c r="H177" s="43"/>
      <c r="I177" s="43"/>
      <c r="J177" s="43"/>
      <c r="K177" s="43"/>
    </row>
    <row r="178" spans="1:11" x14ac:dyDescent="0.25">
      <c r="A178" s="43">
        <v>1997</v>
      </c>
      <c r="B178" s="36" t="s">
        <v>28</v>
      </c>
      <c r="C178" s="36">
        <v>23</v>
      </c>
      <c r="D178" s="66">
        <v>2</v>
      </c>
      <c r="E178" s="40">
        <v>0.61</v>
      </c>
      <c r="F178" s="40">
        <v>3600</v>
      </c>
      <c r="G178" s="38"/>
      <c r="H178" s="43"/>
      <c r="I178" s="43"/>
      <c r="J178" s="43"/>
      <c r="K178" s="43"/>
    </row>
    <row r="179" spans="1:11" x14ac:dyDescent="0.25">
      <c r="A179" s="43">
        <v>1997</v>
      </c>
      <c r="B179" s="36" t="s">
        <v>28</v>
      </c>
      <c r="C179" s="36">
        <v>24</v>
      </c>
      <c r="D179" s="38">
        <v>1.1100000000000001</v>
      </c>
      <c r="E179" s="40">
        <v>0.61</v>
      </c>
      <c r="F179" s="40">
        <v>3550</v>
      </c>
      <c r="G179" s="38"/>
      <c r="H179" s="43"/>
      <c r="I179" s="43"/>
      <c r="J179" s="43"/>
      <c r="K179" s="43"/>
    </row>
    <row r="180" spans="1:11" x14ac:dyDescent="0.25">
      <c r="A180" s="43">
        <v>1997</v>
      </c>
      <c r="B180" s="36" t="s">
        <v>28</v>
      </c>
      <c r="C180" s="36">
        <v>25</v>
      </c>
      <c r="D180" s="38">
        <v>1.1100000000000001</v>
      </c>
      <c r="E180" s="40">
        <v>0.61</v>
      </c>
      <c r="F180" s="40">
        <v>3550</v>
      </c>
      <c r="G180" s="38"/>
      <c r="H180" s="43"/>
      <c r="I180" s="43"/>
      <c r="J180" s="43"/>
      <c r="K180" s="43"/>
    </row>
    <row r="181" spans="1:11" x14ac:dyDescent="0.25">
      <c r="A181" s="43">
        <v>1997</v>
      </c>
      <c r="B181" s="36" t="s">
        <v>28</v>
      </c>
      <c r="C181" s="36">
        <v>26</v>
      </c>
      <c r="D181" s="38">
        <v>1.1100000000000001</v>
      </c>
      <c r="E181" s="40">
        <v>0.61</v>
      </c>
      <c r="F181" s="40">
        <v>3550</v>
      </c>
      <c r="G181" s="38"/>
      <c r="H181" s="43"/>
      <c r="I181" s="43"/>
      <c r="J181" s="43"/>
      <c r="K181" s="43"/>
    </row>
    <row r="182" spans="1:11" x14ac:dyDescent="0.25">
      <c r="A182" s="43">
        <v>1997</v>
      </c>
      <c r="B182" s="36" t="s">
        <v>28</v>
      </c>
      <c r="C182" s="36">
        <v>27</v>
      </c>
      <c r="D182" s="38">
        <v>1.1100000000000001</v>
      </c>
      <c r="E182" s="40">
        <v>0.61</v>
      </c>
      <c r="F182" s="40">
        <v>3550</v>
      </c>
      <c r="G182" s="38"/>
      <c r="H182" s="43"/>
      <c r="I182" s="43"/>
      <c r="J182" s="43"/>
      <c r="K182" s="43"/>
    </row>
    <row r="183" spans="1:11" x14ac:dyDescent="0.25">
      <c r="A183" s="43">
        <v>1997</v>
      </c>
      <c r="B183" s="36" t="s">
        <v>28</v>
      </c>
      <c r="C183" s="36">
        <v>28</v>
      </c>
      <c r="D183" s="38">
        <v>1.1100000000000001</v>
      </c>
      <c r="E183" s="40">
        <v>0.61</v>
      </c>
      <c r="F183" s="40">
        <v>3550</v>
      </c>
      <c r="G183" s="38"/>
      <c r="H183" s="43"/>
      <c r="I183" s="43"/>
      <c r="J183" s="43"/>
      <c r="K183" s="43"/>
    </row>
    <row r="184" spans="1:11" x14ac:dyDescent="0.25">
      <c r="A184" s="43">
        <v>1997</v>
      </c>
      <c r="B184" s="36" t="s">
        <v>28</v>
      </c>
      <c r="C184" s="36">
        <v>29</v>
      </c>
      <c r="D184" s="38">
        <v>1.1100000000000001</v>
      </c>
      <c r="E184" s="40">
        <v>0.59</v>
      </c>
      <c r="F184" s="40">
        <v>3550</v>
      </c>
      <c r="G184" s="38"/>
      <c r="H184" s="43"/>
      <c r="I184" s="43"/>
      <c r="J184" s="43"/>
      <c r="K184" s="43"/>
    </row>
    <row r="185" spans="1:11" x14ac:dyDescent="0.25">
      <c r="A185" s="43">
        <v>1997</v>
      </c>
      <c r="B185" s="36" t="s">
        <v>28</v>
      </c>
      <c r="C185" s="36">
        <v>30</v>
      </c>
      <c r="D185" s="40">
        <v>1.1000000000000001</v>
      </c>
      <c r="E185" s="40">
        <v>0.59</v>
      </c>
      <c r="F185" s="40">
        <v>3500</v>
      </c>
      <c r="G185" s="38"/>
      <c r="H185" s="43"/>
      <c r="I185" s="43"/>
      <c r="J185" s="43"/>
      <c r="K185" s="43"/>
    </row>
    <row r="186" spans="1:11" x14ac:dyDescent="0.25">
      <c r="A186" s="43">
        <v>1997</v>
      </c>
      <c r="B186" s="36" t="s">
        <v>29</v>
      </c>
      <c r="C186" s="36">
        <v>1</v>
      </c>
      <c r="D186" s="40">
        <v>1.1100000000000001</v>
      </c>
      <c r="E186" s="40">
        <v>0.53</v>
      </c>
      <c r="F186" s="43">
        <v>3500</v>
      </c>
      <c r="G186" s="43">
        <v>4.24</v>
      </c>
      <c r="H186" s="43"/>
      <c r="I186" s="43"/>
      <c r="J186" s="43"/>
      <c r="K186" s="43"/>
    </row>
    <row r="187" spans="1:11" x14ac:dyDescent="0.25">
      <c r="A187" s="43">
        <v>1997</v>
      </c>
      <c r="B187" s="36" t="s">
        <v>29</v>
      </c>
      <c r="C187" s="36">
        <v>2</v>
      </c>
      <c r="D187" s="38" t="s">
        <v>317</v>
      </c>
      <c r="E187" s="40">
        <v>0.53</v>
      </c>
      <c r="F187" s="43">
        <v>3500</v>
      </c>
      <c r="G187" s="43">
        <v>4.24</v>
      </c>
      <c r="H187" s="43"/>
      <c r="I187" s="43"/>
      <c r="J187" s="43"/>
      <c r="K187" s="43"/>
    </row>
    <row r="188" spans="1:11" x14ac:dyDescent="0.25">
      <c r="A188" s="43">
        <v>1997</v>
      </c>
      <c r="B188" s="36" t="s">
        <v>29</v>
      </c>
      <c r="C188" s="36">
        <v>3</v>
      </c>
      <c r="D188" s="38" t="s">
        <v>319</v>
      </c>
      <c r="E188" s="40">
        <v>0.53</v>
      </c>
      <c r="F188" s="43">
        <v>3450</v>
      </c>
      <c r="G188" s="43">
        <v>4.24</v>
      </c>
      <c r="H188" s="43"/>
      <c r="I188" s="43"/>
      <c r="J188" s="43"/>
      <c r="K188" s="43"/>
    </row>
    <row r="189" spans="1:11" x14ac:dyDescent="0.25">
      <c r="A189" s="43">
        <v>1997</v>
      </c>
      <c r="B189" s="36" t="s">
        <v>29</v>
      </c>
      <c r="C189" s="36">
        <v>4</v>
      </c>
      <c r="D189" s="38" t="s">
        <v>319</v>
      </c>
      <c r="E189" s="40">
        <v>0.53</v>
      </c>
      <c r="F189" s="43">
        <v>3450</v>
      </c>
      <c r="G189" s="43">
        <v>4.24</v>
      </c>
      <c r="H189" s="43"/>
      <c r="I189" s="43"/>
      <c r="J189" s="43"/>
      <c r="K189" s="43"/>
    </row>
    <row r="190" spans="1:11" x14ac:dyDescent="0.25">
      <c r="A190" s="43">
        <v>1997</v>
      </c>
      <c r="B190" s="36" t="s">
        <v>29</v>
      </c>
      <c r="C190" s="36">
        <v>5</v>
      </c>
      <c r="D190" s="38" t="s">
        <v>319</v>
      </c>
      <c r="E190" s="40">
        <v>0.53</v>
      </c>
      <c r="F190" s="43">
        <v>3450</v>
      </c>
      <c r="G190" s="43">
        <v>4.24</v>
      </c>
      <c r="H190" s="43"/>
      <c r="I190" s="43"/>
      <c r="J190" s="43"/>
      <c r="K190" s="43"/>
    </row>
    <row r="191" spans="1:11" x14ac:dyDescent="0.25">
      <c r="A191" s="43">
        <v>1997</v>
      </c>
      <c r="B191" s="36" t="s">
        <v>29</v>
      </c>
      <c r="C191" s="36">
        <v>6</v>
      </c>
      <c r="D191" s="38" t="s">
        <v>319</v>
      </c>
      <c r="E191" s="40">
        <v>0.53</v>
      </c>
      <c r="F191" s="43">
        <v>3450</v>
      </c>
      <c r="G191" s="43">
        <v>4.24</v>
      </c>
      <c r="H191" s="43"/>
      <c r="I191" s="43"/>
      <c r="J191" s="43"/>
      <c r="K191" s="43"/>
    </row>
    <row r="192" spans="1:11" x14ac:dyDescent="0.25">
      <c r="A192" s="43">
        <v>1997</v>
      </c>
      <c r="B192" s="36" t="s">
        <v>29</v>
      </c>
      <c r="C192" s="36">
        <v>7</v>
      </c>
      <c r="D192" s="38" t="s">
        <v>321</v>
      </c>
      <c r="E192" s="40">
        <v>0.53</v>
      </c>
      <c r="F192" s="65">
        <v>3400</v>
      </c>
      <c r="G192" s="43">
        <v>4.24</v>
      </c>
      <c r="H192" s="43"/>
      <c r="I192" s="43"/>
      <c r="J192" s="43"/>
      <c r="K192" s="43"/>
    </row>
    <row r="193" spans="1:11" x14ac:dyDescent="0.25">
      <c r="A193" s="43">
        <v>1997</v>
      </c>
      <c r="B193" s="36" t="s">
        <v>29</v>
      </c>
      <c r="C193" s="36">
        <v>8</v>
      </c>
      <c r="D193" s="38" t="s">
        <v>321</v>
      </c>
      <c r="E193" s="40">
        <v>0.53</v>
      </c>
      <c r="F193" s="65">
        <v>3400</v>
      </c>
      <c r="G193" s="43">
        <v>4.24</v>
      </c>
      <c r="H193" s="43"/>
      <c r="I193" s="43"/>
      <c r="J193" s="43"/>
      <c r="K193" s="43"/>
    </row>
    <row r="194" spans="1:11" x14ac:dyDescent="0.25">
      <c r="A194" s="43">
        <v>1997</v>
      </c>
      <c r="B194" s="36" t="s">
        <v>29</v>
      </c>
      <c r="C194" s="36">
        <v>9</v>
      </c>
      <c r="D194" s="38" t="s">
        <v>321</v>
      </c>
      <c r="E194" s="40">
        <v>0.53</v>
      </c>
      <c r="F194" s="65">
        <v>3400</v>
      </c>
      <c r="G194" s="43">
        <v>4.24</v>
      </c>
      <c r="H194" s="43"/>
      <c r="I194" s="43"/>
      <c r="J194" s="43"/>
      <c r="K194" s="43"/>
    </row>
    <row r="195" spans="1:11" x14ac:dyDescent="0.25">
      <c r="A195" s="43">
        <v>1997</v>
      </c>
      <c r="B195" s="36" t="s">
        <v>29</v>
      </c>
      <c r="C195" s="36">
        <v>10</v>
      </c>
      <c r="D195" s="38" t="s">
        <v>426</v>
      </c>
      <c r="E195" s="40">
        <v>0.53</v>
      </c>
      <c r="F195" s="65">
        <v>3300</v>
      </c>
      <c r="G195" s="43">
        <v>4.24</v>
      </c>
      <c r="H195" s="43"/>
      <c r="I195" s="43"/>
      <c r="J195" s="43"/>
      <c r="K195" s="43"/>
    </row>
    <row r="196" spans="1:11" x14ac:dyDescent="0.25">
      <c r="A196" s="43">
        <v>1997</v>
      </c>
      <c r="B196" s="36" t="s">
        <v>29</v>
      </c>
      <c r="C196" s="36">
        <v>11</v>
      </c>
      <c r="D196" s="38" t="s">
        <v>426</v>
      </c>
      <c r="E196" s="40">
        <v>0.53</v>
      </c>
      <c r="F196" s="65">
        <v>3300</v>
      </c>
      <c r="G196" s="43">
        <v>4.24</v>
      </c>
      <c r="H196" s="43"/>
      <c r="I196" s="43"/>
      <c r="J196" s="43"/>
      <c r="K196" s="43"/>
    </row>
    <row r="197" spans="1:11" x14ac:dyDescent="0.25">
      <c r="A197" s="43">
        <v>1997</v>
      </c>
      <c r="B197" s="36" t="s">
        <v>29</v>
      </c>
      <c r="C197" s="36">
        <v>12</v>
      </c>
      <c r="D197" s="38" t="s">
        <v>426</v>
      </c>
      <c r="E197" s="40">
        <v>0.53</v>
      </c>
      <c r="F197" s="65">
        <v>3300</v>
      </c>
      <c r="G197" s="43">
        <v>4.24</v>
      </c>
      <c r="H197" s="43"/>
      <c r="I197" s="43"/>
      <c r="J197" s="43"/>
      <c r="K197" s="43"/>
    </row>
    <row r="198" spans="1:11" x14ac:dyDescent="0.25">
      <c r="A198" s="43">
        <v>1997</v>
      </c>
      <c r="B198" s="36" t="s">
        <v>29</v>
      </c>
      <c r="C198" s="36">
        <v>13</v>
      </c>
      <c r="D198" s="38" t="s">
        <v>426</v>
      </c>
      <c r="E198" s="40">
        <v>0.48</v>
      </c>
      <c r="F198" s="43">
        <v>3300</v>
      </c>
      <c r="G198" s="43">
        <v>4.24</v>
      </c>
      <c r="H198" s="43"/>
      <c r="I198" s="43"/>
      <c r="J198" s="43"/>
      <c r="K198" s="43"/>
    </row>
    <row r="199" spans="1:11" x14ac:dyDescent="0.25">
      <c r="A199" s="43">
        <v>1997</v>
      </c>
      <c r="B199" s="36" t="s">
        <v>29</v>
      </c>
      <c r="C199" s="36">
        <v>14</v>
      </c>
      <c r="D199" s="38" t="s">
        <v>417</v>
      </c>
      <c r="E199" s="40">
        <v>0.48</v>
      </c>
      <c r="F199" s="65">
        <v>3250</v>
      </c>
      <c r="G199" s="65">
        <v>4.0599999999999996</v>
      </c>
      <c r="H199" s="43"/>
      <c r="I199" s="43"/>
      <c r="J199" s="43"/>
      <c r="K199" s="43"/>
    </row>
    <row r="200" spans="1:11" x14ac:dyDescent="0.25">
      <c r="A200" s="43">
        <v>1997</v>
      </c>
      <c r="B200" s="36" t="s">
        <v>29</v>
      </c>
      <c r="C200" s="36">
        <v>15</v>
      </c>
      <c r="D200" s="38" t="s">
        <v>417</v>
      </c>
      <c r="E200" s="40">
        <v>0.48</v>
      </c>
      <c r="F200" s="65">
        <v>3250</v>
      </c>
      <c r="G200" s="65">
        <v>4.0599999999999996</v>
      </c>
      <c r="H200" s="43"/>
      <c r="I200" s="43"/>
      <c r="J200" s="43"/>
      <c r="K200" s="43"/>
    </row>
    <row r="201" spans="1:11" x14ac:dyDescent="0.25">
      <c r="A201" s="43">
        <v>1997</v>
      </c>
      <c r="B201" s="36" t="s">
        <v>29</v>
      </c>
      <c r="C201" s="36">
        <v>16</v>
      </c>
      <c r="D201" s="38" t="s">
        <v>417</v>
      </c>
      <c r="E201" s="40">
        <v>0.48</v>
      </c>
      <c r="F201" s="43">
        <v>3250</v>
      </c>
      <c r="G201" s="65">
        <v>4.0599999999999996</v>
      </c>
      <c r="H201" s="43"/>
      <c r="I201" s="43"/>
      <c r="J201" s="43"/>
      <c r="K201" s="43"/>
    </row>
    <row r="202" spans="1:11" x14ac:dyDescent="0.25">
      <c r="A202" s="43">
        <v>1997</v>
      </c>
      <c r="B202" s="36" t="s">
        <v>29</v>
      </c>
      <c r="C202" s="36">
        <v>17</v>
      </c>
      <c r="D202" s="38" t="s">
        <v>427</v>
      </c>
      <c r="E202" s="40">
        <v>0.48</v>
      </c>
      <c r="F202" s="65">
        <v>3200</v>
      </c>
      <c r="G202" s="65">
        <v>4.0599999999999996</v>
      </c>
      <c r="H202" s="43"/>
      <c r="I202" s="43"/>
      <c r="J202" s="43"/>
      <c r="K202" s="43"/>
    </row>
    <row r="203" spans="1:11" x14ac:dyDescent="0.25">
      <c r="A203" s="43">
        <v>1997</v>
      </c>
      <c r="B203" s="36" t="s">
        <v>29</v>
      </c>
      <c r="C203" s="36">
        <v>18</v>
      </c>
      <c r="D203" s="38" t="s">
        <v>416</v>
      </c>
      <c r="E203" s="40">
        <v>0.48</v>
      </c>
      <c r="F203" s="65">
        <v>3100</v>
      </c>
      <c r="G203" s="65">
        <v>4.0599999999999996</v>
      </c>
      <c r="H203" s="43"/>
      <c r="I203" s="43"/>
      <c r="J203" s="43"/>
      <c r="K203" s="43"/>
    </row>
    <row r="204" spans="1:11" x14ac:dyDescent="0.25">
      <c r="A204" s="43">
        <v>1997</v>
      </c>
      <c r="B204" s="36" t="s">
        <v>29</v>
      </c>
      <c r="C204" s="36">
        <v>19</v>
      </c>
      <c r="D204" s="67" t="s">
        <v>416</v>
      </c>
      <c r="E204" s="40">
        <v>0.48</v>
      </c>
      <c r="F204" s="65">
        <v>3100</v>
      </c>
      <c r="G204" s="65">
        <v>4.0599999999999996</v>
      </c>
      <c r="H204" s="43"/>
      <c r="I204" s="43"/>
      <c r="J204" s="43"/>
      <c r="K204" s="43"/>
    </row>
    <row r="205" spans="1:11" x14ac:dyDescent="0.25">
      <c r="A205" s="43">
        <v>1997</v>
      </c>
      <c r="B205" s="36" t="s">
        <v>29</v>
      </c>
      <c r="C205" s="36">
        <v>20</v>
      </c>
      <c r="D205" s="38" t="s">
        <v>415</v>
      </c>
      <c r="E205" s="40">
        <v>0.48</v>
      </c>
      <c r="F205" s="65">
        <v>3000</v>
      </c>
      <c r="G205" s="65">
        <v>3.69</v>
      </c>
      <c r="H205" s="43"/>
      <c r="I205" s="43"/>
      <c r="J205" s="43"/>
      <c r="K205" s="43"/>
    </row>
    <row r="206" spans="1:11" x14ac:dyDescent="0.25">
      <c r="A206" s="43">
        <v>1997</v>
      </c>
      <c r="B206" s="36" t="s">
        <v>29</v>
      </c>
      <c r="C206" s="36">
        <v>21</v>
      </c>
      <c r="D206" s="38" t="s">
        <v>415</v>
      </c>
      <c r="E206" s="40">
        <v>0.38</v>
      </c>
      <c r="F206" s="65">
        <v>3000</v>
      </c>
      <c r="G206" s="65">
        <v>3.69</v>
      </c>
      <c r="H206" s="43"/>
      <c r="I206" s="43"/>
      <c r="J206" s="43"/>
      <c r="K206" s="43"/>
    </row>
    <row r="207" spans="1:11" x14ac:dyDescent="0.25">
      <c r="A207" s="43">
        <v>1997</v>
      </c>
      <c r="B207" s="36" t="s">
        <v>29</v>
      </c>
      <c r="C207" s="36">
        <v>22</v>
      </c>
      <c r="D207" s="38" t="s">
        <v>415</v>
      </c>
      <c r="E207" s="40">
        <v>0.38</v>
      </c>
      <c r="F207" s="65">
        <v>3000</v>
      </c>
      <c r="G207" s="65">
        <v>3.69</v>
      </c>
      <c r="H207" s="43"/>
      <c r="I207" s="43"/>
      <c r="J207" s="43"/>
      <c r="K207" s="43"/>
    </row>
    <row r="208" spans="1:11" x14ac:dyDescent="0.25">
      <c r="A208" s="43">
        <v>1997</v>
      </c>
      <c r="B208" s="36" t="s">
        <v>29</v>
      </c>
      <c r="C208" s="36">
        <v>23</v>
      </c>
      <c r="D208" s="38" t="s">
        <v>415</v>
      </c>
      <c r="E208" s="40">
        <v>0.38</v>
      </c>
      <c r="F208" s="65">
        <v>3000</v>
      </c>
      <c r="G208" s="65">
        <v>3.69</v>
      </c>
      <c r="H208" s="43"/>
      <c r="I208" s="43"/>
      <c r="J208" s="43"/>
      <c r="K208" s="43"/>
    </row>
    <row r="209" spans="1:11" x14ac:dyDescent="0.25">
      <c r="A209" s="43">
        <v>1997</v>
      </c>
      <c r="B209" s="36" t="s">
        <v>29</v>
      </c>
      <c r="C209" s="36">
        <v>24</v>
      </c>
      <c r="D209" s="38" t="s">
        <v>415</v>
      </c>
      <c r="E209" s="40">
        <v>0.38</v>
      </c>
      <c r="F209" s="65">
        <v>3000</v>
      </c>
      <c r="G209" s="65">
        <v>3.69</v>
      </c>
      <c r="H209" s="43"/>
      <c r="I209" s="43"/>
      <c r="J209" s="43"/>
      <c r="K209" s="43"/>
    </row>
    <row r="210" spans="1:11" x14ac:dyDescent="0.25">
      <c r="A210" s="43">
        <v>1997</v>
      </c>
      <c r="B210" s="36" t="s">
        <v>29</v>
      </c>
      <c r="C210" s="36">
        <v>25</v>
      </c>
      <c r="D210" s="38" t="s">
        <v>415</v>
      </c>
      <c r="E210" s="40">
        <v>0.38</v>
      </c>
      <c r="F210" s="65">
        <v>3000</v>
      </c>
      <c r="G210" s="65">
        <v>3.69</v>
      </c>
      <c r="H210" s="43"/>
      <c r="I210" s="43"/>
      <c r="J210" s="43"/>
      <c r="K210" s="43"/>
    </row>
    <row r="211" spans="1:11" x14ac:dyDescent="0.25">
      <c r="A211" s="43">
        <v>1997</v>
      </c>
      <c r="B211" s="36" t="s">
        <v>29</v>
      </c>
      <c r="C211" s="36">
        <v>26</v>
      </c>
      <c r="D211" s="38" t="s">
        <v>415</v>
      </c>
      <c r="E211" s="40">
        <v>0.38</v>
      </c>
      <c r="F211" s="65">
        <v>3000</v>
      </c>
      <c r="G211" s="65">
        <v>3.69</v>
      </c>
      <c r="H211" s="43"/>
      <c r="I211" s="43"/>
      <c r="J211" s="43"/>
      <c r="K211" s="43"/>
    </row>
    <row r="212" spans="1:11" x14ac:dyDescent="0.25">
      <c r="A212" s="43">
        <v>1997</v>
      </c>
      <c r="B212" s="36" t="s">
        <v>29</v>
      </c>
      <c r="C212" s="36">
        <v>27</v>
      </c>
      <c r="D212" s="38" t="s">
        <v>414</v>
      </c>
      <c r="E212" s="40">
        <v>0.38</v>
      </c>
      <c r="F212" s="65">
        <v>2900</v>
      </c>
      <c r="G212" s="65">
        <v>3.57</v>
      </c>
      <c r="H212" s="43"/>
      <c r="I212" s="43"/>
      <c r="J212" s="43"/>
      <c r="K212" s="43"/>
    </row>
    <row r="213" spans="1:11" x14ac:dyDescent="0.25">
      <c r="A213" s="43">
        <v>1997</v>
      </c>
      <c r="B213" s="36" t="s">
        <v>29</v>
      </c>
      <c r="C213" s="36">
        <v>28</v>
      </c>
      <c r="D213" s="38" t="s">
        <v>414</v>
      </c>
      <c r="E213" s="40">
        <v>0.36</v>
      </c>
      <c r="F213" s="65">
        <v>2900</v>
      </c>
      <c r="G213" s="65">
        <v>3.57</v>
      </c>
      <c r="H213" s="43"/>
      <c r="I213" s="43"/>
      <c r="J213" s="43"/>
      <c r="K213" s="43"/>
    </row>
    <row r="214" spans="1:11" x14ac:dyDescent="0.25">
      <c r="A214" s="43">
        <v>1997</v>
      </c>
      <c r="B214" s="36" t="s">
        <v>29</v>
      </c>
      <c r="C214" s="36">
        <v>29</v>
      </c>
      <c r="D214" s="38" t="s">
        <v>414</v>
      </c>
      <c r="E214" s="40">
        <v>0.36</v>
      </c>
      <c r="F214" s="65">
        <v>2900</v>
      </c>
      <c r="G214" s="65">
        <v>3.57</v>
      </c>
      <c r="H214" s="43"/>
      <c r="I214" s="43"/>
      <c r="J214" s="43"/>
      <c r="K214" s="43"/>
    </row>
    <row r="215" spans="1:11" x14ac:dyDescent="0.25">
      <c r="A215" s="43">
        <v>1997</v>
      </c>
      <c r="B215" s="36" t="s">
        <v>29</v>
      </c>
      <c r="C215" s="36">
        <v>30</v>
      </c>
      <c r="D215" s="38" t="s">
        <v>414</v>
      </c>
      <c r="E215" s="40">
        <v>0.36</v>
      </c>
      <c r="F215" s="65">
        <v>2900</v>
      </c>
      <c r="G215" s="65">
        <v>3.57</v>
      </c>
      <c r="H215" s="43"/>
      <c r="I215" s="43"/>
      <c r="J215" s="43"/>
      <c r="K215" s="43"/>
    </row>
    <row r="216" spans="1:11" x14ac:dyDescent="0.25">
      <c r="A216" s="43">
        <v>1997</v>
      </c>
      <c r="B216" s="36" t="s">
        <v>29</v>
      </c>
      <c r="C216" s="36">
        <v>31</v>
      </c>
      <c r="D216" s="38" t="s">
        <v>414</v>
      </c>
      <c r="E216" s="40">
        <v>0.36</v>
      </c>
      <c r="F216" s="65">
        <v>2900</v>
      </c>
      <c r="G216" s="65">
        <v>3.57</v>
      </c>
      <c r="H216" s="43"/>
      <c r="I216" s="43"/>
      <c r="J216" s="43"/>
      <c r="K216" s="43"/>
    </row>
    <row r="217" spans="1:11" x14ac:dyDescent="0.25">
      <c r="A217" s="43">
        <v>1997</v>
      </c>
      <c r="B217" s="36" t="s">
        <v>30</v>
      </c>
      <c r="C217" s="36">
        <v>1</v>
      </c>
      <c r="D217" s="38" t="s">
        <v>414</v>
      </c>
      <c r="E217" s="40">
        <v>0.35</v>
      </c>
      <c r="F217" s="43">
        <v>2900</v>
      </c>
      <c r="G217" s="43">
        <v>3.44</v>
      </c>
      <c r="H217" s="43"/>
      <c r="I217" s="43"/>
      <c r="J217" s="43"/>
      <c r="K217" s="43"/>
    </row>
    <row r="218" spans="1:11" x14ac:dyDescent="0.25">
      <c r="A218" s="43">
        <v>1997</v>
      </c>
      <c r="B218" s="36" t="s">
        <v>30</v>
      </c>
      <c r="C218" s="36">
        <v>2</v>
      </c>
      <c r="D218" s="38" t="s">
        <v>413</v>
      </c>
      <c r="E218" s="40">
        <v>0.35</v>
      </c>
      <c r="F218" s="43">
        <v>2800</v>
      </c>
      <c r="G218" s="43">
        <v>3.44</v>
      </c>
      <c r="H218" s="43"/>
      <c r="I218" s="43"/>
      <c r="J218" s="43"/>
      <c r="K218" s="43"/>
    </row>
    <row r="219" spans="1:11" x14ac:dyDescent="0.25">
      <c r="A219" s="43">
        <v>1997</v>
      </c>
      <c r="B219" s="36" t="s">
        <v>30</v>
      </c>
      <c r="C219" s="36">
        <v>3</v>
      </c>
      <c r="D219" s="38" t="s">
        <v>413</v>
      </c>
      <c r="E219" s="40">
        <v>0.35</v>
      </c>
      <c r="F219" s="43">
        <v>2800</v>
      </c>
      <c r="G219" s="43">
        <v>3.44</v>
      </c>
      <c r="H219" s="43"/>
      <c r="I219" s="43"/>
      <c r="J219" s="43"/>
      <c r="K219" s="43"/>
    </row>
    <row r="220" spans="1:11" x14ac:dyDescent="0.25">
      <c r="A220" s="43">
        <v>1997</v>
      </c>
      <c r="B220" s="36" t="s">
        <v>30</v>
      </c>
      <c r="C220" s="36">
        <v>4</v>
      </c>
      <c r="D220" s="38" t="s">
        <v>413</v>
      </c>
      <c r="E220" s="40">
        <v>0.35</v>
      </c>
      <c r="F220" s="43">
        <v>2800</v>
      </c>
      <c r="G220" s="43">
        <v>3.44</v>
      </c>
      <c r="H220" s="43"/>
      <c r="I220" s="43"/>
      <c r="J220" s="43"/>
      <c r="K220" s="43"/>
    </row>
    <row r="221" spans="1:11" x14ac:dyDescent="0.25">
      <c r="A221" s="43">
        <v>1997</v>
      </c>
      <c r="B221" s="36" t="s">
        <v>30</v>
      </c>
      <c r="C221" s="36">
        <v>5</v>
      </c>
      <c r="D221" s="38" t="s">
        <v>413</v>
      </c>
      <c r="E221" s="40">
        <v>0.35</v>
      </c>
      <c r="F221" s="43">
        <v>2800</v>
      </c>
      <c r="G221" s="43">
        <v>3.44</v>
      </c>
      <c r="H221" s="43"/>
      <c r="I221" s="43"/>
      <c r="J221" s="43"/>
      <c r="K221" s="43"/>
    </row>
    <row r="222" spans="1:11" x14ac:dyDescent="0.25">
      <c r="A222" s="43">
        <v>1997</v>
      </c>
      <c r="B222" s="36" t="s">
        <v>30</v>
      </c>
      <c r="C222" s="36">
        <v>6</v>
      </c>
      <c r="D222" s="38" t="s">
        <v>413</v>
      </c>
      <c r="E222" s="40">
        <v>0.35</v>
      </c>
      <c r="F222" s="43">
        <v>2800</v>
      </c>
      <c r="G222" s="43">
        <v>3.44</v>
      </c>
      <c r="H222" s="43"/>
      <c r="I222" s="43"/>
      <c r="J222" s="43"/>
      <c r="K222" s="43"/>
    </row>
    <row r="223" spans="1:11" x14ac:dyDescent="0.25">
      <c r="A223" s="43">
        <v>1997</v>
      </c>
      <c r="B223" s="36" t="s">
        <v>30</v>
      </c>
      <c r="C223" s="36">
        <v>7</v>
      </c>
      <c r="D223" s="38" t="s">
        <v>413</v>
      </c>
      <c r="E223" s="40">
        <v>0.35</v>
      </c>
      <c r="F223" s="43">
        <v>2800</v>
      </c>
      <c r="G223" s="43">
        <v>3.44</v>
      </c>
      <c r="H223" s="43"/>
      <c r="I223" s="43"/>
      <c r="J223" s="43"/>
      <c r="K223" s="43"/>
    </row>
    <row r="224" spans="1:11" x14ac:dyDescent="0.25">
      <c r="A224" s="43">
        <v>1997</v>
      </c>
      <c r="B224" s="36" t="s">
        <v>30</v>
      </c>
      <c r="C224" s="36">
        <v>8</v>
      </c>
      <c r="D224" s="38" t="s">
        <v>413</v>
      </c>
      <c r="E224" s="40">
        <v>0.35</v>
      </c>
      <c r="F224" s="43">
        <v>2800</v>
      </c>
      <c r="G224" s="43">
        <v>3.44</v>
      </c>
      <c r="H224" s="43"/>
      <c r="I224" s="43"/>
      <c r="J224" s="43"/>
      <c r="K224" s="43"/>
    </row>
    <row r="225" spans="1:11" x14ac:dyDescent="0.25">
      <c r="A225" s="43">
        <v>1997</v>
      </c>
      <c r="B225" s="36" t="s">
        <v>30</v>
      </c>
      <c r="C225" s="36">
        <v>9</v>
      </c>
      <c r="D225" s="38" t="s">
        <v>413</v>
      </c>
      <c r="E225" s="40">
        <v>0.35</v>
      </c>
      <c r="F225" s="43">
        <v>2800</v>
      </c>
      <c r="G225" s="43">
        <v>3.44</v>
      </c>
      <c r="H225" s="43"/>
      <c r="I225" s="43"/>
      <c r="J225" s="43"/>
      <c r="K225" s="43"/>
    </row>
    <row r="226" spans="1:11" x14ac:dyDescent="0.25">
      <c r="A226" s="43">
        <v>1997</v>
      </c>
      <c r="B226" s="36" t="s">
        <v>30</v>
      </c>
      <c r="C226" s="36">
        <v>10</v>
      </c>
      <c r="D226" s="38" t="s">
        <v>413</v>
      </c>
      <c r="E226" s="40">
        <v>0.35</v>
      </c>
      <c r="F226" s="43">
        <v>2800</v>
      </c>
      <c r="G226" s="43">
        <v>3.44</v>
      </c>
      <c r="H226" s="43"/>
      <c r="I226" s="43"/>
      <c r="J226" s="43"/>
      <c r="K226" s="43"/>
    </row>
    <row r="227" spans="1:11" x14ac:dyDescent="0.25">
      <c r="A227" s="43">
        <v>1997</v>
      </c>
      <c r="B227" s="36" t="s">
        <v>30</v>
      </c>
      <c r="C227" s="36">
        <v>11</v>
      </c>
      <c r="D227" s="38" t="s">
        <v>413</v>
      </c>
      <c r="E227" s="40">
        <v>0.35</v>
      </c>
      <c r="F227" s="43">
        <v>2800</v>
      </c>
      <c r="G227" s="43">
        <v>3.44</v>
      </c>
      <c r="H227" s="43"/>
      <c r="I227" s="43"/>
      <c r="J227" s="43"/>
      <c r="K227" s="43"/>
    </row>
    <row r="228" spans="1:11" x14ac:dyDescent="0.25">
      <c r="A228" s="43">
        <v>1997</v>
      </c>
      <c r="B228" s="36" t="s">
        <v>30</v>
      </c>
      <c r="C228" s="36">
        <v>12</v>
      </c>
      <c r="D228" s="38" t="s">
        <v>527</v>
      </c>
      <c r="E228" s="40">
        <v>0.35</v>
      </c>
      <c r="F228" s="43">
        <v>2700</v>
      </c>
      <c r="G228" s="43">
        <v>3.44</v>
      </c>
      <c r="H228" s="43"/>
      <c r="I228" s="43"/>
      <c r="J228" s="43"/>
      <c r="K228" s="43"/>
    </row>
    <row r="229" spans="1:11" x14ac:dyDescent="0.25">
      <c r="A229" s="43">
        <v>1997</v>
      </c>
      <c r="B229" s="36" t="s">
        <v>30</v>
      </c>
      <c r="C229" s="36">
        <v>13</v>
      </c>
      <c r="D229" s="38" t="s">
        <v>527</v>
      </c>
      <c r="E229" s="40">
        <v>0.35</v>
      </c>
      <c r="F229" s="43">
        <v>2700</v>
      </c>
      <c r="G229" s="43">
        <v>3.44</v>
      </c>
      <c r="H229" s="43"/>
      <c r="I229" s="43"/>
      <c r="J229" s="43"/>
      <c r="K229" s="43"/>
    </row>
    <row r="230" spans="1:11" x14ac:dyDescent="0.25">
      <c r="A230" s="43">
        <v>1997</v>
      </c>
      <c r="B230" s="36" t="s">
        <v>30</v>
      </c>
      <c r="C230" s="36">
        <v>14</v>
      </c>
      <c r="D230" s="38" t="s">
        <v>527</v>
      </c>
      <c r="E230" s="40">
        <v>0.35</v>
      </c>
      <c r="F230" s="43">
        <v>2700</v>
      </c>
      <c r="G230" s="43">
        <v>3.44</v>
      </c>
      <c r="H230" s="43"/>
      <c r="I230" s="43"/>
      <c r="J230" s="43"/>
      <c r="K230" s="43"/>
    </row>
    <row r="231" spans="1:11" x14ac:dyDescent="0.25">
      <c r="A231" s="43">
        <v>1997</v>
      </c>
      <c r="B231" s="36" t="s">
        <v>30</v>
      </c>
      <c r="C231" s="36">
        <v>15</v>
      </c>
      <c r="D231" s="38" t="s">
        <v>527</v>
      </c>
      <c r="E231" s="40">
        <v>0.35</v>
      </c>
      <c r="F231" s="43">
        <v>2700</v>
      </c>
      <c r="G231" s="43">
        <v>3.44</v>
      </c>
      <c r="H231" s="43"/>
      <c r="I231" s="43"/>
      <c r="J231" s="43"/>
      <c r="K231" s="43"/>
    </row>
    <row r="232" spans="1:11" x14ac:dyDescent="0.25">
      <c r="A232" s="43">
        <v>1997</v>
      </c>
      <c r="B232" s="36" t="s">
        <v>30</v>
      </c>
      <c r="C232" s="36">
        <v>16</v>
      </c>
      <c r="D232" s="38" t="s">
        <v>428</v>
      </c>
      <c r="E232" s="40">
        <v>0.35</v>
      </c>
      <c r="F232" s="43">
        <v>2475</v>
      </c>
      <c r="G232" s="43">
        <v>3.44</v>
      </c>
      <c r="H232" s="43"/>
      <c r="I232" s="43"/>
      <c r="J232" s="43"/>
      <c r="K232" s="43"/>
    </row>
    <row r="233" spans="1:11" x14ac:dyDescent="0.25">
      <c r="A233" s="43">
        <v>1997</v>
      </c>
      <c r="B233" s="36" t="s">
        <v>30</v>
      </c>
      <c r="C233" s="36">
        <v>17</v>
      </c>
      <c r="D233" s="38" t="s">
        <v>428</v>
      </c>
      <c r="E233" s="40">
        <v>0.35</v>
      </c>
      <c r="F233" s="43">
        <v>2475</v>
      </c>
      <c r="G233" s="43">
        <v>3.44</v>
      </c>
      <c r="H233" s="43"/>
      <c r="I233" s="43"/>
      <c r="J233" s="43"/>
      <c r="K233" s="43"/>
    </row>
    <row r="234" spans="1:11" x14ac:dyDescent="0.25">
      <c r="A234" s="43">
        <v>1997</v>
      </c>
      <c r="B234" s="36" t="s">
        <v>30</v>
      </c>
      <c r="C234" s="36">
        <v>18</v>
      </c>
      <c r="D234" s="38" t="s">
        <v>428</v>
      </c>
      <c r="E234" s="40">
        <v>0.28000000000000003</v>
      </c>
      <c r="F234" s="43">
        <v>2475</v>
      </c>
      <c r="G234" s="43">
        <v>3.04</v>
      </c>
      <c r="H234" s="43"/>
      <c r="I234" s="43"/>
      <c r="J234" s="43"/>
      <c r="K234" s="43"/>
    </row>
    <row r="235" spans="1:11" x14ac:dyDescent="0.25">
      <c r="A235" s="43">
        <v>1997</v>
      </c>
      <c r="B235" s="36" t="s">
        <v>30</v>
      </c>
      <c r="C235" s="36">
        <v>19</v>
      </c>
      <c r="D235" s="38" t="s">
        <v>429</v>
      </c>
      <c r="E235" s="40">
        <v>0.28000000000000003</v>
      </c>
      <c r="F235" s="43">
        <v>2250</v>
      </c>
      <c r="G235" s="43">
        <v>3.04</v>
      </c>
      <c r="H235" s="43"/>
      <c r="I235" s="43"/>
      <c r="J235" s="43"/>
      <c r="K235" s="43"/>
    </row>
    <row r="236" spans="1:11" x14ac:dyDescent="0.25">
      <c r="A236" s="43">
        <v>1997</v>
      </c>
      <c r="B236" s="36" t="s">
        <v>30</v>
      </c>
      <c r="C236" s="36">
        <v>20</v>
      </c>
      <c r="D236" s="38" t="s">
        <v>429</v>
      </c>
      <c r="E236" s="40">
        <v>0.28000000000000003</v>
      </c>
      <c r="F236" s="43">
        <v>2250</v>
      </c>
      <c r="G236" s="43">
        <v>3.04</v>
      </c>
      <c r="H236" s="43"/>
      <c r="I236" s="43"/>
      <c r="J236" s="43"/>
      <c r="K236" s="43"/>
    </row>
    <row r="237" spans="1:11" x14ac:dyDescent="0.25">
      <c r="A237" s="43">
        <v>1997</v>
      </c>
      <c r="B237" s="36" t="s">
        <v>30</v>
      </c>
      <c r="C237" s="36">
        <v>21</v>
      </c>
      <c r="D237" s="38" t="s">
        <v>430</v>
      </c>
      <c r="E237" s="40">
        <v>0.28000000000000003</v>
      </c>
      <c r="F237" s="43">
        <v>2025</v>
      </c>
      <c r="G237" s="43">
        <v>3.04</v>
      </c>
      <c r="H237" s="43"/>
      <c r="I237" s="43"/>
      <c r="J237" s="43"/>
      <c r="K237" s="43"/>
    </row>
    <row r="238" spans="1:11" x14ac:dyDescent="0.25">
      <c r="A238" s="43">
        <v>1997</v>
      </c>
      <c r="B238" s="36" t="s">
        <v>30</v>
      </c>
      <c r="C238" s="36">
        <v>22</v>
      </c>
      <c r="D238" s="38" t="s">
        <v>431</v>
      </c>
      <c r="E238" s="40">
        <v>0.28000000000000003</v>
      </c>
      <c r="F238" s="43">
        <v>1800</v>
      </c>
      <c r="G238" s="43">
        <v>3.04</v>
      </c>
      <c r="H238" s="43"/>
      <c r="I238" s="43"/>
      <c r="J238" s="43"/>
      <c r="K238" s="43"/>
    </row>
    <row r="239" spans="1:11" x14ac:dyDescent="0.25">
      <c r="A239" s="43">
        <v>1997</v>
      </c>
      <c r="B239" s="36" t="s">
        <v>30</v>
      </c>
      <c r="C239" s="36">
        <v>23</v>
      </c>
      <c r="D239" s="38" t="s">
        <v>432</v>
      </c>
      <c r="E239" s="40">
        <v>0.28000000000000003</v>
      </c>
      <c r="F239" s="43">
        <v>1575</v>
      </c>
      <c r="G239" s="43">
        <v>3.04</v>
      </c>
      <c r="H239" s="43"/>
      <c r="I239" s="43"/>
      <c r="J239" s="43"/>
      <c r="K239" s="43"/>
    </row>
    <row r="240" spans="1:11" x14ac:dyDescent="0.25">
      <c r="A240" s="43">
        <v>1997</v>
      </c>
      <c r="B240" s="36" t="s">
        <v>30</v>
      </c>
      <c r="C240" s="36">
        <v>24</v>
      </c>
      <c r="D240" s="38" t="s">
        <v>533</v>
      </c>
      <c r="E240" s="40">
        <v>0.28000000000000003</v>
      </c>
      <c r="F240" s="43">
        <v>1350</v>
      </c>
      <c r="G240" s="43">
        <v>3.04</v>
      </c>
      <c r="H240" s="43"/>
      <c r="I240" s="43"/>
      <c r="J240" s="43"/>
      <c r="K240" s="43"/>
    </row>
    <row r="241" spans="1:11" x14ac:dyDescent="0.25">
      <c r="A241" s="43">
        <v>1997</v>
      </c>
      <c r="B241" s="36" t="s">
        <v>30</v>
      </c>
      <c r="C241" s="36">
        <v>25</v>
      </c>
      <c r="D241" s="38" t="s">
        <v>533</v>
      </c>
      <c r="E241" s="40">
        <v>0.17</v>
      </c>
      <c r="F241" s="43">
        <v>1125</v>
      </c>
      <c r="G241" s="43">
        <v>1.93</v>
      </c>
      <c r="H241" s="43"/>
      <c r="I241" s="43"/>
      <c r="J241" s="43"/>
      <c r="K241" s="43"/>
    </row>
    <row r="242" spans="1:11" x14ac:dyDescent="0.25">
      <c r="A242" s="43">
        <v>1997</v>
      </c>
      <c r="B242" s="36" t="s">
        <v>30</v>
      </c>
      <c r="C242" s="36">
        <v>26</v>
      </c>
      <c r="D242" s="38" t="s">
        <v>534</v>
      </c>
      <c r="E242" s="40">
        <v>0.17</v>
      </c>
      <c r="F242" s="43">
        <v>1125</v>
      </c>
      <c r="G242" s="43">
        <v>1.93</v>
      </c>
      <c r="H242" s="43"/>
      <c r="I242" s="43"/>
      <c r="J242" s="43"/>
      <c r="K242" s="43"/>
    </row>
    <row r="243" spans="1:11" x14ac:dyDescent="0.25">
      <c r="A243" s="43">
        <v>1997</v>
      </c>
      <c r="B243" s="36" t="s">
        <v>30</v>
      </c>
      <c r="C243" s="36">
        <v>27</v>
      </c>
      <c r="D243" s="38" t="s">
        <v>534</v>
      </c>
      <c r="E243" s="40">
        <v>0.17</v>
      </c>
      <c r="F243" s="43">
        <v>1125</v>
      </c>
      <c r="G243" s="43">
        <v>1.93</v>
      </c>
      <c r="H243" s="43"/>
      <c r="I243" s="43"/>
      <c r="J243" s="43"/>
      <c r="K243" s="43"/>
    </row>
    <row r="244" spans="1:11" x14ac:dyDescent="0.25">
      <c r="A244" s="43">
        <v>1997</v>
      </c>
      <c r="B244" s="36" t="s">
        <v>30</v>
      </c>
      <c r="C244" s="36">
        <v>28</v>
      </c>
      <c r="D244" s="38" t="s">
        <v>534</v>
      </c>
      <c r="E244" s="40">
        <v>0.17</v>
      </c>
      <c r="F244" s="43">
        <v>1125</v>
      </c>
      <c r="G244" s="43">
        <v>1.93</v>
      </c>
      <c r="H244" s="43"/>
      <c r="I244" s="43"/>
      <c r="J244" s="43"/>
      <c r="K244" s="43"/>
    </row>
    <row r="245" spans="1:11" x14ac:dyDescent="0.25">
      <c r="A245" s="43">
        <v>1997</v>
      </c>
      <c r="B245" s="36" t="s">
        <v>30</v>
      </c>
      <c r="C245" s="36">
        <v>29</v>
      </c>
      <c r="D245" s="38" t="s">
        <v>534</v>
      </c>
      <c r="E245" s="40">
        <v>0.17</v>
      </c>
      <c r="F245" s="43">
        <v>1125</v>
      </c>
      <c r="G245" s="43">
        <v>1.93</v>
      </c>
      <c r="H245" s="43"/>
      <c r="I245" s="43"/>
      <c r="J245" s="43"/>
      <c r="K245" s="43"/>
    </row>
    <row r="246" spans="1:11" x14ac:dyDescent="0.25">
      <c r="A246" s="43">
        <v>1997</v>
      </c>
      <c r="B246" s="36" t="s">
        <v>30</v>
      </c>
      <c r="C246" s="36">
        <v>30</v>
      </c>
      <c r="D246" s="38" t="s">
        <v>534</v>
      </c>
      <c r="E246" s="40">
        <v>0.17</v>
      </c>
      <c r="F246" s="43">
        <v>1125</v>
      </c>
      <c r="G246" s="43">
        <v>1.93</v>
      </c>
      <c r="H246" s="43"/>
      <c r="I246" s="43"/>
      <c r="J246" s="43"/>
      <c r="K246" s="43"/>
    </row>
    <row r="247" spans="1:11" x14ac:dyDescent="0.25">
      <c r="A247" s="43">
        <v>1997</v>
      </c>
      <c r="B247" s="36" t="s">
        <v>30</v>
      </c>
      <c r="C247" s="36">
        <v>31</v>
      </c>
      <c r="D247" s="38" t="s">
        <v>122</v>
      </c>
      <c r="E247" s="40">
        <v>0.17</v>
      </c>
      <c r="F247" s="38" t="s">
        <v>122</v>
      </c>
      <c r="G247" s="43">
        <v>1.93</v>
      </c>
      <c r="H247" s="43"/>
      <c r="I247" s="43"/>
      <c r="J247" s="43"/>
      <c r="K247" s="43"/>
    </row>
    <row r="248" spans="1:11" x14ac:dyDescent="0.25">
      <c r="A248" s="43">
        <v>1997</v>
      </c>
      <c r="B248" s="36" t="s">
        <v>31</v>
      </c>
      <c r="C248" s="36">
        <v>1</v>
      </c>
      <c r="D248" s="38" t="s">
        <v>534</v>
      </c>
      <c r="E248" s="38"/>
      <c r="F248" s="43">
        <v>1125</v>
      </c>
      <c r="G248" s="43"/>
      <c r="H248" s="43"/>
      <c r="I248" s="43"/>
      <c r="J248" s="43"/>
      <c r="K248" s="43"/>
    </row>
    <row r="249" spans="1:11" x14ac:dyDescent="0.25">
      <c r="A249" s="43">
        <v>1997</v>
      </c>
      <c r="B249" s="36" t="s">
        <v>31</v>
      </c>
      <c r="C249" s="36">
        <v>2</v>
      </c>
      <c r="D249" s="38" t="s">
        <v>534</v>
      </c>
      <c r="E249" s="38"/>
      <c r="F249" s="43">
        <v>1125</v>
      </c>
      <c r="G249" s="43"/>
      <c r="H249" s="43"/>
      <c r="I249" s="43"/>
      <c r="J249" s="43"/>
      <c r="K249" s="43"/>
    </row>
    <row r="250" spans="1:11" x14ac:dyDescent="0.25">
      <c r="A250" s="43">
        <v>1997</v>
      </c>
      <c r="B250" s="36" t="s">
        <v>31</v>
      </c>
      <c r="C250" s="36">
        <v>3</v>
      </c>
      <c r="D250" s="38" t="s">
        <v>534</v>
      </c>
      <c r="E250" s="38"/>
      <c r="F250" s="43">
        <v>1125</v>
      </c>
      <c r="G250" s="43"/>
      <c r="H250" s="43"/>
      <c r="I250" s="43"/>
      <c r="J250" s="43"/>
      <c r="K250" s="43"/>
    </row>
    <row r="251" spans="1:11" x14ac:dyDescent="0.25">
      <c r="A251" s="43">
        <v>1997</v>
      </c>
      <c r="B251" s="36" t="s">
        <v>31</v>
      </c>
      <c r="C251" s="36">
        <v>4</v>
      </c>
      <c r="D251" s="38" t="s">
        <v>535</v>
      </c>
      <c r="E251" s="38"/>
      <c r="F251" s="43">
        <v>900</v>
      </c>
      <c r="G251" s="43"/>
      <c r="H251" s="43"/>
      <c r="I251" s="43"/>
      <c r="J251" s="43"/>
      <c r="K251" s="43"/>
    </row>
    <row r="252" spans="1:11" x14ac:dyDescent="0.25">
      <c r="A252" s="43">
        <v>1997</v>
      </c>
      <c r="B252" s="36" t="s">
        <v>31</v>
      </c>
      <c r="C252" s="36">
        <v>5</v>
      </c>
      <c r="D252" s="38" t="s">
        <v>535</v>
      </c>
      <c r="E252" s="38"/>
      <c r="F252" s="43">
        <v>900</v>
      </c>
      <c r="G252" s="43"/>
      <c r="H252" s="43"/>
      <c r="I252" s="43"/>
      <c r="J252" s="43"/>
      <c r="K252" s="43"/>
    </row>
    <row r="253" spans="1:11" x14ac:dyDescent="0.25">
      <c r="A253" s="43">
        <v>1997</v>
      </c>
      <c r="B253" s="36" t="s">
        <v>31</v>
      </c>
      <c r="C253" s="36">
        <v>6</v>
      </c>
      <c r="D253" s="38" t="s">
        <v>535</v>
      </c>
      <c r="E253" s="38"/>
      <c r="F253" s="43">
        <v>900</v>
      </c>
      <c r="G253" s="43"/>
      <c r="H253" s="43"/>
      <c r="I253" s="43"/>
      <c r="J253" s="43"/>
      <c r="K253" s="43"/>
    </row>
    <row r="254" spans="1:11" x14ac:dyDescent="0.25">
      <c r="A254" s="43">
        <v>1997</v>
      </c>
      <c r="B254" s="36" t="s">
        <v>31</v>
      </c>
      <c r="C254" s="36">
        <v>7</v>
      </c>
      <c r="D254" s="38" t="s">
        <v>536</v>
      </c>
      <c r="E254" s="38"/>
      <c r="F254" s="43">
        <v>775</v>
      </c>
      <c r="G254" s="43"/>
      <c r="H254" s="43"/>
      <c r="I254" s="43"/>
      <c r="J254" s="43"/>
      <c r="K254" s="43"/>
    </row>
    <row r="255" spans="1:11" x14ac:dyDescent="0.25">
      <c r="A255" s="43">
        <v>1997</v>
      </c>
      <c r="B255" s="36" t="s">
        <v>31</v>
      </c>
      <c r="C255" s="36">
        <v>8</v>
      </c>
      <c r="D255" s="38" t="s">
        <v>536</v>
      </c>
      <c r="E255" s="38"/>
      <c r="F255" s="43">
        <v>775</v>
      </c>
      <c r="G255" s="43"/>
      <c r="H255" s="43"/>
      <c r="I255" s="43"/>
      <c r="J255" s="43"/>
      <c r="K255" s="43"/>
    </row>
    <row r="256" spans="1:11" x14ac:dyDescent="0.25">
      <c r="A256" s="43">
        <v>1997</v>
      </c>
      <c r="B256" s="36" t="s">
        <v>31</v>
      </c>
      <c r="C256" s="36">
        <v>9</v>
      </c>
      <c r="D256" s="38" t="s">
        <v>537</v>
      </c>
      <c r="E256" s="38"/>
      <c r="F256" s="43">
        <v>450</v>
      </c>
      <c r="G256" s="43"/>
      <c r="H256" s="43"/>
      <c r="I256" s="43"/>
      <c r="J256" s="43"/>
      <c r="K256" s="43"/>
    </row>
    <row r="257" spans="1:11" x14ac:dyDescent="0.25">
      <c r="A257" s="43">
        <v>1997</v>
      </c>
      <c r="B257" s="36" t="s">
        <v>31</v>
      </c>
      <c r="C257" s="36">
        <v>10</v>
      </c>
      <c r="D257" s="38" t="s">
        <v>537</v>
      </c>
      <c r="E257" s="38"/>
      <c r="F257" s="43">
        <v>450</v>
      </c>
      <c r="G257" s="43"/>
      <c r="H257" s="43"/>
      <c r="I257" s="43"/>
      <c r="J257" s="43"/>
      <c r="K257" s="43"/>
    </row>
    <row r="258" spans="1:11" x14ac:dyDescent="0.25">
      <c r="A258" s="43">
        <v>1997</v>
      </c>
      <c r="B258" s="36" t="s">
        <v>31</v>
      </c>
      <c r="C258" s="36">
        <v>11</v>
      </c>
      <c r="D258" s="38" t="s">
        <v>414</v>
      </c>
      <c r="E258" s="38"/>
      <c r="F258" s="43">
        <v>2900</v>
      </c>
      <c r="G258" s="43"/>
      <c r="H258" s="43"/>
      <c r="I258" s="43"/>
      <c r="J258" s="43"/>
      <c r="K258" s="43"/>
    </row>
    <row r="259" spans="1:11" x14ac:dyDescent="0.25">
      <c r="A259" s="43">
        <v>1997</v>
      </c>
      <c r="B259" s="36" t="s">
        <v>31</v>
      </c>
      <c r="C259" s="36">
        <v>12</v>
      </c>
      <c r="D259" s="38" t="s">
        <v>319</v>
      </c>
      <c r="E259" s="38"/>
      <c r="F259" s="43">
        <v>3450</v>
      </c>
      <c r="G259" s="43"/>
      <c r="H259" s="43"/>
      <c r="I259" s="43"/>
      <c r="J259" s="43"/>
      <c r="K259" s="43"/>
    </row>
    <row r="260" spans="1:11" x14ac:dyDescent="0.25">
      <c r="A260" s="43">
        <v>1997</v>
      </c>
      <c r="B260" s="36" t="s">
        <v>31</v>
      </c>
      <c r="C260" s="36">
        <v>13</v>
      </c>
      <c r="D260" s="38" t="s">
        <v>317</v>
      </c>
      <c r="E260" s="38"/>
      <c r="F260" s="43">
        <v>3500</v>
      </c>
      <c r="G260" s="43"/>
      <c r="H260" s="43"/>
      <c r="I260" s="43"/>
      <c r="J260" s="43"/>
      <c r="K260" s="43"/>
    </row>
    <row r="261" spans="1:11" x14ac:dyDescent="0.25">
      <c r="A261" s="43">
        <v>1997</v>
      </c>
      <c r="B261" s="36" t="s">
        <v>31</v>
      </c>
      <c r="C261" s="36">
        <v>14</v>
      </c>
      <c r="D261" s="38" t="s">
        <v>317</v>
      </c>
      <c r="E261" s="38"/>
      <c r="F261" s="43">
        <v>3500</v>
      </c>
      <c r="G261" s="43"/>
      <c r="H261" s="43"/>
      <c r="I261" s="43"/>
      <c r="J261" s="43"/>
      <c r="K261" s="43"/>
    </row>
    <row r="262" spans="1:11" x14ac:dyDescent="0.25">
      <c r="A262" s="43">
        <v>1997</v>
      </c>
      <c r="B262" s="36" t="s">
        <v>31</v>
      </c>
      <c r="C262" s="36">
        <v>15</v>
      </c>
      <c r="D262" s="38" t="s">
        <v>311</v>
      </c>
      <c r="E262" s="38"/>
      <c r="F262" s="43">
        <v>3550</v>
      </c>
      <c r="G262" s="43"/>
      <c r="H262" s="43"/>
      <c r="I262" s="43"/>
      <c r="J262" s="43"/>
      <c r="K262" s="43"/>
    </row>
    <row r="263" spans="1:11" x14ac:dyDescent="0.25">
      <c r="A263" s="43">
        <v>1997</v>
      </c>
      <c r="B263" s="36" t="s">
        <v>31</v>
      </c>
      <c r="C263" s="36">
        <v>16</v>
      </c>
      <c r="D263" s="38" t="s">
        <v>311</v>
      </c>
      <c r="E263" s="38"/>
      <c r="F263" s="43">
        <v>3550</v>
      </c>
      <c r="G263" s="43"/>
      <c r="H263" s="43"/>
      <c r="I263" s="43"/>
      <c r="J263" s="43"/>
      <c r="K263" s="43"/>
    </row>
    <row r="264" spans="1:11" x14ac:dyDescent="0.25">
      <c r="A264" s="43">
        <v>1997</v>
      </c>
      <c r="B264" s="36" t="s">
        <v>31</v>
      </c>
      <c r="C264" s="36">
        <v>17</v>
      </c>
      <c r="D264" s="38" t="s">
        <v>311</v>
      </c>
      <c r="E264" s="38"/>
      <c r="F264" s="43">
        <v>3550</v>
      </c>
      <c r="G264" s="43"/>
      <c r="H264" s="43"/>
      <c r="I264" s="43"/>
      <c r="J264" s="43"/>
      <c r="K264" s="43"/>
    </row>
    <row r="265" spans="1:11" x14ac:dyDescent="0.25">
      <c r="A265" s="43">
        <v>1997</v>
      </c>
      <c r="B265" s="36" t="s">
        <v>31</v>
      </c>
      <c r="C265" s="36">
        <v>18</v>
      </c>
      <c r="D265" s="38" t="s">
        <v>311</v>
      </c>
      <c r="E265" s="38"/>
      <c r="F265" s="43">
        <v>3550</v>
      </c>
      <c r="G265" s="43"/>
      <c r="H265" s="43"/>
      <c r="I265" s="43"/>
      <c r="J265" s="43"/>
      <c r="K265" s="43"/>
    </row>
    <row r="266" spans="1:11" x14ac:dyDescent="0.25">
      <c r="A266" s="43">
        <v>1997</v>
      </c>
      <c r="B266" s="36" t="s">
        <v>31</v>
      </c>
      <c r="C266" s="36">
        <v>19</v>
      </c>
      <c r="D266" s="38" t="s">
        <v>311</v>
      </c>
      <c r="E266" s="38"/>
      <c r="F266" s="43">
        <v>3550</v>
      </c>
      <c r="G266" s="43"/>
      <c r="H266" s="43"/>
      <c r="I266" s="43"/>
      <c r="J266" s="43"/>
      <c r="K266" s="43"/>
    </row>
    <row r="267" spans="1:11" x14ac:dyDescent="0.25">
      <c r="A267" s="43">
        <v>1997</v>
      </c>
      <c r="B267" s="36" t="s">
        <v>31</v>
      </c>
      <c r="C267" s="36">
        <v>20</v>
      </c>
      <c r="D267" s="38" t="s">
        <v>311</v>
      </c>
      <c r="E267" s="38"/>
      <c r="F267" s="43">
        <v>3550</v>
      </c>
      <c r="G267" s="43"/>
      <c r="H267" s="43"/>
      <c r="I267" s="43"/>
      <c r="J267" s="43"/>
      <c r="K267" s="43"/>
    </row>
    <row r="268" spans="1:11" x14ac:dyDescent="0.25">
      <c r="A268" s="43">
        <v>1997</v>
      </c>
      <c r="B268" s="36" t="s">
        <v>31</v>
      </c>
      <c r="C268" s="36">
        <v>21</v>
      </c>
      <c r="D268" s="38" t="s">
        <v>317</v>
      </c>
      <c r="E268" s="38"/>
      <c r="F268" s="43">
        <v>3500</v>
      </c>
      <c r="G268" s="43"/>
      <c r="H268" s="43"/>
      <c r="I268" s="43"/>
      <c r="J268" s="43"/>
      <c r="K268" s="43"/>
    </row>
    <row r="269" spans="1:11" x14ac:dyDescent="0.25">
      <c r="A269" s="43">
        <v>1997</v>
      </c>
      <c r="B269" s="36" t="s">
        <v>31</v>
      </c>
      <c r="C269" s="36">
        <v>22</v>
      </c>
      <c r="D269" s="38" t="s">
        <v>317</v>
      </c>
      <c r="E269" s="38"/>
      <c r="F269" s="43">
        <v>3500</v>
      </c>
      <c r="G269" s="43"/>
      <c r="H269" s="43"/>
      <c r="I269" s="43"/>
      <c r="J269" s="43"/>
      <c r="K269" s="43"/>
    </row>
    <row r="270" spans="1:11" x14ac:dyDescent="0.25">
      <c r="A270" s="43">
        <v>1997</v>
      </c>
      <c r="B270" s="36" t="s">
        <v>31</v>
      </c>
      <c r="C270" s="36">
        <v>23</v>
      </c>
      <c r="D270" s="38" t="s">
        <v>317</v>
      </c>
      <c r="E270" s="38"/>
      <c r="F270" s="43">
        <v>3500</v>
      </c>
      <c r="G270" s="43"/>
      <c r="H270" s="43"/>
      <c r="I270" s="43"/>
      <c r="J270" s="43"/>
      <c r="K270" s="43"/>
    </row>
    <row r="271" spans="1:11" x14ac:dyDescent="0.25">
      <c r="A271" s="43">
        <v>1997</v>
      </c>
      <c r="B271" s="36" t="s">
        <v>31</v>
      </c>
      <c r="C271" s="36">
        <v>24</v>
      </c>
      <c r="D271" s="38" t="s">
        <v>317</v>
      </c>
      <c r="E271" s="38"/>
      <c r="F271" s="43">
        <v>3500</v>
      </c>
      <c r="G271" s="43"/>
      <c r="H271" s="43"/>
      <c r="I271" s="43"/>
      <c r="J271" s="43"/>
      <c r="K271" s="43"/>
    </row>
    <row r="272" spans="1:11" x14ac:dyDescent="0.25">
      <c r="A272" s="43">
        <v>1997</v>
      </c>
      <c r="B272" s="36" t="s">
        <v>31</v>
      </c>
      <c r="C272" s="36">
        <v>25</v>
      </c>
      <c r="D272" s="38" t="s">
        <v>317</v>
      </c>
      <c r="E272" s="38"/>
      <c r="F272" s="43">
        <v>3500</v>
      </c>
      <c r="G272" s="43"/>
      <c r="H272" s="43"/>
      <c r="I272" s="43"/>
      <c r="J272" s="43"/>
      <c r="K272" s="43"/>
    </row>
    <row r="273" spans="1:11" x14ac:dyDescent="0.25">
      <c r="A273" s="43">
        <v>1997</v>
      </c>
      <c r="B273" s="36" t="s">
        <v>31</v>
      </c>
      <c r="C273" s="36">
        <v>26</v>
      </c>
      <c r="D273" s="38" t="s">
        <v>317</v>
      </c>
      <c r="E273" s="38"/>
      <c r="F273" s="43">
        <v>3500</v>
      </c>
      <c r="G273" s="43"/>
      <c r="H273" s="43"/>
      <c r="I273" s="43"/>
      <c r="J273" s="43"/>
      <c r="K273" s="43"/>
    </row>
    <row r="274" spans="1:11" x14ac:dyDescent="0.25">
      <c r="A274" s="43">
        <v>1997</v>
      </c>
      <c r="B274" s="36" t="s">
        <v>31</v>
      </c>
      <c r="C274" s="36">
        <v>27</v>
      </c>
      <c r="D274" s="38" t="s">
        <v>317</v>
      </c>
      <c r="E274" s="38"/>
      <c r="F274" s="43">
        <v>3500</v>
      </c>
      <c r="G274" s="43"/>
      <c r="H274" s="43"/>
      <c r="I274" s="43"/>
      <c r="J274" s="43"/>
      <c r="K274" s="43"/>
    </row>
    <row r="275" spans="1:11" x14ac:dyDescent="0.25">
      <c r="A275" s="43">
        <v>1997</v>
      </c>
      <c r="B275" s="36" t="s">
        <v>31</v>
      </c>
      <c r="C275" s="36">
        <v>28</v>
      </c>
      <c r="D275" s="38" t="s">
        <v>317</v>
      </c>
      <c r="E275" s="38"/>
      <c r="F275" s="43">
        <v>3500</v>
      </c>
      <c r="G275" s="43"/>
      <c r="H275" s="43"/>
      <c r="I275" s="43"/>
      <c r="J275" s="43"/>
      <c r="K275" s="43"/>
    </row>
    <row r="276" spans="1:11" x14ac:dyDescent="0.25">
      <c r="A276" s="43">
        <v>1997</v>
      </c>
      <c r="B276" s="36" t="s">
        <v>31</v>
      </c>
      <c r="C276" s="36">
        <v>29</v>
      </c>
      <c r="D276" s="38" t="s">
        <v>319</v>
      </c>
      <c r="E276" s="38"/>
      <c r="F276" s="68">
        <v>3450</v>
      </c>
      <c r="G276" s="68"/>
      <c r="H276" s="43"/>
      <c r="I276" s="43"/>
      <c r="J276" s="43"/>
      <c r="K276" s="43"/>
    </row>
    <row r="277" spans="1:11" x14ac:dyDescent="0.25">
      <c r="A277" s="43">
        <v>1997</v>
      </c>
      <c r="B277" s="36" t="s">
        <v>31</v>
      </c>
      <c r="C277" s="36">
        <v>30</v>
      </c>
      <c r="D277" s="38" t="s">
        <v>122</v>
      </c>
      <c r="E277" s="38"/>
      <c r="F277" s="68"/>
      <c r="G277" s="68"/>
      <c r="H277" s="43"/>
      <c r="I277" s="43"/>
      <c r="J277" s="43"/>
      <c r="K277" s="43"/>
    </row>
    <row r="278" spans="1:11" x14ac:dyDescent="0.25">
      <c r="A278" s="43">
        <v>1997</v>
      </c>
      <c r="B278" s="36" t="s">
        <v>1750</v>
      </c>
      <c r="C278" s="36">
        <v>1</v>
      </c>
      <c r="D278" s="38" t="s">
        <v>319</v>
      </c>
      <c r="E278" s="38"/>
      <c r="F278" s="64">
        <v>3450</v>
      </c>
      <c r="G278" s="64"/>
      <c r="H278" s="43"/>
      <c r="I278" s="43"/>
      <c r="J278" s="43"/>
      <c r="K278" s="43"/>
    </row>
    <row r="279" spans="1:11" x14ac:dyDescent="0.25">
      <c r="A279" s="43">
        <v>1997</v>
      </c>
      <c r="B279" s="36" t="s">
        <v>1750</v>
      </c>
      <c r="C279" s="36">
        <v>2</v>
      </c>
      <c r="D279" s="38" t="s">
        <v>321</v>
      </c>
      <c r="E279" s="38"/>
      <c r="F279" s="64">
        <v>3400</v>
      </c>
      <c r="G279" s="64"/>
      <c r="H279" s="43"/>
      <c r="I279" s="43"/>
      <c r="J279" s="43"/>
      <c r="K279" s="43"/>
    </row>
    <row r="280" spans="1:11" x14ac:dyDescent="0.25">
      <c r="A280" s="43">
        <v>1997</v>
      </c>
      <c r="B280" s="36" t="s">
        <v>1750</v>
      </c>
      <c r="C280" s="36">
        <v>3</v>
      </c>
      <c r="D280" s="38" t="s">
        <v>321</v>
      </c>
      <c r="E280" s="38"/>
      <c r="F280" s="64">
        <v>3400</v>
      </c>
      <c r="G280" s="64"/>
      <c r="H280" s="43"/>
      <c r="I280" s="43"/>
      <c r="J280" s="43"/>
      <c r="K280" s="43"/>
    </row>
    <row r="281" spans="1:11" x14ac:dyDescent="0.25">
      <c r="A281" s="43">
        <v>1997</v>
      </c>
      <c r="B281" s="36" t="s">
        <v>1750</v>
      </c>
      <c r="C281" s="36">
        <v>4</v>
      </c>
      <c r="D281" s="38" t="s">
        <v>321</v>
      </c>
      <c r="E281" s="38"/>
      <c r="F281" s="64">
        <v>3400</v>
      </c>
      <c r="G281" s="64"/>
      <c r="H281" s="43"/>
      <c r="I281" s="43"/>
      <c r="J281" s="43"/>
      <c r="K281" s="43"/>
    </row>
    <row r="282" spans="1:11" x14ac:dyDescent="0.25">
      <c r="A282" s="43">
        <v>1997</v>
      </c>
      <c r="B282" s="36" t="s">
        <v>1750</v>
      </c>
      <c r="C282" s="36">
        <v>5</v>
      </c>
      <c r="D282" s="38" t="s">
        <v>426</v>
      </c>
      <c r="E282" s="38"/>
      <c r="F282" s="64">
        <v>3300</v>
      </c>
      <c r="G282" s="64"/>
      <c r="H282" s="43"/>
      <c r="I282" s="43"/>
      <c r="J282" s="43"/>
      <c r="K282" s="43"/>
    </row>
    <row r="283" spans="1:11" x14ac:dyDescent="0.25">
      <c r="A283" s="43">
        <v>1997</v>
      </c>
      <c r="B283" s="36" t="s">
        <v>1750</v>
      </c>
      <c r="C283" s="36">
        <v>6</v>
      </c>
      <c r="D283" s="38" t="s">
        <v>426</v>
      </c>
      <c r="E283" s="38"/>
      <c r="F283" s="64">
        <v>3300</v>
      </c>
      <c r="G283" s="64"/>
      <c r="H283" s="43"/>
      <c r="I283" s="43"/>
      <c r="J283" s="43"/>
      <c r="K283" s="43"/>
    </row>
    <row r="284" spans="1:11" x14ac:dyDescent="0.25">
      <c r="A284" s="43">
        <v>1997</v>
      </c>
      <c r="B284" s="36" t="s">
        <v>1750</v>
      </c>
      <c r="C284" s="36">
        <v>7</v>
      </c>
      <c r="D284" s="38" t="s">
        <v>426</v>
      </c>
      <c r="E284" s="38"/>
      <c r="F284" s="64">
        <v>3300</v>
      </c>
      <c r="G284" s="64"/>
      <c r="H284" s="43"/>
      <c r="I284" s="43"/>
      <c r="J284" s="43"/>
      <c r="K284" s="43"/>
    </row>
    <row r="285" spans="1:11" x14ac:dyDescent="0.25">
      <c r="A285" s="43">
        <v>1997</v>
      </c>
      <c r="B285" s="36" t="s">
        <v>1750</v>
      </c>
      <c r="C285" s="36">
        <v>8</v>
      </c>
      <c r="D285" s="38" t="s">
        <v>426</v>
      </c>
      <c r="E285" s="38"/>
      <c r="F285" s="64">
        <v>3300</v>
      </c>
      <c r="G285" s="64"/>
      <c r="H285" s="43"/>
      <c r="I285" s="43"/>
      <c r="J285" s="43"/>
      <c r="K285" s="43"/>
    </row>
    <row r="286" spans="1:11" x14ac:dyDescent="0.25">
      <c r="A286" s="43">
        <v>1997</v>
      </c>
      <c r="B286" s="36" t="s">
        <v>1750</v>
      </c>
      <c r="C286" s="36">
        <v>9</v>
      </c>
      <c r="D286" s="38" t="s">
        <v>321</v>
      </c>
      <c r="E286" s="38"/>
      <c r="F286" s="64">
        <v>3400</v>
      </c>
      <c r="G286" s="64"/>
      <c r="H286" s="43"/>
      <c r="I286" s="43"/>
      <c r="J286" s="43"/>
      <c r="K286" s="43"/>
    </row>
    <row r="287" spans="1:11" x14ac:dyDescent="0.25">
      <c r="A287" s="43">
        <v>1997</v>
      </c>
      <c r="B287" s="36" t="s">
        <v>1750</v>
      </c>
      <c r="C287" s="36">
        <v>10</v>
      </c>
      <c r="D287" s="38" t="s">
        <v>321</v>
      </c>
      <c r="E287" s="38"/>
      <c r="F287" s="64">
        <v>3400</v>
      </c>
      <c r="G287" s="64"/>
      <c r="H287" s="43"/>
      <c r="I287" s="43"/>
      <c r="J287" s="43"/>
      <c r="K287" s="43"/>
    </row>
    <row r="288" spans="1:11" x14ac:dyDescent="0.25">
      <c r="A288" s="43">
        <v>1997</v>
      </c>
      <c r="B288" s="36" t="s">
        <v>1750</v>
      </c>
      <c r="C288" s="36">
        <v>11</v>
      </c>
      <c r="D288" s="38" t="s">
        <v>321</v>
      </c>
      <c r="E288" s="38"/>
      <c r="F288" s="64">
        <v>3400</v>
      </c>
      <c r="G288" s="64"/>
      <c r="H288" s="43"/>
      <c r="I288" s="43"/>
      <c r="J288" s="43"/>
      <c r="K288" s="43"/>
    </row>
    <row r="289" spans="1:11" x14ac:dyDescent="0.25">
      <c r="A289" s="43">
        <v>1997</v>
      </c>
      <c r="B289" s="36" t="s">
        <v>1750</v>
      </c>
      <c r="C289" s="36">
        <v>12</v>
      </c>
      <c r="D289" s="38" t="s">
        <v>321</v>
      </c>
      <c r="E289" s="38"/>
      <c r="F289" s="64">
        <v>3400</v>
      </c>
      <c r="G289" s="64"/>
      <c r="H289" s="43"/>
      <c r="I289" s="43"/>
      <c r="J289" s="43"/>
      <c r="K289" s="43"/>
    </row>
    <row r="290" spans="1:11" x14ac:dyDescent="0.25">
      <c r="A290" s="43">
        <v>1997</v>
      </c>
      <c r="B290" s="36" t="s">
        <v>1750</v>
      </c>
      <c r="C290" s="36">
        <v>13</v>
      </c>
      <c r="D290" s="38" t="s">
        <v>319</v>
      </c>
      <c r="E290" s="38"/>
      <c r="F290" s="64">
        <v>3450</v>
      </c>
      <c r="G290" s="64"/>
      <c r="H290" s="43"/>
      <c r="I290" s="43"/>
      <c r="J290" s="43"/>
      <c r="K290" s="43"/>
    </row>
    <row r="291" spans="1:11" x14ac:dyDescent="0.25">
      <c r="A291" s="43">
        <v>1997</v>
      </c>
      <c r="B291" s="36" t="s">
        <v>1750</v>
      </c>
      <c r="C291" s="36">
        <v>14</v>
      </c>
      <c r="D291" s="38" t="s">
        <v>319</v>
      </c>
      <c r="E291" s="38"/>
      <c r="F291" s="64">
        <v>3450</v>
      </c>
      <c r="G291" s="64"/>
      <c r="H291" s="43"/>
      <c r="I291" s="43"/>
      <c r="J291" s="43"/>
      <c r="K291" s="43"/>
    </row>
    <row r="292" spans="1:11" x14ac:dyDescent="0.25">
      <c r="A292" s="43">
        <v>1997</v>
      </c>
      <c r="B292" s="36" t="s">
        <v>1750</v>
      </c>
      <c r="C292" s="36">
        <v>15</v>
      </c>
      <c r="D292" s="38" t="s">
        <v>319</v>
      </c>
      <c r="E292" s="38"/>
      <c r="F292" s="64">
        <v>3450</v>
      </c>
      <c r="G292" s="64"/>
      <c r="H292" s="43"/>
      <c r="I292" s="43"/>
      <c r="J292" s="43"/>
      <c r="K292" s="43"/>
    </row>
    <row r="293" spans="1:11" x14ac:dyDescent="0.25">
      <c r="A293" s="43">
        <v>1997</v>
      </c>
      <c r="B293" s="36" t="s">
        <v>1750</v>
      </c>
      <c r="C293" s="36">
        <v>16</v>
      </c>
      <c r="D293" s="38" t="s">
        <v>319</v>
      </c>
      <c r="E293" s="38"/>
      <c r="F293" s="64">
        <v>3450</v>
      </c>
      <c r="G293" s="64"/>
      <c r="H293" s="43"/>
      <c r="I293" s="43"/>
      <c r="J293" s="43"/>
      <c r="K293" s="43"/>
    </row>
    <row r="294" spans="1:11" x14ac:dyDescent="0.25">
      <c r="A294" s="43">
        <v>1997</v>
      </c>
      <c r="B294" s="36" t="s">
        <v>1750</v>
      </c>
      <c r="C294" s="36">
        <v>17</v>
      </c>
      <c r="D294" s="38" t="s">
        <v>319</v>
      </c>
      <c r="E294" s="38"/>
      <c r="F294" s="64">
        <v>3450</v>
      </c>
      <c r="G294" s="64"/>
      <c r="H294" s="43"/>
      <c r="I294" s="43"/>
      <c r="J294" s="43"/>
      <c r="K294" s="43"/>
    </row>
    <row r="295" spans="1:11" x14ac:dyDescent="0.25">
      <c r="A295" s="43">
        <v>1997</v>
      </c>
      <c r="B295" s="36" t="s">
        <v>1750</v>
      </c>
      <c r="C295" s="36">
        <v>18</v>
      </c>
      <c r="D295" s="38" t="s">
        <v>319</v>
      </c>
      <c r="E295" s="38"/>
      <c r="F295" s="64">
        <v>3450</v>
      </c>
      <c r="G295" s="64"/>
      <c r="H295" s="43"/>
      <c r="I295" s="43"/>
      <c r="J295" s="43"/>
      <c r="K295" s="43"/>
    </row>
    <row r="296" spans="1:11" x14ac:dyDescent="0.25">
      <c r="A296" s="43">
        <v>1997</v>
      </c>
      <c r="B296" s="36" t="s">
        <v>1750</v>
      </c>
      <c r="C296" s="36">
        <v>19</v>
      </c>
      <c r="D296" s="38" t="s">
        <v>319</v>
      </c>
      <c r="E296" s="38"/>
      <c r="F296" s="64">
        <v>3450</v>
      </c>
      <c r="G296" s="64"/>
      <c r="H296" s="43"/>
      <c r="I296" s="43"/>
      <c r="J296" s="43"/>
      <c r="K296" s="43"/>
    </row>
    <row r="297" spans="1:11" x14ac:dyDescent="0.25">
      <c r="A297" s="43">
        <v>1997</v>
      </c>
      <c r="B297" s="36" t="s">
        <v>1750</v>
      </c>
      <c r="C297" s="36">
        <v>20</v>
      </c>
      <c r="D297" s="38" t="s">
        <v>319</v>
      </c>
      <c r="E297" s="38"/>
      <c r="F297" s="64">
        <v>3450</v>
      </c>
      <c r="G297" s="64"/>
      <c r="H297" s="43"/>
      <c r="I297" s="43"/>
      <c r="J297" s="43"/>
      <c r="K297" s="43"/>
    </row>
    <row r="298" spans="1:11" x14ac:dyDescent="0.25">
      <c r="A298" s="43">
        <v>1997</v>
      </c>
      <c r="B298" s="36" t="s">
        <v>1750</v>
      </c>
      <c r="C298" s="36">
        <v>21</v>
      </c>
      <c r="D298" s="38" t="s">
        <v>317</v>
      </c>
      <c r="E298" s="38"/>
      <c r="F298" s="43">
        <v>3500</v>
      </c>
      <c r="G298" s="43"/>
      <c r="H298" s="43"/>
      <c r="I298" s="43"/>
      <c r="J298" s="43"/>
      <c r="K298" s="43"/>
    </row>
    <row r="299" spans="1:11" x14ac:dyDescent="0.25">
      <c r="A299" s="43">
        <v>1997</v>
      </c>
      <c r="B299" s="36" t="s">
        <v>1750</v>
      </c>
      <c r="C299" s="36">
        <v>22</v>
      </c>
      <c r="D299" s="38" t="s">
        <v>124</v>
      </c>
      <c r="E299" s="38"/>
      <c r="F299" s="43">
        <v>4000</v>
      </c>
      <c r="G299" s="43"/>
      <c r="H299" s="43"/>
      <c r="I299" s="43"/>
      <c r="J299" s="43"/>
      <c r="K299" s="43"/>
    </row>
    <row r="300" spans="1:11" x14ac:dyDescent="0.25">
      <c r="A300" s="43">
        <v>1997</v>
      </c>
      <c r="B300" s="36" t="s">
        <v>1750</v>
      </c>
      <c r="C300" s="36">
        <v>23</v>
      </c>
      <c r="D300" s="38" t="s">
        <v>425</v>
      </c>
      <c r="E300" s="38"/>
      <c r="F300" s="43">
        <v>4350</v>
      </c>
      <c r="G300" s="43"/>
      <c r="H300" s="43"/>
      <c r="I300" s="43"/>
      <c r="J300" s="43"/>
      <c r="K300" s="43"/>
    </row>
    <row r="301" spans="1:11" x14ac:dyDescent="0.25">
      <c r="A301" s="43">
        <v>1997</v>
      </c>
      <c r="B301" s="36" t="s">
        <v>1750</v>
      </c>
      <c r="C301" s="36">
        <v>24</v>
      </c>
      <c r="D301" s="38" t="s">
        <v>425</v>
      </c>
      <c r="E301" s="38"/>
      <c r="F301" s="43">
        <v>4350</v>
      </c>
      <c r="G301" s="43"/>
      <c r="H301" s="43"/>
      <c r="I301" s="43"/>
      <c r="J301" s="43"/>
      <c r="K301" s="43"/>
    </row>
    <row r="302" spans="1:11" x14ac:dyDescent="0.25">
      <c r="A302" s="43">
        <v>1997</v>
      </c>
      <c r="B302" s="36" t="s">
        <v>1750</v>
      </c>
      <c r="C302" s="36">
        <v>25</v>
      </c>
      <c r="D302" s="38" t="s">
        <v>424</v>
      </c>
      <c r="E302" s="38"/>
      <c r="F302" s="65">
        <v>4400</v>
      </c>
      <c r="G302" s="65"/>
      <c r="H302" s="43"/>
      <c r="I302" s="43"/>
      <c r="J302" s="43"/>
      <c r="K302" s="43"/>
    </row>
    <row r="303" spans="1:11" x14ac:dyDescent="0.25">
      <c r="A303" s="43">
        <v>1997</v>
      </c>
      <c r="B303" s="36" t="s">
        <v>1750</v>
      </c>
      <c r="C303" s="36">
        <v>26</v>
      </c>
      <c r="D303" s="38" t="s">
        <v>424</v>
      </c>
      <c r="E303" s="38"/>
      <c r="F303" s="65">
        <v>4400</v>
      </c>
      <c r="G303" s="65"/>
      <c r="H303" s="43"/>
      <c r="I303" s="43"/>
      <c r="J303" s="43"/>
      <c r="K303" s="43"/>
    </row>
    <row r="304" spans="1:11" x14ac:dyDescent="0.25">
      <c r="A304" s="43">
        <v>1997</v>
      </c>
      <c r="B304" s="36" t="s">
        <v>1750</v>
      </c>
      <c r="C304" s="36">
        <v>27</v>
      </c>
      <c r="D304" s="38" t="s">
        <v>284</v>
      </c>
      <c r="E304" s="38"/>
      <c r="F304" s="65">
        <v>4450</v>
      </c>
      <c r="G304" s="65"/>
      <c r="H304" s="43"/>
      <c r="I304" s="43"/>
      <c r="J304" s="43"/>
      <c r="K304" s="43"/>
    </row>
    <row r="305" spans="1:11" x14ac:dyDescent="0.25">
      <c r="A305" s="43">
        <v>1997</v>
      </c>
      <c r="B305" s="36" t="s">
        <v>1750</v>
      </c>
      <c r="C305" s="36">
        <v>28</v>
      </c>
      <c r="D305" s="38" t="s">
        <v>284</v>
      </c>
      <c r="E305" s="38"/>
      <c r="F305" s="65">
        <v>4450</v>
      </c>
      <c r="G305" s="65"/>
      <c r="H305" s="43"/>
      <c r="I305" s="43"/>
      <c r="J305" s="43"/>
      <c r="K305" s="43"/>
    </row>
    <row r="306" spans="1:11" x14ac:dyDescent="0.25">
      <c r="A306" s="43">
        <v>1997</v>
      </c>
      <c r="B306" s="36" t="s">
        <v>1750</v>
      </c>
      <c r="C306" s="36">
        <v>29</v>
      </c>
      <c r="D306" s="38" t="s">
        <v>284</v>
      </c>
      <c r="E306" s="38"/>
      <c r="F306" s="65">
        <v>4450</v>
      </c>
      <c r="G306" s="65"/>
      <c r="H306" s="43"/>
      <c r="I306" s="43"/>
      <c r="J306" s="43"/>
      <c r="K306" s="43"/>
    </row>
    <row r="307" spans="1:11" x14ac:dyDescent="0.25">
      <c r="A307" s="43">
        <v>1997</v>
      </c>
      <c r="B307" s="36" t="s">
        <v>1750</v>
      </c>
      <c r="C307" s="36">
        <v>30</v>
      </c>
      <c r="D307" s="38" t="s">
        <v>143</v>
      </c>
      <c r="E307" s="38"/>
      <c r="F307" s="65">
        <v>5000</v>
      </c>
      <c r="G307" s="65"/>
      <c r="H307" s="43"/>
      <c r="I307" s="43"/>
      <c r="J307" s="43"/>
      <c r="K307" s="43"/>
    </row>
    <row r="308" spans="1:11" x14ac:dyDescent="0.25">
      <c r="A308" s="43">
        <v>1997</v>
      </c>
      <c r="B308" s="36" t="s">
        <v>1750</v>
      </c>
      <c r="C308" s="36">
        <v>31</v>
      </c>
      <c r="D308" s="38" t="s">
        <v>145</v>
      </c>
      <c r="E308" s="38"/>
      <c r="F308" s="65">
        <v>5050</v>
      </c>
      <c r="G308" s="65"/>
      <c r="H308" s="43"/>
      <c r="I308" s="43"/>
      <c r="J308" s="43"/>
      <c r="K308" s="43"/>
    </row>
    <row r="309" spans="1:11" x14ac:dyDescent="0.25">
      <c r="A309" s="43">
        <v>1997</v>
      </c>
      <c r="B309" s="36" t="s">
        <v>32</v>
      </c>
      <c r="C309" s="36">
        <v>1</v>
      </c>
      <c r="D309" s="69" t="s">
        <v>145</v>
      </c>
      <c r="E309" s="69"/>
      <c r="F309" s="43">
        <v>5050</v>
      </c>
      <c r="G309" s="43"/>
      <c r="H309" s="43"/>
      <c r="I309" s="43"/>
      <c r="J309" s="43"/>
      <c r="K309" s="43"/>
    </row>
    <row r="310" spans="1:11" x14ac:dyDescent="0.25">
      <c r="A310" s="43">
        <v>1997</v>
      </c>
      <c r="B310" s="36" t="s">
        <v>32</v>
      </c>
      <c r="C310" s="36">
        <v>2</v>
      </c>
      <c r="D310" s="38" t="s">
        <v>423</v>
      </c>
      <c r="E310" s="38"/>
      <c r="F310" s="43">
        <v>5100</v>
      </c>
      <c r="G310" s="43"/>
      <c r="H310" s="43"/>
      <c r="I310" s="43"/>
      <c r="J310" s="43"/>
      <c r="K310" s="43"/>
    </row>
    <row r="311" spans="1:11" x14ac:dyDescent="0.25">
      <c r="A311" s="43">
        <v>1997</v>
      </c>
      <c r="B311" s="36" t="s">
        <v>32</v>
      </c>
      <c r="C311" s="36">
        <v>3</v>
      </c>
      <c r="D311" s="38" t="s">
        <v>423</v>
      </c>
      <c r="E311" s="38"/>
      <c r="F311" s="43">
        <v>5100</v>
      </c>
      <c r="G311" s="43"/>
      <c r="H311" s="43"/>
      <c r="I311" s="43"/>
      <c r="J311" s="43"/>
      <c r="K311" s="43"/>
    </row>
    <row r="312" spans="1:11" x14ac:dyDescent="0.25">
      <c r="A312" s="43">
        <v>1997</v>
      </c>
      <c r="B312" s="36" t="s">
        <v>32</v>
      </c>
      <c r="C312" s="36">
        <v>4</v>
      </c>
      <c r="D312" s="38" t="s">
        <v>149</v>
      </c>
      <c r="E312" s="38"/>
      <c r="F312" s="43">
        <v>5150</v>
      </c>
      <c r="G312" s="43"/>
      <c r="H312" s="43"/>
      <c r="I312" s="43"/>
      <c r="J312" s="43"/>
      <c r="K312" s="43"/>
    </row>
    <row r="313" spans="1:11" x14ac:dyDescent="0.25">
      <c r="A313" s="43">
        <v>1997</v>
      </c>
      <c r="B313" s="36" t="s">
        <v>32</v>
      </c>
      <c r="C313" s="36">
        <v>5</v>
      </c>
      <c r="D313" s="38" t="s">
        <v>258</v>
      </c>
      <c r="E313" s="38"/>
      <c r="F313" s="43">
        <v>5250</v>
      </c>
      <c r="G313" s="43"/>
      <c r="H313" s="43"/>
      <c r="I313" s="43"/>
      <c r="J313" s="43"/>
      <c r="K313" s="43"/>
    </row>
    <row r="314" spans="1:11" x14ac:dyDescent="0.25">
      <c r="A314" s="43">
        <v>1997</v>
      </c>
      <c r="B314" s="36" t="s">
        <v>32</v>
      </c>
      <c r="C314" s="36">
        <v>6</v>
      </c>
      <c r="D314" s="38" t="s">
        <v>153</v>
      </c>
      <c r="E314" s="38"/>
      <c r="F314" s="43">
        <v>5350</v>
      </c>
      <c r="G314" s="43"/>
      <c r="H314" s="43"/>
      <c r="I314" s="43"/>
      <c r="J314" s="43"/>
      <c r="K314" s="43"/>
    </row>
    <row r="315" spans="1:11" x14ac:dyDescent="0.25">
      <c r="A315" s="43">
        <v>1997</v>
      </c>
      <c r="B315" s="36" t="s">
        <v>32</v>
      </c>
      <c r="C315" s="36">
        <v>7</v>
      </c>
      <c r="D315" s="38" t="s">
        <v>248</v>
      </c>
      <c r="E315" s="38"/>
      <c r="F315" s="43">
        <v>5400</v>
      </c>
      <c r="G315" s="43"/>
      <c r="H315" s="43"/>
      <c r="I315" s="43"/>
      <c r="J315" s="43"/>
      <c r="K315" s="43"/>
    </row>
    <row r="316" spans="1:11" x14ac:dyDescent="0.25">
      <c r="A316" s="43">
        <v>1997</v>
      </c>
      <c r="B316" s="36" t="s">
        <v>32</v>
      </c>
      <c r="C316" s="36">
        <v>8</v>
      </c>
      <c r="D316" s="38" t="s">
        <v>227</v>
      </c>
      <c r="E316" s="38"/>
      <c r="F316" s="43">
        <v>6000</v>
      </c>
      <c r="G316" s="43"/>
      <c r="H316" s="43"/>
      <c r="I316" s="43"/>
      <c r="J316" s="43"/>
      <c r="K316" s="43"/>
    </row>
    <row r="317" spans="1:11" x14ac:dyDescent="0.25">
      <c r="A317" s="43">
        <v>1997</v>
      </c>
      <c r="B317" s="36" t="s">
        <v>32</v>
      </c>
      <c r="C317" s="36">
        <v>9</v>
      </c>
      <c r="D317" s="38" t="s">
        <v>212</v>
      </c>
      <c r="E317" s="38"/>
      <c r="F317" s="43">
        <v>6400</v>
      </c>
      <c r="G317" s="43"/>
      <c r="H317" s="43"/>
      <c r="I317" s="43"/>
      <c r="J317" s="43"/>
      <c r="K317" s="43"/>
    </row>
    <row r="318" spans="1:11" x14ac:dyDescent="0.25">
      <c r="A318" s="43">
        <v>1997</v>
      </c>
      <c r="B318" s="36" t="s">
        <v>32</v>
      </c>
      <c r="C318" s="36">
        <v>10</v>
      </c>
      <c r="D318" s="38" t="s">
        <v>192</v>
      </c>
      <c r="E318" s="38"/>
      <c r="F318" s="43">
        <v>6900</v>
      </c>
      <c r="G318" s="43"/>
      <c r="H318" s="43"/>
      <c r="I318" s="43"/>
      <c r="J318" s="43"/>
      <c r="K318" s="43"/>
    </row>
    <row r="319" spans="1:11" x14ac:dyDescent="0.25">
      <c r="A319" s="43">
        <v>1997</v>
      </c>
      <c r="B319" s="36" t="s">
        <v>32</v>
      </c>
      <c r="C319" s="36">
        <v>11</v>
      </c>
      <c r="D319" s="38" t="s">
        <v>192</v>
      </c>
      <c r="E319" s="38"/>
      <c r="F319" s="43">
        <v>7400</v>
      </c>
      <c r="G319" s="43"/>
      <c r="H319" s="43"/>
      <c r="I319" s="43"/>
      <c r="J319" s="43"/>
      <c r="K319" s="43"/>
    </row>
    <row r="320" spans="1:11" x14ac:dyDescent="0.25">
      <c r="A320" s="43">
        <v>1997</v>
      </c>
      <c r="B320" s="36" t="s">
        <v>32</v>
      </c>
      <c r="C320" s="36">
        <v>12</v>
      </c>
      <c r="D320" s="38" t="s">
        <v>3</v>
      </c>
      <c r="E320" s="38"/>
      <c r="F320" s="43">
        <v>7400</v>
      </c>
      <c r="G320" s="43"/>
      <c r="H320" s="43"/>
      <c r="I320" s="43"/>
      <c r="J320" s="43"/>
      <c r="K320" s="43"/>
    </row>
    <row r="321" spans="1:11" x14ac:dyDescent="0.25">
      <c r="A321" s="43">
        <v>1997</v>
      </c>
      <c r="B321" s="36" t="s">
        <v>32</v>
      </c>
      <c r="C321" s="36">
        <v>13</v>
      </c>
      <c r="D321" s="38" t="s">
        <v>511</v>
      </c>
      <c r="E321" s="38"/>
      <c r="F321" s="65">
        <v>7800</v>
      </c>
      <c r="G321" s="65"/>
      <c r="H321" s="43"/>
      <c r="I321" s="43"/>
      <c r="J321" s="43"/>
      <c r="K321" s="43"/>
    </row>
    <row r="322" spans="1:11" x14ac:dyDescent="0.25">
      <c r="A322" s="43">
        <v>1997</v>
      </c>
      <c r="B322" s="36" t="s">
        <v>32</v>
      </c>
      <c r="C322" s="36">
        <v>14</v>
      </c>
      <c r="D322" s="38" t="s">
        <v>112</v>
      </c>
      <c r="E322" s="38"/>
      <c r="F322" s="65">
        <v>7800</v>
      </c>
      <c r="G322" s="65"/>
      <c r="H322" s="43"/>
      <c r="I322" s="43"/>
      <c r="J322" s="43"/>
      <c r="K322" s="43"/>
    </row>
    <row r="323" spans="1:11" x14ac:dyDescent="0.25">
      <c r="A323" s="43">
        <v>1997</v>
      </c>
      <c r="B323" s="36" t="s">
        <v>32</v>
      </c>
      <c r="C323" s="36">
        <v>15</v>
      </c>
      <c r="D323" s="38" t="s">
        <v>98</v>
      </c>
      <c r="E323" s="38"/>
      <c r="F323" s="43">
        <v>7900</v>
      </c>
      <c r="G323" s="43"/>
      <c r="H323" s="43"/>
      <c r="I323" s="43"/>
      <c r="J323" s="43"/>
      <c r="K323" s="43"/>
    </row>
    <row r="324" spans="1:11" x14ac:dyDescent="0.25">
      <c r="A324" s="43">
        <v>1997</v>
      </c>
      <c r="B324" s="36" t="s">
        <v>32</v>
      </c>
      <c r="C324" s="36">
        <v>16</v>
      </c>
      <c r="D324" s="38" t="s">
        <v>98</v>
      </c>
      <c r="E324" s="38"/>
      <c r="F324" s="43">
        <v>7900</v>
      </c>
      <c r="G324" s="43"/>
      <c r="H324" s="43"/>
      <c r="I324" s="43"/>
      <c r="J324" s="43"/>
      <c r="K324" s="43"/>
    </row>
    <row r="325" spans="1:11" x14ac:dyDescent="0.25">
      <c r="A325" s="43">
        <v>1997</v>
      </c>
      <c r="B325" s="36" t="s">
        <v>32</v>
      </c>
      <c r="C325" s="36">
        <v>17</v>
      </c>
      <c r="D325" s="38" t="s">
        <v>92</v>
      </c>
      <c r="E325" s="38"/>
      <c r="F325" s="43">
        <v>8200</v>
      </c>
      <c r="G325" s="43"/>
      <c r="H325" s="43"/>
      <c r="I325" s="43"/>
      <c r="J325" s="43"/>
      <c r="K325" s="43"/>
    </row>
    <row r="326" spans="1:11" x14ac:dyDescent="0.25">
      <c r="A326" s="43">
        <v>1997</v>
      </c>
      <c r="B326" s="36" t="s">
        <v>32</v>
      </c>
      <c r="C326" s="36">
        <v>18</v>
      </c>
      <c r="D326" s="38" t="s">
        <v>92</v>
      </c>
      <c r="E326" s="38"/>
      <c r="F326" s="43">
        <v>8200</v>
      </c>
      <c r="G326" s="43"/>
      <c r="H326" s="43"/>
      <c r="I326" s="43"/>
      <c r="J326" s="43"/>
      <c r="K326" s="43"/>
    </row>
    <row r="327" spans="1:11" x14ac:dyDescent="0.25">
      <c r="A327" s="43">
        <v>1997</v>
      </c>
      <c r="B327" s="36" t="s">
        <v>32</v>
      </c>
      <c r="C327" s="36">
        <v>19</v>
      </c>
      <c r="D327" s="38" t="s">
        <v>86</v>
      </c>
      <c r="E327" s="38"/>
      <c r="F327" s="43">
        <v>8400</v>
      </c>
      <c r="G327" s="43"/>
      <c r="H327" s="43"/>
      <c r="I327" s="43"/>
      <c r="J327" s="43"/>
      <c r="K327" s="43"/>
    </row>
    <row r="328" spans="1:11" x14ac:dyDescent="0.25">
      <c r="A328" s="43">
        <v>1997</v>
      </c>
      <c r="B328" s="36" t="s">
        <v>32</v>
      </c>
      <c r="C328" s="36">
        <v>20</v>
      </c>
      <c r="D328" s="38" t="s">
        <v>86</v>
      </c>
      <c r="E328" s="38"/>
      <c r="F328" s="43">
        <v>8400</v>
      </c>
      <c r="G328" s="43"/>
      <c r="H328" s="43"/>
      <c r="I328" s="43"/>
      <c r="J328" s="43"/>
      <c r="K328" s="43"/>
    </row>
    <row r="329" spans="1:11" x14ac:dyDescent="0.25">
      <c r="A329" s="43">
        <v>1997</v>
      </c>
      <c r="B329" s="36" t="s">
        <v>32</v>
      </c>
      <c r="C329" s="36">
        <v>21</v>
      </c>
      <c r="D329" s="38" t="s">
        <v>82</v>
      </c>
      <c r="E329" s="38"/>
      <c r="F329" s="43">
        <v>8800</v>
      </c>
      <c r="G329" s="43"/>
      <c r="H329" s="43"/>
      <c r="I329" s="43"/>
      <c r="J329" s="43"/>
      <c r="K329" s="43"/>
    </row>
    <row r="330" spans="1:11" x14ac:dyDescent="0.25">
      <c r="A330" s="43">
        <v>1997</v>
      </c>
      <c r="B330" s="36" t="s">
        <v>32</v>
      </c>
      <c r="C330" s="36">
        <v>22</v>
      </c>
      <c r="D330" s="38" t="s">
        <v>82</v>
      </c>
      <c r="E330" s="38"/>
      <c r="F330" s="43">
        <v>8800</v>
      </c>
      <c r="G330" s="43"/>
      <c r="H330" s="43"/>
      <c r="I330" s="43"/>
      <c r="J330" s="43"/>
      <c r="K330" s="43"/>
    </row>
    <row r="331" spans="1:11" x14ac:dyDescent="0.25">
      <c r="A331" s="43">
        <v>1997</v>
      </c>
      <c r="B331" s="36" t="s">
        <v>32</v>
      </c>
      <c r="C331" s="36">
        <v>23</v>
      </c>
      <c r="D331" s="38" t="s">
        <v>76</v>
      </c>
      <c r="E331" s="38"/>
      <c r="F331" s="43">
        <v>9100</v>
      </c>
      <c r="G331" s="43"/>
      <c r="H331" s="43"/>
      <c r="I331" s="43"/>
      <c r="J331" s="43"/>
      <c r="K331" s="43"/>
    </row>
    <row r="332" spans="1:11" x14ac:dyDescent="0.25">
      <c r="A332" s="43">
        <v>1997</v>
      </c>
      <c r="B332" s="36" t="s">
        <v>32</v>
      </c>
      <c r="C332" s="36">
        <v>24</v>
      </c>
      <c r="D332" s="38" t="s">
        <v>72</v>
      </c>
      <c r="E332" s="38"/>
      <c r="F332" s="43">
        <v>9200</v>
      </c>
      <c r="G332" s="43"/>
      <c r="H332" s="43"/>
      <c r="I332" s="43"/>
      <c r="J332" s="43"/>
      <c r="K332" s="43"/>
    </row>
    <row r="333" spans="1:11" x14ac:dyDescent="0.25">
      <c r="A333" s="43">
        <v>1997</v>
      </c>
      <c r="B333" s="36" t="s">
        <v>32</v>
      </c>
      <c r="C333" s="36">
        <v>25</v>
      </c>
      <c r="D333" s="38" t="s">
        <v>70</v>
      </c>
      <c r="E333" s="38"/>
      <c r="F333" s="43">
        <v>9300</v>
      </c>
      <c r="G333" s="43"/>
      <c r="H333" s="43"/>
      <c r="I333" s="43"/>
      <c r="J333" s="43"/>
      <c r="K333" s="43"/>
    </row>
    <row r="334" spans="1:11" x14ac:dyDescent="0.25">
      <c r="A334" s="43">
        <v>1997</v>
      </c>
      <c r="B334" s="36" t="s">
        <v>32</v>
      </c>
      <c r="C334" s="36">
        <v>26</v>
      </c>
      <c r="D334" s="38" t="s">
        <v>70</v>
      </c>
      <c r="E334" s="38"/>
      <c r="F334" s="43">
        <v>9300</v>
      </c>
      <c r="G334" s="43"/>
      <c r="H334" s="43"/>
      <c r="I334" s="43"/>
      <c r="J334" s="43"/>
      <c r="K334" s="43"/>
    </row>
    <row r="335" spans="1:11" x14ac:dyDescent="0.25">
      <c r="A335" s="43">
        <v>1997</v>
      </c>
      <c r="B335" s="36" t="s">
        <v>32</v>
      </c>
      <c r="C335" s="36">
        <v>27</v>
      </c>
      <c r="D335" s="38" t="s">
        <v>70</v>
      </c>
      <c r="E335" s="38"/>
      <c r="F335" s="43">
        <v>9300</v>
      </c>
      <c r="G335" s="43"/>
      <c r="H335" s="43"/>
      <c r="I335" s="43"/>
      <c r="J335" s="43"/>
      <c r="K335" s="43"/>
    </row>
    <row r="336" spans="1:11" x14ac:dyDescent="0.25">
      <c r="A336" s="43">
        <v>1997</v>
      </c>
      <c r="B336" s="36" t="s">
        <v>32</v>
      </c>
      <c r="C336" s="36">
        <v>28</v>
      </c>
      <c r="D336" s="38" t="s">
        <v>70</v>
      </c>
      <c r="E336" s="38"/>
      <c r="F336" s="43">
        <v>9300</v>
      </c>
      <c r="G336" s="43"/>
      <c r="H336" s="43"/>
      <c r="I336" s="43"/>
      <c r="J336" s="43"/>
      <c r="K336" s="43"/>
    </row>
    <row r="337" spans="1:11" x14ac:dyDescent="0.25">
      <c r="A337" s="43">
        <v>1997</v>
      </c>
      <c r="B337" s="36" t="s">
        <v>32</v>
      </c>
      <c r="C337" s="36">
        <v>29</v>
      </c>
      <c r="D337" s="38" t="s">
        <v>70</v>
      </c>
      <c r="E337" s="38"/>
      <c r="F337" s="43">
        <v>9300</v>
      </c>
      <c r="G337" s="43"/>
      <c r="H337" s="43"/>
      <c r="I337" s="43"/>
      <c r="J337" s="43"/>
      <c r="K337" s="43"/>
    </row>
    <row r="338" spans="1:11" x14ac:dyDescent="0.25">
      <c r="A338" s="43">
        <v>1997</v>
      </c>
      <c r="B338" s="36" t="s">
        <v>32</v>
      </c>
      <c r="C338" s="36">
        <v>30</v>
      </c>
      <c r="D338" s="38" t="s">
        <v>70</v>
      </c>
      <c r="E338" s="38"/>
      <c r="F338" s="43">
        <v>9300</v>
      </c>
      <c r="G338" s="43"/>
      <c r="H338" s="43"/>
      <c r="I338" s="43"/>
      <c r="J338" s="43"/>
      <c r="K338" s="43"/>
    </row>
    <row r="339" spans="1:11" x14ac:dyDescent="0.25">
      <c r="A339" s="43">
        <v>1997</v>
      </c>
      <c r="B339" s="36" t="s">
        <v>33</v>
      </c>
      <c r="C339" s="36">
        <v>1</v>
      </c>
      <c r="D339" s="68" t="s">
        <v>68</v>
      </c>
      <c r="E339" s="68"/>
      <c r="F339" s="43">
        <v>9400</v>
      </c>
      <c r="G339" s="43"/>
      <c r="H339" s="43"/>
      <c r="I339" s="43"/>
      <c r="J339" s="43"/>
      <c r="K339" s="43"/>
    </row>
    <row r="340" spans="1:11" x14ac:dyDescent="0.25">
      <c r="A340" s="43">
        <v>1997</v>
      </c>
      <c r="B340" s="36" t="s">
        <v>33</v>
      </c>
      <c r="C340" s="36">
        <v>2</v>
      </c>
      <c r="D340" s="68" t="s">
        <v>122</v>
      </c>
      <c r="E340" s="68"/>
      <c r="F340" s="68" t="s">
        <v>122</v>
      </c>
      <c r="G340" s="68"/>
      <c r="H340" s="43"/>
      <c r="I340" s="43"/>
      <c r="J340" s="43"/>
      <c r="K340" s="43"/>
    </row>
    <row r="341" spans="1:11" x14ac:dyDescent="0.25">
      <c r="A341" s="43">
        <v>1997</v>
      </c>
      <c r="B341" s="36" t="s">
        <v>33</v>
      </c>
      <c r="C341" s="36">
        <v>3</v>
      </c>
      <c r="D341" s="68" t="s">
        <v>122</v>
      </c>
      <c r="E341" s="68"/>
      <c r="F341" s="68" t="s">
        <v>122</v>
      </c>
      <c r="G341" s="68"/>
      <c r="H341" s="43"/>
      <c r="I341" s="43"/>
      <c r="J341" s="43"/>
      <c r="K341" s="43"/>
    </row>
    <row r="342" spans="1:11" x14ac:dyDescent="0.25">
      <c r="A342" s="43">
        <v>1997</v>
      </c>
      <c r="B342" s="36" t="s">
        <v>33</v>
      </c>
      <c r="C342" s="36">
        <v>4</v>
      </c>
      <c r="D342" s="68" t="s">
        <v>7</v>
      </c>
      <c r="E342" s="68"/>
      <c r="F342" s="43">
        <v>10000</v>
      </c>
      <c r="G342" s="43"/>
      <c r="H342" s="43"/>
      <c r="I342" s="43"/>
      <c r="J342" s="43"/>
      <c r="K342" s="43"/>
    </row>
    <row r="343" spans="1:11" x14ac:dyDescent="0.25">
      <c r="A343" s="43">
        <v>1997</v>
      </c>
      <c r="B343" s="36" t="s">
        <v>33</v>
      </c>
      <c r="C343" s="36">
        <v>5</v>
      </c>
      <c r="D343" s="65" t="s">
        <v>7</v>
      </c>
      <c r="E343" s="65"/>
      <c r="F343" s="43">
        <v>10000</v>
      </c>
      <c r="G343" s="43"/>
      <c r="H343" s="43"/>
      <c r="I343" s="43"/>
      <c r="J343" s="43"/>
      <c r="K343" s="43"/>
    </row>
    <row r="344" spans="1:11" x14ac:dyDescent="0.25">
      <c r="A344" s="43">
        <v>1997</v>
      </c>
      <c r="B344" s="36" t="s">
        <v>33</v>
      </c>
      <c r="C344" s="36">
        <v>6</v>
      </c>
      <c r="D344" s="68" t="s">
        <v>17</v>
      </c>
      <c r="E344" s="68"/>
      <c r="F344" s="43">
        <v>11600</v>
      </c>
      <c r="G344" s="43"/>
      <c r="H344" s="43"/>
      <c r="I344" s="43"/>
      <c r="J344" s="43"/>
      <c r="K344" s="43"/>
    </row>
    <row r="345" spans="1:11" x14ac:dyDescent="0.25">
      <c r="A345" s="43">
        <v>1997</v>
      </c>
      <c r="B345" s="36" t="s">
        <v>33</v>
      </c>
      <c r="C345" s="36">
        <v>7</v>
      </c>
      <c r="D345" s="65" t="s">
        <v>390</v>
      </c>
      <c r="E345" s="65"/>
      <c r="F345" s="43">
        <v>12300</v>
      </c>
      <c r="G345" s="43"/>
      <c r="H345" s="36"/>
      <c r="I345" s="43"/>
      <c r="J345" s="43"/>
      <c r="K345" s="43"/>
    </row>
    <row r="346" spans="1:11" x14ac:dyDescent="0.25">
      <c r="A346" s="43">
        <v>1997</v>
      </c>
      <c r="B346" s="36" t="s">
        <v>33</v>
      </c>
      <c r="C346" s="36">
        <v>8</v>
      </c>
      <c r="D346" s="65" t="s">
        <v>387</v>
      </c>
      <c r="E346" s="65"/>
      <c r="F346" s="43">
        <v>12800</v>
      </c>
      <c r="G346" s="43"/>
      <c r="H346" s="70"/>
      <c r="I346" s="43"/>
      <c r="J346" s="43"/>
      <c r="K346" s="43"/>
    </row>
    <row r="347" spans="1:11" x14ac:dyDescent="0.25">
      <c r="A347" s="43">
        <v>1997</v>
      </c>
      <c r="B347" s="36" t="s">
        <v>33</v>
      </c>
      <c r="C347" s="36">
        <v>9</v>
      </c>
      <c r="D347" s="68" t="s">
        <v>391</v>
      </c>
      <c r="E347" s="68"/>
      <c r="F347" s="43">
        <v>13250</v>
      </c>
      <c r="G347" s="43"/>
      <c r="H347" s="36"/>
      <c r="I347" s="43"/>
      <c r="J347" s="43"/>
      <c r="K347" s="43"/>
    </row>
    <row r="348" spans="1:11" x14ac:dyDescent="0.25">
      <c r="A348" s="43">
        <v>1997</v>
      </c>
      <c r="B348" s="36" t="s">
        <v>33</v>
      </c>
      <c r="C348" s="36">
        <v>10</v>
      </c>
      <c r="D348" s="65" t="s">
        <v>385</v>
      </c>
      <c r="E348" s="65"/>
      <c r="F348" s="43">
        <v>13500</v>
      </c>
      <c r="G348" s="43"/>
      <c r="H348" s="36"/>
      <c r="I348" s="43"/>
      <c r="J348" s="43"/>
      <c r="K348" s="43"/>
    </row>
    <row r="349" spans="1:11" x14ac:dyDescent="0.25">
      <c r="A349" s="43">
        <v>1997</v>
      </c>
      <c r="B349" s="36" t="s">
        <v>33</v>
      </c>
      <c r="C349" s="36">
        <v>11</v>
      </c>
      <c r="D349" s="65" t="s">
        <v>497</v>
      </c>
      <c r="E349" s="65"/>
      <c r="F349" s="43">
        <v>17400</v>
      </c>
      <c r="G349" s="43"/>
      <c r="H349" s="36"/>
      <c r="I349" s="43"/>
      <c r="J349" s="43"/>
      <c r="K349" s="43"/>
    </row>
    <row r="350" spans="1:11" x14ac:dyDescent="0.25">
      <c r="A350" s="43">
        <v>1997</v>
      </c>
      <c r="B350" s="36" t="s">
        <v>33</v>
      </c>
      <c r="C350" s="36">
        <v>12</v>
      </c>
      <c r="D350" s="65" t="s">
        <v>494</v>
      </c>
      <c r="E350" s="65"/>
      <c r="F350" s="43">
        <v>19000</v>
      </c>
      <c r="G350" s="43"/>
      <c r="H350" s="36"/>
      <c r="I350" s="43"/>
      <c r="J350" s="43"/>
      <c r="K350" s="43"/>
    </row>
    <row r="351" spans="1:11" x14ac:dyDescent="0.25">
      <c r="A351" s="43">
        <v>1997</v>
      </c>
      <c r="B351" s="36" t="s">
        <v>33</v>
      </c>
      <c r="C351" s="36">
        <v>13</v>
      </c>
      <c r="D351" s="65" t="s">
        <v>492</v>
      </c>
      <c r="E351" s="65"/>
      <c r="F351" s="43">
        <v>19300</v>
      </c>
      <c r="G351" s="43"/>
      <c r="H351" s="36"/>
      <c r="I351" s="43"/>
      <c r="J351" s="43"/>
      <c r="K351" s="43"/>
    </row>
    <row r="352" spans="1:11" x14ac:dyDescent="0.25">
      <c r="A352" s="43">
        <v>1997</v>
      </c>
      <c r="B352" s="36" t="s">
        <v>33</v>
      </c>
      <c r="C352" s="36">
        <v>14</v>
      </c>
      <c r="D352" s="65" t="s">
        <v>491</v>
      </c>
      <c r="E352" s="65"/>
      <c r="F352" s="43">
        <v>19700</v>
      </c>
      <c r="G352" s="43"/>
      <c r="H352" s="36"/>
      <c r="I352" s="43"/>
      <c r="J352" s="43"/>
      <c r="K352" s="43"/>
    </row>
    <row r="353" spans="1:11" x14ac:dyDescent="0.25">
      <c r="A353" s="43">
        <v>1997</v>
      </c>
      <c r="B353" s="36" t="s">
        <v>33</v>
      </c>
      <c r="C353" s="36">
        <v>15</v>
      </c>
      <c r="D353" s="68" t="s">
        <v>363</v>
      </c>
      <c r="E353" s="68"/>
      <c r="F353" s="43">
        <v>20000</v>
      </c>
      <c r="G353" s="43"/>
      <c r="H353" s="36"/>
      <c r="I353" s="43"/>
      <c r="J353" s="43"/>
      <c r="K353" s="43"/>
    </row>
    <row r="354" spans="1:11" x14ac:dyDescent="0.25">
      <c r="A354" s="43">
        <v>1997</v>
      </c>
      <c r="B354" s="36" t="s">
        <v>33</v>
      </c>
      <c r="C354" s="36">
        <v>16</v>
      </c>
      <c r="D354" s="65" t="s">
        <v>363</v>
      </c>
      <c r="E354" s="65"/>
      <c r="F354" s="43">
        <v>20000</v>
      </c>
      <c r="G354" s="43"/>
      <c r="H354" s="36"/>
      <c r="I354" s="43"/>
      <c r="J354" s="43"/>
      <c r="K354" s="43"/>
    </row>
    <row r="355" spans="1:11" x14ac:dyDescent="0.25">
      <c r="A355" s="43">
        <v>1997</v>
      </c>
      <c r="B355" s="36" t="s">
        <v>33</v>
      </c>
      <c r="C355" s="36">
        <v>17</v>
      </c>
      <c r="D355" s="65" t="s">
        <v>360</v>
      </c>
      <c r="E355" s="65"/>
      <c r="F355" s="43">
        <v>21000</v>
      </c>
      <c r="G355" s="43"/>
      <c r="H355" s="36"/>
      <c r="I355" s="43"/>
      <c r="J355" s="43"/>
      <c r="K355" s="43"/>
    </row>
    <row r="356" spans="1:11" x14ac:dyDescent="0.25">
      <c r="A356" s="43">
        <v>1997</v>
      </c>
      <c r="B356" s="36" t="s">
        <v>33</v>
      </c>
      <c r="C356" s="36">
        <v>18</v>
      </c>
      <c r="D356" s="65" t="s">
        <v>487</v>
      </c>
      <c r="E356" s="65"/>
      <c r="F356" s="43">
        <v>22350</v>
      </c>
      <c r="G356" s="43"/>
      <c r="H356" s="44"/>
      <c r="I356" s="43"/>
      <c r="J356" s="43"/>
      <c r="K356" s="43"/>
    </row>
    <row r="357" spans="1:11" x14ac:dyDescent="0.25">
      <c r="A357" s="43">
        <v>1997</v>
      </c>
      <c r="B357" s="36" t="s">
        <v>33</v>
      </c>
      <c r="C357" s="36">
        <v>19</v>
      </c>
      <c r="D357" s="65" t="s">
        <v>487</v>
      </c>
      <c r="E357" s="65"/>
      <c r="F357" s="43">
        <v>22350</v>
      </c>
      <c r="G357" s="43"/>
      <c r="H357" s="44"/>
      <c r="I357" s="43"/>
      <c r="J357" s="43"/>
      <c r="K357" s="43"/>
    </row>
    <row r="358" spans="1:11" x14ac:dyDescent="0.25">
      <c r="A358" s="43">
        <v>1997</v>
      </c>
      <c r="B358" s="36" t="s">
        <v>33</v>
      </c>
      <c r="C358" s="36">
        <v>20</v>
      </c>
      <c r="D358" s="65" t="s">
        <v>482</v>
      </c>
      <c r="E358" s="65"/>
      <c r="F358" s="43">
        <v>25500</v>
      </c>
      <c r="G358" s="43"/>
      <c r="H358" s="44"/>
      <c r="I358" s="43"/>
      <c r="J358" s="43"/>
      <c r="K358" s="43"/>
    </row>
    <row r="359" spans="1:11" x14ac:dyDescent="0.25">
      <c r="A359" s="43">
        <v>1997</v>
      </c>
      <c r="B359" s="36" t="s">
        <v>33</v>
      </c>
      <c r="C359" s="36">
        <v>21</v>
      </c>
      <c r="D359" s="65" t="s">
        <v>538</v>
      </c>
      <c r="E359" s="65"/>
      <c r="F359" s="43">
        <v>27000</v>
      </c>
      <c r="G359" s="43"/>
      <c r="H359" s="44"/>
      <c r="I359" s="43"/>
      <c r="J359" s="43"/>
      <c r="K359" s="43"/>
    </row>
    <row r="360" spans="1:11" x14ac:dyDescent="0.25">
      <c r="A360" s="43">
        <v>1997</v>
      </c>
      <c r="B360" s="36" t="s">
        <v>33</v>
      </c>
      <c r="C360" s="36">
        <v>22</v>
      </c>
      <c r="D360" s="65" t="s">
        <v>439</v>
      </c>
      <c r="E360" s="65"/>
      <c r="F360" s="43">
        <v>27500</v>
      </c>
      <c r="G360" s="43"/>
      <c r="H360" s="44"/>
      <c r="I360" s="43"/>
      <c r="J360" s="43"/>
      <c r="K360" s="43"/>
    </row>
    <row r="361" spans="1:11" x14ac:dyDescent="0.25">
      <c r="A361" s="43">
        <v>1997</v>
      </c>
      <c r="B361" s="36" t="s">
        <v>33</v>
      </c>
      <c r="C361" s="36">
        <v>23</v>
      </c>
      <c r="D361" s="65" t="s">
        <v>478</v>
      </c>
      <c r="E361" s="65"/>
      <c r="F361" s="43">
        <v>27850</v>
      </c>
      <c r="G361" s="43"/>
      <c r="H361" s="44"/>
      <c r="I361" s="43"/>
      <c r="J361" s="43"/>
      <c r="K361" s="43"/>
    </row>
    <row r="362" spans="1:11" x14ac:dyDescent="0.25">
      <c r="A362" s="43">
        <v>1997</v>
      </c>
      <c r="B362" s="36" t="s">
        <v>33</v>
      </c>
      <c r="C362" s="36">
        <v>24</v>
      </c>
      <c r="D362" s="65" t="s">
        <v>477</v>
      </c>
      <c r="E362" s="65"/>
      <c r="F362" s="43">
        <v>28000</v>
      </c>
      <c r="G362" s="43"/>
      <c r="H362" s="44"/>
      <c r="I362" s="43"/>
      <c r="J362" s="43"/>
      <c r="K362" s="43"/>
    </row>
    <row r="363" spans="1:11" x14ac:dyDescent="0.25">
      <c r="A363" s="43">
        <v>1997</v>
      </c>
      <c r="B363" s="36" t="s">
        <v>33</v>
      </c>
      <c r="C363" s="36">
        <v>25</v>
      </c>
      <c r="D363" s="65" t="s">
        <v>476</v>
      </c>
      <c r="E363" s="65"/>
      <c r="F363" s="43">
        <v>28400</v>
      </c>
      <c r="G363" s="43"/>
      <c r="H363" s="44"/>
      <c r="I363" s="43"/>
      <c r="J363" s="43"/>
      <c r="K363" s="43"/>
    </row>
    <row r="364" spans="1:11" x14ac:dyDescent="0.25">
      <c r="A364" s="43">
        <v>1997</v>
      </c>
      <c r="B364" s="36" t="s">
        <v>33</v>
      </c>
      <c r="C364" s="36">
        <v>26</v>
      </c>
      <c r="D364" s="65" t="s">
        <v>475</v>
      </c>
      <c r="E364" s="65"/>
      <c r="F364" s="43">
        <v>28500</v>
      </c>
      <c r="G364" s="43"/>
      <c r="H364" s="36"/>
      <c r="I364" s="43"/>
      <c r="J364" s="43"/>
      <c r="K364" s="43"/>
    </row>
    <row r="365" spans="1:11" x14ac:dyDescent="0.25">
      <c r="A365" s="43">
        <v>1997</v>
      </c>
      <c r="B365" s="36" t="s">
        <v>33</v>
      </c>
      <c r="C365" s="36">
        <v>27</v>
      </c>
      <c r="D365" s="65" t="s">
        <v>474</v>
      </c>
      <c r="E365" s="65"/>
      <c r="F365" s="43">
        <v>28600</v>
      </c>
      <c r="G365" s="43"/>
      <c r="H365" s="36"/>
      <c r="I365" s="43"/>
      <c r="J365" s="43"/>
      <c r="K365" s="43"/>
    </row>
    <row r="366" spans="1:11" x14ac:dyDescent="0.25">
      <c r="A366" s="43">
        <v>1997</v>
      </c>
      <c r="B366" s="36" t="s">
        <v>33</v>
      </c>
      <c r="C366" s="36">
        <v>28</v>
      </c>
      <c r="D366" s="65" t="s">
        <v>441</v>
      </c>
      <c r="E366" s="65"/>
      <c r="F366" s="43">
        <v>28750</v>
      </c>
      <c r="G366" s="43"/>
      <c r="H366" s="44"/>
      <c r="I366" s="43"/>
      <c r="J366" s="43"/>
      <c r="K366" s="43"/>
    </row>
    <row r="367" spans="1:11" x14ac:dyDescent="0.25">
      <c r="A367" s="43">
        <v>1997</v>
      </c>
      <c r="B367" s="36" t="s">
        <v>33</v>
      </c>
      <c r="C367" s="36">
        <v>29</v>
      </c>
      <c r="D367" s="65" t="s">
        <v>473</v>
      </c>
      <c r="E367" s="65"/>
      <c r="F367" s="43">
        <v>28850</v>
      </c>
      <c r="G367" s="43"/>
      <c r="H367" s="44"/>
      <c r="I367" s="43"/>
      <c r="J367" s="43"/>
      <c r="K367" s="43"/>
    </row>
    <row r="368" spans="1:11" x14ac:dyDescent="0.25">
      <c r="A368" s="43">
        <v>1997</v>
      </c>
      <c r="B368" s="36" t="s">
        <v>33</v>
      </c>
      <c r="C368" s="36">
        <v>30</v>
      </c>
      <c r="D368" s="65" t="s">
        <v>471</v>
      </c>
      <c r="E368" s="65"/>
      <c r="F368" s="43">
        <v>30300</v>
      </c>
      <c r="G368" s="43"/>
      <c r="H368" s="44"/>
      <c r="I368" s="43"/>
      <c r="J368" s="43"/>
      <c r="K368" s="43"/>
    </row>
    <row r="369" spans="1:11" x14ac:dyDescent="0.25">
      <c r="A369" s="43">
        <v>1997</v>
      </c>
      <c r="B369" s="36" t="s">
        <v>33</v>
      </c>
      <c r="C369" s="36">
        <v>31</v>
      </c>
      <c r="D369" s="65" t="s">
        <v>442</v>
      </c>
      <c r="E369" s="65"/>
      <c r="F369" s="43">
        <v>30500</v>
      </c>
      <c r="G369" s="43"/>
      <c r="H369" s="44"/>
      <c r="I369" s="43"/>
      <c r="J369" s="43"/>
      <c r="K369" s="43"/>
    </row>
    <row r="370" spans="1:11" x14ac:dyDescent="0.25">
      <c r="A370" s="409" t="s">
        <v>1759</v>
      </c>
      <c r="B370" s="410"/>
      <c r="C370" s="410"/>
      <c r="D370" s="410"/>
      <c r="E370" s="410"/>
      <c r="F370" s="410"/>
      <c r="G370" s="410"/>
      <c r="H370" s="410"/>
      <c r="I370" s="410"/>
      <c r="J370" s="410"/>
      <c r="K370" s="410"/>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D50:D62 D110:D124 D125:D155 D300:D301 D312:D328 D344:D349 D228:D231"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ySplit="3" topLeftCell="A4" activePane="bottomLeft" state="frozen"/>
      <selection pane="bottomLeft" activeCell="M13" sqref="M13"/>
    </sheetView>
  </sheetViews>
  <sheetFormatPr defaultColWidth="9.140625" defaultRowHeight="15" x14ac:dyDescent="0.25"/>
  <cols>
    <col min="1" max="1" width="5.7109375" style="14" customWidth="1"/>
    <col min="2" max="2" width="11" style="14" customWidth="1"/>
    <col min="3" max="3" width="6" style="14" customWidth="1"/>
    <col min="4" max="4" width="9.140625" style="46"/>
    <col min="5" max="5" width="6" style="46" customWidth="1"/>
    <col min="6" max="6" width="11.140625" style="46" customWidth="1"/>
    <col min="7" max="7" width="7.42578125" style="46" customWidth="1"/>
    <col min="8" max="8" width="6.140625" style="55" customWidth="1"/>
    <col min="9" max="9" width="5.7109375" style="55" customWidth="1"/>
    <col min="10" max="10" width="5.85546875" style="37" customWidth="1"/>
    <col min="11" max="11" width="7.140625" style="55" customWidth="1"/>
    <col min="12" max="16384" width="9.140625" style="14"/>
  </cols>
  <sheetData>
    <row r="1" spans="1:11" ht="18" x14ac:dyDescent="0.35">
      <c r="A1" s="395" t="s">
        <v>1754</v>
      </c>
      <c r="B1" s="395"/>
      <c r="C1" s="395"/>
      <c r="D1" s="395"/>
      <c r="E1" s="395"/>
      <c r="F1" s="395"/>
      <c r="G1" s="395"/>
      <c r="H1" s="395"/>
      <c r="I1" s="395"/>
      <c r="J1" s="395"/>
      <c r="K1" s="395"/>
    </row>
    <row r="2" spans="1:11" ht="30" customHeight="1" x14ac:dyDescent="0.25">
      <c r="A2" s="396" t="s">
        <v>532</v>
      </c>
      <c r="B2" s="396" t="s">
        <v>22</v>
      </c>
      <c r="C2" s="396" t="s">
        <v>0</v>
      </c>
      <c r="D2" s="397" t="s">
        <v>728</v>
      </c>
      <c r="E2" s="397"/>
      <c r="F2" s="398" t="s">
        <v>729</v>
      </c>
      <c r="G2" s="398"/>
      <c r="H2" s="413" t="s">
        <v>1746</v>
      </c>
      <c r="I2" s="413"/>
      <c r="J2" s="413" t="s">
        <v>1747</v>
      </c>
      <c r="K2" s="413"/>
    </row>
    <row r="3" spans="1:11" ht="89.25" customHeight="1" x14ac:dyDescent="0.25">
      <c r="A3" s="396"/>
      <c r="B3" s="396"/>
      <c r="C3" s="396"/>
      <c r="D3" s="31" t="s">
        <v>1755</v>
      </c>
      <c r="E3" s="31" t="s">
        <v>1756</v>
      </c>
      <c r="F3" s="31" t="s">
        <v>732</v>
      </c>
      <c r="G3" s="31" t="s">
        <v>733</v>
      </c>
      <c r="H3" s="71" t="s">
        <v>1210</v>
      </c>
      <c r="I3" s="72" t="s">
        <v>735</v>
      </c>
      <c r="J3" s="33" t="s">
        <v>764</v>
      </c>
      <c r="K3" s="72" t="s">
        <v>735</v>
      </c>
    </row>
    <row r="4" spans="1:11" ht="13.9" x14ac:dyDescent="0.25">
      <c r="A4" s="34">
        <v>1998</v>
      </c>
      <c r="B4" s="34" t="s">
        <v>23</v>
      </c>
      <c r="C4" s="43">
        <v>1</v>
      </c>
      <c r="D4" s="42" t="s">
        <v>469</v>
      </c>
      <c r="E4" s="42"/>
      <c r="F4" s="44">
        <v>30750</v>
      </c>
      <c r="G4" s="44"/>
      <c r="H4" s="48"/>
      <c r="I4" s="48"/>
      <c r="J4" s="47"/>
      <c r="K4" s="48"/>
    </row>
    <row r="5" spans="1:11" ht="13.9" x14ac:dyDescent="0.25">
      <c r="A5" s="34">
        <v>1998</v>
      </c>
      <c r="B5" s="34" t="s">
        <v>23</v>
      </c>
      <c r="C5" s="43">
        <v>2</v>
      </c>
      <c r="D5" s="42" t="s">
        <v>455</v>
      </c>
      <c r="E5" s="42"/>
      <c r="F5" s="44">
        <v>35250</v>
      </c>
      <c r="G5" s="44"/>
      <c r="H5" s="48"/>
      <c r="I5" s="48"/>
      <c r="J5" s="47"/>
      <c r="K5" s="48"/>
    </row>
    <row r="6" spans="1:11" ht="13.9" x14ac:dyDescent="0.25">
      <c r="A6" s="34">
        <v>1998</v>
      </c>
      <c r="B6" s="34" t="s">
        <v>23</v>
      </c>
      <c r="C6" s="43">
        <v>3</v>
      </c>
      <c r="D6" s="42" t="s">
        <v>444</v>
      </c>
      <c r="E6" s="42"/>
      <c r="F6" s="44"/>
      <c r="G6" s="44"/>
      <c r="H6" s="48"/>
      <c r="I6" s="48"/>
      <c r="J6" s="47"/>
      <c r="K6" s="48"/>
    </row>
    <row r="7" spans="1:11" ht="13.9" x14ac:dyDescent="0.25">
      <c r="A7" s="34">
        <v>1998</v>
      </c>
      <c r="B7" s="34" t="s">
        <v>23</v>
      </c>
      <c r="C7" s="43">
        <v>4</v>
      </c>
      <c r="D7" s="42" t="s">
        <v>443</v>
      </c>
      <c r="E7" s="42"/>
      <c r="F7" s="44"/>
      <c r="G7" s="44"/>
      <c r="H7" s="48"/>
      <c r="I7" s="48"/>
      <c r="J7" s="47"/>
      <c r="K7" s="48"/>
    </row>
    <row r="8" spans="1:11" ht="13.9" x14ac:dyDescent="0.25">
      <c r="A8" s="34">
        <v>1998</v>
      </c>
      <c r="B8" s="34" t="s">
        <v>23</v>
      </c>
      <c r="C8" s="43">
        <v>5</v>
      </c>
      <c r="D8" s="42" t="s">
        <v>443</v>
      </c>
      <c r="E8" s="42"/>
      <c r="F8" s="44"/>
      <c r="G8" s="44"/>
      <c r="H8" s="48"/>
      <c r="I8" s="48"/>
      <c r="J8" s="47"/>
      <c r="K8" s="48"/>
    </row>
    <row r="9" spans="1:11" ht="13.9" x14ac:dyDescent="0.25">
      <c r="A9" s="34">
        <v>1998</v>
      </c>
      <c r="B9" s="34" t="s">
        <v>23</v>
      </c>
      <c r="C9" s="43">
        <v>6</v>
      </c>
      <c r="D9" s="42" t="s">
        <v>445</v>
      </c>
      <c r="E9" s="42"/>
      <c r="F9" s="44"/>
      <c r="G9" s="44"/>
      <c r="H9" s="48"/>
      <c r="I9" s="48"/>
      <c r="J9" s="47"/>
      <c r="K9" s="48"/>
    </row>
    <row r="10" spans="1:11" ht="13.9" x14ac:dyDescent="0.25">
      <c r="A10" s="34">
        <v>1998</v>
      </c>
      <c r="B10" s="34" t="s">
        <v>23</v>
      </c>
      <c r="C10" s="43">
        <v>7</v>
      </c>
      <c r="D10" s="42" t="s">
        <v>445</v>
      </c>
      <c r="E10" s="42"/>
      <c r="F10" s="44"/>
      <c r="G10" s="44"/>
      <c r="H10" s="48"/>
      <c r="I10" s="48"/>
      <c r="J10" s="47"/>
      <c r="K10" s="48"/>
    </row>
    <row r="11" spans="1:11" ht="13.9" x14ac:dyDescent="0.25">
      <c r="A11" s="34">
        <v>1998</v>
      </c>
      <c r="B11" s="34" t="s">
        <v>23</v>
      </c>
      <c r="C11" s="43">
        <v>8</v>
      </c>
      <c r="D11" s="42" t="s">
        <v>379</v>
      </c>
      <c r="E11" s="42"/>
      <c r="F11" s="44"/>
      <c r="G11" s="44"/>
      <c r="H11" s="48"/>
      <c r="I11" s="48"/>
      <c r="J11" s="47"/>
      <c r="K11" s="48"/>
    </row>
    <row r="12" spans="1:11" ht="13.9" x14ac:dyDescent="0.25">
      <c r="A12" s="34">
        <v>1998</v>
      </c>
      <c r="B12" s="34" t="s">
        <v>23</v>
      </c>
      <c r="C12" s="43">
        <v>9</v>
      </c>
      <c r="D12" s="42" t="s">
        <v>448</v>
      </c>
      <c r="E12" s="42"/>
      <c r="F12" s="44"/>
      <c r="G12" s="44"/>
      <c r="H12" s="48"/>
      <c r="I12" s="48"/>
      <c r="J12" s="47"/>
      <c r="K12" s="48"/>
    </row>
    <row r="13" spans="1:11" ht="13.9" x14ac:dyDescent="0.25">
      <c r="A13" s="34">
        <v>1998</v>
      </c>
      <c r="B13" s="34" t="s">
        <v>23</v>
      </c>
      <c r="C13" s="43">
        <v>10</v>
      </c>
      <c r="D13" s="42" t="s">
        <v>377</v>
      </c>
      <c r="E13" s="42"/>
      <c r="F13" s="44"/>
      <c r="G13" s="44"/>
      <c r="H13" s="48"/>
      <c r="I13" s="48"/>
      <c r="J13" s="47"/>
      <c r="K13" s="48"/>
    </row>
    <row r="14" spans="1:11" ht="13.9" x14ac:dyDescent="0.25">
      <c r="A14" s="34">
        <v>1998</v>
      </c>
      <c r="B14" s="34" t="s">
        <v>23</v>
      </c>
      <c r="C14" s="43">
        <v>11</v>
      </c>
      <c r="D14" s="42" t="s">
        <v>379</v>
      </c>
      <c r="E14" s="42"/>
      <c r="F14" s="44"/>
      <c r="G14" s="44"/>
      <c r="H14" s="48"/>
      <c r="I14" s="48"/>
      <c r="J14" s="47"/>
      <c r="K14" s="48"/>
    </row>
    <row r="15" spans="1:11" ht="13.9" x14ac:dyDescent="0.25">
      <c r="A15" s="34">
        <v>1998</v>
      </c>
      <c r="B15" s="34" t="s">
        <v>23</v>
      </c>
      <c r="C15" s="43">
        <v>12</v>
      </c>
      <c r="D15" s="42" t="s">
        <v>443</v>
      </c>
      <c r="E15" s="42"/>
      <c r="F15" s="44"/>
      <c r="G15" s="44"/>
      <c r="H15" s="48"/>
      <c r="I15" s="48"/>
      <c r="J15" s="47"/>
      <c r="K15" s="48"/>
    </row>
    <row r="16" spans="1:11" ht="13.9" x14ac:dyDescent="0.25">
      <c r="A16" s="34">
        <v>1998</v>
      </c>
      <c r="B16" s="34" t="s">
        <v>23</v>
      </c>
      <c r="C16" s="43">
        <v>13</v>
      </c>
      <c r="D16" s="42" t="s">
        <v>445</v>
      </c>
      <c r="E16" s="42"/>
      <c r="F16" s="44"/>
      <c r="G16" s="44"/>
      <c r="H16" s="48"/>
      <c r="I16" s="48"/>
      <c r="J16" s="47"/>
      <c r="K16" s="48"/>
    </row>
    <row r="17" spans="1:11" ht="13.9" x14ac:dyDescent="0.25">
      <c r="A17" s="34">
        <v>1998</v>
      </c>
      <c r="B17" s="34" t="s">
        <v>23</v>
      </c>
      <c r="C17" s="43">
        <v>14</v>
      </c>
      <c r="D17" s="42" t="s">
        <v>445</v>
      </c>
      <c r="E17" s="42"/>
      <c r="F17" s="44"/>
      <c r="G17" s="44"/>
      <c r="H17" s="48"/>
      <c r="I17" s="48"/>
      <c r="J17" s="47"/>
      <c r="K17" s="48"/>
    </row>
    <row r="18" spans="1:11" ht="13.9" x14ac:dyDescent="0.25">
      <c r="A18" s="34">
        <v>1998</v>
      </c>
      <c r="B18" s="34" t="s">
        <v>23</v>
      </c>
      <c r="C18" s="43">
        <v>15</v>
      </c>
      <c r="D18" s="42" t="s">
        <v>445</v>
      </c>
      <c r="E18" s="42"/>
      <c r="F18" s="44"/>
      <c r="G18" s="44"/>
      <c r="H18" s="48"/>
      <c r="I18" s="48"/>
      <c r="J18" s="47"/>
      <c r="K18" s="48"/>
    </row>
    <row r="19" spans="1:11" ht="13.9" x14ac:dyDescent="0.25">
      <c r="A19" s="34">
        <v>1998</v>
      </c>
      <c r="B19" s="34" t="s">
        <v>23</v>
      </c>
      <c r="C19" s="43">
        <v>16</v>
      </c>
      <c r="D19" s="42" t="s">
        <v>446</v>
      </c>
      <c r="E19" s="42"/>
      <c r="F19" s="44"/>
      <c r="G19" s="44"/>
      <c r="H19" s="48"/>
      <c r="I19" s="48"/>
      <c r="J19" s="47"/>
      <c r="K19" s="48"/>
    </row>
    <row r="20" spans="1:11" ht="13.9" x14ac:dyDescent="0.25">
      <c r="A20" s="34">
        <v>1998</v>
      </c>
      <c r="B20" s="34" t="s">
        <v>23</v>
      </c>
      <c r="C20" s="43">
        <v>17</v>
      </c>
      <c r="D20" s="42" t="s">
        <v>450</v>
      </c>
      <c r="E20" s="42"/>
      <c r="F20" s="44"/>
      <c r="G20" s="44"/>
      <c r="H20" s="48"/>
      <c r="I20" s="48"/>
      <c r="J20" s="47"/>
      <c r="K20" s="48"/>
    </row>
    <row r="21" spans="1:11" ht="13.9" x14ac:dyDescent="0.25">
      <c r="A21" s="34">
        <v>1998</v>
      </c>
      <c r="B21" s="34" t="s">
        <v>23</v>
      </c>
      <c r="C21" s="43">
        <v>18</v>
      </c>
      <c r="D21" s="42" t="s">
        <v>450</v>
      </c>
      <c r="E21" s="42"/>
      <c r="F21" s="44"/>
      <c r="G21" s="44"/>
      <c r="H21" s="48"/>
      <c r="I21" s="48"/>
      <c r="J21" s="47"/>
      <c r="K21" s="48"/>
    </row>
    <row r="22" spans="1:11" ht="13.9" x14ac:dyDescent="0.25">
      <c r="A22" s="34">
        <v>1998</v>
      </c>
      <c r="B22" s="34" t="s">
        <v>23</v>
      </c>
      <c r="C22" s="43">
        <v>19</v>
      </c>
      <c r="D22" s="42" t="s">
        <v>450</v>
      </c>
      <c r="E22" s="42"/>
      <c r="F22" s="44"/>
      <c r="G22" s="44"/>
      <c r="H22" s="48"/>
      <c r="I22" s="48"/>
      <c r="J22" s="47"/>
      <c r="K22" s="48"/>
    </row>
    <row r="23" spans="1:11" ht="13.9" x14ac:dyDescent="0.25">
      <c r="A23" s="34">
        <v>1998</v>
      </c>
      <c r="B23" s="34" t="s">
        <v>23</v>
      </c>
      <c r="C23" s="43">
        <v>20</v>
      </c>
      <c r="D23" s="42" t="s">
        <v>459</v>
      </c>
      <c r="E23" s="42"/>
      <c r="F23" s="44"/>
      <c r="G23" s="44"/>
      <c r="H23" s="48"/>
      <c r="I23" s="48"/>
      <c r="J23" s="47"/>
      <c r="K23" s="48"/>
    </row>
    <row r="24" spans="1:11" ht="13.9" x14ac:dyDescent="0.25">
      <c r="A24" s="34">
        <v>1998</v>
      </c>
      <c r="B24" s="34" t="s">
        <v>23</v>
      </c>
      <c r="C24" s="43">
        <v>21</v>
      </c>
      <c r="D24" s="42" t="s">
        <v>459</v>
      </c>
      <c r="E24" s="42"/>
      <c r="F24" s="44"/>
      <c r="G24" s="44"/>
      <c r="H24" s="48"/>
      <c r="I24" s="48"/>
      <c r="J24" s="47"/>
      <c r="K24" s="48"/>
    </row>
    <row r="25" spans="1:11" ht="13.9" x14ac:dyDescent="0.25">
      <c r="A25" s="34">
        <v>1998</v>
      </c>
      <c r="B25" s="34" t="s">
        <v>23</v>
      </c>
      <c r="C25" s="43">
        <v>22</v>
      </c>
      <c r="D25" s="42" t="s">
        <v>459</v>
      </c>
      <c r="E25" s="42"/>
      <c r="F25" s="44"/>
      <c r="G25" s="44"/>
      <c r="H25" s="48"/>
      <c r="I25" s="48"/>
      <c r="J25" s="47"/>
      <c r="K25" s="48"/>
    </row>
    <row r="26" spans="1:11" ht="13.9" x14ac:dyDescent="0.25">
      <c r="A26" s="34">
        <v>1998</v>
      </c>
      <c r="B26" s="34" t="s">
        <v>23</v>
      </c>
      <c r="C26" s="43">
        <v>23</v>
      </c>
      <c r="D26" s="42" t="s">
        <v>453</v>
      </c>
      <c r="E26" s="42"/>
      <c r="F26" s="44">
        <v>36250</v>
      </c>
      <c r="G26" s="44"/>
      <c r="H26" s="48"/>
      <c r="I26" s="48"/>
      <c r="J26" s="47"/>
      <c r="K26" s="48"/>
    </row>
    <row r="27" spans="1:11" ht="13.9" x14ac:dyDescent="0.25">
      <c r="A27" s="34">
        <v>1998</v>
      </c>
      <c r="B27" s="34" t="s">
        <v>23</v>
      </c>
      <c r="C27" s="43">
        <v>24</v>
      </c>
      <c r="D27" s="42" t="s">
        <v>453</v>
      </c>
      <c r="E27" s="42"/>
      <c r="F27" s="44">
        <v>36250</v>
      </c>
      <c r="G27" s="44"/>
      <c r="H27" s="48"/>
      <c r="I27" s="48"/>
      <c r="J27" s="47"/>
      <c r="K27" s="48"/>
    </row>
    <row r="28" spans="1:11" ht="13.9" x14ac:dyDescent="0.25">
      <c r="A28" s="34">
        <v>1998</v>
      </c>
      <c r="B28" s="34" t="s">
        <v>23</v>
      </c>
      <c r="C28" s="43">
        <v>25</v>
      </c>
      <c r="D28" s="42" t="s">
        <v>453</v>
      </c>
      <c r="E28" s="42"/>
      <c r="F28" s="44">
        <v>36250</v>
      </c>
      <c r="G28" s="44"/>
      <c r="H28" s="48"/>
      <c r="I28" s="48"/>
      <c r="J28" s="47"/>
      <c r="K28" s="48"/>
    </row>
    <row r="29" spans="1:11" ht="13.9" x14ac:dyDescent="0.25">
      <c r="A29" s="34">
        <v>1998</v>
      </c>
      <c r="B29" s="34" t="s">
        <v>23</v>
      </c>
      <c r="C29" s="43">
        <v>26</v>
      </c>
      <c r="D29" s="42" t="s">
        <v>453</v>
      </c>
      <c r="E29" s="42"/>
      <c r="F29" s="44">
        <v>36250</v>
      </c>
      <c r="G29" s="44"/>
      <c r="H29" s="48"/>
      <c r="I29" s="48"/>
      <c r="J29" s="47"/>
      <c r="K29" s="48"/>
    </row>
    <row r="30" spans="1:11" ht="13.9" x14ac:dyDescent="0.25">
      <c r="A30" s="34">
        <v>1998</v>
      </c>
      <c r="B30" s="34" t="s">
        <v>23</v>
      </c>
      <c r="C30" s="43">
        <v>27</v>
      </c>
      <c r="D30" s="42" t="s">
        <v>453</v>
      </c>
      <c r="E30" s="42"/>
      <c r="F30" s="44">
        <v>36250</v>
      </c>
      <c r="G30" s="44"/>
      <c r="H30" s="48"/>
      <c r="I30" s="48"/>
      <c r="J30" s="47"/>
      <c r="K30" s="48"/>
    </row>
    <row r="31" spans="1:11" ht="13.9" x14ac:dyDescent="0.25">
      <c r="A31" s="34">
        <v>1998</v>
      </c>
      <c r="B31" s="34" t="s">
        <v>23</v>
      </c>
      <c r="C31" s="43">
        <v>28</v>
      </c>
      <c r="D31" s="42" t="s">
        <v>453</v>
      </c>
      <c r="E31" s="42"/>
      <c r="F31" s="44">
        <v>36250</v>
      </c>
      <c r="G31" s="44"/>
      <c r="H31" s="48"/>
      <c r="I31" s="48"/>
      <c r="J31" s="47"/>
      <c r="K31" s="48"/>
    </row>
    <row r="32" spans="1:11" ht="13.9" x14ac:dyDescent="0.25">
      <c r="A32" s="34">
        <v>1998</v>
      </c>
      <c r="B32" s="34" t="s">
        <v>23</v>
      </c>
      <c r="C32" s="43">
        <v>29</v>
      </c>
      <c r="D32" s="42" t="s">
        <v>454</v>
      </c>
      <c r="E32" s="42"/>
      <c r="F32" s="44">
        <v>35750</v>
      </c>
      <c r="G32" s="44"/>
      <c r="H32" s="48"/>
      <c r="I32" s="48"/>
      <c r="J32" s="47"/>
      <c r="K32" s="48"/>
    </row>
    <row r="33" spans="1:11" ht="13.9" x14ac:dyDescent="0.25">
      <c r="A33" s="34">
        <v>1998</v>
      </c>
      <c r="B33" s="34" t="s">
        <v>23</v>
      </c>
      <c r="C33" s="43">
        <v>30</v>
      </c>
      <c r="D33" s="42" t="s">
        <v>455</v>
      </c>
      <c r="E33" s="42"/>
      <c r="F33" s="44">
        <v>35250</v>
      </c>
      <c r="G33" s="44"/>
      <c r="H33" s="48"/>
      <c r="I33" s="48"/>
      <c r="J33" s="47"/>
      <c r="K33" s="48"/>
    </row>
    <row r="34" spans="1:11" ht="13.9" x14ac:dyDescent="0.25">
      <c r="A34" s="34">
        <v>1998</v>
      </c>
      <c r="B34" s="34" t="s">
        <v>23</v>
      </c>
      <c r="C34" s="43">
        <v>31</v>
      </c>
      <c r="D34" s="42" t="s">
        <v>455</v>
      </c>
      <c r="E34" s="42"/>
      <c r="F34" s="44">
        <v>35250</v>
      </c>
      <c r="G34" s="44"/>
      <c r="H34" s="48"/>
      <c r="I34" s="48"/>
      <c r="J34" s="47"/>
      <c r="K34" s="48"/>
    </row>
    <row r="35" spans="1:11" ht="13.9" x14ac:dyDescent="0.25">
      <c r="A35" s="34">
        <v>1998</v>
      </c>
      <c r="B35" s="20" t="s">
        <v>24</v>
      </c>
      <c r="C35" s="20">
        <v>1</v>
      </c>
      <c r="D35" s="38" t="s">
        <v>455</v>
      </c>
      <c r="E35" s="38"/>
      <c r="F35" s="44">
        <v>35250</v>
      </c>
      <c r="G35" s="44"/>
      <c r="H35" s="48"/>
      <c r="I35" s="48"/>
      <c r="J35" s="47"/>
      <c r="K35" s="48"/>
    </row>
    <row r="36" spans="1:11" ht="13.9" x14ac:dyDescent="0.25">
      <c r="A36" s="34">
        <v>1998</v>
      </c>
      <c r="B36" s="20" t="s">
        <v>24</v>
      </c>
      <c r="C36" s="20">
        <v>2</v>
      </c>
      <c r="D36" s="38" t="s">
        <v>456</v>
      </c>
      <c r="E36" s="38"/>
      <c r="F36" s="44">
        <v>34750</v>
      </c>
      <c r="G36" s="44"/>
      <c r="H36" s="48"/>
      <c r="I36" s="48"/>
      <c r="J36" s="47"/>
      <c r="K36" s="48"/>
    </row>
    <row r="37" spans="1:11" ht="13.9" x14ac:dyDescent="0.25">
      <c r="A37" s="34">
        <v>1998</v>
      </c>
      <c r="B37" s="20" t="s">
        <v>24</v>
      </c>
      <c r="C37" s="20">
        <v>3</v>
      </c>
      <c r="D37" s="38" t="s">
        <v>457</v>
      </c>
      <c r="E37" s="38"/>
      <c r="F37" s="44">
        <v>34250</v>
      </c>
      <c r="G37" s="44"/>
      <c r="H37" s="48"/>
      <c r="I37" s="48"/>
      <c r="J37" s="47"/>
      <c r="K37" s="48"/>
    </row>
    <row r="38" spans="1:11" ht="13.9" x14ac:dyDescent="0.25">
      <c r="A38" s="34">
        <v>1998</v>
      </c>
      <c r="B38" s="20" t="s">
        <v>24</v>
      </c>
      <c r="C38" s="20">
        <v>4</v>
      </c>
      <c r="D38" s="38" t="s">
        <v>457</v>
      </c>
      <c r="E38" s="38"/>
      <c r="F38" s="44">
        <v>34250</v>
      </c>
      <c r="G38" s="44"/>
      <c r="H38" s="48"/>
      <c r="I38" s="48"/>
      <c r="J38" s="47"/>
      <c r="K38" s="48"/>
    </row>
    <row r="39" spans="1:11" ht="13.9" x14ac:dyDescent="0.25">
      <c r="A39" s="34">
        <v>1998</v>
      </c>
      <c r="B39" s="20" t="s">
        <v>24</v>
      </c>
      <c r="C39" s="20">
        <v>5</v>
      </c>
      <c r="D39" s="38" t="s">
        <v>457</v>
      </c>
      <c r="E39" s="38"/>
      <c r="F39" s="44">
        <v>34250</v>
      </c>
      <c r="G39" s="44"/>
      <c r="H39" s="48"/>
      <c r="I39" s="48"/>
      <c r="J39" s="47"/>
      <c r="K39" s="48"/>
    </row>
    <row r="40" spans="1:11" ht="13.9" x14ac:dyDescent="0.25">
      <c r="A40" s="34">
        <v>1998</v>
      </c>
      <c r="B40" s="20" t="s">
        <v>24</v>
      </c>
      <c r="C40" s="20">
        <v>6</v>
      </c>
      <c r="D40" s="38" t="s">
        <v>457</v>
      </c>
      <c r="E40" s="38"/>
      <c r="F40" s="44">
        <v>34250</v>
      </c>
      <c r="G40" s="44"/>
      <c r="H40" s="48"/>
      <c r="I40" s="48"/>
      <c r="J40" s="47"/>
      <c r="K40" s="48"/>
    </row>
    <row r="41" spans="1:11" ht="13.9" x14ac:dyDescent="0.25">
      <c r="A41" s="34">
        <v>1998</v>
      </c>
      <c r="B41" s="20" t="s">
        <v>24</v>
      </c>
      <c r="C41" s="20">
        <v>7</v>
      </c>
      <c r="D41" s="35" t="s">
        <v>458</v>
      </c>
      <c r="E41" s="35"/>
      <c r="F41" s="44">
        <v>33900</v>
      </c>
      <c r="G41" s="44"/>
      <c r="H41" s="48"/>
      <c r="I41" s="48"/>
      <c r="J41" s="47"/>
      <c r="K41" s="48"/>
    </row>
    <row r="42" spans="1:11" ht="13.9" x14ac:dyDescent="0.25">
      <c r="A42" s="34">
        <v>1998</v>
      </c>
      <c r="B42" s="20" t="s">
        <v>24</v>
      </c>
      <c r="C42" s="20">
        <v>8</v>
      </c>
      <c r="D42" s="38" t="s">
        <v>458</v>
      </c>
      <c r="E42" s="38"/>
      <c r="F42" s="44">
        <v>33900</v>
      </c>
      <c r="G42" s="44"/>
      <c r="H42" s="48"/>
      <c r="I42" s="48"/>
      <c r="J42" s="47"/>
      <c r="K42" s="48"/>
    </row>
    <row r="43" spans="1:11" ht="13.9" x14ac:dyDescent="0.25">
      <c r="A43" s="34">
        <v>1998</v>
      </c>
      <c r="B43" s="20" t="s">
        <v>24</v>
      </c>
      <c r="C43" s="20">
        <v>9</v>
      </c>
      <c r="D43" s="38" t="s">
        <v>460</v>
      </c>
      <c r="E43" s="38"/>
      <c r="F43" s="44">
        <v>33800</v>
      </c>
      <c r="G43" s="44"/>
      <c r="H43" s="48"/>
      <c r="I43" s="48"/>
      <c r="J43" s="47"/>
      <c r="K43" s="48"/>
    </row>
    <row r="44" spans="1:11" ht="13.9" x14ac:dyDescent="0.25">
      <c r="A44" s="34">
        <v>1998</v>
      </c>
      <c r="B44" s="20" t="s">
        <v>24</v>
      </c>
      <c r="C44" s="20">
        <v>10</v>
      </c>
      <c r="D44" s="38" t="s">
        <v>460</v>
      </c>
      <c r="E44" s="38"/>
      <c r="F44" s="44">
        <v>33800</v>
      </c>
      <c r="G44" s="44"/>
      <c r="H44" s="48"/>
      <c r="I44" s="48"/>
      <c r="J44" s="47"/>
      <c r="K44" s="48"/>
    </row>
    <row r="45" spans="1:11" ht="13.9" x14ac:dyDescent="0.25">
      <c r="A45" s="34">
        <v>1998</v>
      </c>
      <c r="B45" s="20" t="s">
        <v>24</v>
      </c>
      <c r="C45" s="20">
        <v>11</v>
      </c>
      <c r="D45" s="38" t="s">
        <v>461</v>
      </c>
      <c r="E45" s="38"/>
      <c r="F45" s="44">
        <v>33500</v>
      </c>
      <c r="G45" s="44"/>
      <c r="H45" s="48"/>
      <c r="I45" s="48"/>
      <c r="J45" s="47"/>
      <c r="K45" s="48"/>
    </row>
    <row r="46" spans="1:11" x14ac:dyDescent="0.25">
      <c r="A46" s="34">
        <v>1998</v>
      </c>
      <c r="B46" s="20" t="s">
        <v>24</v>
      </c>
      <c r="C46" s="20">
        <v>12</v>
      </c>
      <c r="D46" s="38" t="s">
        <v>462</v>
      </c>
      <c r="E46" s="38"/>
      <c r="F46" s="44">
        <v>33000</v>
      </c>
      <c r="G46" s="44"/>
      <c r="H46" s="48"/>
      <c r="I46" s="48"/>
      <c r="J46" s="47"/>
      <c r="K46" s="48"/>
    </row>
    <row r="47" spans="1:11" x14ac:dyDescent="0.25">
      <c r="A47" s="34">
        <v>1998</v>
      </c>
      <c r="B47" s="20" t="s">
        <v>24</v>
      </c>
      <c r="C47" s="20">
        <v>13</v>
      </c>
      <c r="D47" s="38" t="s">
        <v>463</v>
      </c>
      <c r="E47" s="38"/>
      <c r="F47" s="44">
        <v>32800</v>
      </c>
      <c r="G47" s="44"/>
      <c r="H47" s="48"/>
      <c r="I47" s="48"/>
      <c r="J47" s="47"/>
      <c r="K47" s="48"/>
    </row>
    <row r="48" spans="1:11" x14ac:dyDescent="0.25">
      <c r="A48" s="34">
        <v>1998</v>
      </c>
      <c r="B48" s="20" t="s">
        <v>24</v>
      </c>
      <c r="C48" s="20">
        <v>14</v>
      </c>
      <c r="D48" s="38" t="s">
        <v>464</v>
      </c>
      <c r="E48" s="38"/>
      <c r="F48" s="44">
        <v>32400</v>
      </c>
      <c r="G48" s="44"/>
      <c r="H48" s="48"/>
      <c r="I48" s="48"/>
      <c r="J48" s="47"/>
      <c r="K48" s="48"/>
    </row>
    <row r="49" spans="1:11" x14ac:dyDescent="0.25">
      <c r="A49" s="34">
        <v>1998</v>
      </c>
      <c r="B49" s="20" t="s">
        <v>24</v>
      </c>
      <c r="C49" s="20">
        <v>15</v>
      </c>
      <c r="D49" s="38" t="s">
        <v>466</v>
      </c>
      <c r="E49" s="38"/>
      <c r="F49" s="44">
        <v>32000</v>
      </c>
      <c r="G49" s="44"/>
      <c r="H49" s="48"/>
      <c r="I49" s="48"/>
      <c r="J49" s="47"/>
      <c r="K49" s="48"/>
    </row>
    <row r="50" spans="1:11" x14ac:dyDescent="0.25">
      <c r="A50" s="34">
        <v>1998</v>
      </c>
      <c r="B50" s="20" t="s">
        <v>24</v>
      </c>
      <c r="C50" s="20">
        <v>16</v>
      </c>
      <c r="D50" s="38" t="s">
        <v>468</v>
      </c>
      <c r="E50" s="38"/>
      <c r="F50" s="44">
        <v>30000</v>
      </c>
      <c r="G50" s="44"/>
      <c r="H50" s="48"/>
      <c r="I50" s="48"/>
      <c r="J50" s="47"/>
      <c r="K50" s="48"/>
    </row>
    <row r="51" spans="1:11" x14ac:dyDescent="0.25">
      <c r="A51" s="34">
        <v>1998</v>
      </c>
      <c r="B51" s="20" t="s">
        <v>24</v>
      </c>
      <c r="C51" s="20">
        <v>17</v>
      </c>
      <c r="D51" s="38" t="s">
        <v>442</v>
      </c>
      <c r="E51" s="38"/>
      <c r="F51" s="44">
        <v>30500</v>
      </c>
      <c r="G51" s="44"/>
      <c r="H51" s="48"/>
      <c r="I51" s="48"/>
      <c r="J51" s="47"/>
      <c r="K51" s="48"/>
    </row>
    <row r="52" spans="1:11" x14ac:dyDescent="0.25">
      <c r="A52" s="34">
        <v>1998</v>
      </c>
      <c r="B52" s="20" t="s">
        <v>24</v>
      </c>
      <c r="C52" s="20">
        <v>18</v>
      </c>
      <c r="D52" s="38" t="s">
        <v>471</v>
      </c>
      <c r="E52" s="38"/>
      <c r="F52" s="44">
        <v>30300</v>
      </c>
      <c r="G52" s="44"/>
      <c r="H52" s="48"/>
      <c r="I52" s="48"/>
      <c r="J52" s="47"/>
      <c r="K52" s="48"/>
    </row>
    <row r="53" spans="1:11" x14ac:dyDescent="0.25">
      <c r="A53" s="34">
        <v>1998</v>
      </c>
      <c r="B53" s="20" t="s">
        <v>24</v>
      </c>
      <c r="C53" s="20">
        <v>19</v>
      </c>
      <c r="D53" s="38" t="s">
        <v>470</v>
      </c>
      <c r="E53" s="38"/>
      <c r="F53" s="44">
        <v>30200</v>
      </c>
      <c r="G53" s="44"/>
      <c r="H53" s="48"/>
      <c r="I53" s="48"/>
      <c r="J53" s="47"/>
      <c r="K53" s="48"/>
    </row>
    <row r="54" spans="1:11" x14ac:dyDescent="0.25">
      <c r="A54" s="34">
        <v>1998</v>
      </c>
      <c r="B54" s="20" t="s">
        <v>24</v>
      </c>
      <c r="C54" s="20">
        <v>20</v>
      </c>
      <c r="D54" s="38" t="s">
        <v>472</v>
      </c>
      <c r="E54" s="38"/>
      <c r="F54" s="44">
        <v>30000</v>
      </c>
      <c r="G54" s="44"/>
      <c r="H54" s="48"/>
      <c r="I54" s="48"/>
      <c r="J54" s="47"/>
      <c r="K54" s="48"/>
    </row>
    <row r="55" spans="1:11" x14ac:dyDescent="0.25">
      <c r="A55" s="34">
        <v>1998</v>
      </c>
      <c r="B55" s="20" t="s">
        <v>24</v>
      </c>
      <c r="C55" s="20">
        <v>21</v>
      </c>
      <c r="D55" s="38" t="s">
        <v>473</v>
      </c>
      <c r="E55" s="38"/>
      <c r="F55" s="44">
        <v>28850</v>
      </c>
      <c r="G55" s="44"/>
      <c r="H55" s="48"/>
      <c r="I55" s="48"/>
      <c r="J55" s="47"/>
      <c r="K55" s="48"/>
    </row>
    <row r="56" spans="1:11" x14ac:dyDescent="0.25">
      <c r="A56" s="34">
        <v>1998</v>
      </c>
      <c r="B56" s="20" t="s">
        <v>24</v>
      </c>
      <c r="C56" s="20">
        <v>22</v>
      </c>
      <c r="D56" s="38" t="s">
        <v>441</v>
      </c>
      <c r="E56" s="38"/>
      <c r="F56" s="44">
        <v>28750</v>
      </c>
      <c r="G56" s="44"/>
      <c r="H56" s="48"/>
      <c r="I56" s="48"/>
      <c r="J56" s="47"/>
      <c r="K56" s="48"/>
    </row>
    <row r="57" spans="1:11" x14ac:dyDescent="0.25">
      <c r="A57" s="34">
        <v>1998</v>
      </c>
      <c r="B57" s="20" t="s">
        <v>24</v>
      </c>
      <c r="C57" s="20">
        <v>23</v>
      </c>
      <c r="D57" s="38" t="s">
        <v>474</v>
      </c>
      <c r="E57" s="38"/>
      <c r="F57" s="44">
        <v>28600</v>
      </c>
      <c r="G57" s="44"/>
      <c r="H57" s="48"/>
      <c r="I57" s="48"/>
      <c r="J57" s="47"/>
      <c r="K57" s="48"/>
    </row>
    <row r="58" spans="1:11" x14ac:dyDescent="0.25">
      <c r="A58" s="34">
        <v>1998</v>
      </c>
      <c r="B58" s="20" t="s">
        <v>24</v>
      </c>
      <c r="C58" s="20">
        <v>24</v>
      </c>
      <c r="D58" s="38" t="s">
        <v>475</v>
      </c>
      <c r="E58" s="38"/>
      <c r="F58" s="44">
        <v>28500</v>
      </c>
      <c r="G58" s="44"/>
      <c r="H58" s="48"/>
      <c r="I58" s="48"/>
      <c r="J58" s="47"/>
      <c r="K58" s="48"/>
    </row>
    <row r="59" spans="1:11" x14ac:dyDescent="0.25">
      <c r="A59" s="34">
        <v>1998</v>
      </c>
      <c r="B59" s="20" t="s">
        <v>24</v>
      </c>
      <c r="C59" s="20">
        <v>25</v>
      </c>
      <c r="D59" s="38" t="s">
        <v>476</v>
      </c>
      <c r="E59" s="38"/>
      <c r="F59" s="44">
        <v>28400</v>
      </c>
      <c r="G59" s="44"/>
      <c r="H59" s="48"/>
      <c r="I59" s="48"/>
      <c r="J59" s="47"/>
      <c r="K59" s="48"/>
    </row>
    <row r="60" spans="1:11" x14ac:dyDescent="0.25">
      <c r="A60" s="34">
        <v>1998</v>
      </c>
      <c r="B60" s="20" t="s">
        <v>24</v>
      </c>
      <c r="C60" s="20">
        <v>26</v>
      </c>
      <c r="D60" s="38" t="s">
        <v>440</v>
      </c>
      <c r="E60" s="38"/>
      <c r="F60" s="44">
        <v>28200</v>
      </c>
      <c r="G60" s="44"/>
      <c r="H60" s="48"/>
      <c r="I60" s="48"/>
      <c r="J60" s="47"/>
      <c r="K60" s="48"/>
    </row>
    <row r="61" spans="1:11" x14ac:dyDescent="0.25">
      <c r="A61" s="34">
        <v>1998</v>
      </c>
      <c r="B61" s="20" t="s">
        <v>24</v>
      </c>
      <c r="C61" s="20">
        <v>27</v>
      </c>
      <c r="D61" s="38" t="s">
        <v>478</v>
      </c>
      <c r="E61" s="38"/>
      <c r="F61" s="44">
        <v>27850</v>
      </c>
      <c r="G61" s="44"/>
      <c r="H61" s="48"/>
      <c r="I61" s="48"/>
      <c r="J61" s="47"/>
      <c r="K61" s="48"/>
    </row>
    <row r="62" spans="1:11" x14ac:dyDescent="0.25">
      <c r="A62" s="34">
        <v>1998</v>
      </c>
      <c r="B62" s="20" t="s">
        <v>24</v>
      </c>
      <c r="C62" s="20">
        <v>28</v>
      </c>
      <c r="D62" s="38" t="s">
        <v>439</v>
      </c>
      <c r="E62" s="38"/>
      <c r="F62" s="44">
        <v>27500</v>
      </c>
      <c r="G62" s="44"/>
      <c r="H62" s="48"/>
      <c r="I62" s="48"/>
      <c r="J62" s="47"/>
      <c r="K62" s="48"/>
    </row>
    <row r="63" spans="1:11" x14ac:dyDescent="0.25">
      <c r="A63" s="34">
        <v>1998</v>
      </c>
      <c r="B63" s="20" t="s">
        <v>24</v>
      </c>
      <c r="C63" s="20">
        <v>29</v>
      </c>
      <c r="D63" s="39"/>
      <c r="E63" s="39"/>
      <c r="F63" s="39"/>
      <c r="G63" s="39"/>
      <c r="H63" s="48"/>
      <c r="I63" s="48"/>
      <c r="J63" s="47"/>
      <c r="K63" s="48"/>
    </row>
    <row r="64" spans="1:11" x14ac:dyDescent="0.25">
      <c r="A64" s="34">
        <v>1998</v>
      </c>
      <c r="B64" s="20" t="s">
        <v>25</v>
      </c>
      <c r="C64" s="20">
        <v>1</v>
      </c>
      <c r="D64" s="38" t="s">
        <v>538</v>
      </c>
      <c r="E64" s="38"/>
      <c r="F64" s="44">
        <v>27000</v>
      </c>
      <c r="G64" s="44"/>
      <c r="H64" s="48"/>
      <c r="I64" s="48"/>
      <c r="J64" s="47"/>
      <c r="K64" s="48"/>
    </row>
    <row r="65" spans="1:11" x14ac:dyDescent="0.25">
      <c r="A65" s="34">
        <v>1998</v>
      </c>
      <c r="B65" s="20" t="s">
        <v>25</v>
      </c>
      <c r="C65" s="20">
        <v>2</v>
      </c>
      <c r="D65" s="38" t="s">
        <v>480</v>
      </c>
      <c r="E65" s="38"/>
      <c r="F65" s="44">
        <v>26750</v>
      </c>
      <c r="G65" s="44"/>
      <c r="H65" s="48"/>
      <c r="I65" s="48"/>
      <c r="J65" s="47"/>
      <c r="K65" s="48"/>
    </row>
    <row r="66" spans="1:11" x14ac:dyDescent="0.25">
      <c r="A66" s="34">
        <v>1998</v>
      </c>
      <c r="B66" s="20" t="s">
        <v>25</v>
      </c>
      <c r="C66" s="20">
        <v>3</v>
      </c>
      <c r="D66" s="38" t="s">
        <v>540</v>
      </c>
      <c r="E66" s="38"/>
      <c r="F66" s="44">
        <v>25850</v>
      </c>
      <c r="G66" s="44"/>
      <c r="H66" s="48"/>
      <c r="I66" s="48"/>
      <c r="J66" s="47"/>
      <c r="K66" s="48"/>
    </row>
    <row r="67" spans="1:11" x14ac:dyDescent="0.25">
      <c r="A67" s="34">
        <v>1998</v>
      </c>
      <c r="B67" s="20" t="s">
        <v>25</v>
      </c>
      <c r="C67" s="20">
        <v>4</v>
      </c>
      <c r="D67" s="38" t="s">
        <v>482</v>
      </c>
      <c r="E67" s="38"/>
      <c r="F67" s="44">
        <v>25500</v>
      </c>
      <c r="G67" s="44"/>
      <c r="H67" s="48"/>
      <c r="I67" s="48"/>
      <c r="J67" s="47"/>
      <c r="K67" s="48"/>
    </row>
    <row r="68" spans="1:11" x14ac:dyDescent="0.25">
      <c r="A68" s="34">
        <v>1998</v>
      </c>
      <c r="B68" s="20" t="s">
        <v>25</v>
      </c>
      <c r="C68" s="20">
        <v>5</v>
      </c>
      <c r="D68" s="38" t="s">
        <v>541</v>
      </c>
      <c r="E68" s="38"/>
      <c r="F68" s="44">
        <v>25200</v>
      </c>
      <c r="G68" s="44"/>
      <c r="H68" s="48"/>
      <c r="I68" s="48"/>
      <c r="J68" s="47"/>
      <c r="K68" s="48"/>
    </row>
    <row r="69" spans="1:11" x14ac:dyDescent="0.25">
      <c r="A69" s="34">
        <v>1998</v>
      </c>
      <c r="B69" s="20" t="s">
        <v>25</v>
      </c>
      <c r="C69" s="20">
        <v>6</v>
      </c>
      <c r="D69" s="38" t="s">
        <v>437</v>
      </c>
      <c r="E69" s="38"/>
      <c r="F69" s="44">
        <v>24500</v>
      </c>
      <c r="G69" s="44"/>
      <c r="H69" s="48"/>
      <c r="I69" s="48"/>
      <c r="J69" s="47"/>
      <c r="K69" s="48"/>
    </row>
    <row r="70" spans="1:11" x14ac:dyDescent="0.25">
      <c r="A70" s="34">
        <v>1998</v>
      </c>
      <c r="B70" s="20" t="s">
        <v>25</v>
      </c>
      <c r="C70" s="20">
        <v>7</v>
      </c>
      <c r="D70" s="38" t="s">
        <v>345</v>
      </c>
      <c r="E70" s="38"/>
      <c r="F70" s="44">
        <v>24000</v>
      </c>
      <c r="G70" s="44"/>
      <c r="H70" s="48"/>
      <c r="I70" s="48"/>
      <c r="J70" s="47"/>
      <c r="K70" s="48"/>
    </row>
    <row r="71" spans="1:11" x14ac:dyDescent="0.25">
      <c r="A71" s="34">
        <v>1998</v>
      </c>
      <c r="B71" s="20" t="s">
        <v>25</v>
      </c>
      <c r="C71" s="20">
        <v>8</v>
      </c>
      <c r="D71" s="38" t="s">
        <v>485</v>
      </c>
      <c r="E71" s="38"/>
      <c r="F71" s="44">
        <v>23500</v>
      </c>
      <c r="G71" s="44"/>
      <c r="H71" s="48"/>
      <c r="I71" s="48"/>
      <c r="J71" s="47"/>
      <c r="K71" s="48"/>
    </row>
    <row r="72" spans="1:11" x14ac:dyDescent="0.25">
      <c r="A72" s="34">
        <v>1998</v>
      </c>
      <c r="B72" s="20" t="s">
        <v>25</v>
      </c>
      <c r="C72" s="20">
        <v>9</v>
      </c>
      <c r="D72" s="38" t="s">
        <v>348</v>
      </c>
      <c r="E72" s="38"/>
      <c r="F72" s="44">
        <v>22450</v>
      </c>
      <c r="G72" s="44"/>
      <c r="H72" s="48"/>
      <c r="I72" s="48"/>
      <c r="J72" s="47"/>
      <c r="K72" s="48"/>
    </row>
    <row r="73" spans="1:11" x14ac:dyDescent="0.25">
      <c r="A73" s="34">
        <v>1998</v>
      </c>
      <c r="B73" s="20" t="s">
        <v>25</v>
      </c>
      <c r="C73" s="20">
        <v>10</v>
      </c>
      <c r="D73" s="38" t="s">
        <v>349</v>
      </c>
      <c r="E73" s="38"/>
      <c r="F73" s="44">
        <v>22400</v>
      </c>
      <c r="G73" s="44"/>
      <c r="H73" s="48"/>
      <c r="I73" s="48"/>
      <c r="J73" s="47"/>
      <c r="K73" s="48"/>
    </row>
    <row r="74" spans="1:11" x14ac:dyDescent="0.25">
      <c r="A74" s="34">
        <v>1998</v>
      </c>
      <c r="B74" s="20" t="s">
        <v>25</v>
      </c>
      <c r="C74" s="20">
        <v>11</v>
      </c>
      <c r="D74" s="38" t="s">
        <v>487</v>
      </c>
      <c r="E74" s="38"/>
      <c r="F74" s="44">
        <v>22350</v>
      </c>
      <c r="G74" s="44"/>
      <c r="H74" s="48"/>
      <c r="I74" s="48"/>
      <c r="J74" s="47"/>
      <c r="K74" s="48"/>
    </row>
    <row r="75" spans="1:11" x14ac:dyDescent="0.25">
      <c r="A75" s="34">
        <v>1998</v>
      </c>
      <c r="B75" s="20" t="s">
        <v>25</v>
      </c>
      <c r="C75" s="20">
        <v>12</v>
      </c>
      <c r="D75" s="38" t="s">
        <v>351</v>
      </c>
      <c r="E75" s="38"/>
      <c r="F75" s="44">
        <v>22325</v>
      </c>
      <c r="G75" s="44"/>
      <c r="H75" s="48"/>
      <c r="I75" s="48"/>
      <c r="J75" s="47"/>
      <c r="K75" s="48"/>
    </row>
    <row r="76" spans="1:11" x14ac:dyDescent="0.25">
      <c r="A76" s="34">
        <v>1998</v>
      </c>
      <c r="B76" s="20" t="s">
        <v>25</v>
      </c>
      <c r="C76" s="20">
        <v>13</v>
      </c>
      <c r="D76" s="38" t="s">
        <v>353</v>
      </c>
      <c r="E76" s="38"/>
      <c r="F76" s="44">
        <v>22300</v>
      </c>
      <c r="G76" s="44"/>
      <c r="H76" s="48"/>
      <c r="I76" s="48"/>
      <c r="J76" s="47"/>
      <c r="K76" s="48"/>
    </row>
    <row r="77" spans="1:11" x14ac:dyDescent="0.25">
      <c r="A77" s="34">
        <v>1998</v>
      </c>
      <c r="B77" s="20" t="s">
        <v>25</v>
      </c>
      <c r="C77" s="20">
        <v>14</v>
      </c>
      <c r="D77" s="38" t="s">
        <v>344</v>
      </c>
      <c r="E77" s="38"/>
      <c r="F77" s="44">
        <v>22250</v>
      </c>
      <c r="G77" s="44"/>
      <c r="H77" s="48"/>
      <c r="I77" s="48"/>
      <c r="J77" s="47"/>
      <c r="K77" s="48"/>
    </row>
    <row r="78" spans="1:11" x14ac:dyDescent="0.25">
      <c r="A78" s="34">
        <v>1998</v>
      </c>
      <c r="B78" s="20" t="s">
        <v>25</v>
      </c>
      <c r="C78" s="21">
        <v>15</v>
      </c>
      <c r="D78" s="38" t="s">
        <v>488</v>
      </c>
      <c r="E78" s="38"/>
      <c r="F78" s="44">
        <v>22000</v>
      </c>
      <c r="G78" s="44"/>
      <c r="H78" s="48"/>
      <c r="I78" s="48"/>
      <c r="J78" s="47"/>
      <c r="K78" s="48"/>
    </row>
    <row r="79" spans="1:11" x14ac:dyDescent="0.25">
      <c r="A79" s="34">
        <v>1998</v>
      </c>
      <c r="B79" s="20" t="s">
        <v>25</v>
      </c>
      <c r="C79" s="20">
        <v>16</v>
      </c>
      <c r="D79" s="38" t="s">
        <v>356</v>
      </c>
      <c r="E79" s="38"/>
      <c r="F79" s="44">
        <v>21750</v>
      </c>
      <c r="G79" s="44"/>
      <c r="H79" s="48"/>
      <c r="I79" s="48"/>
      <c r="J79" s="47"/>
      <c r="K79" s="48"/>
    </row>
    <row r="80" spans="1:11" x14ac:dyDescent="0.25">
      <c r="A80" s="34">
        <v>1998</v>
      </c>
      <c r="B80" s="20" t="s">
        <v>25</v>
      </c>
      <c r="C80" s="20">
        <v>17</v>
      </c>
      <c r="D80" s="38" t="s">
        <v>357</v>
      </c>
      <c r="E80" s="38"/>
      <c r="F80" s="44">
        <v>21500</v>
      </c>
      <c r="G80" s="44"/>
      <c r="H80" s="48"/>
      <c r="I80" s="48"/>
      <c r="J80" s="47"/>
      <c r="K80" s="48"/>
    </row>
    <row r="81" spans="1:11" x14ac:dyDescent="0.25">
      <c r="A81" s="34">
        <v>1998</v>
      </c>
      <c r="B81" s="20" t="s">
        <v>25</v>
      </c>
      <c r="C81" s="20">
        <v>18</v>
      </c>
      <c r="D81" s="38" t="s">
        <v>542</v>
      </c>
      <c r="E81" s="38"/>
      <c r="F81" s="44">
        <v>21200</v>
      </c>
      <c r="G81" s="44"/>
      <c r="H81" s="48"/>
      <c r="I81" s="48"/>
      <c r="J81" s="47"/>
      <c r="K81" s="48"/>
    </row>
    <row r="82" spans="1:11" x14ac:dyDescent="0.25">
      <c r="A82" s="34">
        <v>1998</v>
      </c>
      <c r="B82" s="20" t="s">
        <v>25</v>
      </c>
      <c r="C82" s="20">
        <v>19</v>
      </c>
      <c r="D82" s="38" t="s">
        <v>361</v>
      </c>
      <c r="E82" s="38"/>
      <c r="F82" s="44">
        <v>20650</v>
      </c>
      <c r="G82" s="44"/>
      <c r="H82" s="48"/>
      <c r="I82" s="48"/>
      <c r="J82" s="47"/>
      <c r="K82" s="48"/>
    </row>
    <row r="83" spans="1:11" x14ac:dyDescent="0.25">
      <c r="A83" s="34">
        <v>1998</v>
      </c>
      <c r="B83" s="20" t="s">
        <v>25</v>
      </c>
      <c r="C83" s="20">
        <v>20</v>
      </c>
      <c r="D83" s="38" t="s">
        <v>363</v>
      </c>
      <c r="E83" s="38"/>
      <c r="F83" s="42">
        <v>20000</v>
      </c>
      <c r="G83" s="42"/>
      <c r="H83" s="48"/>
      <c r="I83" s="48"/>
      <c r="J83" s="47"/>
      <c r="K83" s="48"/>
    </row>
    <row r="84" spans="1:11" x14ac:dyDescent="0.25">
      <c r="A84" s="34">
        <v>1998</v>
      </c>
      <c r="B84" s="20" t="s">
        <v>25</v>
      </c>
      <c r="C84" s="20">
        <v>21</v>
      </c>
      <c r="D84" s="38" t="s">
        <v>491</v>
      </c>
      <c r="E84" s="38"/>
      <c r="F84" s="42">
        <v>19700</v>
      </c>
      <c r="G84" s="42"/>
      <c r="H84" s="48"/>
      <c r="I84" s="48"/>
      <c r="J84" s="47"/>
      <c r="K84" s="48"/>
    </row>
    <row r="85" spans="1:11" x14ac:dyDescent="0.25">
      <c r="A85" s="34">
        <v>1998</v>
      </c>
      <c r="B85" s="20" t="s">
        <v>25</v>
      </c>
      <c r="C85" s="20">
        <v>22</v>
      </c>
      <c r="D85" s="38" t="s">
        <v>492</v>
      </c>
      <c r="E85" s="38"/>
      <c r="F85" s="73">
        <v>19300</v>
      </c>
      <c r="G85" s="73"/>
      <c r="H85" s="48"/>
      <c r="I85" s="48"/>
      <c r="J85" s="47"/>
      <c r="K85" s="48"/>
    </row>
    <row r="86" spans="1:11" x14ac:dyDescent="0.25">
      <c r="A86" s="34">
        <v>1998</v>
      </c>
      <c r="B86" s="20" t="s">
        <v>25</v>
      </c>
      <c r="C86" s="20">
        <v>23</v>
      </c>
      <c r="D86" s="38" t="s">
        <v>494</v>
      </c>
      <c r="E86" s="38"/>
      <c r="F86" s="73">
        <v>19000</v>
      </c>
      <c r="G86" s="73"/>
      <c r="H86" s="48"/>
      <c r="I86" s="48"/>
      <c r="J86" s="47"/>
      <c r="K86" s="48"/>
    </row>
    <row r="87" spans="1:11" x14ac:dyDescent="0.25">
      <c r="A87" s="34">
        <v>1998</v>
      </c>
      <c r="B87" s="20" t="s">
        <v>25</v>
      </c>
      <c r="C87" s="20">
        <v>24</v>
      </c>
      <c r="D87" s="38" t="s">
        <v>495</v>
      </c>
      <c r="E87" s="38"/>
      <c r="F87" s="73">
        <v>18600</v>
      </c>
      <c r="G87" s="73"/>
      <c r="H87" s="48"/>
      <c r="I87" s="48"/>
      <c r="J87" s="47"/>
      <c r="K87" s="48"/>
    </row>
    <row r="88" spans="1:11" x14ac:dyDescent="0.25">
      <c r="A88" s="34">
        <v>1998</v>
      </c>
      <c r="B88" s="20" t="s">
        <v>25</v>
      </c>
      <c r="C88" s="20">
        <v>25</v>
      </c>
      <c r="D88" s="38" t="s">
        <v>341</v>
      </c>
      <c r="E88" s="38"/>
      <c r="F88" s="73">
        <v>18250</v>
      </c>
      <c r="G88" s="73"/>
      <c r="H88" s="48"/>
      <c r="I88" s="48"/>
      <c r="J88" s="47"/>
      <c r="K88" s="48"/>
    </row>
    <row r="89" spans="1:11" x14ac:dyDescent="0.25">
      <c r="A89" s="34">
        <v>1998</v>
      </c>
      <c r="B89" s="20" t="s">
        <v>25</v>
      </c>
      <c r="C89" s="20">
        <v>26</v>
      </c>
      <c r="D89" s="38" t="s">
        <v>339</v>
      </c>
      <c r="E89" s="38"/>
      <c r="F89" s="73">
        <v>17800</v>
      </c>
      <c r="G89" s="73"/>
      <c r="H89" s="48"/>
      <c r="I89" s="48"/>
      <c r="J89" s="47"/>
      <c r="K89" s="48"/>
    </row>
    <row r="90" spans="1:11" x14ac:dyDescent="0.25">
      <c r="A90" s="34">
        <v>1998</v>
      </c>
      <c r="B90" s="20" t="s">
        <v>25</v>
      </c>
      <c r="C90" s="20">
        <v>27</v>
      </c>
      <c r="D90" s="38" t="s">
        <v>339</v>
      </c>
      <c r="E90" s="38"/>
      <c r="F90" s="73">
        <v>17800</v>
      </c>
      <c r="G90" s="73"/>
      <c r="H90" s="48"/>
      <c r="I90" s="48"/>
      <c r="J90" s="47"/>
      <c r="K90" s="48"/>
    </row>
    <row r="91" spans="1:11" x14ac:dyDescent="0.25">
      <c r="A91" s="34">
        <v>1998</v>
      </c>
      <c r="B91" s="20" t="s">
        <v>25</v>
      </c>
      <c r="C91" s="20">
        <v>28</v>
      </c>
      <c r="D91" s="38" t="s">
        <v>342</v>
      </c>
      <c r="E91" s="38"/>
      <c r="F91" s="73">
        <v>17600</v>
      </c>
      <c r="G91" s="73"/>
      <c r="H91" s="48"/>
      <c r="I91" s="48"/>
      <c r="J91" s="47"/>
      <c r="K91" s="48"/>
    </row>
    <row r="92" spans="1:11" x14ac:dyDescent="0.25">
      <c r="A92" s="34">
        <v>1998</v>
      </c>
      <c r="B92" s="20" t="s">
        <v>25</v>
      </c>
      <c r="C92" s="20">
        <v>29</v>
      </c>
      <c r="D92" s="38" t="s">
        <v>338</v>
      </c>
      <c r="E92" s="38"/>
      <c r="F92" s="42">
        <v>17500</v>
      </c>
      <c r="G92" s="42"/>
      <c r="H92" s="48"/>
      <c r="I92" s="48"/>
      <c r="J92" s="47"/>
      <c r="K92" s="48"/>
    </row>
    <row r="93" spans="1:11" x14ac:dyDescent="0.25">
      <c r="A93" s="34">
        <v>1998</v>
      </c>
      <c r="B93" s="20" t="s">
        <v>25</v>
      </c>
      <c r="C93" s="20">
        <v>30</v>
      </c>
      <c r="D93" s="38" t="s">
        <v>497</v>
      </c>
      <c r="E93" s="38"/>
      <c r="F93" s="42">
        <v>17400</v>
      </c>
      <c r="G93" s="42"/>
      <c r="H93" s="48"/>
      <c r="I93" s="48"/>
      <c r="J93" s="47"/>
      <c r="K93" s="48"/>
    </row>
    <row r="94" spans="1:11" x14ac:dyDescent="0.25">
      <c r="A94" s="34">
        <v>1998</v>
      </c>
      <c r="B94" s="20" t="s">
        <v>25</v>
      </c>
      <c r="C94" s="20">
        <v>31</v>
      </c>
      <c r="D94" s="38" t="s">
        <v>514</v>
      </c>
      <c r="E94" s="38"/>
      <c r="F94" s="42">
        <v>17250</v>
      </c>
      <c r="G94" s="42"/>
      <c r="H94" s="48"/>
      <c r="I94" s="48"/>
      <c r="J94" s="47"/>
      <c r="K94" s="48"/>
    </row>
    <row r="95" spans="1:11" x14ac:dyDescent="0.25">
      <c r="A95" s="34">
        <v>1998</v>
      </c>
      <c r="B95" s="21" t="s">
        <v>26</v>
      </c>
      <c r="C95" s="20">
        <v>1</v>
      </c>
      <c r="D95" s="38" t="s">
        <v>498</v>
      </c>
      <c r="E95" s="38">
        <v>3.96</v>
      </c>
      <c r="F95" s="44">
        <v>17000</v>
      </c>
      <c r="G95" s="44">
        <v>20.91</v>
      </c>
      <c r="H95" s="48">
        <v>7</v>
      </c>
      <c r="I95" s="48">
        <v>35</v>
      </c>
      <c r="J95" s="47">
        <v>10</v>
      </c>
      <c r="K95" s="48">
        <v>48</v>
      </c>
    </row>
    <row r="96" spans="1:11" x14ac:dyDescent="0.25">
      <c r="A96" s="34">
        <v>1998</v>
      </c>
      <c r="B96" s="20" t="s">
        <v>26</v>
      </c>
      <c r="C96" s="20">
        <v>2</v>
      </c>
      <c r="D96" s="38" t="s">
        <v>499</v>
      </c>
      <c r="E96" s="38">
        <v>3.93</v>
      </c>
      <c r="F96" s="44">
        <v>16900</v>
      </c>
      <c r="G96" s="44">
        <v>20.79</v>
      </c>
      <c r="H96" s="48">
        <v>7</v>
      </c>
      <c r="I96" s="48">
        <v>35</v>
      </c>
      <c r="J96" s="47">
        <v>10</v>
      </c>
      <c r="K96" s="48">
        <v>48</v>
      </c>
    </row>
    <row r="97" spans="1:11" x14ac:dyDescent="0.25">
      <c r="A97" s="34">
        <v>1998</v>
      </c>
      <c r="B97" s="20" t="s">
        <v>26</v>
      </c>
      <c r="C97" s="20">
        <v>3</v>
      </c>
      <c r="D97" s="38" t="s">
        <v>517</v>
      </c>
      <c r="E97" s="38">
        <v>3.91</v>
      </c>
      <c r="F97" s="44">
        <v>16800</v>
      </c>
      <c r="G97" s="44">
        <v>20.66</v>
      </c>
      <c r="H97" s="48">
        <v>5</v>
      </c>
      <c r="I97" s="48">
        <v>25</v>
      </c>
      <c r="J97" s="47">
        <v>10</v>
      </c>
      <c r="K97" s="48">
        <v>43</v>
      </c>
    </row>
    <row r="98" spans="1:11" x14ac:dyDescent="0.25">
      <c r="A98" s="34">
        <v>1998</v>
      </c>
      <c r="B98" s="20" t="s">
        <v>26</v>
      </c>
      <c r="C98" s="20">
        <v>4</v>
      </c>
      <c r="D98" s="38" t="s">
        <v>500</v>
      </c>
      <c r="E98" s="38">
        <v>3.86</v>
      </c>
      <c r="F98" s="44">
        <v>16600</v>
      </c>
      <c r="G98" s="44">
        <v>20.41</v>
      </c>
      <c r="H98" s="48">
        <v>5</v>
      </c>
      <c r="I98" s="48">
        <v>25</v>
      </c>
      <c r="J98" s="47">
        <v>9</v>
      </c>
      <c r="K98" s="48">
        <v>43</v>
      </c>
    </row>
    <row r="99" spans="1:11" x14ac:dyDescent="0.25">
      <c r="A99" s="34">
        <v>1998</v>
      </c>
      <c r="B99" s="20" t="s">
        <v>26</v>
      </c>
      <c r="C99" s="20">
        <v>5</v>
      </c>
      <c r="D99" s="38" t="s">
        <v>501</v>
      </c>
      <c r="E99" s="38">
        <v>3.83</v>
      </c>
      <c r="F99" s="44">
        <v>16500</v>
      </c>
      <c r="G99" s="44" t="s">
        <v>1148</v>
      </c>
      <c r="H99" s="48">
        <v>5</v>
      </c>
      <c r="I99" s="48">
        <v>25</v>
      </c>
      <c r="J99" s="47">
        <v>9</v>
      </c>
      <c r="K99" s="48">
        <v>43</v>
      </c>
    </row>
    <row r="100" spans="1:11" x14ac:dyDescent="0.25">
      <c r="A100" s="34">
        <v>1998</v>
      </c>
      <c r="B100" s="20" t="s">
        <v>26</v>
      </c>
      <c r="C100" s="20">
        <v>6</v>
      </c>
      <c r="D100" s="38" t="s">
        <v>335</v>
      </c>
      <c r="E100" s="38">
        <v>3.8</v>
      </c>
      <c r="F100" s="44">
        <v>16400</v>
      </c>
      <c r="G100" s="44" t="s">
        <v>838</v>
      </c>
      <c r="H100" s="48">
        <v>5</v>
      </c>
      <c r="I100" s="48">
        <v>25</v>
      </c>
      <c r="J100" s="47">
        <v>9</v>
      </c>
      <c r="K100" s="48">
        <v>43</v>
      </c>
    </row>
    <row r="101" spans="1:11" x14ac:dyDescent="0.25">
      <c r="A101" s="34">
        <v>1998</v>
      </c>
      <c r="B101" s="20" t="s">
        <v>26</v>
      </c>
      <c r="C101" s="20">
        <v>7</v>
      </c>
      <c r="D101" s="38" t="s">
        <v>435</v>
      </c>
      <c r="E101" s="38">
        <v>3.78</v>
      </c>
      <c r="F101" s="44">
        <v>16200</v>
      </c>
      <c r="G101" s="44" t="s">
        <v>840</v>
      </c>
      <c r="H101" s="48">
        <v>5</v>
      </c>
      <c r="I101" s="48">
        <v>25</v>
      </c>
      <c r="J101" s="47">
        <v>9</v>
      </c>
      <c r="K101" s="48">
        <v>43</v>
      </c>
    </row>
    <row r="102" spans="1:11" x14ac:dyDescent="0.25">
      <c r="A102" s="34">
        <v>1998</v>
      </c>
      <c r="B102" s="20" t="s">
        <v>26</v>
      </c>
      <c r="C102" s="20">
        <v>8</v>
      </c>
      <c r="D102" s="38" t="s">
        <v>502</v>
      </c>
      <c r="E102" s="38">
        <v>3.73</v>
      </c>
      <c r="F102" s="44">
        <v>15750</v>
      </c>
      <c r="G102" s="44" t="s">
        <v>841</v>
      </c>
      <c r="H102" s="48">
        <v>7</v>
      </c>
      <c r="I102" s="48">
        <v>35</v>
      </c>
      <c r="J102" s="47">
        <v>9</v>
      </c>
      <c r="K102" s="48">
        <v>43</v>
      </c>
    </row>
    <row r="103" spans="1:11" x14ac:dyDescent="0.25">
      <c r="A103" s="34">
        <v>1998</v>
      </c>
      <c r="B103" s="20" t="s">
        <v>26</v>
      </c>
      <c r="C103" s="20">
        <v>9</v>
      </c>
      <c r="D103" s="38" t="s">
        <v>334</v>
      </c>
      <c r="E103" s="38">
        <v>3.66</v>
      </c>
      <c r="F103" s="44">
        <v>15500</v>
      </c>
      <c r="G103" s="44" t="s">
        <v>842</v>
      </c>
      <c r="H103" s="48">
        <v>10</v>
      </c>
      <c r="I103" s="48">
        <v>48</v>
      </c>
      <c r="J103" s="47">
        <v>9</v>
      </c>
      <c r="K103" s="48">
        <v>43</v>
      </c>
    </row>
    <row r="104" spans="1:11" x14ac:dyDescent="0.25">
      <c r="A104" s="34">
        <v>1998</v>
      </c>
      <c r="B104" s="20" t="s">
        <v>26</v>
      </c>
      <c r="C104" s="20">
        <v>10</v>
      </c>
      <c r="D104" s="38" t="s">
        <v>519</v>
      </c>
      <c r="E104" s="38">
        <v>3.65</v>
      </c>
      <c r="F104" s="44">
        <v>15400</v>
      </c>
      <c r="G104" s="44" t="s">
        <v>1149</v>
      </c>
      <c r="H104" s="48">
        <v>7</v>
      </c>
      <c r="I104" s="48">
        <v>36</v>
      </c>
      <c r="J104" s="47">
        <v>9</v>
      </c>
      <c r="K104" s="48">
        <v>43</v>
      </c>
    </row>
    <row r="105" spans="1:11" x14ac:dyDescent="0.25">
      <c r="A105" s="34">
        <v>1998</v>
      </c>
      <c r="B105" s="20" t="s">
        <v>26</v>
      </c>
      <c r="C105" s="20">
        <v>11</v>
      </c>
      <c r="D105" s="38" t="s">
        <v>316</v>
      </c>
      <c r="E105" s="38">
        <v>3.63</v>
      </c>
      <c r="F105" s="44">
        <v>15200</v>
      </c>
      <c r="G105" s="44" t="s">
        <v>1150</v>
      </c>
      <c r="H105" s="48">
        <v>7</v>
      </c>
      <c r="I105" s="48">
        <v>36</v>
      </c>
      <c r="J105" s="47">
        <v>11</v>
      </c>
      <c r="K105" s="48">
        <v>55</v>
      </c>
    </row>
    <row r="106" spans="1:11" x14ac:dyDescent="0.25">
      <c r="A106" s="34">
        <v>1998</v>
      </c>
      <c r="B106" s="20" t="s">
        <v>26</v>
      </c>
      <c r="C106" s="20">
        <v>12</v>
      </c>
      <c r="D106" s="38" t="s">
        <v>512</v>
      </c>
      <c r="E106" s="38">
        <v>3.6</v>
      </c>
      <c r="F106" s="44">
        <v>15000</v>
      </c>
      <c r="G106" s="44" t="s">
        <v>1151</v>
      </c>
      <c r="H106" s="48">
        <v>7</v>
      </c>
      <c r="I106" s="48">
        <v>36</v>
      </c>
      <c r="J106" s="47">
        <v>11</v>
      </c>
      <c r="K106" s="48">
        <v>55</v>
      </c>
    </row>
    <row r="107" spans="1:11" x14ac:dyDescent="0.25">
      <c r="A107" s="34">
        <v>1998</v>
      </c>
      <c r="B107" s="20" t="s">
        <v>26</v>
      </c>
      <c r="C107" s="20">
        <v>13</v>
      </c>
      <c r="D107" s="38" t="s">
        <v>503</v>
      </c>
      <c r="E107" s="38">
        <v>3.58</v>
      </c>
      <c r="F107" s="44">
        <v>14900</v>
      </c>
      <c r="G107" s="44" t="s">
        <v>845</v>
      </c>
      <c r="H107" s="48">
        <v>3</v>
      </c>
      <c r="I107" s="48">
        <v>15</v>
      </c>
      <c r="J107" s="47">
        <v>11</v>
      </c>
      <c r="K107" s="48">
        <v>55</v>
      </c>
    </row>
    <row r="108" spans="1:11" x14ac:dyDescent="0.25">
      <c r="A108" s="34">
        <v>1998</v>
      </c>
      <c r="B108" s="20" t="s">
        <v>26</v>
      </c>
      <c r="C108" s="20">
        <v>14</v>
      </c>
      <c r="D108" s="38" t="s">
        <v>380</v>
      </c>
      <c r="E108" s="38">
        <v>3.55</v>
      </c>
      <c r="F108" s="44">
        <v>14700</v>
      </c>
      <c r="G108" s="44" t="s">
        <v>1152</v>
      </c>
      <c r="H108" s="48">
        <v>3</v>
      </c>
      <c r="I108" s="48">
        <v>15</v>
      </c>
      <c r="J108" s="47">
        <v>1.1000000000000001</v>
      </c>
      <c r="K108" s="48">
        <v>62</v>
      </c>
    </row>
    <row r="109" spans="1:11" x14ac:dyDescent="0.25">
      <c r="A109" s="34">
        <v>1998</v>
      </c>
      <c r="B109" s="20" t="s">
        <v>26</v>
      </c>
      <c r="C109" s="20">
        <v>15</v>
      </c>
      <c r="D109" s="38" t="s">
        <v>522</v>
      </c>
      <c r="E109" s="38">
        <v>3.53</v>
      </c>
      <c r="F109" s="44">
        <v>14600</v>
      </c>
      <c r="G109" s="44" t="s">
        <v>1153</v>
      </c>
      <c r="H109" s="48">
        <v>3</v>
      </c>
      <c r="I109" s="48">
        <v>15</v>
      </c>
      <c r="J109" s="47">
        <v>1.1000000000000001</v>
      </c>
      <c r="K109" s="48">
        <v>62</v>
      </c>
    </row>
    <row r="110" spans="1:11" x14ac:dyDescent="0.25">
      <c r="A110" s="34">
        <v>1998</v>
      </c>
      <c r="B110" s="20" t="s">
        <v>26</v>
      </c>
      <c r="C110" s="20">
        <v>16</v>
      </c>
      <c r="D110" s="38" t="s">
        <v>504</v>
      </c>
      <c r="E110" s="38" t="s">
        <v>849</v>
      </c>
      <c r="F110" s="44">
        <v>14400</v>
      </c>
      <c r="G110" s="44" t="s">
        <v>848</v>
      </c>
      <c r="H110" s="48">
        <v>3</v>
      </c>
      <c r="I110" s="48">
        <v>15</v>
      </c>
      <c r="J110" s="47">
        <v>1.1000000000000001</v>
      </c>
      <c r="K110" s="48">
        <v>62</v>
      </c>
    </row>
    <row r="111" spans="1:11" x14ac:dyDescent="0.25">
      <c r="A111" s="34">
        <v>1998</v>
      </c>
      <c r="B111" s="20" t="s">
        <v>26</v>
      </c>
      <c r="C111" s="20">
        <v>17</v>
      </c>
      <c r="D111" s="38" t="s">
        <v>523</v>
      </c>
      <c r="E111" s="38" t="s">
        <v>1141</v>
      </c>
      <c r="F111" s="44">
        <v>14200</v>
      </c>
      <c r="G111" s="44" t="s">
        <v>1154</v>
      </c>
      <c r="H111" s="48">
        <v>9</v>
      </c>
      <c r="I111" s="48">
        <v>44</v>
      </c>
      <c r="J111" s="47">
        <v>1.1000000000000001</v>
      </c>
      <c r="K111" s="48">
        <v>62</v>
      </c>
    </row>
    <row r="112" spans="1:11" x14ac:dyDescent="0.25">
      <c r="A112" s="34">
        <v>1998</v>
      </c>
      <c r="B112" s="20" t="s">
        <v>26</v>
      </c>
      <c r="C112" s="20">
        <v>18</v>
      </c>
      <c r="D112" s="38" t="s">
        <v>505</v>
      </c>
      <c r="E112" s="38" t="s">
        <v>850</v>
      </c>
      <c r="F112" s="44">
        <v>14000</v>
      </c>
      <c r="G112" s="44" t="s">
        <v>851</v>
      </c>
      <c r="H112" s="48">
        <v>9</v>
      </c>
      <c r="I112" s="48">
        <v>44</v>
      </c>
      <c r="J112" s="47">
        <v>1.1000000000000001</v>
      </c>
      <c r="K112" s="48">
        <v>0</v>
      </c>
    </row>
    <row r="113" spans="1:11" x14ac:dyDescent="0.25">
      <c r="A113" s="34">
        <v>1998</v>
      </c>
      <c r="B113" s="20" t="s">
        <v>26</v>
      </c>
      <c r="C113" s="20">
        <v>19</v>
      </c>
      <c r="D113" s="38" t="s">
        <v>333</v>
      </c>
      <c r="E113" s="38" t="s">
        <v>1142</v>
      </c>
      <c r="F113" s="44">
        <v>13800</v>
      </c>
      <c r="G113" s="44" t="s">
        <v>852</v>
      </c>
      <c r="H113" s="48">
        <v>9</v>
      </c>
      <c r="I113" s="48">
        <v>44</v>
      </c>
      <c r="J113" s="47">
        <v>1.1000000000000001</v>
      </c>
      <c r="K113" s="48">
        <v>0</v>
      </c>
    </row>
    <row r="114" spans="1:11" x14ac:dyDescent="0.25">
      <c r="A114" s="34">
        <v>1998</v>
      </c>
      <c r="B114" s="20" t="s">
        <v>26</v>
      </c>
      <c r="C114" s="20">
        <v>20</v>
      </c>
      <c r="D114" s="38" t="s">
        <v>506</v>
      </c>
      <c r="E114" s="38" t="s">
        <v>854</v>
      </c>
      <c r="F114" s="42">
        <v>13700</v>
      </c>
      <c r="G114" s="42" t="s">
        <v>1155</v>
      </c>
      <c r="H114" s="48">
        <v>9</v>
      </c>
      <c r="I114" s="48">
        <v>44</v>
      </c>
      <c r="J114" s="47">
        <v>1.2</v>
      </c>
      <c r="K114" s="48">
        <v>66</v>
      </c>
    </row>
    <row r="115" spans="1:11" x14ac:dyDescent="0.25">
      <c r="A115" s="34">
        <v>1998</v>
      </c>
      <c r="B115" s="20" t="s">
        <v>26</v>
      </c>
      <c r="C115" s="20">
        <v>21</v>
      </c>
      <c r="D115" s="38" t="s">
        <v>384</v>
      </c>
      <c r="E115" s="38" t="s">
        <v>1143</v>
      </c>
      <c r="F115" s="42">
        <v>13600</v>
      </c>
      <c r="G115" s="42" t="s">
        <v>1156</v>
      </c>
      <c r="H115" s="48">
        <v>5</v>
      </c>
      <c r="I115" s="48">
        <v>26</v>
      </c>
      <c r="J115" s="47">
        <v>1.2</v>
      </c>
      <c r="K115" s="48">
        <v>66</v>
      </c>
    </row>
    <row r="116" spans="1:11" x14ac:dyDescent="0.25">
      <c r="A116" s="34">
        <v>1998</v>
      </c>
      <c r="B116" s="20" t="s">
        <v>26</v>
      </c>
      <c r="C116" s="20">
        <v>22</v>
      </c>
      <c r="D116" s="38" t="s">
        <v>524</v>
      </c>
      <c r="E116" s="38" t="s">
        <v>1144</v>
      </c>
      <c r="F116" s="73">
        <v>13250</v>
      </c>
      <c r="G116" s="73" t="s">
        <v>1157</v>
      </c>
      <c r="H116" s="48">
        <v>7</v>
      </c>
      <c r="I116" s="48">
        <v>36</v>
      </c>
      <c r="J116" s="47">
        <v>1.2</v>
      </c>
      <c r="K116" s="48">
        <v>66</v>
      </c>
    </row>
    <row r="117" spans="1:11" x14ac:dyDescent="0.25">
      <c r="A117" s="34">
        <v>1998</v>
      </c>
      <c r="B117" s="20" t="s">
        <v>26</v>
      </c>
      <c r="C117" s="20">
        <v>23</v>
      </c>
      <c r="D117" s="38" t="s">
        <v>386</v>
      </c>
      <c r="E117" s="38" t="s">
        <v>863</v>
      </c>
      <c r="F117" s="73">
        <v>13000</v>
      </c>
      <c r="G117" s="73" t="s">
        <v>861</v>
      </c>
      <c r="H117" s="48">
        <v>7</v>
      </c>
      <c r="I117" s="48">
        <v>36</v>
      </c>
      <c r="J117" s="47">
        <v>1.2</v>
      </c>
      <c r="K117" s="48">
        <v>66</v>
      </c>
    </row>
    <row r="118" spans="1:11" x14ac:dyDescent="0.25">
      <c r="A118" s="34">
        <v>1998</v>
      </c>
      <c r="B118" s="20" t="s">
        <v>26</v>
      </c>
      <c r="C118" s="20">
        <v>24</v>
      </c>
      <c r="D118" s="38" t="s">
        <v>507</v>
      </c>
      <c r="E118" s="38" t="s">
        <v>864</v>
      </c>
      <c r="F118" s="73">
        <v>12900</v>
      </c>
      <c r="G118" s="73" t="s">
        <v>865</v>
      </c>
      <c r="H118" s="48">
        <v>0</v>
      </c>
      <c r="I118" s="48">
        <v>0</v>
      </c>
      <c r="J118" s="47">
        <v>1.2</v>
      </c>
      <c r="K118" s="48">
        <v>66</v>
      </c>
    </row>
    <row r="119" spans="1:11" x14ac:dyDescent="0.25">
      <c r="A119" s="34">
        <v>1998</v>
      </c>
      <c r="B119" s="20" t="s">
        <v>26</v>
      </c>
      <c r="C119" s="20">
        <v>25</v>
      </c>
      <c r="D119" s="38" t="s">
        <v>387</v>
      </c>
      <c r="E119" s="38" t="s">
        <v>1145</v>
      </c>
      <c r="F119" s="73">
        <v>12800</v>
      </c>
      <c r="G119" s="73" t="s">
        <v>866</v>
      </c>
      <c r="H119" s="48">
        <v>0</v>
      </c>
      <c r="I119" s="48">
        <v>0</v>
      </c>
      <c r="J119" s="47">
        <v>1.2</v>
      </c>
      <c r="K119" s="48">
        <v>66</v>
      </c>
    </row>
    <row r="120" spans="1:11" x14ac:dyDescent="0.25">
      <c r="A120" s="34">
        <v>1998</v>
      </c>
      <c r="B120" s="20" t="s">
        <v>26</v>
      </c>
      <c r="C120" s="20">
        <v>26</v>
      </c>
      <c r="D120" s="38" t="s">
        <v>387</v>
      </c>
      <c r="E120" s="38" t="s">
        <v>1145</v>
      </c>
      <c r="F120" s="73">
        <v>12800</v>
      </c>
      <c r="G120" s="73" t="s">
        <v>866</v>
      </c>
      <c r="H120" s="48">
        <v>0</v>
      </c>
      <c r="I120" s="48">
        <v>0</v>
      </c>
      <c r="J120" s="47">
        <v>1.4</v>
      </c>
      <c r="K120" s="48">
        <v>65</v>
      </c>
    </row>
    <row r="121" spans="1:11" x14ac:dyDescent="0.25">
      <c r="A121" s="34">
        <v>1998</v>
      </c>
      <c r="B121" s="20" t="s">
        <v>26</v>
      </c>
      <c r="C121" s="20">
        <v>27</v>
      </c>
      <c r="D121" s="38" t="s">
        <v>525</v>
      </c>
      <c r="E121" s="38" t="s">
        <v>1146</v>
      </c>
      <c r="F121" s="73">
        <v>12600</v>
      </c>
      <c r="G121" s="73" t="s">
        <v>1158</v>
      </c>
      <c r="H121" s="48">
        <v>0</v>
      </c>
      <c r="I121" s="48">
        <v>0</v>
      </c>
      <c r="J121" s="47">
        <v>1.2</v>
      </c>
      <c r="K121" s="48">
        <v>92</v>
      </c>
    </row>
    <row r="122" spans="1:11" x14ac:dyDescent="0.25">
      <c r="A122" s="34">
        <v>1998</v>
      </c>
      <c r="B122" s="20" t="s">
        <v>26</v>
      </c>
      <c r="C122" s="20">
        <v>28</v>
      </c>
      <c r="D122" s="38" t="s">
        <v>525</v>
      </c>
      <c r="E122" s="38" t="s">
        <v>1146</v>
      </c>
      <c r="F122" s="73">
        <v>12600</v>
      </c>
      <c r="G122" s="73" t="s">
        <v>1158</v>
      </c>
      <c r="H122" s="48">
        <v>0</v>
      </c>
      <c r="I122" s="48">
        <v>0</v>
      </c>
      <c r="J122" s="47" t="s">
        <v>981</v>
      </c>
      <c r="K122" s="48">
        <v>49</v>
      </c>
    </row>
    <row r="123" spans="1:11" x14ac:dyDescent="0.25">
      <c r="A123" s="34">
        <v>1998</v>
      </c>
      <c r="B123" s="20" t="s">
        <v>26</v>
      </c>
      <c r="C123" s="20">
        <v>29</v>
      </c>
      <c r="D123" s="38" t="s">
        <v>434</v>
      </c>
      <c r="E123" s="38" t="s">
        <v>1139</v>
      </c>
      <c r="F123" s="42">
        <v>12500</v>
      </c>
      <c r="G123" s="42" t="s">
        <v>869</v>
      </c>
      <c r="H123" s="48">
        <v>0</v>
      </c>
      <c r="I123" s="48">
        <v>0</v>
      </c>
      <c r="J123" s="47" t="s">
        <v>981</v>
      </c>
      <c r="K123" s="48">
        <v>49</v>
      </c>
    </row>
    <row r="124" spans="1:11" x14ac:dyDescent="0.25">
      <c r="A124" s="34">
        <v>1998</v>
      </c>
      <c r="B124" s="20" t="s">
        <v>26</v>
      </c>
      <c r="C124" s="20">
        <v>30</v>
      </c>
      <c r="D124" s="38" t="s">
        <v>526</v>
      </c>
      <c r="E124" s="38" t="s">
        <v>1147</v>
      </c>
      <c r="F124" s="42">
        <v>12400</v>
      </c>
      <c r="G124" s="42" t="s">
        <v>1159</v>
      </c>
      <c r="H124" s="48">
        <v>0</v>
      </c>
      <c r="I124" s="48">
        <v>0</v>
      </c>
      <c r="J124" s="47" t="s">
        <v>981</v>
      </c>
      <c r="K124" s="48">
        <v>49</v>
      </c>
    </row>
    <row r="125" spans="1:11" x14ac:dyDescent="0.25">
      <c r="A125" s="34">
        <v>1998</v>
      </c>
      <c r="B125" s="21" t="s">
        <v>27</v>
      </c>
      <c r="C125" s="20">
        <v>1</v>
      </c>
      <c r="D125" s="42" t="s">
        <v>332</v>
      </c>
      <c r="E125" s="42" t="s">
        <v>1160</v>
      </c>
      <c r="F125" s="44">
        <v>12200</v>
      </c>
      <c r="G125" s="44" t="s">
        <v>1170</v>
      </c>
      <c r="H125" s="48">
        <v>7</v>
      </c>
      <c r="I125" s="48">
        <v>31</v>
      </c>
      <c r="J125" s="47" t="s">
        <v>981</v>
      </c>
      <c r="K125" s="47" t="s">
        <v>1180</v>
      </c>
    </row>
    <row r="126" spans="1:11" x14ac:dyDescent="0.25">
      <c r="A126" s="34">
        <v>1998</v>
      </c>
      <c r="B126" s="20" t="s">
        <v>27</v>
      </c>
      <c r="C126" s="20">
        <v>2</v>
      </c>
      <c r="D126" s="42" t="s">
        <v>433</v>
      </c>
      <c r="E126" s="42" t="s">
        <v>1161</v>
      </c>
      <c r="F126" s="44">
        <v>12000</v>
      </c>
      <c r="G126" s="44" t="s">
        <v>873</v>
      </c>
      <c r="H126" s="48">
        <v>7</v>
      </c>
      <c r="I126" s="48">
        <v>31</v>
      </c>
      <c r="J126" s="47" t="s">
        <v>981</v>
      </c>
      <c r="K126" s="47" t="s">
        <v>1180</v>
      </c>
    </row>
    <row r="127" spans="1:11" x14ac:dyDescent="0.25">
      <c r="A127" s="34">
        <v>1998</v>
      </c>
      <c r="B127" s="20" t="s">
        <v>27</v>
      </c>
      <c r="C127" s="20">
        <v>3</v>
      </c>
      <c r="D127" s="42" t="s">
        <v>391</v>
      </c>
      <c r="E127" s="42" t="s">
        <v>1120</v>
      </c>
      <c r="F127" s="44">
        <v>11800</v>
      </c>
      <c r="G127" s="44" t="s">
        <v>1171</v>
      </c>
      <c r="H127" s="48">
        <v>7</v>
      </c>
      <c r="I127" s="48">
        <v>31</v>
      </c>
      <c r="J127" s="47" t="s">
        <v>981</v>
      </c>
      <c r="K127" s="47" t="s">
        <v>1180</v>
      </c>
    </row>
    <row r="128" spans="1:11" x14ac:dyDescent="0.25">
      <c r="A128" s="34">
        <v>1998</v>
      </c>
      <c r="B128" s="20" t="s">
        <v>27</v>
      </c>
      <c r="C128" s="20">
        <v>4</v>
      </c>
      <c r="D128" s="42" t="s">
        <v>17</v>
      </c>
      <c r="E128" s="42" t="s">
        <v>875</v>
      </c>
      <c r="F128" s="44">
        <v>11600</v>
      </c>
      <c r="G128" s="44" t="s">
        <v>1172</v>
      </c>
      <c r="H128" s="48">
        <v>7</v>
      </c>
      <c r="I128" s="48">
        <v>10</v>
      </c>
      <c r="J128" s="47" t="s">
        <v>981</v>
      </c>
      <c r="K128" s="47" t="s">
        <v>1180</v>
      </c>
    </row>
    <row r="129" spans="1:11" x14ac:dyDescent="0.25">
      <c r="A129" s="34">
        <v>1998</v>
      </c>
      <c r="B129" s="20" t="s">
        <v>27</v>
      </c>
      <c r="C129" s="20">
        <v>5</v>
      </c>
      <c r="D129" s="42" t="s">
        <v>391</v>
      </c>
      <c r="E129" s="42" t="s">
        <v>1120</v>
      </c>
      <c r="F129" s="44">
        <v>11800</v>
      </c>
      <c r="G129" s="44" t="s">
        <v>1171</v>
      </c>
      <c r="H129" s="48">
        <v>7</v>
      </c>
      <c r="I129" s="48">
        <v>10</v>
      </c>
      <c r="J129" s="47" t="s">
        <v>981</v>
      </c>
      <c r="K129" s="47" t="s">
        <v>1180</v>
      </c>
    </row>
    <row r="130" spans="1:11" x14ac:dyDescent="0.25">
      <c r="A130" s="34">
        <v>1998</v>
      </c>
      <c r="B130" s="20" t="s">
        <v>27</v>
      </c>
      <c r="C130" s="20">
        <v>6</v>
      </c>
      <c r="D130" s="42" t="s">
        <v>17</v>
      </c>
      <c r="E130" s="42" t="s">
        <v>875</v>
      </c>
      <c r="F130" s="44">
        <v>11600</v>
      </c>
      <c r="G130" s="44" t="s">
        <v>1172</v>
      </c>
      <c r="H130" s="48">
        <v>7</v>
      </c>
      <c r="I130" s="48">
        <v>10</v>
      </c>
      <c r="J130" s="47" t="s">
        <v>981</v>
      </c>
      <c r="K130" s="47" t="s">
        <v>1180</v>
      </c>
    </row>
    <row r="131" spans="1:11" x14ac:dyDescent="0.25">
      <c r="A131" s="34">
        <v>1998</v>
      </c>
      <c r="B131" s="20" t="s">
        <v>27</v>
      </c>
      <c r="C131" s="20">
        <v>7</v>
      </c>
      <c r="D131" s="42" t="s">
        <v>15</v>
      </c>
      <c r="E131" s="42" t="s">
        <v>1162</v>
      </c>
      <c r="F131" s="44">
        <v>11500</v>
      </c>
      <c r="G131" s="44" t="s">
        <v>1173</v>
      </c>
      <c r="H131" s="48">
        <v>7</v>
      </c>
      <c r="I131" s="48">
        <v>10</v>
      </c>
      <c r="J131" s="47" t="s">
        <v>981</v>
      </c>
      <c r="K131" s="47" t="s">
        <v>1180</v>
      </c>
    </row>
    <row r="132" spans="1:11" x14ac:dyDescent="0.25">
      <c r="A132" s="34">
        <v>1998</v>
      </c>
      <c r="B132" s="20" t="s">
        <v>27</v>
      </c>
      <c r="C132" s="20">
        <v>8</v>
      </c>
      <c r="D132" s="42" t="s">
        <v>20</v>
      </c>
      <c r="E132" s="42" t="s">
        <v>1163</v>
      </c>
      <c r="F132" s="44">
        <v>11400</v>
      </c>
      <c r="G132" s="44" t="s">
        <v>1174</v>
      </c>
      <c r="H132" s="48">
        <v>7</v>
      </c>
      <c r="I132" s="48">
        <v>10</v>
      </c>
      <c r="J132" s="47" t="s">
        <v>981</v>
      </c>
      <c r="K132" s="47" t="s">
        <v>1180</v>
      </c>
    </row>
    <row r="133" spans="1:11" x14ac:dyDescent="0.25">
      <c r="A133" s="34">
        <v>1998</v>
      </c>
      <c r="B133" s="20" t="s">
        <v>27</v>
      </c>
      <c r="C133" s="20">
        <v>9</v>
      </c>
      <c r="D133" s="42" t="s">
        <v>11</v>
      </c>
      <c r="E133" s="42" t="s">
        <v>1164</v>
      </c>
      <c r="F133" s="44">
        <v>11300</v>
      </c>
      <c r="G133" s="44" t="s">
        <v>1175</v>
      </c>
      <c r="H133" s="48">
        <v>7</v>
      </c>
      <c r="I133" s="48">
        <v>10</v>
      </c>
      <c r="J133" s="47" t="s">
        <v>981</v>
      </c>
      <c r="K133" s="47" t="s">
        <v>1180</v>
      </c>
    </row>
    <row r="134" spans="1:11" x14ac:dyDescent="0.25">
      <c r="A134" s="34">
        <v>1998</v>
      </c>
      <c r="B134" s="20" t="s">
        <v>27</v>
      </c>
      <c r="C134" s="20">
        <v>10</v>
      </c>
      <c r="D134" s="42" t="s">
        <v>11</v>
      </c>
      <c r="E134" s="42" t="s">
        <v>1164</v>
      </c>
      <c r="F134" s="44">
        <v>11300</v>
      </c>
      <c r="G134" s="44" t="s">
        <v>1175</v>
      </c>
      <c r="H134" s="48">
        <v>0</v>
      </c>
      <c r="I134" s="48">
        <v>0</v>
      </c>
      <c r="J134" s="47" t="s">
        <v>736</v>
      </c>
      <c r="K134" s="48">
        <v>0</v>
      </c>
    </row>
    <row r="135" spans="1:11" x14ac:dyDescent="0.25">
      <c r="A135" s="34">
        <v>1998</v>
      </c>
      <c r="B135" s="20" t="s">
        <v>27</v>
      </c>
      <c r="C135" s="20">
        <v>11</v>
      </c>
      <c r="D135" s="42" t="s">
        <v>11</v>
      </c>
      <c r="E135" s="42" t="s">
        <v>1164</v>
      </c>
      <c r="F135" s="44">
        <v>11300</v>
      </c>
      <c r="G135" s="44" t="s">
        <v>1175</v>
      </c>
      <c r="H135" s="48">
        <v>0</v>
      </c>
      <c r="I135" s="48">
        <v>0</v>
      </c>
      <c r="J135" s="47" t="s">
        <v>736</v>
      </c>
      <c r="K135" s="48">
        <v>0</v>
      </c>
    </row>
    <row r="136" spans="1:11" x14ac:dyDescent="0.25">
      <c r="A136" s="34">
        <v>1998</v>
      </c>
      <c r="B136" s="20" t="s">
        <v>27</v>
      </c>
      <c r="C136" s="20">
        <v>12</v>
      </c>
      <c r="D136" s="42" t="s">
        <v>11</v>
      </c>
      <c r="E136" s="42" t="s">
        <v>1164</v>
      </c>
      <c r="F136" s="44">
        <v>11300</v>
      </c>
      <c r="G136" s="44" t="s">
        <v>1175</v>
      </c>
      <c r="H136" s="48">
        <v>0</v>
      </c>
      <c r="I136" s="48">
        <v>0</v>
      </c>
      <c r="J136" s="47" t="s">
        <v>736</v>
      </c>
      <c r="K136" s="48">
        <v>0</v>
      </c>
    </row>
    <row r="137" spans="1:11" x14ac:dyDescent="0.25">
      <c r="A137" s="34">
        <v>1998</v>
      </c>
      <c r="B137" s="20" t="s">
        <v>27</v>
      </c>
      <c r="C137" s="20">
        <v>13</v>
      </c>
      <c r="D137" s="42" t="s">
        <v>11</v>
      </c>
      <c r="E137" s="42" t="s">
        <v>1164</v>
      </c>
      <c r="F137" s="44">
        <v>11300</v>
      </c>
      <c r="G137" s="44" t="s">
        <v>1175</v>
      </c>
      <c r="H137" s="48">
        <v>0</v>
      </c>
      <c r="I137" s="48">
        <v>0</v>
      </c>
      <c r="J137" s="47" t="s">
        <v>736</v>
      </c>
      <c r="K137" s="48">
        <v>0</v>
      </c>
    </row>
    <row r="138" spans="1:11" x14ac:dyDescent="0.25">
      <c r="A138" s="34">
        <v>1998</v>
      </c>
      <c r="B138" s="20" t="s">
        <v>27</v>
      </c>
      <c r="C138" s="20">
        <v>14</v>
      </c>
      <c r="D138" s="42" t="s">
        <v>15</v>
      </c>
      <c r="E138" s="42" t="s">
        <v>1162</v>
      </c>
      <c r="F138" s="44">
        <v>11500</v>
      </c>
      <c r="G138" s="44" t="s">
        <v>1173</v>
      </c>
      <c r="H138" s="48">
        <v>0</v>
      </c>
      <c r="I138" s="48">
        <v>0</v>
      </c>
      <c r="J138" s="47" t="s">
        <v>736</v>
      </c>
      <c r="K138" s="48">
        <v>0</v>
      </c>
    </row>
    <row r="139" spans="1:11" x14ac:dyDescent="0.25">
      <c r="A139" s="34">
        <v>1998</v>
      </c>
      <c r="B139" s="20" t="s">
        <v>27</v>
      </c>
      <c r="C139" s="20">
        <v>15</v>
      </c>
      <c r="D139" s="42" t="s">
        <v>17</v>
      </c>
      <c r="E139" s="42" t="s">
        <v>875</v>
      </c>
      <c r="F139" s="44">
        <v>11600</v>
      </c>
      <c r="G139" s="44" t="s">
        <v>1172</v>
      </c>
      <c r="H139" s="48">
        <v>0</v>
      </c>
      <c r="I139" s="48">
        <v>0</v>
      </c>
      <c r="J139" s="47" t="s">
        <v>736</v>
      </c>
      <c r="K139" s="48">
        <v>0</v>
      </c>
    </row>
    <row r="140" spans="1:11" x14ac:dyDescent="0.25">
      <c r="A140" s="34">
        <v>1998</v>
      </c>
      <c r="B140" s="20" t="s">
        <v>27</v>
      </c>
      <c r="C140" s="20">
        <v>16</v>
      </c>
      <c r="D140" s="42" t="s">
        <v>332</v>
      </c>
      <c r="E140" s="42" t="s">
        <v>1160</v>
      </c>
      <c r="F140" s="44">
        <v>12200</v>
      </c>
      <c r="G140" s="44" t="s">
        <v>1170</v>
      </c>
      <c r="H140" s="48">
        <v>0</v>
      </c>
      <c r="I140" s="48">
        <v>0</v>
      </c>
      <c r="J140" s="47" t="s">
        <v>736</v>
      </c>
      <c r="K140" s="48">
        <v>0</v>
      </c>
    </row>
    <row r="141" spans="1:11" x14ac:dyDescent="0.25">
      <c r="A141" s="34">
        <v>1998</v>
      </c>
      <c r="B141" s="20" t="s">
        <v>27</v>
      </c>
      <c r="C141" s="20">
        <v>17</v>
      </c>
      <c r="D141" s="42" t="s">
        <v>525</v>
      </c>
      <c r="E141" s="42" t="s">
        <v>1146</v>
      </c>
      <c r="F141" s="44">
        <v>12600</v>
      </c>
      <c r="G141" s="44" t="s">
        <v>1158</v>
      </c>
      <c r="H141" s="48">
        <v>0</v>
      </c>
      <c r="I141" s="48">
        <v>0</v>
      </c>
      <c r="J141" s="47" t="s">
        <v>928</v>
      </c>
      <c r="K141" s="48">
        <v>8</v>
      </c>
    </row>
    <row r="142" spans="1:11" x14ac:dyDescent="0.25">
      <c r="A142" s="34">
        <v>1998</v>
      </c>
      <c r="B142" s="20" t="s">
        <v>27</v>
      </c>
      <c r="C142" s="20">
        <v>18</v>
      </c>
      <c r="D142" s="42" t="s">
        <v>507</v>
      </c>
      <c r="E142" s="42" t="s">
        <v>1165</v>
      </c>
      <c r="F142" s="44">
        <v>12900</v>
      </c>
      <c r="G142" s="44" t="s">
        <v>1176</v>
      </c>
      <c r="H142" s="48">
        <v>0</v>
      </c>
      <c r="I142" s="48">
        <v>0</v>
      </c>
      <c r="J142" s="47" t="s">
        <v>928</v>
      </c>
      <c r="K142" s="48">
        <v>8</v>
      </c>
    </row>
    <row r="143" spans="1:11" x14ac:dyDescent="0.25">
      <c r="A143" s="34">
        <v>1998</v>
      </c>
      <c r="B143" s="20" t="s">
        <v>27</v>
      </c>
      <c r="C143" s="20">
        <v>19</v>
      </c>
      <c r="D143" s="42" t="s">
        <v>507</v>
      </c>
      <c r="E143" s="42" t="s">
        <v>1165</v>
      </c>
      <c r="F143" s="44">
        <v>12900</v>
      </c>
      <c r="G143" s="44" t="s">
        <v>1176</v>
      </c>
      <c r="H143" s="48">
        <v>0</v>
      </c>
      <c r="I143" s="48">
        <v>0</v>
      </c>
      <c r="J143" s="47" t="s">
        <v>981</v>
      </c>
      <c r="K143" s="48">
        <v>20</v>
      </c>
    </row>
    <row r="144" spans="1:11" x14ac:dyDescent="0.25">
      <c r="A144" s="34">
        <v>1998</v>
      </c>
      <c r="B144" s="20" t="s">
        <v>27</v>
      </c>
      <c r="C144" s="20">
        <v>20</v>
      </c>
      <c r="D144" s="42" t="s">
        <v>387</v>
      </c>
      <c r="E144" s="42" t="s">
        <v>1145</v>
      </c>
      <c r="F144" s="44">
        <v>12800</v>
      </c>
      <c r="G144" s="44" t="s">
        <v>866</v>
      </c>
      <c r="H144" s="48">
        <v>7</v>
      </c>
      <c r="I144" s="48">
        <v>31</v>
      </c>
      <c r="J144" s="47" t="s">
        <v>775</v>
      </c>
      <c r="K144" s="48">
        <v>68</v>
      </c>
    </row>
    <row r="145" spans="1:11" x14ac:dyDescent="0.25">
      <c r="A145" s="34">
        <v>1998</v>
      </c>
      <c r="B145" s="20" t="s">
        <v>27</v>
      </c>
      <c r="C145" s="20">
        <v>21</v>
      </c>
      <c r="D145" s="42" t="s">
        <v>525</v>
      </c>
      <c r="E145" s="42" t="s">
        <v>1146</v>
      </c>
      <c r="F145" s="42">
        <v>12600</v>
      </c>
      <c r="G145" s="42" t="s">
        <v>1158</v>
      </c>
      <c r="H145" s="48">
        <v>7</v>
      </c>
      <c r="I145" s="48">
        <v>31</v>
      </c>
      <c r="J145" s="47" t="s">
        <v>775</v>
      </c>
      <c r="K145" s="48">
        <v>68</v>
      </c>
    </row>
    <row r="146" spans="1:11" x14ac:dyDescent="0.25">
      <c r="A146" s="34">
        <v>1998</v>
      </c>
      <c r="B146" s="20" t="s">
        <v>27</v>
      </c>
      <c r="C146" s="20">
        <v>22</v>
      </c>
      <c r="D146" s="42" t="s">
        <v>526</v>
      </c>
      <c r="E146" s="42" t="s">
        <v>1166</v>
      </c>
      <c r="F146" s="42">
        <v>12400</v>
      </c>
      <c r="G146" s="42" t="s">
        <v>1159</v>
      </c>
      <c r="H146" s="48">
        <v>7</v>
      </c>
      <c r="I146" s="48">
        <v>31</v>
      </c>
      <c r="J146" s="47" t="s">
        <v>775</v>
      </c>
      <c r="K146" s="48">
        <v>68</v>
      </c>
    </row>
    <row r="147" spans="1:11" x14ac:dyDescent="0.25">
      <c r="A147" s="34">
        <v>1998</v>
      </c>
      <c r="B147" s="20" t="s">
        <v>27</v>
      </c>
      <c r="C147" s="20">
        <v>23</v>
      </c>
      <c r="D147" s="42" t="s">
        <v>390</v>
      </c>
      <c r="E147" s="42" t="s">
        <v>1167</v>
      </c>
      <c r="F147" s="42">
        <v>12300</v>
      </c>
      <c r="G147" s="42" t="s">
        <v>1177</v>
      </c>
      <c r="H147" s="48">
        <v>7</v>
      </c>
      <c r="I147" s="48">
        <v>31</v>
      </c>
      <c r="J147" s="47" t="s">
        <v>775</v>
      </c>
      <c r="K147" s="48">
        <v>68</v>
      </c>
    </row>
    <row r="148" spans="1:11" x14ac:dyDescent="0.25">
      <c r="A148" s="34">
        <v>1998</v>
      </c>
      <c r="B148" s="20" t="s">
        <v>27</v>
      </c>
      <c r="C148" s="20">
        <v>24</v>
      </c>
      <c r="D148" s="42" t="s">
        <v>332</v>
      </c>
      <c r="E148" s="42" t="s">
        <v>1160</v>
      </c>
      <c r="F148" s="44">
        <v>12200</v>
      </c>
      <c r="G148" s="44" t="s">
        <v>1170</v>
      </c>
      <c r="H148" s="48">
        <v>7</v>
      </c>
      <c r="I148" s="48">
        <v>31</v>
      </c>
      <c r="J148" s="47" t="s">
        <v>775</v>
      </c>
      <c r="K148" s="48">
        <v>68</v>
      </c>
    </row>
    <row r="149" spans="1:11" x14ac:dyDescent="0.25">
      <c r="A149" s="34">
        <v>1998</v>
      </c>
      <c r="B149" s="20" t="s">
        <v>27</v>
      </c>
      <c r="C149" s="20">
        <v>25</v>
      </c>
      <c r="D149" s="42" t="s">
        <v>391</v>
      </c>
      <c r="E149" s="42" t="s">
        <v>1120</v>
      </c>
      <c r="F149" s="44">
        <v>11800</v>
      </c>
      <c r="G149" s="44" t="s">
        <v>1171</v>
      </c>
      <c r="H149" s="48">
        <v>7</v>
      </c>
      <c r="I149" s="48">
        <v>31</v>
      </c>
      <c r="J149" s="47" t="s">
        <v>775</v>
      </c>
      <c r="K149" s="48">
        <v>68</v>
      </c>
    </row>
    <row r="150" spans="1:11" x14ac:dyDescent="0.25">
      <c r="A150" s="34">
        <v>1998</v>
      </c>
      <c r="B150" s="20" t="s">
        <v>27</v>
      </c>
      <c r="C150" s="20">
        <v>26</v>
      </c>
      <c r="D150" s="42" t="s">
        <v>17</v>
      </c>
      <c r="E150" s="42" t="s">
        <v>875</v>
      </c>
      <c r="F150" s="42">
        <v>11600</v>
      </c>
      <c r="G150" s="42" t="s">
        <v>1172</v>
      </c>
      <c r="H150" s="48">
        <v>7</v>
      </c>
      <c r="I150" s="48">
        <v>31</v>
      </c>
      <c r="J150" s="47" t="s">
        <v>768</v>
      </c>
      <c r="K150" s="48">
        <v>71</v>
      </c>
    </row>
    <row r="151" spans="1:11" x14ac:dyDescent="0.25">
      <c r="A151" s="34">
        <v>1998</v>
      </c>
      <c r="B151" s="20" t="s">
        <v>27</v>
      </c>
      <c r="C151" s="20">
        <v>27</v>
      </c>
      <c r="D151" s="42" t="s">
        <v>15</v>
      </c>
      <c r="E151" s="42" t="s">
        <v>1162</v>
      </c>
      <c r="F151" s="42">
        <v>11500</v>
      </c>
      <c r="G151" s="42" t="s">
        <v>1173</v>
      </c>
      <c r="H151" s="48">
        <v>7</v>
      </c>
      <c r="I151" s="48">
        <v>31</v>
      </c>
      <c r="J151" s="47" t="s">
        <v>1011</v>
      </c>
      <c r="K151" s="48">
        <v>73</v>
      </c>
    </row>
    <row r="152" spans="1:11" x14ac:dyDescent="0.25">
      <c r="A152" s="34">
        <v>1998</v>
      </c>
      <c r="B152" s="20" t="s">
        <v>27</v>
      </c>
      <c r="C152" s="20">
        <v>28</v>
      </c>
      <c r="D152" s="42" t="s">
        <v>11</v>
      </c>
      <c r="E152" s="42" t="s">
        <v>1164</v>
      </c>
      <c r="F152" s="42">
        <v>11300</v>
      </c>
      <c r="G152" s="42" t="s">
        <v>1175</v>
      </c>
      <c r="H152" s="48">
        <v>7</v>
      </c>
      <c r="I152" s="48">
        <v>31</v>
      </c>
      <c r="J152" s="47" t="s">
        <v>1011</v>
      </c>
      <c r="K152" s="48">
        <v>73</v>
      </c>
    </row>
    <row r="153" spans="1:11" x14ac:dyDescent="0.25">
      <c r="A153" s="34">
        <v>1998</v>
      </c>
      <c r="B153" s="20" t="s">
        <v>27</v>
      </c>
      <c r="C153" s="20">
        <v>29</v>
      </c>
      <c r="D153" s="42" t="s">
        <v>40</v>
      </c>
      <c r="E153" s="42" t="s">
        <v>1168</v>
      </c>
      <c r="F153" s="42">
        <v>11100</v>
      </c>
      <c r="G153" s="42" t="s">
        <v>1178</v>
      </c>
      <c r="H153" s="48">
        <v>7</v>
      </c>
      <c r="I153" s="48">
        <v>31</v>
      </c>
      <c r="J153" s="47" t="s">
        <v>1011</v>
      </c>
      <c r="K153" s="48">
        <v>73</v>
      </c>
    </row>
    <row r="154" spans="1:11" x14ac:dyDescent="0.25">
      <c r="A154" s="34">
        <v>1998</v>
      </c>
      <c r="B154" s="20" t="s">
        <v>27</v>
      </c>
      <c r="C154" s="20">
        <v>30</v>
      </c>
      <c r="D154" s="42" t="s">
        <v>9</v>
      </c>
      <c r="E154" s="42" t="s">
        <v>1169</v>
      </c>
      <c r="F154" s="42">
        <v>10700</v>
      </c>
      <c r="G154" s="42" t="s">
        <v>885</v>
      </c>
      <c r="H154" s="48">
        <v>7</v>
      </c>
      <c r="I154" s="48">
        <v>31</v>
      </c>
      <c r="J154" s="47" t="s">
        <v>1011</v>
      </c>
      <c r="K154" s="48">
        <v>73</v>
      </c>
    </row>
    <row r="155" spans="1:11" x14ac:dyDescent="0.25">
      <c r="A155" s="34">
        <v>1998</v>
      </c>
      <c r="B155" s="20" t="s">
        <v>27</v>
      </c>
      <c r="C155" s="20">
        <v>31</v>
      </c>
      <c r="D155" s="42" t="s">
        <v>45</v>
      </c>
      <c r="E155" s="42" t="s">
        <v>887</v>
      </c>
      <c r="F155" s="44">
        <v>10600</v>
      </c>
      <c r="G155" s="44" t="s">
        <v>1179</v>
      </c>
      <c r="H155" s="48">
        <v>0</v>
      </c>
      <c r="I155" s="48">
        <v>0</v>
      </c>
      <c r="J155" s="47" t="s">
        <v>1011</v>
      </c>
      <c r="K155" s="48">
        <v>73</v>
      </c>
    </row>
    <row r="156" spans="1:11" x14ac:dyDescent="0.25">
      <c r="A156" s="34">
        <v>1998</v>
      </c>
      <c r="B156" s="21" t="s">
        <v>28</v>
      </c>
      <c r="C156" s="20">
        <v>1</v>
      </c>
      <c r="D156" s="42" t="s">
        <v>509</v>
      </c>
      <c r="E156" s="42" t="s">
        <v>863</v>
      </c>
      <c r="F156" s="44">
        <v>10500</v>
      </c>
      <c r="G156" s="44" t="s">
        <v>1190</v>
      </c>
      <c r="H156" s="48">
        <v>0</v>
      </c>
      <c r="I156" s="48">
        <v>0</v>
      </c>
      <c r="J156" s="47" t="s">
        <v>765</v>
      </c>
      <c r="K156" s="48">
        <v>67</v>
      </c>
    </row>
    <row r="157" spans="1:11" x14ac:dyDescent="0.25">
      <c r="A157" s="34">
        <v>1998</v>
      </c>
      <c r="B157" s="20" t="s">
        <v>28</v>
      </c>
      <c r="C157" s="20">
        <v>2</v>
      </c>
      <c r="D157" s="42" t="s">
        <v>49</v>
      </c>
      <c r="E157" s="42" t="s">
        <v>891</v>
      </c>
      <c r="F157" s="44">
        <v>10300</v>
      </c>
      <c r="G157" s="44" t="s">
        <v>1191</v>
      </c>
      <c r="H157" s="48">
        <v>0</v>
      </c>
      <c r="I157" s="48">
        <v>0</v>
      </c>
      <c r="J157" s="47" t="s">
        <v>765</v>
      </c>
      <c r="K157" s="48">
        <v>67</v>
      </c>
    </row>
    <row r="158" spans="1:11" x14ac:dyDescent="0.25">
      <c r="A158" s="34">
        <v>1998</v>
      </c>
      <c r="B158" s="20" t="s">
        <v>28</v>
      </c>
      <c r="C158" s="20">
        <v>3</v>
      </c>
      <c r="D158" s="42" t="s">
        <v>328</v>
      </c>
      <c r="E158" s="42" t="s">
        <v>1181</v>
      </c>
      <c r="F158" s="44">
        <v>10200</v>
      </c>
      <c r="G158" s="44" t="s">
        <v>1192</v>
      </c>
      <c r="H158" s="48">
        <v>0</v>
      </c>
      <c r="I158" s="48">
        <v>0</v>
      </c>
      <c r="J158" s="47" t="s">
        <v>765</v>
      </c>
      <c r="K158" s="48">
        <v>67</v>
      </c>
    </row>
    <row r="159" spans="1:11" x14ac:dyDescent="0.25">
      <c r="A159" s="34">
        <v>1998</v>
      </c>
      <c r="B159" s="20" t="s">
        <v>28</v>
      </c>
      <c r="C159" s="20">
        <v>4</v>
      </c>
      <c r="D159" s="42" t="s">
        <v>7</v>
      </c>
      <c r="E159" s="42" t="s">
        <v>1182</v>
      </c>
      <c r="F159" s="44">
        <v>10000</v>
      </c>
      <c r="G159" s="44" t="s">
        <v>1193</v>
      </c>
      <c r="H159" s="48">
        <v>0</v>
      </c>
      <c r="I159" s="48">
        <v>0</v>
      </c>
      <c r="J159" s="47" t="s">
        <v>765</v>
      </c>
      <c r="K159" s="48">
        <v>67</v>
      </c>
    </row>
    <row r="160" spans="1:11" x14ac:dyDescent="0.25">
      <c r="A160" s="34">
        <v>1998</v>
      </c>
      <c r="B160" s="20" t="s">
        <v>28</v>
      </c>
      <c r="C160" s="20">
        <v>5</v>
      </c>
      <c r="D160" s="42" t="s">
        <v>58</v>
      </c>
      <c r="E160" s="42" t="s">
        <v>1183</v>
      </c>
      <c r="F160" s="44">
        <v>9800</v>
      </c>
      <c r="G160" s="44" t="s">
        <v>1194</v>
      </c>
      <c r="H160" s="48">
        <v>0</v>
      </c>
      <c r="I160" s="48">
        <v>0</v>
      </c>
      <c r="J160" s="47" t="s">
        <v>765</v>
      </c>
      <c r="K160" s="48">
        <v>67</v>
      </c>
    </row>
    <row r="161" spans="1:11" x14ac:dyDescent="0.25">
      <c r="A161" s="34">
        <v>1998</v>
      </c>
      <c r="B161" s="20" t="s">
        <v>28</v>
      </c>
      <c r="C161" s="20">
        <v>6</v>
      </c>
      <c r="D161" s="42" t="s">
        <v>60</v>
      </c>
      <c r="E161" s="42" t="s">
        <v>1035</v>
      </c>
      <c r="F161" s="44">
        <v>9700</v>
      </c>
      <c r="G161" s="44" t="s">
        <v>1195</v>
      </c>
      <c r="H161" s="48">
        <v>0</v>
      </c>
      <c r="I161" s="48">
        <v>0</v>
      </c>
      <c r="J161" s="47" t="s">
        <v>765</v>
      </c>
      <c r="K161" s="48">
        <v>67</v>
      </c>
    </row>
    <row r="162" spans="1:11" x14ac:dyDescent="0.25">
      <c r="A162" s="34">
        <v>1998</v>
      </c>
      <c r="B162" s="20" t="s">
        <v>28</v>
      </c>
      <c r="C162" s="20">
        <v>7</v>
      </c>
      <c r="D162" s="42" t="s">
        <v>64</v>
      </c>
      <c r="E162" s="42" t="s">
        <v>1036</v>
      </c>
      <c r="F162" s="44">
        <v>9500</v>
      </c>
      <c r="G162" s="44" t="s">
        <v>1196</v>
      </c>
      <c r="H162" s="48">
        <v>0</v>
      </c>
      <c r="I162" s="48">
        <v>0</v>
      </c>
      <c r="J162" s="47" t="s">
        <v>765</v>
      </c>
      <c r="K162" s="48">
        <v>67</v>
      </c>
    </row>
    <row r="163" spans="1:11" x14ac:dyDescent="0.25">
      <c r="A163" s="34">
        <v>1998</v>
      </c>
      <c r="B163" s="20" t="s">
        <v>28</v>
      </c>
      <c r="C163" s="20">
        <v>8</v>
      </c>
      <c r="D163" s="42" t="s">
        <v>70</v>
      </c>
      <c r="E163" s="42" t="s">
        <v>899</v>
      </c>
      <c r="F163" s="44">
        <v>9300</v>
      </c>
      <c r="G163" s="44" t="s">
        <v>1197</v>
      </c>
      <c r="H163" s="48">
        <v>0</v>
      </c>
      <c r="I163" s="48">
        <v>0</v>
      </c>
      <c r="J163" s="47" t="s">
        <v>771</v>
      </c>
      <c r="K163" s="48">
        <v>88</v>
      </c>
    </row>
    <row r="164" spans="1:11" x14ac:dyDescent="0.25">
      <c r="A164" s="34">
        <v>1998</v>
      </c>
      <c r="B164" s="20" t="s">
        <v>28</v>
      </c>
      <c r="C164" s="20">
        <v>9</v>
      </c>
      <c r="D164" s="42" t="s">
        <v>76</v>
      </c>
      <c r="E164" s="42" t="s">
        <v>1184</v>
      </c>
      <c r="F164" s="44">
        <v>9100</v>
      </c>
      <c r="G164" s="44" t="s">
        <v>1198</v>
      </c>
      <c r="H164" s="48">
        <v>0</v>
      </c>
      <c r="I164" s="48">
        <v>0</v>
      </c>
      <c r="J164" s="47" t="s">
        <v>771</v>
      </c>
      <c r="K164" s="48">
        <v>88</v>
      </c>
    </row>
    <row r="165" spans="1:11" x14ac:dyDescent="0.25">
      <c r="A165" s="34">
        <v>1998</v>
      </c>
      <c r="B165" s="20" t="s">
        <v>28</v>
      </c>
      <c r="C165" s="20">
        <v>10</v>
      </c>
      <c r="D165" s="42" t="s">
        <v>80</v>
      </c>
      <c r="E165" s="42" t="s">
        <v>1039</v>
      </c>
      <c r="F165" s="44">
        <v>9000</v>
      </c>
      <c r="G165" s="44" t="s">
        <v>901</v>
      </c>
      <c r="H165" s="48">
        <v>7</v>
      </c>
      <c r="I165" s="48">
        <v>55</v>
      </c>
      <c r="J165" s="47" t="s">
        <v>736</v>
      </c>
      <c r="K165" s="48">
        <v>0</v>
      </c>
    </row>
    <row r="166" spans="1:11" x14ac:dyDescent="0.25">
      <c r="A166" s="34">
        <v>1998</v>
      </c>
      <c r="B166" s="20" t="s">
        <v>28</v>
      </c>
      <c r="C166" s="20">
        <v>11</v>
      </c>
      <c r="D166" s="42" t="s">
        <v>5</v>
      </c>
      <c r="E166" s="42" t="s">
        <v>1040</v>
      </c>
      <c r="F166" s="44">
        <v>8900</v>
      </c>
      <c r="G166" s="44" t="s">
        <v>1199</v>
      </c>
      <c r="H166" s="48">
        <v>10</v>
      </c>
      <c r="I166" s="48">
        <v>60</v>
      </c>
      <c r="J166" s="47" t="s">
        <v>736</v>
      </c>
      <c r="K166" s="48">
        <v>0</v>
      </c>
    </row>
    <row r="167" spans="1:11" x14ac:dyDescent="0.25">
      <c r="A167" s="34">
        <v>1998</v>
      </c>
      <c r="B167" s="20" t="s">
        <v>28</v>
      </c>
      <c r="C167" s="20">
        <v>12</v>
      </c>
      <c r="D167" s="42" t="s">
        <v>326</v>
      </c>
      <c r="E167" s="42" t="s">
        <v>904</v>
      </c>
      <c r="F167" s="42">
        <v>8700</v>
      </c>
      <c r="G167" s="42" t="s">
        <v>905</v>
      </c>
      <c r="H167" s="48">
        <v>10</v>
      </c>
      <c r="I167" s="48">
        <v>60</v>
      </c>
      <c r="J167" s="47" t="s">
        <v>736</v>
      </c>
      <c r="K167" s="48">
        <v>0</v>
      </c>
    </row>
    <row r="168" spans="1:11" x14ac:dyDescent="0.25">
      <c r="A168" s="34">
        <v>1998</v>
      </c>
      <c r="B168" s="20" t="s">
        <v>28</v>
      </c>
      <c r="C168" s="20">
        <v>13</v>
      </c>
      <c r="D168" s="42" t="s">
        <v>403</v>
      </c>
      <c r="E168" s="42" t="s">
        <v>1041</v>
      </c>
      <c r="F168" s="42">
        <v>8600</v>
      </c>
      <c r="G168" s="42" t="s">
        <v>1200</v>
      </c>
      <c r="H168" s="48">
        <v>10</v>
      </c>
      <c r="I168" s="48">
        <v>60</v>
      </c>
      <c r="J168" s="47" t="s">
        <v>736</v>
      </c>
      <c r="K168" s="48">
        <v>0</v>
      </c>
    </row>
    <row r="169" spans="1:11" x14ac:dyDescent="0.25">
      <c r="A169" s="34">
        <v>1998</v>
      </c>
      <c r="B169" s="20" t="s">
        <v>28</v>
      </c>
      <c r="C169" s="20">
        <v>14</v>
      </c>
      <c r="D169" s="42" t="s">
        <v>325</v>
      </c>
      <c r="E169" s="42" t="s">
        <v>907</v>
      </c>
      <c r="F169" s="44">
        <v>8500</v>
      </c>
      <c r="G169" s="44" t="s">
        <v>906</v>
      </c>
      <c r="H169" s="48">
        <v>10</v>
      </c>
      <c r="I169" s="48">
        <v>60</v>
      </c>
      <c r="J169" s="47" t="s">
        <v>768</v>
      </c>
      <c r="K169" s="48">
        <v>80</v>
      </c>
    </row>
    <row r="170" spans="1:11" x14ac:dyDescent="0.25">
      <c r="A170" s="34">
        <v>1998</v>
      </c>
      <c r="B170" s="20" t="s">
        <v>28</v>
      </c>
      <c r="C170" s="20">
        <v>15</v>
      </c>
      <c r="D170" s="42" t="s">
        <v>86</v>
      </c>
      <c r="E170" s="42" t="s">
        <v>1042</v>
      </c>
      <c r="F170" s="44">
        <v>8400</v>
      </c>
      <c r="G170" s="44" t="s">
        <v>910</v>
      </c>
      <c r="H170" s="48">
        <v>10</v>
      </c>
      <c r="I170" s="48">
        <v>60</v>
      </c>
      <c r="J170" s="47" t="s">
        <v>768</v>
      </c>
      <c r="K170" s="48">
        <v>80</v>
      </c>
    </row>
    <row r="171" spans="1:11" x14ac:dyDescent="0.25">
      <c r="A171" s="34">
        <v>1998</v>
      </c>
      <c r="B171" s="20" t="s">
        <v>28</v>
      </c>
      <c r="C171" s="20">
        <v>16</v>
      </c>
      <c r="D171" s="42" t="s">
        <v>90</v>
      </c>
      <c r="E171" s="42" t="s">
        <v>756</v>
      </c>
      <c r="F171" s="44">
        <v>8250</v>
      </c>
      <c r="G171" s="44" t="s">
        <v>913</v>
      </c>
      <c r="H171" s="48">
        <v>0</v>
      </c>
      <c r="I171" s="48">
        <v>0</v>
      </c>
      <c r="J171" s="47" t="s">
        <v>768</v>
      </c>
      <c r="K171" s="48">
        <v>80</v>
      </c>
    </row>
    <row r="172" spans="1:11" x14ac:dyDescent="0.25">
      <c r="A172" s="34">
        <v>1998</v>
      </c>
      <c r="B172" s="20" t="s">
        <v>28</v>
      </c>
      <c r="C172" s="20">
        <v>17</v>
      </c>
      <c r="D172" s="42" t="s">
        <v>92</v>
      </c>
      <c r="E172" s="42" t="s">
        <v>1045</v>
      </c>
      <c r="F172" s="44">
        <v>8200</v>
      </c>
      <c r="G172" s="44" t="s">
        <v>1201</v>
      </c>
      <c r="H172" s="48">
        <v>0</v>
      </c>
      <c r="I172" s="48">
        <v>0</v>
      </c>
      <c r="J172" s="47" t="s">
        <v>770</v>
      </c>
      <c r="K172" s="48">
        <v>70</v>
      </c>
    </row>
    <row r="173" spans="1:11" x14ac:dyDescent="0.25">
      <c r="A173" s="34">
        <v>1998</v>
      </c>
      <c r="B173" s="20" t="s">
        <v>28</v>
      </c>
      <c r="C173" s="20">
        <v>18</v>
      </c>
      <c r="D173" s="42" t="s">
        <v>94</v>
      </c>
      <c r="E173" s="42" t="s">
        <v>915</v>
      </c>
      <c r="F173" s="44">
        <v>8100</v>
      </c>
      <c r="G173" s="44" t="s">
        <v>1202</v>
      </c>
      <c r="H173" s="48">
        <v>0</v>
      </c>
      <c r="I173" s="48">
        <v>0</v>
      </c>
      <c r="J173" s="47" t="s">
        <v>824</v>
      </c>
      <c r="K173" s="48">
        <v>70</v>
      </c>
    </row>
    <row r="174" spans="1:11" x14ac:dyDescent="0.25">
      <c r="A174" s="34">
        <v>1998</v>
      </c>
      <c r="B174" s="20" t="s">
        <v>28</v>
      </c>
      <c r="C174" s="20">
        <v>19</v>
      </c>
      <c r="D174" s="42" t="s">
        <v>96</v>
      </c>
      <c r="E174" s="42" t="s">
        <v>1185</v>
      </c>
      <c r="F174" s="42">
        <v>8000</v>
      </c>
      <c r="G174" s="42" t="s">
        <v>1203</v>
      </c>
      <c r="H174" s="48">
        <v>0</v>
      </c>
      <c r="I174" s="48">
        <v>0</v>
      </c>
      <c r="J174" s="47" t="s">
        <v>824</v>
      </c>
      <c r="K174" s="48">
        <v>70</v>
      </c>
    </row>
    <row r="175" spans="1:11" x14ac:dyDescent="0.25">
      <c r="A175" s="34">
        <v>1998</v>
      </c>
      <c r="B175" s="20" t="s">
        <v>28</v>
      </c>
      <c r="C175" s="20">
        <v>20</v>
      </c>
      <c r="D175" s="42" t="s">
        <v>98</v>
      </c>
      <c r="E175" s="42" t="s">
        <v>755</v>
      </c>
      <c r="F175" s="42">
        <v>7900</v>
      </c>
      <c r="G175" s="42" t="s">
        <v>916</v>
      </c>
      <c r="H175" s="48">
        <v>0</v>
      </c>
      <c r="I175" s="48">
        <v>0</v>
      </c>
      <c r="J175" s="47" t="s">
        <v>824</v>
      </c>
      <c r="K175" s="48">
        <v>35</v>
      </c>
    </row>
    <row r="176" spans="1:11" x14ac:dyDescent="0.25">
      <c r="A176" s="34">
        <v>1998</v>
      </c>
      <c r="B176" s="20" t="s">
        <v>28</v>
      </c>
      <c r="C176" s="20">
        <v>21</v>
      </c>
      <c r="D176" s="42" t="s">
        <v>98</v>
      </c>
      <c r="E176" s="42" t="s">
        <v>755</v>
      </c>
      <c r="F176" s="44">
        <v>7900</v>
      </c>
      <c r="G176" s="44" t="s">
        <v>916</v>
      </c>
      <c r="H176" s="48">
        <v>0</v>
      </c>
      <c r="I176" s="48">
        <v>0</v>
      </c>
      <c r="J176" s="47" t="s">
        <v>736</v>
      </c>
      <c r="K176" s="48">
        <v>0</v>
      </c>
    </row>
    <row r="177" spans="1:11" x14ac:dyDescent="0.25">
      <c r="A177" s="34">
        <v>1998</v>
      </c>
      <c r="B177" s="20" t="s">
        <v>28</v>
      </c>
      <c r="C177" s="20">
        <v>22</v>
      </c>
      <c r="D177" s="42" t="s">
        <v>406</v>
      </c>
      <c r="E177" s="42" t="s">
        <v>1186</v>
      </c>
      <c r="F177" s="44">
        <v>7850</v>
      </c>
      <c r="G177" s="44" t="s">
        <v>1204</v>
      </c>
      <c r="H177" s="48">
        <v>0</v>
      </c>
      <c r="I177" s="48">
        <v>0</v>
      </c>
      <c r="J177" s="47" t="s">
        <v>736</v>
      </c>
      <c r="K177" s="48">
        <v>0</v>
      </c>
    </row>
    <row r="178" spans="1:11" x14ac:dyDescent="0.25">
      <c r="A178" s="34">
        <v>1998</v>
      </c>
      <c r="B178" s="20" t="s">
        <v>28</v>
      </c>
      <c r="C178" s="20">
        <v>23</v>
      </c>
      <c r="D178" s="42" t="s">
        <v>511</v>
      </c>
      <c r="E178" s="42" t="s">
        <v>1187</v>
      </c>
      <c r="F178" s="44">
        <v>7800</v>
      </c>
      <c r="G178" s="44" t="s">
        <v>1205</v>
      </c>
      <c r="H178" s="48">
        <v>0</v>
      </c>
      <c r="I178" s="48">
        <v>0</v>
      </c>
      <c r="J178" s="47" t="s">
        <v>736</v>
      </c>
      <c r="K178" s="48">
        <v>0</v>
      </c>
    </row>
    <row r="179" spans="1:11" x14ac:dyDescent="0.25">
      <c r="A179" s="34">
        <v>1998</v>
      </c>
      <c r="B179" s="20" t="s">
        <v>28</v>
      </c>
      <c r="C179" s="20">
        <v>24</v>
      </c>
      <c r="D179" s="42" t="s">
        <v>543</v>
      </c>
      <c r="E179" s="42" t="s">
        <v>754</v>
      </c>
      <c r="F179" s="44">
        <v>7750</v>
      </c>
      <c r="G179" s="44" t="s">
        <v>1206</v>
      </c>
      <c r="H179" s="48">
        <v>0</v>
      </c>
      <c r="I179" s="48">
        <v>0</v>
      </c>
      <c r="J179" s="47" t="s">
        <v>736</v>
      </c>
      <c r="K179" s="48">
        <v>0</v>
      </c>
    </row>
    <row r="180" spans="1:11" x14ac:dyDescent="0.25">
      <c r="A180" s="34">
        <v>1998</v>
      </c>
      <c r="B180" s="20" t="s">
        <v>28</v>
      </c>
      <c r="C180" s="20">
        <v>25</v>
      </c>
      <c r="D180" s="42" t="s">
        <v>100</v>
      </c>
      <c r="E180" s="42" t="s">
        <v>918</v>
      </c>
      <c r="F180" s="42">
        <v>7700</v>
      </c>
      <c r="G180" s="42" t="s">
        <v>917</v>
      </c>
      <c r="H180" s="48">
        <v>0</v>
      </c>
      <c r="I180" s="48">
        <v>0</v>
      </c>
      <c r="J180" s="47" t="s">
        <v>736</v>
      </c>
      <c r="K180" s="48">
        <v>0</v>
      </c>
    </row>
    <row r="181" spans="1:11" x14ac:dyDescent="0.25">
      <c r="A181" s="34">
        <v>1998</v>
      </c>
      <c r="B181" s="20" t="s">
        <v>28</v>
      </c>
      <c r="C181" s="20">
        <v>26</v>
      </c>
      <c r="D181" s="42" t="s">
        <v>100</v>
      </c>
      <c r="E181" s="42" t="s">
        <v>918</v>
      </c>
      <c r="F181" s="42">
        <v>7700</v>
      </c>
      <c r="G181" s="42" t="s">
        <v>917</v>
      </c>
      <c r="H181" s="48">
        <v>0</v>
      </c>
      <c r="I181" s="48">
        <v>0</v>
      </c>
      <c r="J181" s="47" t="s">
        <v>736</v>
      </c>
      <c r="K181" s="48">
        <v>0</v>
      </c>
    </row>
    <row r="182" spans="1:11" x14ac:dyDescent="0.25">
      <c r="A182" s="34">
        <v>1998</v>
      </c>
      <c r="B182" s="20" t="s">
        <v>28</v>
      </c>
      <c r="C182" s="20">
        <v>27</v>
      </c>
      <c r="D182" s="42" t="s">
        <v>544</v>
      </c>
      <c r="E182" s="42" t="s">
        <v>1188</v>
      </c>
      <c r="F182" s="42">
        <v>7650</v>
      </c>
      <c r="G182" s="42" t="s">
        <v>1207</v>
      </c>
      <c r="H182" s="48">
        <v>0</v>
      </c>
      <c r="I182" s="48">
        <v>0</v>
      </c>
      <c r="J182" s="47" t="s">
        <v>736</v>
      </c>
      <c r="K182" s="48">
        <v>0</v>
      </c>
    </row>
    <row r="183" spans="1:11" x14ac:dyDescent="0.25">
      <c r="A183" s="34">
        <v>1998</v>
      </c>
      <c r="B183" s="20" t="s">
        <v>28</v>
      </c>
      <c r="C183" s="20">
        <v>28</v>
      </c>
      <c r="D183" s="42" t="s">
        <v>102</v>
      </c>
      <c r="E183" s="42" t="s">
        <v>1046</v>
      </c>
      <c r="F183" s="42">
        <v>7600</v>
      </c>
      <c r="G183" s="42" t="s">
        <v>1208</v>
      </c>
      <c r="H183" s="48">
        <v>0</v>
      </c>
      <c r="I183" s="48">
        <v>0</v>
      </c>
      <c r="J183" s="47" t="s">
        <v>736</v>
      </c>
      <c r="K183" s="48">
        <v>0</v>
      </c>
    </row>
    <row r="184" spans="1:11" x14ac:dyDescent="0.25">
      <c r="A184" s="34">
        <v>1998</v>
      </c>
      <c r="B184" s="20" t="s">
        <v>28</v>
      </c>
      <c r="C184" s="20">
        <v>29</v>
      </c>
      <c r="D184" s="42" t="s">
        <v>407</v>
      </c>
      <c r="E184" s="42" t="s">
        <v>1189</v>
      </c>
      <c r="F184" s="42">
        <v>7550</v>
      </c>
      <c r="G184" s="42" t="s">
        <v>1209</v>
      </c>
      <c r="H184" s="48">
        <v>0</v>
      </c>
      <c r="I184" s="48">
        <v>0</v>
      </c>
      <c r="J184" s="47" t="s">
        <v>736</v>
      </c>
      <c r="K184" s="48">
        <v>0</v>
      </c>
    </row>
    <row r="185" spans="1:11" x14ac:dyDescent="0.25">
      <c r="A185" s="34">
        <v>1998</v>
      </c>
      <c r="B185" s="20" t="s">
        <v>28</v>
      </c>
      <c r="C185" s="20">
        <v>30</v>
      </c>
      <c r="D185" s="42" t="s">
        <v>112</v>
      </c>
      <c r="E185" s="42" t="s">
        <v>753</v>
      </c>
      <c r="F185" s="42">
        <v>7500</v>
      </c>
      <c r="G185" s="42" t="s">
        <v>920</v>
      </c>
      <c r="H185" s="48">
        <v>0</v>
      </c>
      <c r="I185" s="48">
        <v>0</v>
      </c>
      <c r="J185" s="47" t="s">
        <v>736</v>
      </c>
      <c r="K185" s="48">
        <v>0</v>
      </c>
    </row>
    <row r="186" spans="1:11" x14ac:dyDescent="0.25">
      <c r="A186" s="34">
        <v>1998</v>
      </c>
      <c r="B186" s="21" t="s">
        <v>29</v>
      </c>
      <c r="C186" s="20">
        <v>1</v>
      </c>
      <c r="D186" s="42" t="s">
        <v>112</v>
      </c>
      <c r="E186" s="42" t="s">
        <v>753</v>
      </c>
      <c r="F186" s="42">
        <v>7500</v>
      </c>
      <c r="G186" s="42" t="s">
        <v>920</v>
      </c>
      <c r="H186" s="48">
        <v>0</v>
      </c>
      <c r="I186" s="48">
        <v>0</v>
      </c>
      <c r="J186" s="48">
        <v>0</v>
      </c>
      <c r="K186" s="48">
        <v>0</v>
      </c>
    </row>
    <row r="187" spans="1:11" x14ac:dyDescent="0.25">
      <c r="A187" s="34">
        <v>1998</v>
      </c>
      <c r="B187" s="20" t="s">
        <v>29</v>
      </c>
      <c r="C187" s="20">
        <v>2</v>
      </c>
      <c r="D187" s="42" t="s">
        <v>114</v>
      </c>
      <c r="E187" s="42" t="s">
        <v>919</v>
      </c>
      <c r="F187" s="42">
        <v>7475</v>
      </c>
      <c r="G187" s="42" t="s">
        <v>1214</v>
      </c>
      <c r="H187" s="48">
        <v>0</v>
      </c>
      <c r="I187" s="48">
        <v>0</v>
      </c>
      <c r="J187" s="48">
        <v>0</v>
      </c>
      <c r="K187" s="48">
        <v>0</v>
      </c>
    </row>
    <row r="188" spans="1:11" x14ac:dyDescent="0.25">
      <c r="A188" s="34">
        <v>1998</v>
      </c>
      <c r="B188" s="20" t="s">
        <v>29</v>
      </c>
      <c r="C188" s="20">
        <v>3</v>
      </c>
      <c r="D188" s="42" t="s">
        <v>104</v>
      </c>
      <c r="E188" s="42" t="s">
        <v>1047</v>
      </c>
      <c r="F188" s="42">
        <v>7450</v>
      </c>
      <c r="G188" s="42" t="s">
        <v>1215</v>
      </c>
      <c r="H188" s="48">
        <v>0</v>
      </c>
      <c r="I188" s="48">
        <v>0</v>
      </c>
      <c r="J188" s="48">
        <v>4</v>
      </c>
      <c r="K188" s="48">
        <v>0</v>
      </c>
    </row>
    <row r="189" spans="1:11" x14ac:dyDescent="0.25">
      <c r="A189" s="34">
        <v>1998</v>
      </c>
      <c r="B189" s="20" t="s">
        <v>29</v>
      </c>
      <c r="C189" s="20">
        <v>4</v>
      </c>
      <c r="D189" s="42" t="s">
        <v>104</v>
      </c>
      <c r="E189" s="42" t="s">
        <v>1047</v>
      </c>
      <c r="F189" s="42">
        <v>7450</v>
      </c>
      <c r="G189" s="42" t="s">
        <v>1215</v>
      </c>
      <c r="H189" s="48">
        <v>0</v>
      </c>
      <c r="I189" s="48">
        <v>0</v>
      </c>
      <c r="J189" s="48">
        <v>0</v>
      </c>
      <c r="K189" s="48">
        <v>0</v>
      </c>
    </row>
    <row r="190" spans="1:11" x14ac:dyDescent="0.25">
      <c r="A190" s="34">
        <v>1998</v>
      </c>
      <c r="B190" s="20" t="s">
        <v>29</v>
      </c>
      <c r="C190" s="20">
        <v>5</v>
      </c>
      <c r="D190" s="42" t="s">
        <v>104</v>
      </c>
      <c r="E190" s="42" t="s">
        <v>1047</v>
      </c>
      <c r="F190" s="42">
        <v>7450</v>
      </c>
      <c r="G190" s="42" t="s">
        <v>1215</v>
      </c>
      <c r="H190" s="48">
        <v>0</v>
      </c>
      <c r="I190" s="48">
        <v>0</v>
      </c>
      <c r="J190" s="48">
        <v>0</v>
      </c>
      <c r="K190" s="48">
        <v>0</v>
      </c>
    </row>
    <row r="191" spans="1:11" x14ac:dyDescent="0.25">
      <c r="A191" s="34">
        <v>1998</v>
      </c>
      <c r="B191" s="20" t="s">
        <v>29</v>
      </c>
      <c r="C191" s="20">
        <v>6</v>
      </c>
      <c r="D191" s="42" t="s">
        <v>104</v>
      </c>
      <c r="E191" s="42" t="s">
        <v>1047</v>
      </c>
      <c r="F191" s="42">
        <v>7450</v>
      </c>
      <c r="G191" s="42" t="s">
        <v>1215</v>
      </c>
      <c r="H191" s="48">
        <v>0</v>
      </c>
      <c r="I191" s="48">
        <v>0</v>
      </c>
      <c r="J191" s="48">
        <v>0</v>
      </c>
      <c r="K191" s="48">
        <v>0</v>
      </c>
    </row>
    <row r="192" spans="1:11" x14ac:dyDescent="0.25">
      <c r="A192" s="34">
        <v>1998</v>
      </c>
      <c r="B192" s="20" t="s">
        <v>29</v>
      </c>
      <c r="C192" s="20">
        <v>7</v>
      </c>
      <c r="D192" s="42" t="s">
        <v>324</v>
      </c>
      <c r="E192" s="42" t="s">
        <v>1211</v>
      </c>
      <c r="F192" s="42">
        <v>7425</v>
      </c>
      <c r="G192" s="42" t="s">
        <v>1216</v>
      </c>
      <c r="H192" s="48">
        <v>0</v>
      </c>
      <c r="I192" s="48">
        <v>0</v>
      </c>
      <c r="J192" s="48">
        <v>0</v>
      </c>
      <c r="K192" s="48">
        <v>0</v>
      </c>
    </row>
    <row r="193" spans="1:11" x14ac:dyDescent="0.25">
      <c r="A193" s="34">
        <v>1998</v>
      </c>
      <c r="B193" s="20" t="s">
        <v>29</v>
      </c>
      <c r="C193" s="20">
        <v>8</v>
      </c>
      <c r="D193" s="42" t="s">
        <v>324</v>
      </c>
      <c r="E193" s="42" t="s">
        <v>1211</v>
      </c>
      <c r="F193" s="42">
        <v>7425</v>
      </c>
      <c r="G193" s="42" t="s">
        <v>1216</v>
      </c>
      <c r="H193" s="48">
        <v>0</v>
      </c>
      <c r="I193" s="48">
        <v>0</v>
      </c>
      <c r="J193" s="48">
        <v>0</v>
      </c>
      <c r="K193" s="48">
        <v>0</v>
      </c>
    </row>
    <row r="194" spans="1:11" x14ac:dyDescent="0.25">
      <c r="A194" s="34">
        <v>1998</v>
      </c>
      <c r="B194" s="20" t="s">
        <v>29</v>
      </c>
      <c r="C194" s="20">
        <v>9</v>
      </c>
      <c r="D194" s="42" t="s">
        <v>324</v>
      </c>
      <c r="E194" s="42" t="s">
        <v>1211</v>
      </c>
      <c r="F194" s="42">
        <v>7425</v>
      </c>
      <c r="G194" s="42" t="s">
        <v>1216</v>
      </c>
      <c r="H194" s="48">
        <v>0</v>
      </c>
      <c r="I194" s="48">
        <v>0</v>
      </c>
      <c r="J194" s="48">
        <v>0</v>
      </c>
      <c r="K194" s="48">
        <v>0</v>
      </c>
    </row>
    <row r="195" spans="1:11" x14ac:dyDescent="0.25">
      <c r="A195" s="34">
        <v>1998</v>
      </c>
      <c r="B195" s="20" t="s">
        <v>29</v>
      </c>
      <c r="C195" s="20">
        <v>10</v>
      </c>
      <c r="D195" s="42" t="s">
        <v>324</v>
      </c>
      <c r="E195" s="42" t="s">
        <v>1211</v>
      </c>
      <c r="F195" s="42">
        <v>7425</v>
      </c>
      <c r="G195" s="42" t="s">
        <v>1216</v>
      </c>
      <c r="H195" s="48">
        <v>0</v>
      </c>
      <c r="I195" s="48">
        <v>0</v>
      </c>
      <c r="J195" s="48">
        <v>0</v>
      </c>
      <c r="K195" s="48">
        <v>0</v>
      </c>
    </row>
    <row r="196" spans="1:11" x14ac:dyDescent="0.25">
      <c r="A196" s="34">
        <v>1998</v>
      </c>
      <c r="B196" s="20" t="s">
        <v>29</v>
      </c>
      <c r="C196" s="20">
        <v>11</v>
      </c>
      <c r="D196" s="42" t="s">
        <v>3</v>
      </c>
      <c r="E196" s="42" t="s">
        <v>1212</v>
      </c>
      <c r="F196" s="42">
        <v>7400</v>
      </c>
      <c r="G196" s="42" t="s">
        <v>1217</v>
      </c>
      <c r="H196" s="48">
        <v>0</v>
      </c>
      <c r="I196" s="48">
        <v>0</v>
      </c>
      <c r="J196" s="48">
        <v>0</v>
      </c>
      <c r="K196" s="48">
        <v>0</v>
      </c>
    </row>
    <row r="197" spans="1:11" x14ac:dyDescent="0.25">
      <c r="A197" s="34">
        <v>1998</v>
      </c>
      <c r="B197" s="20" t="s">
        <v>29</v>
      </c>
      <c r="C197" s="20">
        <v>12</v>
      </c>
      <c r="D197" s="42" t="s">
        <v>3</v>
      </c>
      <c r="E197" s="42" t="s">
        <v>1212</v>
      </c>
      <c r="F197" s="42">
        <v>7400</v>
      </c>
      <c r="G197" s="42" t="s">
        <v>1217</v>
      </c>
      <c r="H197" s="48">
        <v>0</v>
      </c>
      <c r="I197" s="48">
        <v>0</v>
      </c>
      <c r="J197" s="48">
        <v>0</v>
      </c>
      <c r="K197" s="48">
        <v>0</v>
      </c>
    </row>
    <row r="198" spans="1:11" x14ac:dyDescent="0.25">
      <c r="A198" s="34">
        <v>1998</v>
      </c>
      <c r="B198" s="20" t="s">
        <v>29</v>
      </c>
      <c r="C198" s="20">
        <v>13</v>
      </c>
      <c r="D198" s="42" t="s">
        <v>3</v>
      </c>
      <c r="E198" s="42" t="s">
        <v>1212</v>
      </c>
      <c r="F198" s="42">
        <v>7400</v>
      </c>
      <c r="G198" s="42" t="s">
        <v>1217</v>
      </c>
      <c r="H198" s="48">
        <v>0</v>
      </c>
      <c r="I198" s="48">
        <v>0</v>
      </c>
      <c r="J198" s="48">
        <v>0</v>
      </c>
      <c r="K198" s="48">
        <v>0</v>
      </c>
    </row>
    <row r="199" spans="1:11" x14ac:dyDescent="0.25">
      <c r="A199" s="34">
        <v>1998</v>
      </c>
      <c r="B199" s="20" t="s">
        <v>29</v>
      </c>
      <c r="C199" s="20">
        <v>14</v>
      </c>
      <c r="D199" s="42" t="s">
        <v>3</v>
      </c>
      <c r="E199" s="42" t="s">
        <v>1212</v>
      </c>
      <c r="F199" s="42">
        <v>7400</v>
      </c>
      <c r="G199" s="42" t="s">
        <v>1217</v>
      </c>
      <c r="H199" s="48">
        <v>0</v>
      </c>
      <c r="I199" s="48">
        <v>0</v>
      </c>
      <c r="J199" s="48">
        <v>0</v>
      </c>
      <c r="K199" s="48">
        <v>0</v>
      </c>
    </row>
    <row r="200" spans="1:11" x14ac:dyDescent="0.25">
      <c r="A200" s="34">
        <v>1998</v>
      </c>
      <c r="B200" s="20" t="s">
        <v>29</v>
      </c>
      <c r="C200" s="20">
        <v>15</v>
      </c>
      <c r="D200" s="42" t="s">
        <v>3</v>
      </c>
      <c r="E200" s="42" t="s">
        <v>1212</v>
      </c>
      <c r="F200" s="42">
        <v>7400</v>
      </c>
      <c r="G200" s="42" t="s">
        <v>1217</v>
      </c>
      <c r="H200" s="48">
        <v>0</v>
      </c>
      <c r="I200" s="48">
        <v>0</v>
      </c>
      <c r="J200" s="48">
        <v>0</v>
      </c>
      <c r="K200" s="48">
        <v>0</v>
      </c>
    </row>
    <row r="201" spans="1:11" x14ac:dyDescent="0.25">
      <c r="A201" s="34">
        <v>1998</v>
      </c>
      <c r="B201" s="20" t="s">
        <v>29</v>
      </c>
      <c r="C201" s="20">
        <v>16</v>
      </c>
      <c r="D201" s="42" t="s">
        <v>545</v>
      </c>
      <c r="E201" s="42" t="s">
        <v>1213</v>
      </c>
      <c r="F201" s="44">
        <v>7375</v>
      </c>
      <c r="G201" s="44" t="s">
        <v>1218</v>
      </c>
      <c r="H201" s="48">
        <v>0</v>
      </c>
      <c r="I201" s="48">
        <v>0</v>
      </c>
      <c r="J201" s="48">
        <v>0</v>
      </c>
      <c r="K201" s="48">
        <v>0</v>
      </c>
    </row>
    <row r="202" spans="1:11" x14ac:dyDescent="0.25">
      <c r="A202" s="34">
        <v>1998</v>
      </c>
      <c r="B202" s="20" t="s">
        <v>29</v>
      </c>
      <c r="C202" s="20">
        <v>17</v>
      </c>
      <c r="D202" s="42" t="s">
        <v>545</v>
      </c>
      <c r="E202" s="65">
        <v>0</v>
      </c>
      <c r="F202" s="44">
        <v>7375</v>
      </c>
      <c r="G202" s="43">
        <v>0</v>
      </c>
      <c r="H202" s="48">
        <v>0</v>
      </c>
      <c r="I202" s="48">
        <v>0</v>
      </c>
      <c r="J202" s="48">
        <v>0</v>
      </c>
      <c r="K202" s="48">
        <v>0</v>
      </c>
    </row>
    <row r="203" spans="1:11" x14ac:dyDescent="0.25">
      <c r="A203" s="34">
        <v>1998</v>
      </c>
      <c r="B203" s="20" t="s">
        <v>29</v>
      </c>
      <c r="C203" s="20">
        <v>18</v>
      </c>
      <c r="D203" s="42" t="s">
        <v>324</v>
      </c>
      <c r="E203" s="65">
        <v>0</v>
      </c>
      <c r="F203" s="42">
        <v>7425</v>
      </c>
      <c r="G203" s="43">
        <v>0</v>
      </c>
      <c r="H203" s="48">
        <v>0</v>
      </c>
      <c r="I203" s="48">
        <v>0</v>
      </c>
      <c r="J203" s="48">
        <v>0</v>
      </c>
      <c r="K203" s="48">
        <v>0</v>
      </c>
    </row>
    <row r="204" spans="1:11" x14ac:dyDescent="0.25">
      <c r="A204" s="34">
        <v>1998</v>
      </c>
      <c r="B204" s="20" t="s">
        <v>29</v>
      </c>
      <c r="C204" s="20">
        <v>19</v>
      </c>
      <c r="D204" s="42" t="s">
        <v>114</v>
      </c>
      <c r="E204" s="65">
        <v>0</v>
      </c>
      <c r="F204" s="42">
        <v>7475</v>
      </c>
      <c r="G204" s="43">
        <v>0</v>
      </c>
      <c r="H204" s="48">
        <v>0</v>
      </c>
      <c r="I204" s="48">
        <v>0</v>
      </c>
      <c r="J204" s="48">
        <v>0</v>
      </c>
      <c r="K204" s="48">
        <v>0</v>
      </c>
    </row>
    <row r="205" spans="1:11" x14ac:dyDescent="0.25">
      <c r="A205" s="34">
        <v>1998</v>
      </c>
      <c r="B205" s="20" t="s">
        <v>29</v>
      </c>
      <c r="C205" s="20">
        <v>20</v>
      </c>
      <c r="D205" s="42" t="s">
        <v>102</v>
      </c>
      <c r="E205" s="65">
        <v>0</v>
      </c>
      <c r="F205" s="42">
        <v>7600</v>
      </c>
      <c r="G205" s="43">
        <v>0</v>
      </c>
      <c r="H205" s="48">
        <v>0</v>
      </c>
      <c r="I205" s="48">
        <v>0</v>
      </c>
      <c r="J205" s="48">
        <v>0</v>
      </c>
      <c r="K205" s="48">
        <v>0</v>
      </c>
    </row>
    <row r="206" spans="1:11" x14ac:dyDescent="0.25">
      <c r="A206" s="34">
        <v>1998</v>
      </c>
      <c r="B206" s="20" t="s">
        <v>29</v>
      </c>
      <c r="C206" s="20">
        <v>21</v>
      </c>
      <c r="D206" s="42" t="s">
        <v>102</v>
      </c>
      <c r="E206" s="65">
        <v>0</v>
      </c>
      <c r="F206" s="42">
        <v>7600</v>
      </c>
      <c r="G206" s="43">
        <v>0</v>
      </c>
      <c r="H206" s="48">
        <v>0</v>
      </c>
      <c r="I206" s="48">
        <v>0</v>
      </c>
      <c r="J206" s="48">
        <v>0</v>
      </c>
      <c r="K206" s="48">
        <v>0</v>
      </c>
    </row>
    <row r="207" spans="1:11" x14ac:dyDescent="0.25">
      <c r="A207" s="34">
        <v>1998</v>
      </c>
      <c r="B207" s="20" t="s">
        <v>29</v>
      </c>
      <c r="C207" s="20">
        <v>22</v>
      </c>
      <c r="D207" s="42" t="s">
        <v>102</v>
      </c>
      <c r="E207" s="65">
        <v>0</v>
      </c>
      <c r="F207" s="42">
        <v>7600</v>
      </c>
      <c r="G207" s="43">
        <v>0</v>
      </c>
      <c r="H207" s="48">
        <v>0</v>
      </c>
      <c r="I207" s="48">
        <v>0</v>
      </c>
      <c r="J207" s="48">
        <v>0</v>
      </c>
      <c r="K207" s="48">
        <v>0</v>
      </c>
    </row>
    <row r="208" spans="1:11" x14ac:dyDescent="0.25">
      <c r="A208" s="34">
        <v>1998</v>
      </c>
      <c r="B208" s="20" t="s">
        <v>29</v>
      </c>
      <c r="C208" s="20">
        <v>23</v>
      </c>
      <c r="D208" s="42" t="s">
        <v>102</v>
      </c>
      <c r="E208" s="65">
        <v>0</v>
      </c>
      <c r="F208" s="42">
        <v>7600</v>
      </c>
      <c r="G208" s="43">
        <v>0</v>
      </c>
      <c r="H208" s="48">
        <v>0</v>
      </c>
      <c r="I208" s="48">
        <v>0</v>
      </c>
      <c r="J208" s="48">
        <v>0</v>
      </c>
      <c r="K208" s="48">
        <v>0</v>
      </c>
    </row>
    <row r="209" spans="1:11" x14ac:dyDescent="0.25">
      <c r="A209" s="34">
        <v>1998</v>
      </c>
      <c r="B209" s="20" t="s">
        <v>29</v>
      </c>
      <c r="C209" s="20">
        <v>24</v>
      </c>
      <c r="D209" s="42" t="s">
        <v>407</v>
      </c>
      <c r="E209" s="65">
        <v>0</v>
      </c>
      <c r="F209" s="42">
        <v>7550</v>
      </c>
      <c r="G209" s="43">
        <v>0</v>
      </c>
      <c r="H209" s="48">
        <v>0</v>
      </c>
      <c r="I209" s="48">
        <v>0</v>
      </c>
      <c r="J209" s="48">
        <v>0</v>
      </c>
      <c r="K209" s="48">
        <v>0</v>
      </c>
    </row>
    <row r="210" spans="1:11" x14ac:dyDescent="0.25">
      <c r="A210" s="34">
        <v>1998</v>
      </c>
      <c r="B210" s="20" t="s">
        <v>29</v>
      </c>
      <c r="C210" s="20">
        <v>25</v>
      </c>
      <c r="D210" s="42" t="s">
        <v>112</v>
      </c>
      <c r="E210" s="65">
        <v>0</v>
      </c>
      <c r="F210" s="42">
        <v>7500</v>
      </c>
      <c r="G210" s="43">
        <v>0</v>
      </c>
      <c r="H210" s="48">
        <v>0</v>
      </c>
      <c r="I210" s="48">
        <v>0</v>
      </c>
      <c r="J210" s="48">
        <v>0</v>
      </c>
      <c r="K210" s="48">
        <v>0</v>
      </c>
    </row>
    <row r="211" spans="1:11" x14ac:dyDescent="0.25">
      <c r="A211" s="34">
        <v>1998</v>
      </c>
      <c r="B211" s="20" t="s">
        <v>29</v>
      </c>
      <c r="C211" s="20">
        <v>26</v>
      </c>
      <c r="D211" s="42" t="s">
        <v>114</v>
      </c>
      <c r="E211" s="65">
        <v>0</v>
      </c>
      <c r="F211" s="42">
        <v>7475</v>
      </c>
      <c r="G211" s="43">
        <v>0</v>
      </c>
      <c r="H211" s="48">
        <v>0</v>
      </c>
      <c r="I211" s="48">
        <v>0</v>
      </c>
      <c r="J211" s="48">
        <v>0</v>
      </c>
      <c r="K211" s="48">
        <v>0</v>
      </c>
    </row>
    <row r="212" spans="1:11" x14ac:dyDescent="0.25">
      <c r="A212" s="34">
        <v>1998</v>
      </c>
      <c r="B212" s="20" t="s">
        <v>29</v>
      </c>
      <c r="C212" s="20">
        <v>27</v>
      </c>
      <c r="D212" s="42" t="s">
        <v>104</v>
      </c>
      <c r="E212" s="65">
        <v>0</v>
      </c>
      <c r="F212" s="42">
        <v>7450</v>
      </c>
      <c r="G212" s="43">
        <v>0</v>
      </c>
      <c r="H212" s="48">
        <v>0</v>
      </c>
      <c r="I212" s="48">
        <v>0</v>
      </c>
      <c r="J212" s="48">
        <v>0</v>
      </c>
      <c r="K212" s="48">
        <v>0</v>
      </c>
    </row>
    <row r="213" spans="1:11" x14ac:dyDescent="0.25">
      <c r="A213" s="34">
        <v>1998</v>
      </c>
      <c r="B213" s="20" t="s">
        <v>29</v>
      </c>
      <c r="C213" s="20">
        <v>28</v>
      </c>
      <c r="D213" s="42" t="s">
        <v>324</v>
      </c>
      <c r="E213" s="65">
        <v>0</v>
      </c>
      <c r="F213" s="42">
        <v>7425</v>
      </c>
      <c r="G213" s="43">
        <v>0</v>
      </c>
      <c r="H213" s="48">
        <v>0</v>
      </c>
      <c r="I213" s="48">
        <v>0</v>
      </c>
      <c r="J213" s="48">
        <v>0</v>
      </c>
      <c r="K213" s="48">
        <v>0</v>
      </c>
    </row>
    <row r="214" spans="1:11" x14ac:dyDescent="0.25">
      <c r="A214" s="34">
        <v>1998</v>
      </c>
      <c r="B214" s="20" t="s">
        <v>29</v>
      </c>
      <c r="C214" s="20">
        <v>29</v>
      </c>
      <c r="D214" s="42" t="s">
        <v>324</v>
      </c>
      <c r="E214" s="65">
        <v>0</v>
      </c>
      <c r="F214" s="42">
        <v>7425</v>
      </c>
      <c r="G214" s="43">
        <v>0</v>
      </c>
      <c r="H214" s="48">
        <v>0</v>
      </c>
      <c r="I214" s="48">
        <v>0</v>
      </c>
      <c r="J214" s="48">
        <v>0</v>
      </c>
      <c r="K214" s="48">
        <v>0</v>
      </c>
    </row>
    <row r="215" spans="1:11" x14ac:dyDescent="0.25">
      <c r="A215" s="34">
        <v>1998</v>
      </c>
      <c r="B215" s="20" t="s">
        <v>29</v>
      </c>
      <c r="C215" s="20">
        <v>30</v>
      </c>
      <c r="D215" s="42" t="s">
        <v>3</v>
      </c>
      <c r="E215" s="65">
        <v>0</v>
      </c>
      <c r="F215" s="42">
        <v>7400</v>
      </c>
      <c r="G215" s="43">
        <v>0</v>
      </c>
      <c r="H215" s="48">
        <v>0</v>
      </c>
      <c r="I215" s="48">
        <v>0</v>
      </c>
      <c r="J215" s="48">
        <v>0</v>
      </c>
      <c r="K215" s="48">
        <v>0</v>
      </c>
    </row>
    <row r="216" spans="1:11" x14ac:dyDescent="0.25">
      <c r="A216" s="34">
        <v>1998</v>
      </c>
      <c r="B216" s="20" t="s">
        <v>29</v>
      </c>
      <c r="C216" s="20">
        <v>31</v>
      </c>
      <c r="D216" s="42" t="s">
        <v>3</v>
      </c>
      <c r="E216" s="65">
        <v>0</v>
      </c>
      <c r="F216" s="42">
        <v>7400</v>
      </c>
      <c r="G216" s="43">
        <v>0</v>
      </c>
      <c r="H216" s="48">
        <v>0</v>
      </c>
      <c r="I216" s="48">
        <v>0</v>
      </c>
      <c r="J216" s="48">
        <v>0</v>
      </c>
      <c r="K216" s="48">
        <v>0</v>
      </c>
    </row>
    <row r="217" spans="1:11" x14ac:dyDescent="0.25">
      <c r="A217" s="34">
        <v>1998</v>
      </c>
      <c r="B217" s="21" t="s">
        <v>30</v>
      </c>
      <c r="C217" s="20">
        <v>1</v>
      </c>
      <c r="D217" s="42" t="s">
        <v>183</v>
      </c>
      <c r="E217" s="65">
        <v>0</v>
      </c>
      <c r="F217" s="44">
        <v>7350</v>
      </c>
      <c r="G217" s="43">
        <v>0</v>
      </c>
      <c r="H217" s="48">
        <v>0</v>
      </c>
      <c r="I217" s="48">
        <v>0</v>
      </c>
      <c r="J217" s="48">
        <v>0</v>
      </c>
      <c r="K217" s="48">
        <v>0</v>
      </c>
    </row>
    <row r="218" spans="1:11" x14ac:dyDescent="0.25">
      <c r="A218" s="34">
        <v>1998</v>
      </c>
      <c r="B218" s="20" t="s">
        <v>30</v>
      </c>
      <c r="C218" s="20">
        <v>2</v>
      </c>
      <c r="D218" s="42" t="s">
        <v>183</v>
      </c>
      <c r="E218" s="65">
        <v>0</v>
      </c>
      <c r="F218" s="44">
        <v>7350</v>
      </c>
      <c r="G218" s="43">
        <v>0</v>
      </c>
      <c r="H218" s="48">
        <v>0</v>
      </c>
      <c r="I218" s="48">
        <v>0</v>
      </c>
      <c r="J218" s="48">
        <v>0</v>
      </c>
      <c r="K218" s="48">
        <v>0</v>
      </c>
    </row>
    <row r="219" spans="1:11" x14ac:dyDescent="0.25">
      <c r="A219" s="34">
        <v>1998</v>
      </c>
      <c r="B219" s="20" t="s">
        <v>30</v>
      </c>
      <c r="C219" s="20">
        <v>3</v>
      </c>
      <c r="D219" s="42" t="s">
        <v>1</v>
      </c>
      <c r="E219" s="65">
        <v>0</v>
      </c>
      <c r="F219" s="44">
        <v>7300</v>
      </c>
      <c r="G219" s="43">
        <v>0</v>
      </c>
      <c r="H219" s="48">
        <v>0</v>
      </c>
      <c r="I219" s="48">
        <v>0</v>
      </c>
      <c r="J219" s="48">
        <v>0</v>
      </c>
      <c r="K219" s="48">
        <v>0</v>
      </c>
    </row>
    <row r="220" spans="1:11" x14ac:dyDescent="0.25">
      <c r="A220" s="34">
        <v>1998</v>
      </c>
      <c r="B220" s="20" t="s">
        <v>30</v>
      </c>
      <c r="C220" s="20">
        <v>4</v>
      </c>
      <c r="D220" s="42" t="s">
        <v>1</v>
      </c>
      <c r="E220" s="65">
        <v>0</v>
      </c>
      <c r="F220" s="44">
        <v>7300</v>
      </c>
      <c r="G220" s="43">
        <v>0</v>
      </c>
      <c r="H220" s="48">
        <v>0</v>
      </c>
      <c r="I220" s="48">
        <v>0</v>
      </c>
      <c r="J220" s="48">
        <v>0</v>
      </c>
      <c r="K220" s="48">
        <v>0</v>
      </c>
    </row>
    <row r="221" spans="1:11" x14ac:dyDescent="0.25">
      <c r="A221" s="34">
        <v>1998</v>
      </c>
      <c r="B221" s="20" t="s">
        <v>30</v>
      </c>
      <c r="C221" s="20">
        <v>5</v>
      </c>
      <c r="D221" s="42" t="s">
        <v>1</v>
      </c>
      <c r="E221" s="65">
        <v>0</v>
      </c>
      <c r="F221" s="44">
        <v>7300</v>
      </c>
      <c r="G221" s="43">
        <v>0</v>
      </c>
      <c r="H221" s="48">
        <v>0</v>
      </c>
      <c r="I221" s="48">
        <v>0</v>
      </c>
      <c r="J221" s="48">
        <v>0</v>
      </c>
      <c r="K221" s="48">
        <v>0</v>
      </c>
    </row>
    <row r="222" spans="1:11" x14ac:dyDescent="0.25">
      <c r="A222" s="34">
        <v>1998</v>
      </c>
      <c r="B222" s="20" t="s">
        <v>30</v>
      </c>
      <c r="C222" s="20">
        <v>6</v>
      </c>
      <c r="D222" s="42" t="s">
        <v>1</v>
      </c>
      <c r="E222" s="65">
        <v>0</v>
      </c>
      <c r="F222" s="44">
        <v>7300</v>
      </c>
      <c r="G222" s="43">
        <v>0</v>
      </c>
      <c r="H222" s="48">
        <v>0</v>
      </c>
      <c r="I222" s="48">
        <v>0</v>
      </c>
      <c r="J222" s="48">
        <v>0</v>
      </c>
      <c r="K222" s="48">
        <v>0</v>
      </c>
    </row>
    <row r="223" spans="1:11" x14ac:dyDescent="0.25">
      <c r="A223" s="34">
        <v>1998</v>
      </c>
      <c r="B223" s="20" t="s">
        <v>30</v>
      </c>
      <c r="C223" s="20">
        <v>7</v>
      </c>
      <c r="D223" s="42" t="s">
        <v>1</v>
      </c>
      <c r="E223" s="65">
        <v>0</v>
      </c>
      <c r="F223" s="44">
        <v>7300</v>
      </c>
      <c r="G223" s="43">
        <v>0</v>
      </c>
      <c r="H223" s="48">
        <v>0</v>
      </c>
      <c r="I223" s="48">
        <v>0</v>
      </c>
      <c r="J223" s="48">
        <v>0</v>
      </c>
      <c r="K223" s="48">
        <v>0</v>
      </c>
    </row>
    <row r="224" spans="1:11" x14ac:dyDescent="0.25">
      <c r="A224" s="34">
        <v>1998</v>
      </c>
      <c r="B224" s="20" t="s">
        <v>30</v>
      </c>
      <c r="C224" s="20">
        <v>8</v>
      </c>
      <c r="D224" s="42" t="s">
        <v>1</v>
      </c>
      <c r="E224" s="65">
        <v>0</v>
      </c>
      <c r="F224" s="44">
        <v>7300</v>
      </c>
      <c r="G224" s="43">
        <v>0</v>
      </c>
      <c r="H224" s="48">
        <v>0</v>
      </c>
      <c r="I224" s="48">
        <v>0</v>
      </c>
      <c r="J224" s="48">
        <v>0</v>
      </c>
      <c r="K224" s="48">
        <v>0</v>
      </c>
    </row>
    <row r="225" spans="1:11" x14ac:dyDescent="0.25">
      <c r="A225" s="34">
        <v>1998</v>
      </c>
      <c r="B225" s="20" t="s">
        <v>30</v>
      </c>
      <c r="C225" s="20">
        <v>9</v>
      </c>
      <c r="D225" s="42" t="s">
        <v>1</v>
      </c>
      <c r="E225" s="65">
        <v>0</v>
      </c>
      <c r="F225" s="44">
        <v>7300</v>
      </c>
      <c r="G225" s="43">
        <v>0</v>
      </c>
      <c r="H225" s="48">
        <v>0</v>
      </c>
      <c r="I225" s="48">
        <v>0</v>
      </c>
      <c r="J225" s="48">
        <v>0</v>
      </c>
      <c r="K225" s="48">
        <v>0</v>
      </c>
    </row>
    <row r="226" spans="1:11" x14ac:dyDescent="0.25">
      <c r="A226" s="34">
        <v>1998</v>
      </c>
      <c r="B226" s="20" t="s">
        <v>30</v>
      </c>
      <c r="C226" s="20">
        <v>10</v>
      </c>
      <c r="D226" s="42" t="s">
        <v>1</v>
      </c>
      <c r="E226" s="65">
        <v>0</v>
      </c>
      <c r="F226" s="44">
        <v>7300</v>
      </c>
      <c r="G226" s="43">
        <v>0</v>
      </c>
      <c r="H226" s="48">
        <v>0</v>
      </c>
      <c r="I226" s="48">
        <v>0</v>
      </c>
      <c r="J226" s="48">
        <v>0</v>
      </c>
      <c r="K226" s="48">
        <v>0</v>
      </c>
    </row>
    <row r="227" spans="1:11" x14ac:dyDescent="0.25">
      <c r="A227" s="34">
        <v>1998</v>
      </c>
      <c r="B227" s="20" t="s">
        <v>30</v>
      </c>
      <c r="C227" s="20">
        <v>11</v>
      </c>
      <c r="D227" s="42" t="s">
        <v>1</v>
      </c>
      <c r="E227" s="65">
        <v>0</v>
      </c>
      <c r="F227" s="44">
        <v>7300</v>
      </c>
      <c r="G227" s="43">
        <v>0</v>
      </c>
      <c r="H227" s="48">
        <v>0</v>
      </c>
      <c r="I227" s="48">
        <v>0</v>
      </c>
      <c r="J227" s="48">
        <v>0</v>
      </c>
      <c r="K227" s="48">
        <v>0</v>
      </c>
    </row>
    <row r="228" spans="1:11" x14ac:dyDescent="0.25">
      <c r="A228" s="34">
        <v>1998</v>
      </c>
      <c r="B228" s="20" t="s">
        <v>30</v>
      </c>
      <c r="C228" s="20">
        <v>12</v>
      </c>
      <c r="D228" s="42" t="s">
        <v>1</v>
      </c>
      <c r="E228" s="65">
        <v>0</v>
      </c>
      <c r="F228" s="44">
        <v>7300</v>
      </c>
      <c r="G228" s="43">
        <v>0</v>
      </c>
      <c r="H228" s="48">
        <v>0</v>
      </c>
      <c r="I228" s="48">
        <v>0</v>
      </c>
      <c r="J228" s="48">
        <v>0</v>
      </c>
      <c r="K228" s="48">
        <v>0</v>
      </c>
    </row>
    <row r="229" spans="1:11" x14ac:dyDescent="0.25">
      <c r="A229" s="34">
        <v>1998</v>
      </c>
      <c r="B229" s="20" t="s">
        <v>30</v>
      </c>
      <c r="C229" s="20">
        <v>13</v>
      </c>
      <c r="D229" s="42" t="s">
        <v>1</v>
      </c>
      <c r="E229" s="65">
        <v>0</v>
      </c>
      <c r="F229" s="44">
        <v>7300</v>
      </c>
      <c r="G229" s="43">
        <v>0</v>
      </c>
      <c r="H229" s="48">
        <v>0</v>
      </c>
      <c r="I229" s="48">
        <v>0</v>
      </c>
      <c r="J229" s="48">
        <v>0</v>
      </c>
      <c r="K229" s="48">
        <v>0</v>
      </c>
    </row>
    <row r="230" spans="1:11" x14ac:dyDescent="0.25">
      <c r="A230" s="34">
        <v>1998</v>
      </c>
      <c r="B230" s="20" t="s">
        <v>30</v>
      </c>
      <c r="C230" s="20">
        <v>14</v>
      </c>
      <c r="D230" s="42" t="s">
        <v>1</v>
      </c>
      <c r="E230" s="65">
        <v>0</v>
      </c>
      <c r="F230" s="44">
        <v>7300</v>
      </c>
      <c r="G230" s="43">
        <v>0</v>
      </c>
      <c r="H230" s="48">
        <v>0</v>
      </c>
      <c r="I230" s="48">
        <v>0</v>
      </c>
      <c r="J230" s="48">
        <v>0</v>
      </c>
      <c r="K230" s="48">
        <v>0</v>
      </c>
    </row>
    <row r="231" spans="1:11" x14ac:dyDescent="0.25">
      <c r="A231" s="34">
        <v>1998</v>
      </c>
      <c r="B231" s="20" t="s">
        <v>30</v>
      </c>
      <c r="C231" s="20">
        <v>15</v>
      </c>
      <c r="D231" s="42" t="s">
        <v>408</v>
      </c>
      <c r="E231" s="65">
        <v>0</v>
      </c>
      <c r="F231" s="44">
        <v>7250</v>
      </c>
      <c r="G231" s="43">
        <v>0</v>
      </c>
      <c r="H231" s="48">
        <v>0</v>
      </c>
      <c r="I231" s="48">
        <v>0</v>
      </c>
      <c r="J231" s="48">
        <v>0</v>
      </c>
      <c r="K231" s="48">
        <v>0</v>
      </c>
    </row>
    <row r="232" spans="1:11" x14ac:dyDescent="0.25">
      <c r="A232" s="34">
        <v>1998</v>
      </c>
      <c r="B232" s="20" t="s">
        <v>30</v>
      </c>
      <c r="C232" s="20">
        <v>16</v>
      </c>
      <c r="D232" s="42" t="s">
        <v>408</v>
      </c>
      <c r="E232" s="65">
        <v>0</v>
      </c>
      <c r="F232" s="44">
        <v>7250</v>
      </c>
      <c r="G232" s="43">
        <v>0</v>
      </c>
      <c r="H232" s="48">
        <v>0</v>
      </c>
      <c r="I232" s="48">
        <v>0</v>
      </c>
      <c r="J232" s="48">
        <v>0</v>
      </c>
      <c r="K232" s="48">
        <v>0</v>
      </c>
    </row>
    <row r="233" spans="1:11" x14ac:dyDescent="0.25">
      <c r="A233" s="34">
        <v>1998</v>
      </c>
      <c r="B233" s="20" t="s">
        <v>30</v>
      </c>
      <c r="C233" s="20">
        <v>17</v>
      </c>
      <c r="D233" s="42" t="s">
        <v>408</v>
      </c>
      <c r="E233" s="65">
        <v>0</v>
      </c>
      <c r="F233" s="44">
        <v>7250</v>
      </c>
      <c r="G233" s="43">
        <v>0</v>
      </c>
      <c r="H233" s="48">
        <v>0</v>
      </c>
      <c r="I233" s="48">
        <v>0</v>
      </c>
      <c r="J233" s="48">
        <v>0</v>
      </c>
      <c r="K233" s="48">
        <v>0</v>
      </c>
    </row>
    <row r="234" spans="1:11" x14ac:dyDescent="0.25">
      <c r="A234" s="34">
        <v>1998</v>
      </c>
      <c r="B234" s="20" t="s">
        <v>30</v>
      </c>
      <c r="C234" s="20">
        <v>18</v>
      </c>
      <c r="D234" s="42" t="s">
        <v>408</v>
      </c>
      <c r="E234" s="65">
        <v>0</v>
      </c>
      <c r="F234" s="44">
        <v>7250</v>
      </c>
      <c r="G234" s="43">
        <v>0</v>
      </c>
      <c r="H234" s="48">
        <v>0</v>
      </c>
      <c r="I234" s="48">
        <v>0</v>
      </c>
      <c r="J234" s="48">
        <v>0</v>
      </c>
      <c r="K234" s="48">
        <v>0</v>
      </c>
    </row>
    <row r="235" spans="1:11" x14ac:dyDescent="0.25">
      <c r="A235" s="34">
        <v>1998</v>
      </c>
      <c r="B235" s="20" t="s">
        <v>30</v>
      </c>
      <c r="C235" s="20">
        <v>19</v>
      </c>
      <c r="D235" s="42" t="s">
        <v>106</v>
      </c>
      <c r="E235" s="65">
        <v>0</v>
      </c>
      <c r="F235" s="44">
        <v>7200</v>
      </c>
      <c r="G235" s="43">
        <v>0</v>
      </c>
      <c r="H235" s="48">
        <v>0</v>
      </c>
      <c r="I235" s="48">
        <v>0</v>
      </c>
      <c r="J235" s="48">
        <v>0</v>
      </c>
      <c r="K235" s="48">
        <v>0</v>
      </c>
    </row>
    <row r="236" spans="1:11" x14ac:dyDescent="0.25">
      <c r="A236" s="34">
        <v>1998</v>
      </c>
      <c r="B236" s="20" t="s">
        <v>30</v>
      </c>
      <c r="C236" s="20">
        <v>20</v>
      </c>
      <c r="D236" s="42" t="s">
        <v>106</v>
      </c>
      <c r="E236" s="65">
        <v>0</v>
      </c>
      <c r="F236" s="44">
        <v>7200</v>
      </c>
      <c r="G236" s="43">
        <v>0</v>
      </c>
      <c r="H236" s="48">
        <v>0</v>
      </c>
      <c r="I236" s="48">
        <v>0</v>
      </c>
      <c r="J236" s="48">
        <v>0</v>
      </c>
      <c r="K236" s="48">
        <v>0</v>
      </c>
    </row>
    <row r="237" spans="1:11" x14ac:dyDescent="0.25">
      <c r="A237" s="34">
        <v>1998</v>
      </c>
      <c r="B237" s="20" t="s">
        <v>30</v>
      </c>
      <c r="C237" s="20">
        <v>21</v>
      </c>
      <c r="D237" s="42" t="s">
        <v>106</v>
      </c>
      <c r="E237" s="65">
        <v>0</v>
      </c>
      <c r="F237" s="44">
        <v>7200</v>
      </c>
      <c r="G237" s="43">
        <v>0</v>
      </c>
      <c r="H237" s="48">
        <v>0</v>
      </c>
      <c r="I237" s="48">
        <v>0</v>
      </c>
      <c r="J237" s="48">
        <v>0</v>
      </c>
      <c r="K237" s="48">
        <v>0</v>
      </c>
    </row>
    <row r="238" spans="1:11" x14ac:dyDescent="0.25">
      <c r="A238" s="34">
        <v>1998</v>
      </c>
      <c r="B238" s="20" t="s">
        <v>30</v>
      </c>
      <c r="C238" s="20">
        <v>22</v>
      </c>
      <c r="D238" s="42" t="s">
        <v>106</v>
      </c>
      <c r="E238" s="65">
        <v>0</v>
      </c>
      <c r="F238" s="44">
        <v>7200</v>
      </c>
      <c r="G238" s="43">
        <v>0</v>
      </c>
      <c r="H238" s="48">
        <v>0</v>
      </c>
      <c r="I238" s="48">
        <v>0</v>
      </c>
      <c r="J238" s="48">
        <v>0</v>
      </c>
      <c r="K238" s="48">
        <v>0</v>
      </c>
    </row>
    <row r="239" spans="1:11" x14ac:dyDescent="0.25">
      <c r="A239" s="34">
        <v>1998</v>
      </c>
      <c r="B239" s="20" t="s">
        <v>30</v>
      </c>
      <c r="C239" s="20">
        <v>23</v>
      </c>
      <c r="D239" s="42" t="s">
        <v>106</v>
      </c>
      <c r="E239" s="65">
        <v>0</v>
      </c>
      <c r="F239" s="44">
        <v>7200</v>
      </c>
      <c r="G239" s="43">
        <v>0</v>
      </c>
      <c r="H239" s="48">
        <v>0</v>
      </c>
      <c r="I239" s="48">
        <v>0</v>
      </c>
      <c r="J239" s="48">
        <v>0</v>
      </c>
      <c r="K239" s="48">
        <v>0</v>
      </c>
    </row>
    <row r="240" spans="1:11" x14ac:dyDescent="0.25">
      <c r="A240" s="34">
        <v>1998</v>
      </c>
      <c r="B240" s="20" t="s">
        <v>30</v>
      </c>
      <c r="C240" s="20">
        <v>24</v>
      </c>
      <c r="D240" s="42" t="s">
        <v>106</v>
      </c>
      <c r="E240" s="65">
        <v>0</v>
      </c>
      <c r="F240" s="44">
        <v>7200</v>
      </c>
      <c r="G240" s="43">
        <v>0</v>
      </c>
      <c r="H240" s="48">
        <v>0</v>
      </c>
      <c r="I240" s="48">
        <v>0</v>
      </c>
      <c r="J240" s="48">
        <v>0</v>
      </c>
      <c r="K240" s="48">
        <v>0</v>
      </c>
    </row>
    <row r="241" spans="1:11" x14ac:dyDescent="0.25">
      <c r="A241" s="34">
        <v>1998</v>
      </c>
      <c r="B241" s="20" t="s">
        <v>30</v>
      </c>
      <c r="C241" s="20">
        <v>25</v>
      </c>
      <c r="D241" s="42" t="s">
        <v>106</v>
      </c>
      <c r="E241" s="65">
        <v>0</v>
      </c>
      <c r="F241" s="44">
        <v>7200</v>
      </c>
      <c r="G241" s="43">
        <v>0</v>
      </c>
      <c r="H241" s="48">
        <v>0</v>
      </c>
      <c r="I241" s="48">
        <v>0</v>
      </c>
      <c r="J241" s="48">
        <v>0</v>
      </c>
      <c r="K241" s="48">
        <v>0</v>
      </c>
    </row>
    <row r="242" spans="1:11" x14ac:dyDescent="0.25">
      <c r="A242" s="34">
        <v>1998</v>
      </c>
      <c r="B242" s="20" t="s">
        <v>30</v>
      </c>
      <c r="C242" s="20">
        <v>26</v>
      </c>
      <c r="D242" s="42" t="s">
        <v>409</v>
      </c>
      <c r="E242" s="65">
        <v>0</v>
      </c>
      <c r="F242" s="44">
        <v>7150</v>
      </c>
      <c r="G242" s="43">
        <v>0</v>
      </c>
      <c r="H242" s="48">
        <v>0</v>
      </c>
      <c r="I242" s="48">
        <v>0</v>
      </c>
      <c r="J242" s="48">
        <v>0</v>
      </c>
      <c r="K242" s="48">
        <v>0</v>
      </c>
    </row>
    <row r="243" spans="1:11" x14ac:dyDescent="0.25">
      <c r="A243" s="34">
        <v>1998</v>
      </c>
      <c r="B243" s="20" t="s">
        <v>30</v>
      </c>
      <c r="C243" s="20">
        <v>27</v>
      </c>
      <c r="D243" s="42" t="s">
        <v>409</v>
      </c>
      <c r="E243" s="65">
        <v>0</v>
      </c>
      <c r="F243" s="44">
        <v>7150</v>
      </c>
      <c r="G243" s="43">
        <v>0</v>
      </c>
      <c r="H243" s="48">
        <v>0</v>
      </c>
      <c r="I243" s="48">
        <v>0</v>
      </c>
      <c r="J243" s="48">
        <v>0</v>
      </c>
      <c r="K243" s="48">
        <v>0</v>
      </c>
    </row>
    <row r="244" spans="1:11" x14ac:dyDescent="0.25">
      <c r="A244" s="34">
        <v>1998</v>
      </c>
      <c r="B244" s="20" t="s">
        <v>30</v>
      </c>
      <c r="C244" s="20">
        <v>28</v>
      </c>
      <c r="D244" s="42" t="s">
        <v>409</v>
      </c>
      <c r="E244" s="65">
        <v>0</v>
      </c>
      <c r="F244" s="44">
        <v>7150</v>
      </c>
      <c r="G244" s="43">
        <v>0</v>
      </c>
      <c r="H244" s="48">
        <v>0</v>
      </c>
      <c r="I244" s="48">
        <v>0</v>
      </c>
      <c r="J244" s="48">
        <v>0</v>
      </c>
      <c r="K244" s="48">
        <v>0</v>
      </c>
    </row>
    <row r="245" spans="1:11" x14ac:dyDescent="0.25">
      <c r="A245" s="34">
        <v>1998</v>
      </c>
      <c r="B245" s="20" t="s">
        <v>30</v>
      </c>
      <c r="C245" s="20">
        <v>29</v>
      </c>
      <c r="D245" s="42" t="s">
        <v>409</v>
      </c>
      <c r="E245" s="65">
        <v>0</v>
      </c>
      <c r="F245" s="44">
        <v>7150</v>
      </c>
      <c r="G245" s="43">
        <v>0</v>
      </c>
      <c r="H245" s="48">
        <v>0</v>
      </c>
      <c r="I245" s="48">
        <v>0</v>
      </c>
      <c r="J245" s="48">
        <v>0</v>
      </c>
      <c r="K245" s="48">
        <v>0</v>
      </c>
    </row>
    <row r="246" spans="1:11" x14ac:dyDescent="0.25">
      <c r="A246" s="34">
        <v>1998</v>
      </c>
      <c r="B246" s="20" t="s">
        <v>30</v>
      </c>
      <c r="C246" s="20">
        <v>30</v>
      </c>
      <c r="D246" s="42" t="s">
        <v>110</v>
      </c>
      <c r="E246" s="65">
        <v>0</v>
      </c>
      <c r="F246" s="44">
        <v>710</v>
      </c>
      <c r="G246" s="43">
        <v>0</v>
      </c>
      <c r="H246" s="48">
        <v>0</v>
      </c>
      <c r="I246" s="48">
        <v>0</v>
      </c>
      <c r="J246" s="48">
        <v>0</v>
      </c>
      <c r="K246" s="48">
        <v>0</v>
      </c>
    </row>
    <row r="247" spans="1:11" x14ac:dyDescent="0.25">
      <c r="A247" s="34">
        <v>1998</v>
      </c>
      <c r="B247" s="20" t="s">
        <v>30</v>
      </c>
      <c r="C247" s="20">
        <v>31</v>
      </c>
      <c r="D247" s="42" t="s">
        <v>110</v>
      </c>
      <c r="E247" s="65">
        <v>0</v>
      </c>
      <c r="F247" s="44">
        <v>710</v>
      </c>
      <c r="G247" s="43">
        <v>0</v>
      </c>
      <c r="H247" s="48">
        <v>0</v>
      </c>
      <c r="I247" s="48">
        <v>0</v>
      </c>
      <c r="J247" s="48">
        <v>0</v>
      </c>
      <c r="K247" s="48">
        <v>0</v>
      </c>
    </row>
    <row r="248" spans="1:11" x14ac:dyDescent="0.25">
      <c r="A248" s="34">
        <v>1998</v>
      </c>
      <c r="B248" s="21" t="s">
        <v>31</v>
      </c>
      <c r="C248" s="20">
        <v>1</v>
      </c>
      <c r="D248" s="42" t="s">
        <v>116</v>
      </c>
      <c r="E248" s="65">
        <v>0</v>
      </c>
      <c r="F248" s="44">
        <v>7050</v>
      </c>
      <c r="G248" s="43">
        <v>0</v>
      </c>
      <c r="H248" s="48">
        <v>0</v>
      </c>
      <c r="I248" s="48">
        <v>0</v>
      </c>
      <c r="J248" s="48">
        <v>0</v>
      </c>
      <c r="K248" s="48">
        <v>0</v>
      </c>
    </row>
    <row r="249" spans="1:11" x14ac:dyDescent="0.25">
      <c r="A249" s="34">
        <v>1998</v>
      </c>
      <c r="B249" s="20" t="s">
        <v>31</v>
      </c>
      <c r="C249" s="20">
        <v>2</v>
      </c>
      <c r="D249" s="42" t="s">
        <v>116</v>
      </c>
      <c r="E249" s="65">
        <v>0</v>
      </c>
      <c r="F249" s="44">
        <v>7050</v>
      </c>
      <c r="G249" s="43">
        <v>0</v>
      </c>
      <c r="H249" s="48">
        <v>0</v>
      </c>
      <c r="I249" s="48">
        <v>0</v>
      </c>
      <c r="J249" s="48">
        <v>0</v>
      </c>
      <c r="K249" s="48">
        <v>0</v>
      </c>
    </row>
    <row r="250" spans="1:11" x14ac:dyDescent="0.25">
      <c r="A250" s="34">
        <v>1998</v>
      </c>
      <c r="B250" s="20" t="s">
        <v>31</v>
      </c>
      <c r="C250" s="20">
        <v>3</v>
      </c>
      <c r="D250" s="42" t="s">
        <v>108</v>
      </c>
      <c r="E250" s="65">
        <v>0</v>
      </c>
      <c r="F250" s="44">
        <v>7000</v>
      </c>
      <c r="G250" s="43">
        <v>0</v>
      </c>
      <c r="H250" s="48">
        <v>0</v>
      </c>
      <c r="I250" s="48">
        <v>0</v>
      </c>
      <c r="J250" s="48">
        <v>0</v>
      </c>
      <c r="K250" s="48">
        <v>0</v>
      </c>
    </row>
    <row r="251" spans="1:11" x14ac:dyDescent="0.25">
      <c r="A251" s="34">
        <v>1998</v>
      </c>
      <c r="B251" s="20" t="s">
        <v>31</v>
      </c>
      <c r="C251" s="20">
        <v>4</v>
      </c>
      <c r="D251" s="42" t="s">
        <v>108</v>
      </c>
      <c r="E251" s="65">
        <v>0</v>
      </c>
      <c r="F251" s="44">
        <v>7000</v>
      </c>
      <c r="G251" s="43">
        <v>0</v>
      </c>
      <c r="H251" s="48">
        <v>0</v>
      </c>
      <c r="I251" s="48">
        <v>0</v>
      </c>
      <c r="J251" s="48">
        <v>0</v>
      </c>
      <c r="K251" s="48">
        <v>0</v>
      </c>
    </row>
    <row r="252" spans="1:11" x14ac:dyDescent="0.25">
      <c r="A252" s="34">
        <v>1998</v>
      </c>
      <c r="B252" s="20" t="s">
        <v>31</v>
      </c>
      <c r="C252" s="20">
        <v>5</v>
      </c>
      <c r="D252" s="42" t="s">
        <v>108</v>
      </c>
      <c r="E252" s="65">
        <v>0</v>
      </c>
      <c r="F252" s="44">
        <v>7000</v>
      </c>
      <c r="G252" s="43">
        <v>0</v>
      </c>
      <c r="H252" s="48">
        <v>0</v>
      </c>
      <c r="I252" s="48">
        <v>0</v>
      </c>
      <c r="J252" s="48">
        <v>0</v>
      </c>
      <c r="K252" s="48">
        <v>0</v>
      </c>
    </row>
    <row r="253" spans="1:11" x14ac:dyDescent="0.25">
      <c r="A253" s="34">
        <v>1998</v>
      </c>
      <c r="B253" s="20" t="s">
        <v>31</v>
      </c>
      <c r="C253" s="20">
        <v>6</v>
      </c>
      <c r="D253" s="42" t="s">
        <v>410</v>
      </c>
      <c r="E253" s="65">
        <v>0</v>
      </c>
      <c r="F253" s="44">
        <v>6975</v>
      </c>
      <c r="G253" s="43">
        <v>0</v>
      </c>
      <c r="H253" s="48">
        <v>0</v>
      </c>
      <c r="I253" s="48">
        <v>0</v>
      </c>
      <c r="J253" s="48">
        <v>0</v>
      </c>
      <c r="K253" s="48">
        <v>0</v>
      </c>
    </row>
    <row r="254" spans="1:11" x14ac:dyDescent="0.25">
      <c r="A254" s="34">
        <v>1998</v>
      </c>
      <c r="B254" s="20" t="s">
        <v>31</v>
      </c>
      <c r="C254" s="20">
        <v>7</v>
      </c>
      <c r="D254" s="42" t="s">
        <v>410</v>
      </c>
      <c r="E254" s="65">
        <v>0</v>
      </c>
      <c r="F254" s="44">
        <v>6975</v>
      </c>
      <c r="G254" s="43">
        <v>0</v>
      </c>
      <c r="H254" s="48">
        <v>0</v>
      </c>
      <c r="I254" s="48">
        <v>0</v>
      </c>
      <c r="J254" s="48">
        <v>0</v>
      </c>
      <c r="K254" s="48">
        <v>0</v>
      </c>
    </row>
    <row r="255" spans="1:11" x14ac:dyDescent="0.25">
      <c r="A255" s="34">
        <v>1998</v>
      </c>
      <c r="B255" s="20" t="s">
        <v>31</v>
      </c>
      <c r="C255" s="20">
        <v>8</v>
      </c>
      <c r="D255" s="42" t="s">
        <v>410</v>
      </c>
      <c r="E255" s="65">
        <v>0</v>
      </c>
      <c r="F255" s="44">
        <v>6975</v>
      </c>
      <c r="G255" s="43">
        <v>0</v>
      </c>
      <c r="H255" s="48">
        <v>0</v>
      </c>
      <c r="I255" s="48">
        <v>0</v>
      </c>
      <c r="J255" s="48">
        <v>0</v>
      </c>
      <c r="K255" s="48">
        <v>0</v>
      </c>
    </row>
    <row r="256" spans="1:11" x14ac:dyDescent="0.25">
      <c r="A256" s="34">
        <v>1998</v>
      </c>
      <c r="B256" s="20" t="s">
        <v>31</v>
      </c>
      <c r="C256" s="20">
        <v>9</v>
      </c>
      <c r="D256" s="42" t="s">
        <v>118</v>
      </c>
      <c r="E256" s="65">
        <v>0</v>
      </c>
      <c r="F256" s="44">
        <v>6950</v>
      </c>
      <c r="G256" s="43">
        <v>0</v>
      </c>
      <c r="H256" s="48">
        <v>0</v>
      </c>
      <c r="I256" s="48">
        <v>0</v>
      </c>
      <c r="J256" s="48">
        <v>0</v>
      </c>
      <c r="K256" s="48">
        <v>0</v>
      </c>
    </row>
    <row r="257" spans="1:11" x14ac:dyDescent="0.25">
      <c r="A257" s="34">
        <v>1998</v>
      </c>
      <c r="B257" s="20" t="s">
        <v>31</v>
      </c>
      <c r="C257" s="20">
        <v>10</v>
      </c>
      <c r="D257" s="42" t="s">
        <v>118</v>
      </c>
      <c r="E257" s="65">
        <v>0</v>
      </c>
      <c r="F257" s="44">
        <v>6950</v>
      </c>
      <c r="G257" s="43">
        <v>0</v>
      </c>
      <c r="H257" s="48">
        <v>0</v>
      </c>
      <c r="I257" s="48">
        <v>0</v>
      </c>
      <c r="J257" s="48">
        <v>0</v>
      </c>
      <c r="K257" s="48">
        <v>0</v>
      </c>
    </row>
    <row r="258" spans="1:11" x14ac:dyDescent="0.25">
      <c r="A258" s="34">
        <v>1998</v>
      </c>
      <c r="B258" s="20" t="s">
        <v>31</v>
      </c>
      <c r="C258" s="20">
        <v>11</v>
      </c>
      <c r="D258" s="42" t="s">
        <v>118</v>
      </c>
      <c r="E258" s="65">
        <v>0</v>
      </c>
      <c r="F258" s="44">
        <v>6950</v>
      </c>
      <c r="G258" s="43">
        <v>0</v>
      </c>
      <c r="H258" s="48">
        <v>0</v>
      </c>
      <c r="I258" s="48">
        <v>0</v>
      </c>
      <c r="J258" s="48">
        <v>0</v>
      </c>
      <c r="K258" s="48">
        <v>0</v>
      </c>
    </row>
    <row r="259" spans="1:11" x14ac:dyDescent="0.25">
      <c r="A259" s="34">
        <v>1998</v>
      </c>
      <c r="B259" s="20" t="s">
        <v>31</v>
      </c>
      <c r="C259" s="20">
        <v>12</v>
      </c>
      <c r="D259" s="42" t="s">
        <v>118</v>
      </c>
      <c r="E259" s="65">
        <v>0</v>
      </c>
      <c r="F259" s="44">
        <v>6950</v>
      </c>
      <c r="G259" s="43">
        <v>0</v>
      </c>
      <c r="H259" s="48">
        <v>0</v>
      </c>
      <c r="I259" s="48">
        <v>0</v>
      </c>
      <c r="J259" s="48">
        <v>0</v>
      </c>
      <c r="K259" s="48">
        <v>0</v>
      </c>
    </row>
    <row r="260" spans="1:11" x14ac:dyDescent="0.25">
      <c r="A260" s="34">
        <v>1998</v>
      </c>
      <c r="B260" s="20" t="s">
        <v>31</v>
      </c>
      <c r="C260" s="20">
        <v>13</v>
      </c>
      <c r="D260" s="42" t="s">
        <v>180</v>
      </c>
      <c r="E260" s="65">
        <v>0</v>
      </c>
      <c r="F260" s="44">
        <v>6925</v>
      </c>
      <c r="G260" s="43">
        <v>0</v>
      </c>
      <c r="H260" s="48">
        <v>0</v>
      </c>
      <c r="I260" s="48">
        <v>0</v>
      </c>
      <c r="J260" s="48">
        <v>0</v>
      </c>
      <c r="K260" s="48">
        <v>0</v>
      </c>
    </row>
    <row r="261" spans="1:11" x14ac:dyDescent="0.25">
      <c r="A261" s="34">
        <v>1998</v>
      </c>
      <c r="B261" s="20" t="s">
        <v>31</v>
      </c>
      <c r="C261" s="20">
        <v>14</v>
      </c>
      <c r="D261" s="42" t="s">
        <v>180</v>
      </c>
      <c r="E261" s="65">
        <v>0</v>
      </c>
      <c r="F261" s="44">
        <v>6925</v>
      </c>
      <c r="G261" s="43">
        <v>0</v>
      </c>
      <c r="H261" s="48">
        <v>0</v>
      </c>
      <c r="I261" s="48">
        <v>0</v>
      </c>
      <c r="J261" s="48">
        <v>0</v>
      </c>
      <c r="K261" s="48">
        <v>0</v>
      </c>
    </row>
    <row r="262" spans="1:11" x14ac:dyDescent="0.25">
      <c r="A262" s="34">
        <v>1998</v>
      </c>
      <c r="B262" s="20" t="s">
        <v>31</v>
      </c>
      <c r="C262" s="20">
        <v>15</v>
      </c>
      <c r="D262" s="42" t="s">
        <v>180</v>
      </c>
      <c r="E262" s="65">
        <v>0</v>
      </c>
      <c r="F262" s="44">
        <v>6925</v>
      </c>
      <c r="G262" s="43">
        <v>0</v>
      </c>
      <c r="H262" s="48">
        <v>0</v>
      </c>
      <c r="I262" s="48">
        <v>0</v>
      </c>
      <c r="J262" s="48">
        <v>0</v>
      </c>
      <c r="K262" s="48">
        <v>0</v>
      </c>
    </row>
    <row r="263" spans="1:11" x14ac:dyDescent="0.25">
      <c r="A263" s="34">
        <v>1998</v>
      </c>
      <c r="B263" s="20" t="s">
        <v>31</v>
      </c>
      <c r="C263" s="20">
        <v>16</v>
      </c>
      <c r="D263" s="42" t="s">
        <v>192</v>
      </c>
      <c r="E263" s="65">
        <v>0</v>
      </c>
      <c r="F263" s="44">
        <v>6900</v>
      </c>
      <c r="G263" s="43">
        <v>0</v>
      </c>
      <c r="H263" s="48">
        <v>0</v>
      </c>
      <c r="I263" s="48">
        <v>0</v>
      </c>
      <c r="J263" s="48">
        <v>0</v>
      </c>
      <c r="K263" s="48">
        <v>0</v>
      </c>
    </row>
    <row r="264" spans="1:11" x14ac:dyDescent="0.25">
      <c r="A264" s="34">
        <v>1998</v>
      </c>
      <c r="B264" s="20" t="s">
        <v>31</v>
      </c>
      <c r="C264" s="20">
        <v>17</v>
      </c>
      <c r="D264" s="42" t="s">
        <v>192</v>
      </c>
      <c r="E264" s="65">
        <v>0</v>
      </c>
      <c r="F264" s="44">
        <v>6900</v>
      </c>
      <c r="G264" s="43">
        <v>0</v>
      </c>
      <c r="H264" s="48">
        <v>0</v>
      </c>
      <c r="I264" s="48">
        <v>0</v>
      </c>
      <c r="J264" s="48">
        <v>0</v>
      </c>
      <c r="K264" s="48">
        <v>0</v>
      </c>
    </row>
    <row r="265" spans="1:11" x14ac:dyDescent="0.25">
      <c r="A265" s="34">
        <v>1998</v>
      </c>
      <c r="B265" s="20" t="s">
        <v>31</v>
      </c>
      <c r="C265" s="20">
        <v>18</v>
      </c>
      <c r="D265" s="42" t="s">
        <v>120</v>
      </c>
      <c r="E265" s="65">
        <v>0</v>
      </c>
      <c r="F265" s="44">
        <v>6850</v>
      </c>
      <c r="G265" s="43">
        <v>0</v>
      </c>
      <c r="H265" s="48">
        <v>0</v>
      </c>
      <c r="I265" s="48">
        <v>0</v>
      </c>
      <c r="J265" s="48">
        <v>0</v>
      </c>
      <c r="K265" s="48">
        <v>0</v>
      </c>
    </row>
    <row r="266" spans="1:11" x14ac:dyDescent="0.25">
      <c r="A266" s="34">
        <v>1998</v>
      </c>
      <c r="B266" s="20" t="s">
        <v>31</v>
      </c>
      <c r="C266" s="20">
        <v>19</v>
      </c>
      <c r="D266" s="42" t="s">
        <v>120</v>
      </c>
      <c r="E266" s="65">
        <v>0</v>
      </c>
      <c r="F266" s="44">
        <v>6850</v>
      </c>
      <c r="G266" s="43">
        <v>0</v>
      </c>
      <c r="H266" s="48">
        <v>0</v>
      </c>
      <c r="I266" s="48">
        <v>0</v>
      </c>
      <c r="J266" s="48">
        <v>0</v>
      </c>
      <c r="K266" s="48">
        <v>0</v>
      </c>
    </row>
    <row r="267" spans="1:11" x14ac:dyDescent="0.25">
      <c r="A267" s="34">
        <v>1998</v>
      </c>
      <c r="B267" s="20" t="s">
        <v>31</v>
      </c>
      <c r="C267" s="20">
        <v>20</v>
      </c>
      <c r="D267" s="42" t="s">
        <v>194</v>
      </c>
      <c r="E267" s="65">
        <v>0</v>
      </c>
      <c r="F267" s="44">
        <v>6800</v>
      </c>
      <c r="G267" s="43">
        <v>0</v>
      </c>
      <c r="H267" s="48">
        <v>0</v>
      </c>
      <c r="I267" s="48">
        <v>0</v>
      </c>
      <c r="J267" s="48">
        <v>0</v>
      </c>
      <c r="K267" s="48">
        <v>0</v>
      </c>
    </row>
    <row r="268" spans="1:11" x14ac:dyDescent="0.25">
      <c r="A268" s="34">
        <v>1998</v>
      </c>
      <c r="B268" s="20" t="s">
        <v>31</v>
      </c>
      <c r="C268" s="20">
        <v>21</v>
      </c>
      <c r="D268" s="42" t="s">
        <v>194</v>
      </c>
      <c r="E268" s="65">
        <v>0</v>
      </c>
      <c r="F268" s="44">
        <v>6800</v>
      </c>
      <c r="G268" s="43">
        <v>0</v>
      </c>
      <c r="H268" s="48">
        <v>0</v>
      </c>
      <c r="I268" s="48">
        <v>0</v>
      </c>
      <c r="J268" s="48">
        <v>0</v>
      </c>
      <c r="K268" s="48">
        <v>0</v>
      </c>
    </row>
    <row r="269" spans="1:11" x14ac:dyDescent="0.25">
      <c r="A269" s="34">
        <v>1998</v>
      </c>
      <c r="B269" s="20" t="s">
        <v>31</v>
      </c>
      <c r="C269" s="20">
        <v>22</v>
      </c>
      <c r="D269" s="42" t="s">
        <v>178</v>
      </c>
      <c r="E269" s="65">
        <v>0</v>
      </c>
      <c r="F269" s="44">
        <v>6750</v>
      </c>
      <c r="G269" s="43">
        <v>0</v>
      </c>
      <c r="H269" s="48">
        <v>0</v>
      </c>
      <c r="I269" s="48">
        <v>0</v>
      </c>
      <c r="J269" s="48">
        <v>0</v>
      </c>
      <c r="K269" s="48">
        <v>0</v>
      </c>
    </row>
    <row r="270" spans="1:11" x14ac:dyDescent="0.25">
      <c r="A270" s="34">
        <v>1998</v>
      </c>
      <c r="B270" s="20" t="s">
        <v>31</v>
      </c>
      <c r="C270" s="20">
        <v>23</v>
      </c>
      <c r="D270" s="42" t="s">
        <v>178</v>
      </c>
      <c r="E270" s="65">
        <v>0</v>
      </c>
      <c r="F270" s="44">
        <v>6750</v>
      </c>
      <c r="G270" s="43">
        <v>0</v>
      </c>
      <c r="H270" s="48">
        <v>0</v>
      </c>
      <c r="I270" s="48">
        <v>0</v>
      </c>
      <c r="J270" s="48">
        <v>0</v>
      </c>
      <c r="K270" s="48">
        <v>0</v>
      </c>
    </row>
    <row r="271" spans="1:11" x14ac:dyDescent="0.25">
      <c r="A271" s="34">
        <v>1998</v>
      </c>
      <c r="B271" s="20" t="s">
        <v>31</v>
      </c>
      <c r="C271" s="20">
        <v>24</v>
      </c>
      <c r="D271" s="42" t="s">
        <v>422</v>
      </c>
      <c r="E271" s="65">
        <v>0</v>
      </c>
      <c r="F271" s="44">
        <v>6700</v>
      </c>
      <c r="G271" s="43">
        <v>0</v>
      </c>
      <c r="H271" s="48">
        <v>0</v>
      </c>
      <c r="I271" s="48">
        <v>0</v>
      </c>
      <c r="J271" s="48">
        <v>0</v>
      </c>
      <c r="K271" s="48">
        <v>0</v>
      </c>
    </row>
    <row r="272" spans="1:11" x14ac:dyDescent="0.25">
      <c r="A272" s="34">
        <v>1998</v>
      </c>
      <c r="B272" s="20" t="s">
        <v>31</v>
      </c>
      <c r="C272" s="20">
        <v>25</v>
      </c>
      <c r="D272" s="42" t="s">
        <v>422</v>
      </c>
      <c r="E272" s="65">
        <v>0</v>
      </c>
      <c r="F272" s="44">
        <v>6700</v>
      </c>
      <c r="G272" s="43">
        <v>0</v>
      </c>
      <c r="H272" s="48">
        <v>0</v>
      </c>
      <c r="I272" s="48">
        <v>0</v>
      </c>
      <c r="J272" s="48">
        <v>0</v>
      </c>
      <c r="K272" s="48">
        <v>0</v>
      </c>
    </row>
    <row r="273" spans="1:11" x14ac:dyDescent="0.25">
      <c r="A273" s="34">
        <v>1998</v>
      </c>
      <c r="B273" s="20" t="s">
        <v>31</v>
      </c>
      <c r="C273" s="20">
        <v>26</v>
      </c>
      <c r="D273" s="42" t="s">
        <v>546</v>
      </c>
      <c r="E273" s="65">
        <v>0</v>
      </c>
      <c r="F273" s="44">
        <v>6650</v>
      </c>
      <c r="G273" s="43">
        <v>0</v>
      </c>
      <c r="H273" s="48">
        <v>0</v>
      </c>
      <c r="I273" s="48">
        <v>0</v>
      </c>
      <c r="J273" s="48">
        <v>0</v>
      </c>
      <c r="K273" s="48">
        <v>0</v>
      </c>
    </row>
    <row r="274" spans="1:11" x14ac:dyDescent="0.25">
      <c r="A274" s="34">
        <v>1998</v>
      </c>
      <c r="B274" s="20" t="s">
        <v>31</v>
      </c>
      <c r="C274" s="20">
        <v>27</v>
      </c>
      <c r="D274" s="42" t="s">
        <v>546</v>
      </c>
      <c r="E274" s="65">
        <v>0</v>
      </c>
      <c r="F274" s="44">
        <v>6650</v>
      </c>
      <c r="G274" s="43">
        <v>0</v>
      </c>
      <c r="H274" s="48">
        <v>0</v>
      </c>
      <c r="I274" s="48">
        <v>0</v>
      </c>
      <c r="J274" s="48">
        <v>0</v>
      </c>
      <c r="K274" s="48">
        <v>0</v>
      </c>
    </row>
    <row r="275" spans="1:11" x14ac:dyDescent="0.25">
      <c r="A275" s="34">
        <v>1998</v>
      </c>
      <c r="B275" s="20" t="s">
        <v>31</v>
      </c>
      <c r="C275" s="20">
        <v>28</v>
      </c>
      <c r="D275" s="42" t="s">
        <v>201</v>
      </c>
      <c r="E275" s="65">
        <v>0</v>
      </c>
      <c r="F275" s="44">
        <v>6600</v>
      </c>
      <c r="G275" s="43">
        <v>0</v>
      </c>
      <c r="H275" s="48">
        <v>0</v>
      </c>
      <c r="I275" s="48">
        <v>0</v>
      </c>
      <c r="J275" s="48">
        <v>0</v>
      </c>
      <c r="K275" s="48">
        <v>0</v>
      </c>
    </row>
    <row r="276" spans="1:11" x14ac:dyDescent="0.25">
      <c r="A276" s="34">
        <v>1998</v>
      </c>
      <c r="B276" s="20" t="s">
        <v>31</v>
      </c>
      <c r="C276" s="20">
        <v>29</v>
      </c>
      <c r="D276" s="42" t="s">
        <v>201</v>
      </c>
      <c r="E276" s="65">
        <v>0</v>
      </c>
      <c r="F276" s="44">
        <v>6600</v>
      </c>
      <c r="G276" s="43">
        <v>0</v>
      </c>
      <c r="H276" s="48">
        <v>0</v>
      </c>
      <c r="I276" s="48">
        <v>0</v>
      </c>
      <c r="J276" s="48">
        <v>0</v>
      </c>
      <c r="K276" s="48">
        <v>0</v>
      </c>
    </row>
    <row r="277" spans="1:11" x14ac:dyDescent="0.25">
      <c r="A277" s="34">
        <v>1998</v>
      </c>
      <c r="B277" s="20" t="s">
        <v>31</v>
      </c>
      <c r="C277" s="20">
        <v>30</v>
      </c>
      <c r="D277" s="42" t="s">
        <v>547</v>
      </c>
      <c r="E277" s="65">
        <v>0</v>
      </c>
      <c r="F277" s="44">
        <v>6550</v>
      </c>
      <c r="G277" s="43">
        <v>0</v>
      </c>
      <c r="H277" s="48">
        <v>0</v>
      </c>
      <c r="I277" s="48">
        <v>0</v>
      </c>
      <c r="J277" s="48">
        <v>0</v>
      </c>
      <c r="K277" s="48">
        <v>0</v>
      </c>
    </row>
    <row r="278" spans="1:11" x14ac:dyDescent="0.25">
      <c r="A278" s="34">
        <v>1998</v>
      </c>
      <c r="B278" s="20" t="s">
        <v>1750</v>
      </c>
      <c r="C278" s="20">
        <v>1</v>
      </c>
      <c r="D278" s="42" t="s">
        <v>547</v>
      </c>
      <c r="E278" s="65">
        <v>0</v>
      </c>
      <c r="F278" s="44">
        <v>6550</v>
      </c>
      <c r="G278" s="43">
        <v>0</v>
      </c>
      <c r="H278" s="48">
        <v>0</v>
      </c>
      <c r="I278" s="48">
        <v>0</v>
      </c>
      <c r="J278" s="48">
        <v>0</v>
      </c>
      <c r="K278" s="48">
        <v>0</v>
      </c>
    </row>
    <row r="279" spans="1:11" x14ac:dyDescent="0.25">
      <c r="A279" s="34">
        <v>1998</v>
      </c>
      <c r="B279" s="20" t="s">
        <v>1750</v>
      </c>
      <c r="C279" s="20">
        <v>2</v>
      </c>
      <c r="D279" s="42" t="s">
        <v>177</v>
      </c>
      <c r="E279" s="65">
        <v>0</v>
      </c>
      <c r="F279" s="44">
        <v>6500</v>
      </c>
      <c r="G279" s="43">
        <v>0</v>
      </c>
      <c r="H279" s="48">
        <v>0</v>
      </c>
      <c r="I279" s="48">
        <v>0</v>
      </c>
      <c r="J279" s="48">
        <v>0</v>
      </c>
      <c r="K279" s="48">
        <v>0</v>
      </c>
    </row>
    <row r="280" spans="1:11" x14ac:dyDescent="0.25">
      <c r="A280" s="34">
        <v>1998</v>
      </c>
      <c r="B280" s="20" t="s">
        <v>1750</v>
      </c>
      <c r="C280" s="20">
        <v>3</v>
      </c>
      <c r="D280" s="42" t="s">
        <v>177</v>
      </c>
      <c r="E280" s="65">
        <v>0</v>
      </c>
      <c r="F280" s="44">
        <v>6500</v>
      </c>
      <c r="G280" s="43">
        <v>0</v>
      </c>
      <c r="H280" s="48">
        <v>0</v>
      </c>
      <c r="I280" s="48">
        <v>0</v>
      </c>
      <c r="J280" s="48">
        <v>0</v>
      </c>
      <c r="K280" s="48">
        <v>0</v>
      </c>
    </row>
    <row r="281" spans="1:11" x14ac:dyDescent="0.25">
      <c r="A281" s="34">
        <v>1998</v>
      </c>
      <c r="B281" s="20" t="s">
        <v>1750</v>
      </c>
      <c r="C281" s="20">
        <v>4</v>
      </c>
      <c r="D281" s="42" t="s">
        <v>411</v>
      </c>
      <c r="E281" s="65">
        <v>0</v>
      </c>
      <c r="F281" s="44">
        <v>6475</v>
      </c>
      <c r="G281" s="43">
        <v>0</v>
      </c>
      <c r="H281" s="48">
        <v>0</v>
      </c>
      <c r="I281" s="48">
        <v>0</v>
      </c>
      <c r="J281" s="48">
        <v>0</v>
      </c>
      <c r="K281" s="48">
        <v>0</v>
      </c>
    </row>
    <row r="282" spans="1:11" x14ac:dyDescent="0.25">
      <c r="A282" s="34">
        <v>1998</v>
      </c>
      <c r="B282" s="20" t="s">
        <v>1750</v>
      </c>
      <c r="C282" s="20">
        <v>5</v>
      </c>
      <c r="D282" s="42" t="s">
        <v>411</v>
      </c>
      <c r="E282" s="65">
        <v>0</v>
      </c>
      <c r="F282" s="44">
        <v>6475</v>
      </c>
      <c r="G282" s="43">
        <v>0</v>
      </c>
      <c r="H282" s="48">
        <v>0</v>
      </c>
      <c r="I282" s="48">
        <v>0</v>
      </c>
      <c r="J282" s="48">
        <v>0</v>
      </c>
      <c r="K282" s="48">
        <v>0</v>
      </c>
    </row>
    <row r="283" spans="1:11" x14ac:dyDescent="0.25">
      <c r="A283" s="34">
        <v>1998</v>
      </c>
      <c r="B283" s="20" t="s">
        <v>1750</v>
      </c>
      <c r="C283" s="20">
        <v>6</v>
      </c>
      <c r="D283" s="42" t="s">
        <v>208</v>
      </c>
      <c r="E283" s="65">
        <v>0</v>
      </c>
      <c r="F283" s="44">
        <v>6450</v>
      </c>
      <c r="G283" s="43">
        <v>0</v>
      </c>
      <c r="H283" s="48">
        <v>0</v>
      </c>
      <c r="I283" s="48">
        <v>0</v>
      </c>
      <c r="J283" s="48">
        <v>0</v>
      </c>
      <c r="K283" s="48">
        <v>0</v>
      </c>
    </row>
    <row r="284" spans="1:11" x14ac:dyDescent="0.25">
      <c r="A284" s="34">
        <v>1998</v>
      </c>
      <c r="B284" s="20" t="s">
        <v>1750</v>
      </c>
      <c r="C284" s="20">
        <v>7</v>
      </c>
      <c r="D284" s="42" t="s">
        <v>412</v>
      </c>
      <c r="E284" s="65">
        <v>0</v>
      </c>
      <c r="F284" s="44">
        <v>6425</v>
      </c>
      <c r="G284" s="43">
        <v>0</v>
      </c>
      <c r="H284" s="48">
        <v>0</v>
      </c>
      <c r="I284" s="48">
        <v>0</v>
      </c>
      <c r="J284" s="48">
        <v>0</v>
      </c>
      <c r="K284" s="48">
        <v>0</v>
      </c>
    </row>
    <row r="285" spans="1:11" x14ac:dyDescent="0.25">
      <c r="A285" s="34">
        <v>1998</v>
      </c>
      <c r="B285" s="20" t="s">
        <v>1750</v>
      </c>
      <c r="C285" s="20">
        <v>8</v>
      </c>
      <c r="D285" s="42" t="s">
        <v>212</v>
      </c>
      <c r="E285" s="65">
        <v>0</v>
      </c>
      <c r="F285" s="44">
        <v>6400</v>
      </c>
      <c r="G285" s="43">
        <v>0</v>
      </c>
      <c r="H285" s="48">
        <v>0</v>
      </c>
      <c r="I285" s="48">
        <v>0</v>
      </c>
      <c r="J285" s="48">
        <v>0</v>
      </c>
      <c r="K285" s="48">
        <v>0</v>
      </c>
    </row>
    <row r="286" spans="1:11" x14ac:dyDescent="0.25">
      <c r="A286" s="34">
        <v>1998</v>
      </c>
      <c r="B286" s="20" t="s">
        <v>1750</v>
      </c>
      <c r="C286" s="20">
        <v>9</v>
      </c>
      <c r="D286" s="42" t="s">
        <v>212</v>
      </c>
      <c r="E286" s="65">
        <v>0</v>
      </c>
      <c r="F286" s="44">
        <v>6400</v>
      </c>
      <c r="G286" s="43">
        <v>0</v>
      </c>
      <c r="H286" s="48">
        <v>0</v>
      </c>
      <c r="I286" s="48">
        <v>0</v>
      </c>
      <c r="J286" s="48">
        <v>0</v>
      </c>
      <c r="K286" s="48">
        <v>0</v>
      </c>
    </row>
    <row r="287" spans="1:11" x14ac:dyDescent="0.25">
      <c r="A287" s="34">
        <v>1998</v>
      </c>
      <c r="B287" s="20" t="s">
        <v>1750</v>
      </c>
      <c r="C287" s="20">
        <v>10</v>
      </c>
      <c r="D287" s="42" t="s">
        <v>218</v>
      </c>
      <c r="E287" s="65">
        <v>0</v>
      </c>
      <c r="F287" s="44">
        <v>6350</v>
      </c>
      <c r="G287" s="43">
        <v>0</v>
      </c>
      <c r="H287" s="48">
        <v>0</v>
      </c>
      <c r="I287" s="48">
        <v>0</v>
      </c>
      <c r="J287" s="48">
        <v>0</v>
      </c>
      <c r="K287" s="48">
        <v>0</v>
      </c>
    </row>
    <row r="288" spans="1:11" x14ac:dyDescent="0.25">
      <c r="A288" s="34">
        <v>1998</v>
      </c>
      <c r="B288" s="20" t="s">
        <v>1750</v>
      </c>
      <c r="C288" s="20">
        <v>11</v>
      </c>
      <c r="D288" s="42" t="s">
        <v>218</v>
      </c>
      <c r="E288" s="65">
        <v>0</v>
      </c>
      <c r="F288" s="44">
        <v>6350</v>
      </c>
      <c r="G288" s="43">
        <v>0</v>
      </c>
      <c r="H288" s="48">
        <v>0</v>
      </c>
      <c r="I288" s="48">
        <v>0</v>
      </c>
      <c r="J288" s="48">
        <v>0</v>
      </c>
      <c r="K288" s="48">
        <v>0</v>
      </c>
    </row>
    <row r="289" spans="1:11" x14ac:dyDescent="0.25">
      <c r="A289" s="34">
        <v>1998</v>
      </c>
      <c r="B289" s="20" t="s">
        <v>1750</v>
      </c>
      <c r="C289" s="20">
        <v>12</v>
      </c>
      <c r="D289" s="42" t="s">
        <v>175</v>
      </c>
      <c r="E289" s="65">
        <v>0</v>
      </c>
      <c r="F289" s="44">
        <v>6300</v>
      </c>
      <c r="G289" s="43">
        <v>0</v>
      </c>
      <c r="H289" s="48">
        <v>0</v>
      </c>
      <c r="I289" s="48">
        <v>0</v>
      </c>
      <c r="J289" s="48">
        <v>0</v>
      </c>
      <c r="K289" s="48">
        <v>0</v>
      </c>
    </row>
    <row r="290" spans="1:11" x14ac:dyDescent="0.25">
      <c r="A290" s="34">
        <v>1998</v>
      </c>
      <c r="B290" s="20" t="s">
        <v>1750</v>
      </c>
      <c r="C290" s="20">
        <v>13</v>
      </c>
      <c r="D290" s="42" t="s">
        <v>175</v>
      </c>
      <c r="E290" s="65">
        <v>0</v>
      </c>
      <c r="F290" s="44">
        <v>6300</v>
      </c>
      <c r="G290" s="43">
        <v>0</v>
      </c>
      <c r="H290" s="48">
        <v>0</v>
      </c>
      <c r="I290" s="48">
        <v>0</v>
      </c>
      <c r="J290" s="48">
        <v>0</v>
      </c>
      <c r="K290" s="48">
        <v>0</v>
      </c>
    </row>
    <row r="291" spans="1:11" x14ac:dyDescent="0.25">
      <c r="A291" s="34">
        <v>1998</v>
      </c>
      <c r="B291" s="20" t="s">
        <v>1750</v>
      </c>
      <c r="C291" s="20">
        <v>14</v>
      </c>
      <c r="D291" s="42" t="s">
        <v>173</v>
      </c>
      <c r="E291" s="65">
        <v>0</v>
      </c>
      <c r="F291" s="44">
        <v>6275</v>
      </c>
      <c r="G291" s="43">
        <v>0</v>
      </c>
      <c r="H291" s="48">
        <v>0</v>
      </c>
      <c r="I291" s="48">
        <v>0</v>
      </c>
      <c r="J291" s="48">
        <v>0</v>
      </c>
      <c r="K291" s="48">
        <v>0</v>
      </c>
    </row>
    <row r="292" spans="1:11" x14ac:dyDescent="0.25">
      <c r="A292" s="34">
        <v>1998</v>
      </c>
      <c r="B292" s="20" t="s">
        <v>1750</v>
      </c>
      <c r="C292" s="20">
        <v>15</v>
      </c>
      <c r="D292" s="42" t="s">
        <v>173</v>
      </c>
      <c r="E292" s="65">
        <v>0</v>
      </c>
      <c r="F292" s="44">
        <v>6275</v>
      </c>
      <c r="G292" s="43">
        <v>0</v>
      </c>
      <c r="H292" s="48">
        <v>0</v>
      </c>
      <c r="I292" s="48">
        <v>0</v>
      </c>
      <c r="J292" s="48">
        <v>0</v>
      </c>
      <c r="K292" s="48">
        <v>0</v>
      </c>
    </row>
    <row r="293" spans="1:11" x14ac:dyDescent="0.25">
      <c r="A293" s="34">
        <v>1998</v>
      </c>
      <c r="B293" s="20" t="s">
        <v>1750</v>
      </c>
      <c r="C293" s="20">
        <v>16</v>
      </c>
      <c r="D293" s="42" t="s">
        <v>173</v>
      </c>
      <c r="E293" s="65">
        <v>0</v>
      </c>
      <c r="F293" s="44">
        <v>6275</v>
      </c>
      <c r="G293" s="43">
        <v>0</v>
      </c>
      <c r="H293" s="48">
        <v>0</v>
      </c>
      <c r="I293" s="48">
        <v>0</v>
      </c>
      <c r="J293" s="48">
        <v>0</v>
      </c>
      <c r="K293" s="48">
        <v>0</v>
      </c>
    </row>
    <row r="294" spans="1:11" x14ac:dyDescent="0.25">
      <c r="A294" s="34">
        <v>1998</v>
      </c>
      <c r="B294" s="20" t="s">
        <v>1750</v>
      </c>
      <c r="C294" s="20">
        <v>17</v>
      </c>
      <c r="D294" s="42" t="s">
        <v>173</v>
      </c>
      <c r="E294" s="65">
        <v>0</v>
      </c>
      <c r="F294" s="44">
        <v>6275</v>
      </c>
      <c r="G294" s="43">
        <v>0</v>
      </c>
      <c r="H294" s="48">
        <v>0</v>
      </c>
      <c r="I294" s="48">
        <v>0</v>
      </c>
      <c r="J294" s="48">
        <v>0</v>
      </c>
      <c r="K294" s="48">
        <v>0</v>
      </c>
    </row>
    <row r="295" spans="1:11" x14ac:dyDescent="0.25">
      <c r="A295" s="34">
        <v>1998</v>
      </c>
      <c r="B295" s="20" t="s">
        <v>1750</v>
      </c>
      <c r="C295" s="20">
        <v>18</v>
      </c>
      <c r="D295" s="42" t="s">
        <v>171</v>
      </c>
      <c r="E295" s="65">
        <v>0</v>
      </c>
      <c r="F295" s="44">
        <v>6250</v>
      </c>
      <c r="G295" s="43">
        <v>0</v>
      </c>
      <c r="H295" s="48">
        <v>0</v>
      </c>
      <c r="I295" s="48">
        <v>0</v>
      </c>
      <c r="J295" s="48">
        <v>0</v>
      </c>
      <c r="K295" s="48">
        <v>0</v>
      </c>
    </row>
    <row r="296" spans="1:11" x14ac:dyDescent="0.25">
      <c r="A296" s="34">
        <v>1998</v>
      </c>
      <c r="B296" s="20" t="s">
        <v>1750</v>
      </c>
      <c r="C296" s="20">
        <v>19</v>
      </c>
      <c r="D296" s="42" t="s">
        <v>171</v>
      </c>
      <c r="E296" s="65">
        <v>0</v>
      </c>
      <c r="F296" s="44">
        <v>6250</v>
      </c>
      <c r="G296" s="43">
        <v>0</v>
      </c>
      <c r="H296" s="48">
        <v>0</v>
      </c>
      <c r="I296" s="48">
        <v>0</v>
      </c>
      <c r="J296" s="48">
        <v>0</v>
      </c>
      <c r="K296" s="48">
        <v>0</v>
      </c>
    </row>
    <row r="297" spans="1:11" x14ac:dyDescent="0.25">
      <c r="A297" s="34">
        <v>1998</v>
      </c>
      <c r="B297" s="20" t="s">
        <v>1750</v>
      </c>
      <c r="C297" s="20">
        <v>20</v>
      </c>
      <c r="D297" s="42" t="s">
        <v>171</v>
      </c>
      <c r="E297" s="65">
        <v>0</v>
      </c>
      <c r="F297" s="44">
        <v>6250</v>
      </c>
      <c r="G297" s="43">
        <v>0</v>
      </c>
      <c r="H297" s="48">
        <v>0</v>
      </c>
      <c r="I297" s="48">
        <v>0</v>
      </c>
      <c r="J297" s="48">
        <v>0</v>
      </c>
      <c r="K297" s="48">
        <v>0</v>
      </c>
    </row>
    <row r="298" spans="1:11" x14ac:dyDescent="0.25">
      <c r="A298" s="34">
        <v>1998</v>
      </c>
      <c r="B298" s="20" t="s">
        <v>1750</v>
      </c>
      <c r="C298" s="20">
        <v>21</v>
      </c>
      <c r="D298" s="42" t="s">
        <v>171</v>
      </c>
      <c r="E298" s="65">
        <v>0</v>
      </c>
      <c r="F298" s="44">
        <v>6250</v>
      </c>
      <c r="G298" s="43">
        <v>0</v>
      </c>
      <c r="H298" s="48">
        <v>0</v>
      </c>
      <c r="I298" s="48">
        <v>0</v>
      </c>
      <c r="J298" s="48">
        <v>0</v>
      </c>
      <c r="K298" s="48">
        <v>0</v>
      </c>
    </row>
    <row r="299" spans="1:11" x14ac:dyDescent="0.25">
      <c r="A299" s="34">
        <v>1998</v>
      </c>
      <c r="B299" s="20" t="s">
        <v>1750</v>
      </c>
      <c r="C299" s="20">
        <v>22</v>
      </c>
      <c r="D299" s="42" t="s">
        <v>219</v>
      </c>
      <c r="E299" s="65">
        <v>0</v>
      </c>
      <c r="F299" s="44">
        <v>6225</v>
      </c>
      <c r="G299" s="43">
        <v>0</v>
      </c>
      <c r="H299" s="48">
        <v>0</v>
      </c>
      <c r="I299" s="48">
        <v>0</v>
      </c>
      <c r="J299" s="48">
        <v>0</v>
      </c>
      <c r="K299" s="48">
        <v>0</v>
      </c>
    </row>
    <row r="300" spans="1:11" x14ac:dyDescent="0.25">
      <c r="A300" s="34">
        <v>1998</v>
      </c>
      <c r="B300" s="20" t="s">
        <v>1750</v>
      </c>
      <c r="C300" s="20">
        <v>23</v>
      </c>
      <c r="D300" s="42" t="s">
        <v>219</v>
      </c>
      <c r="E300" s="65">
        <v>0</v>
      </c>
      <c r="F300" s="44">
        <v>6225</v>
      </c>
      <c r="G300" s="43">
        <v>0</v>
      </c>
      <c r="H300" s="48">
        <v>0</v>
      </c>
      <c r="I300" s="48">
        <v>0</v>
      </c>
      <c r="J300" s="48">
        <v>0</v>
      </c>
      <c r="K300" s="48">
        <v>0</v>
      </c>
    </row>
    <row r="301" spans="1:11" x14ac:dyDescent="0.25">
      <c r="A301" s="34">
        <v>1998</v>
      </c>
      <c r="B301" s="20" t="s">
        <v>1750</v>
      </c>
      <c r="C301" s="20">
        <v>24</v>
      </c>
      <c r="D301" s="42" t="s">
        <v>219</v>
      </c>
      <c r="E301" s="65">
        <v>0</v>
      </c>
      <c r="F301" s="44">
        <v>6225</v>
      </c>
      <c r="G301" s="43">
        <v>0</v>
      </c>
      <c r="H301" s="48">
        <v>0</v>
      </c>
      <c r="I301" s="48">
        <v>0</v>
      </c>
      <c r="J301" s="48">
        <v>0</v>
      </c>
      <c r="K301" s="48">
        <v>0</v>
      </c>
    </row>
    <row r="302" spans="1:11" x14ac:dyDescent="0.25">
      <c r="A302" s="34">
        <v>1998</v>
      </c>
      <c r="B302" s="20" t="s">
        <v>1750</v>
      </c>
      <c r="C302" s="20">
        <v>25</v>
      </c>
      <c r="D302" s="42" t="s">
        <v>219</v>
      </c>
      <c r="E302" s="65">
        <v>0</v>
      </c>
      <c r="F302" s="44">
        <v>6225</v>
      </c>
      <c r="G302" s="43">
        <v>0</v>
      </c>
      <c r="H302" s="48">
        <v>0</v>
      </c>
      <c r="I302" s="48">
        <v>0</v>
      </c>
      <c r="J302" s="48">
        <v>0</v>
      </c>
      <c r="K302" s="48">
        <v>0</v>
      </c>
    </row>
    <row r="303" spans="1:11" x14ac:dyDescent="0.25">
      <c r="A303" s="34">
        <v>1998</v>
      </c>
      <c r="B303" s="20" t="s">
        <v>1750</v>
      </c>
      <c r="C303" s="20">
        <v>26</v>
      </c>
      <c r="D303" s="42" t="s">
        <v>221</v>
      </c>
      <c r="E303" s="65">
        <v>0</v>
      </c>
      <c r="F303" s="42">
        <v>6200</v>
      </c>
      <c r="G303" s="43">
        <v>0</v>
      </c>
      <c r="H303" s="48">
        <v>0</v>
      </c>
      <c r="I303" s="48">
        <v>0</v>
      </c>
      <c r="J303" s="48">
        <v>0</v>
      </c>
      <c r="K303" s="48">
        <v>0</v>
      </c>
    </row>
    <row r="304" spans="1:11" x14ac:dyDescent="0.25">
      <c r="A304" s="34">
        <v>1998</v>
      </c>
      <c r="B304" s="20" t="s">
        <v>1750</v>
      </c>
      <c r="C304" s="20">
        <v>27</v>
      </c>
      <c r="D304" s="42" t="s">
        <v>221</v>
      </c>
      <c r="E304" s="65">
        <v>0</v>
      </c>
      <c r="F304" s="42">
        <v>6200</v>
      </c>
      <c r="G304" s="43">
        <v>0</v>
      </c>
      <c r="H304" s="48">
        <v>0</v>
      </c>
      <c r="I304" s="48">
        <v>0</v>
      </c>
      <c r="J304" s="48">
        <v>0</v>
      </c>
      <c r="K304" s="48">
        <v>0</v>
      </c>
    </row>
    <row r="305" spans="1:11" x14ac:dyDescent="0.25">
      <c r="A305" s="34">
        <v>1998</v>
      </c>
      <c r="B305" s="20" t="s">
        <v>1750</v>
      </c>
      <c r="C305" s="20">
        <v>28</v>
      </c>
      <c r="D305" s="42" t="s">
        <v>171</v>
      </c>
      <c r="E305" s="65">
        <v>0</v>
      </c>
      <c r="F305" s="42">
        <v>6250</v>
      </c>
      <c r="G305" s="43">
        <v>0</v>
      </c>
      <c r="H305" s="48">
        <v>0</v>
      </c>
      <c r="I305" s="48">
        <v>0</v>
      </c>
      <c r="J305" s="48">
        <v>0</v>
      </c>
      <c r="K305" s="48">
        <v>0</v>
      </c>
    </row>
    <row r="306" spans="1:11" x14ac:dyDescent="0.25">
      <c r="A306" s="34">
        <v>1998</v>
      </c>
      <c r="B306" s="20" t="s">
        <v>1750</v>
      </c>
      <c r="C306" s="20">
        <v>29</v>
      </c>
      <c r="D306" s="42" t="s">
        <v>171</v>
      </c>
      <c r="E306" s="65">
        <v>0</v>
      </c>
      <c r="F306" s="42">
        <v>6250</v>
      </c>
      <c r="G306" s="43">
        <v>0</v>
      </c>
      <c r="H306" s="48">
        <v>0</v>
      </c>
      <c r="I306" s="48">
        <v>0</v>
      </c>
      <c r="J306" s="48">
        <v>0</v>
      </c>
      <c r="K306" s="48">
        <v>0</v>
      </c>
    </row>
    <row r="307" spans="1:11" x14ac:dyDescent="0.25">
      <c r="A307" s="34">
        <v>1998</v>
      </c>
      <c r="B307" s="20" t="s">
        <v>1750</v>
      </c>
      <c r="C307" s="20">
        <v>30</v>
      </c>
      <c r="D307" s="42" t="s">
        <v>175</v>
      </c>
      <c r="E307" s="65">
        <v>0</v>
      </c>
      <c r="F307" s="42">
        <v>6300</v>
      </c>
      <c r="G307" s="43">
        <v>0</v>
      </c>
      <c r="H307" s="48">
        <v>0</v>
      </c>
      <c r="I307" s="48">
        <v>0</v>
      </c>
      <c r="J307" s="48">
        <v>0</v>
      </c>
      <c r="K307" s="48">
        <v>0</v>
      </c>
    </row>
    <row r="308" spans="1:11" x14ac:dyDescent="0.25">
      <c r="A308" s="34">
        <v>1998</v>
      </c>
      <c r="B308" s="20" t="s">
        <v>1750</v>
      </c>
      <c r="C308" s="20">
        <v>31</v>
      </c>
      <c r="D308" s="42" t="s">
        <v>175</v>
      </c>
      <c r="E308" s="65">
        <v>0</v>
      </c>
      <c r="F308" s="42">
        <v>6300</v>
      </c>
      <c r="G308" s="43">
        <v>0</v>
      </c>
      <c r="H308" s="48">
        <v>0</v>
      </c>
      <c r="I308" s="48">
        <v>0</v>
      </c>
      <c r="J308" s="48">
        <v>0</v>
      </c>
      <c r="K308" s="48">
        <v>0</v>
      </c>
    </row>
    <row r="309" spans="1:11" x14ac:dyDescent="0.25">
      <c r="A309" s="34">
        <v>1998</v>
      </c>
      <c r="B309" s="21" t="s">
        <v>32</v>
      </c>
      <c r="C309" s="20">
        <v>1</v>
      </c>
      <c r="D309" s="38" t="s">
        <v>175</v>
      </c>
      <c r="E309" s="65">
        <v>0</v>
      </c>
      <c r="F309" s="44">
        <v>6300</v>
      </c>
      <c r="G309" s="43">
        <v>0</v>
      </c>
      <c r="H309" s="48">
        <v>0</v>
      </c>
      <c r="I309" s="48">
        <v>0</v>
      </c>
      <c r="J309" s="48">
        <v>0</v>
      </c>
      <c r="K309" s="48">
        <v>0</v>
      </c>
    </row>
    <row r="310" spans="1:11" x14ac:dyDescent="0.25">
      <c r="A310" s="34">
        <v>1998</v>
      </c>
      <c r="B310" s="20" t="s">
        <v>32</v>
      </c>
      <c r="C310" s="20">
        <v>2</v>
      </c>
      <c r="D310" s="38" t="s">
        <v>218</v>
      </c>
      <c r="E310" s="65">
        <v>0</v>
      </c>
      <c r="F310" s="44">
        <v>6350</v>
      </c>
      <c r="G310" s="43">
        <v>0</v>
      </c>
      <c r="H310" s="48">
        <v>0</v>
      </c>
      <c r="I310" s="48">
        <v>0</v>
      </c>
      <c r="J310" s="48">
        <v>0</v>
      </c>
      <c r="K310" s="48">
        <v>0</v>
      </c>
    </row>
    <row r="311" spans="1:11" x14ac:dyDescent="0.25">
      <c r="A311" s="34">
        <v>1998</v>
      </c>
      <c r="B311" s="20" t="s">
        <v>32</v>
      </c>
      <c r="C311" s="20">
        <v>3</v>
      </c>
      <c r="D311" s="38" t="s">
        <v>218</v>
      </c>
      <c r="E311" s="65">
        <v>0</v>
      </c>
      <c r="F311" s="44">
        <v>6350</v>
      </c>
      <c r="G311" s="43">
        <v>0</v>
      </c>
      <c r="H311" s="48">
        <v>0</v>
      </c>
      <c r="I311" s="48">
        <v>0</v>
      </c>
      <c r="J311" s="48">
        <v>0</v>
      </c>
      <c r="K311" s="48">
        <v>0</v>
      </c>
    </row>
    <row r="312" spans="1:11" x14ac:dyDescent="0.25">
      <c r="A312" s="34">
        <v>1998</v>
      </c>
      <c r="B312" s="20" t="s">
        <v>32</v>
      </c>
      <c r="C312" s="20">
        <v>4</v>
      </c>
      <c r="D312" s="38" t="s">
        <v>212</v>
      </c>
      <c r="E312" s="65">
        <v>0</v>
      </c>
      <c r="F312" s="44">
        <v>6400</v>
      </c>
      <c r="G312" s="43">
        <v>0</v>
      </c>
      <c r="H312" s="48">
        <v>0</v>
      </c>
      <c r="I312" s="48">
        <v>0</v>
      </c>
      <c r="J312" s="48">
        <v>0</v>
      </c>
      <c r="K312" s="48">
        <v>0</v>
      </c>
    </row>
    <row r="313" spans="1:11" x14ac:dyDescent="0.25">
      <c r="A313" s="34">
        <v>1998</v>
      </c>
      <c r="B313" s="20" t="s">
        <v>32</v>
      </c>
      <c r="C313" s="20">
        <v>5</v>
      </c>
      <c r="D313" s="38" t="s">
        <v>208</v>
      </c>
      <c r="E313" s="65">
        <v>0</v>
      </c>
      <c r="F313" s="44">
        <v>6450</v>
      </c>
      <c r="G313" s="43">
        <v>0</v>
      </c>
      <c r="H313" s="48">
        <v>0</v>
      </c>
      <c r="I313" s="48">
        <v>0</v>
      </c>
      <c r="J313" s="48">
        <v>0</v>
      </c>
      <c r="K313" s="48">
        <v>0</v>
      </c>
    </row>
    <row r="314" spans="1:11" x14ac:dyDescent="0.25">
      <c r="A314" s="34">
        <v>1998</v>
      </c>
      <c r="B314" s="20" t="s">
        <v>32</v>
      </c>
      <c r="C314" s="20">
        <v>6</v>
      </c>
      <c r="D314" s="38" t="s">
        <v>208</v>
      </c>
      <c r="E314" s="65">
        <v>0</v>
      </c>
      <c r="F314" s="42">
        <v>6450</v>
      </c>
      <c r="G314" s="43">
        <v>0</v>
      </c>
      <c r="H314" s="48">
        <v>0</v>
      </c>
      <c r="I314" s="48">
        <v>0</v>
      </c>
      <c r="J314" s="48">
        <v>0</v>
      </c>
      <c r="K314" s="48">
        <v>0</v>
      </c>
    </row>
    <row r="315" spans="1:11" x14ac:dyDescent="0.25">
      <c r="A315" s="34">
        <v>1998</v>
      </c>
      <c r="B315" s="20" t="s">
        <v>32</v>
      </c>
      <c r="C315" s="20">
        <v>7</v>
      </c>
      <c r="D315" s="38" t="s">
        <v>177</v>
      </c>
      <c r="E315" s="65">
        <v>0</v>
      </c>
      <c r="F315" s="42">
        <v>6500</v>
      </c>
      <c r="G315" s="43">
        <v>0</v>
      </c>
      <c r="H315" s="48">
        <v>0</v>
      </c>
      <c r="I315" s="48">
        <v>0</v>
      </c>
      <c r="J315" s="48">
        <v>0</v>
      </c>
      <c r="K315" s="48">
        <v>0</v>
      </c>
    </row>
    <row r="316" spans="1:11" x14ac:dyDescent="0.25">
      <c r="A316" s="34">
        <v>1998</v>
      </c>
      <c r="B316" s="20" t="s">
        <v>32</v>
      </c>
      <c r="C316" s="20">
        <v>8</v>
      </c>
      <c r="D316" s="38" t="s">
        <v>201</v>
      </c>
      <c r="E316" s="65">
        <v>0</v>
      </c>
      <c r="F316" s="44">
        <v>6600</v>
      </c>
      <c r="G316" s="43">
        <v>0</v>
      </c>
      <c r="H316" s="48">
        <v>0</v>
      </c>
      <c r="I316" s="48">
        <v>0</v>
      </c>
      <c r="J316" s="48">
        <v>0</v>
      </c>
      <c r="K316" s="48">
        <v>0</v>
      </c>
    </row>
    <row r="317" spans="1:11" x14ac:dyDescent="0.25">
      <c r="A317" s="34">
        <v>1998</v>
      </c>
      <c r="B317" s="20" t="s">
        <v>32</v>
      </c>
      <c r="C317" s="20">
        <v>9</v>
      </c>
      <c r="D317" s="38" t="s">
        <v>422</v>
      </c>
      <c r="E317" s="65">
        <v>0</v>
      </c>
      <c r="F317" s="44">
        <v>6700</v>
      </c>
      <c r="G317" s="43">
        <v>0</v>
      </c>
      <c r="H317" s="48">
        <v>0</v>
      </c>
      <c r="I317" s="48">
        <v>0</v>
      </c>
      <c r="J317" s="48">
        <v>0</v>
      </c>
      <c r="K317" s="48">
        <v>0</v>
      </c>
    </row>
    <row r="318" spans="1:11" x14ac:dyDescent="0.25">
      <c r="A318" s="34">
        <v>1998</v>
      </c>
      <c r="B318" s="20" t="s">
        <v>32</v>
      </c>
      <c r="C318" s="20">
        <v>10</v>
      </c>
      <c r="D318" s="38" t="s">
        <v>422</v>
      </c>
      <c r="E318" s="65">
        <v>0</v>
      </c>
      <c r="F318" s="44">
        <v>6700</v>
      </c>
      <c r="G318" s="43">
        <v>0</v>
      </c>
      <c r="H318" s="48">
        <v>0</v>
      </c>
      <c r="I318" s="48">
        <v>0</v>
      </c>
      <c r="J318" s="48">
        <v>0</v>
      </c>
      <c r="K318" s="48">
        <v>0</v>
      </c>
    </row>
    <row r="319" spans="1:11" x14ac:dyDescent="0.25">
      <c r="A319" s="34">
        <v>1998</v>
      </c>
      <c r="B319" s="20" t="s">
        <v>32</v>
      </c>
      <c r="C319" s="20">
        <v>11</v>
      </c>
      <c r="D319" s="38" t="s">
        <v>194</v>
      </c>
      <c r="E319" s="65">
        <v>0</v>
      </c>
      <c r="F319" s="44">
        <v>6800</v>
      </c>
      <c r="G319" s="43">
        <v>0</v>
      </c>
      <c r="H319" s="48">
        <v>0</v>
      </c>
      <c r="I319" s="48">
        <v>0</v>
      </c>
      <c r="J319" s="48">
        <v>0</v>
      </c>
      <c r="K319" s="48">
        <v>0</v>
      </c>
    </row>
    <row r="320" spans="1:11" x14ac:dyDescent="0.25">
      <c r="A320" s="34">
        <v>1998</v>
      </c>
      <c r="B320" s="20" t="s">
        <v>32</v>
      </c>
      <c r="C320" s="20">
        <v>12</v>
      </c>
      <c r="D320" s="38" t="s">
        <v>194</v>
      </c>
      <c r="E320" s="65">
        <v>0</v>
      </c>
      <c r="F320" s="44">
        <v>6800</v>
      </c>
      <c r="G320" s="43">
        <v>0</v>
      </c>
      <c r="H320" s="48">
        <v>0</v>
      </c>
      <c r="I320" s="48">
        <v>0</v>
      </c>
      <c r="J320" s="48">
        <v>0</v>
      </c>
      <c r="K320" s="48">
        <v>0</v>
      </c>
    </row>
    <row r="321" spans="1:11" x14ac:dyDescent="0.25">
      <c r="A321" s="34">
        <v>1998</v>
      </c>
      <c r="B321" s="20" t="s">
        <v>32</v>
      </c>
      <c r="C321" s="20">
        <v>13</v>
      </c>
      <c r="D321" s="38" t="s">
        <v>192</v>
      </c>
      <c r="E321" s="65">
        <v>0</v>
      </c>
      <c r="F321" s="42">
        <v>6900</v>
      </c>
      <c r="G321" s="43">
        <v>0</v>
      </c>
      <c r="H321" s="48">
        <v>0</v>
      </c>
      <c r="I321" s="48">
        <v>0</v>
      </c>
      <c r="J321" s="48">
        <v>0</v>
      </c>
      <c r="K321" s="48">
        <v>0</v>
      </c>
    </row>
    <row r="322" spans="1:11" x14ac:dyDescent="0.25">
      <c r="A322" s="34">
        <v>1998</v>
      </c>
      <c r="B322" s="20" t="s">
        <v>32</v>
      </c>
      <c r="C322" s="20">
        <v>14</v>
      </c>
      <c r="D322" s="38" t="s">
        <v>192</v>
      </c>
      <c r="E322" s="65">
        <v>0</v>
      </c>
      <c r="F322" s="42">
        <v>6900</v>
      </c>
      <c r="G322" s="43">
        <v>0</v>
      </c>
      <c r="H322" s="48">
        <v>0</v>
      </c>
      <c r="I322" s="48">
        <v>0</v>
      </c>
      <c r="J322" s="48">
        <v>0</v>
      </c>
      <c r="K322" s="48">
        <v>0</v>
      </c>
    </row>
    <row r="323" spans="1:11" x14ac:dyDescent="0.25">
      <c r="A323" s="34">
        <v>1998</v>
      </c>
      <c r="B323" s="20" t="s">
        <v>32</v>
      </c>
      <c r="C323" s="20">
        <v>15</v>
      </c>
      <c r="D323" s="38" t="s">
        <v>118</v>
      </c>
      <c r="E323" s="65">
        <v>0</v>
      </c>
      <c r="F323" s="42">
        <v>6950</v>
      </c>
      <c r="G323" s="43">
        <v>0</v>
      </c>
      <c r="H323" s="48">
        <v>0</v>
      </c>
      <c r="I323" s="48">
        <v>0</v>
      </c>
      <c r="J323" s="48">
        <v>0</v>
      </c>
      <c r="K323" s="48">
        <v>0</v>
      </c>
    </row>
    <row r="324" spans="1:11" x14ac:dyDescent="0.25">
      <c r="A324" s="34">
        <v>1998</v>
      </c>
      <c r="B324" s="20" t="s">
        <v>32</v>
      </c>
      <c r="C324" s="20">
        <v>16</v>
      </c>
      <c r="D324" s="38" t="s">
        <v>108</v>
      </c>
      <c r="E324" s="65">
        <v>0</v>
      </c>
      <c r="F324" s="44">
        <v>7000</v>
      </c>
      <c r="G324" s="43">
        <v>0</v>
      </c>
      <c r="H324" s="48">
        <v>0</v>
      </c>
      <c r="I324" s="48">
        <v>0</v>
      </c>
      <c r="J324" s="48">
        <v>0</v>
      </c>
      <c r="K324" s="48">
        <v>0</v>
      </c>
    </row>
    <row r="325" spans="1:11" x14ac:dyDescent="0.25">
      <c r="A325" s="34">
        <v>1998</v>
      </c>
      <c r="B325" s="20" t="s">
        <v>32</v>
      </c>
      <c r="C325" s="20">
        <v>17</v>
      </c>
      <c r="D325" s="38" t="s">
        <v>108</v>
      </c>
      <c r="E325" s="65">
        <v>0</v>
      </c>
      <c r="F325" s="38" t="s">
        <v>121</v>
      </c>
      <c r="G325" s="43">
        <v>0</v>
      </c>
      <c r="H325" s="48">
        <v>0</v>
      </c>
      <c r="I325" s="48">
        <v>0</v>
      </c>
      <c r="J325" s="48">
        <v>0</v>
      </c>
      <c r="K325" s="48">
        <v>0</v>
      </c>
    </row>
    <row r="326" spans="1:11" x14ac:dyDescent="0.25">
      <c r="A326" s="34">
        <v>1998</v>
      </c>
      <c r="B326" s="20" t="s">
        <v>32</v>
      </c>
      <c r="C326" s="20">
        <v>18</v>
      </c>
      <c r="D326" s="38" t="s">
        <v>108</v>
      </c>
      <c r="E326" s="65">
        <v>0</v>
      </c>
      <c r="F326" s="38" t="s">
        <v>121</v>
      </c>
      <c r="G326" s="43">
        <v>0</v>
      </c>
      <c r="H326" s="48">
        <v>0</v>
      </c>
      <c r="I326" s="48">
        <v>0</v>
      </c>
      <c r="J326" s="48">
        <v>0</v>
      </c>
      <c r="K326" s="48">
        <v>0</v>
      </c>
    </row>
    <row r="327" spans="1:11" x14ac:dyDescent="0.25">
      <c r="A327" s="34">
        <v>1998</v>
      </c>
      <c r="B327" s="20" t="s">
        <v>32</v>
      </c>
      <c r="C327" s="20">
        <v>19</v>
      </c>
      <c r="D327" s="38" t="s">
        <v>1219</v>
      </c>
      <c r="E327" s="65">
        <v>0</v>
      </c>
      <c r="F327" s="38" t="s">
        <v>1220</v>
      </c>
      <c r="G327" s="43">
        <v>0</v>
      </c>
      <c r="H327" s="48">
        <v>0</v>
      </c>
      <c r="I327" s="48">
        <v>0</v>
      </c>
      <c r="J327" s="48">
        <v>0</v>
      </c>
      <c r="K327" s="48">
        <v>0</v>
      </c>
    </row>
    <row r="328" spans="1:11" x14ac:dyDescent="0.25">
      <c r="A328" s="34">
        <v>1998</v>
      </c>
      <c r="B328" s="20" t="s">
        <v>32</v>
      </c>
      <c r="C328" s="20">
        <v>20</v>
      </c>
      <c r="D328" s="38" t="s">
        <v>1219</v>
      </c>
      <c r="E328" s="65">
        <v>0</v>
      </c>
      <c r="F328" s="38" t="s">
        <v>1220</v>
      </c>
      <c r="G328" s="43">
        <v>0</v>
      </c>
      <c r="H328" s="48">
        <v>0</v>
      </c>
      <c r="I328" s="48">
        <v>0</v>
      </c>
      <c r="J328" s="48">
        <v>0</v>
      </c>
      <c r="K328" s="48">
        <v>0</v>
      </c>
    </row>
    <row r="329" spans="1:11" x14ac:dyDescent="0.25">
      <c r="A329" s="34">
        <v>1998</v>
      </c>
      <c r="B329" s="20" t="s">
        <v>32</v>
      </c>
      <c r="C329" s="20">
        <v>21</v>
      </c>
      <c r="D329" s="38" t="s">
        <v>1219</v>
      </c>
      <c r="E329" s="65">
        <v>0</v>
      </c>
      <c r="F329" s="38" t="s">
        <v>1220</v>
      </c>
      <c r="G329" s="43">
        <v>0</v>
      </c>
      <c r="H329" s="48">
        <v>0</v>
      </c>
      <c r="I329" s="48">
        <v>0</v>
      </c>
      <c r="J329" s="48">
        <v>0</v>
      </c>
      <c r="K329" s="48">
        <v>0</v>
      </c>
    </row>
    <row r="330" spans="1:11" x14ac:dyDescent="0.25">
      <c r="A330" s="34">
        <v>1998</v>
      </c>
      <c r="B330" s="20" t="s">
        <v>32</v>
      </c>
      <c r="C330" s="20">
        <v>22</v>
      </c>
      <c r="D330" s="38" t="s">
        <v>110</v>
      </c>
      <c r="E330" s="65">
        <v>0</v>
      </c>
      <c r="F330" s="44" t="s">
        <v>119</v>
      </c>
      <c r="G330" s="43">
        <v>0</v>
      </c>
      <c r="H330" s="48">
        <v>0</v>
      </c>
      <c r="I330" s="48">
        <v>0</v>
      </c>
      <c r="J330" s="48">
        <v>0</v>
      </c>
      <c r="K330" s="48">
        <v>0</v>
      </c>
    </row>
    <row r="331" spans="1:11" x14ac:dyDescent="0.25">
      <c r="A331" s="34">
        <v>1998</v>
      </c>
      <c r="B331" s="20" t="s">
        <v>32</v>
      </c>
      <c r="C331" s="20">
        <v>23</v>
      </c>
      <c r="D331" s="38" t="s">
        <v>110</v>
      </c>
      <c r="E331" s="65">
        <v>0</v>
      </c>
      <c r="F331" s="44">
        <v>7100</v>
      </c>
      <c r="G331" s="43">
        <v>0</v>
      </c>
      <c r="H331" s="48">
        <v>0</v>
      </c>
      <c r="I331" s="48">
        <v>0</v>
      </c>
      <c r="J331" s="48">
        <v>0</v>
      </c>
      <c r="K331" s="48">
        <v>0</v>
      </c>
    </row>
    <row r="332" spans="1:11" x14ac:dyDescent="0.25">
      <c r="A332" s="34">
        <v>1998</v>
      </c>
      <c r="B332" s="20" t="s">
        <v>32</v>
      </c>
      <c r="C332" s="20">
        <v>24</v>
      </c>
      <c r="D332" s="38" t="s">
        <v>110</v>
      </c>
      <c r="E332" s="65">
        <v>0</v>
      </c>
      <c r="F332" s="38" t="s">
        <v>119</v>
      </c>
      <c r="G332" s="43">
        <v>0</v>
      </c>
      <c r="H332" s="48">
        <v>0</v>
      </c>
      <c r="I332" s="48">
        <v>0</v>
      </c>
      <c r="J332" s="48">
        <v>0</v>
      </c>
      <c r="K332" s="48">
        <v>0</v>
      </c>
    </row>
    <row r="333" spans="1:11" x14ac:dyDescent="0.25">
      <c r="A333" s="34">
        <v>1998</v>
      </c>
      <c r="B333" s="20" t="s">
        <v>32</v>
      </c>
      <c r="C333" s="20">
        <v>25</v>
      </c>
      <c r="D333" s="38" t="s">
        <v>110</v>
      </c>
      <c r="E333" s="65">
        <v>0</v>
      </c>
      <c r="F333" s="38" t="s">
        <v>119</v>
      </c>
      <c r="G333" s="43">
        <v>0</v>
      </c>
      <c r="H333" s="48">
        <v>0</v>
      </c>
      <c r="I333" s="48">
        <v>0</v>
      </c>
      <c r="J333" s="48">
        <v>0</v>
      </c>
      <c r="K333" s="48">
        <v>0</v>
      </c>
    </row>
    <row r="334" spans="1:11" x14ac:dyDescent="0.25">
      <c r="A334" s="34">
        <v>1998</v>
      </c>
      <c r="B334" s="20" t="s">
        <v>32</v>
      </c>
      <c r="C334" s="20">
        <v>26</v>
      </c>
      <c r="D334" s="38" t="s">
        <v>110</v>
      </c>
      <c r="E334" s="65">
        <v>0</v>
      </c>
      <c r="F334" s="38" t="s">
        <v>119</v>
      </c>
      <c r="G334" s="43">
        <v>0</v>
      </c>
      <c r="H334" s="48">
        <v>0</v>
      </c>
      <c r="I334" s="48">
        <v>0</v>
      </c>
      <c r="J334" s="48">
        <v>0</v>
      </c>
      <c r="K334" s="48">
        <v>0</v>
      </c>
    </row>
    <row r="335" spans="1:11" x14ac:dyDescent="0.25">
      <c r="A335" s="34">
        <v>1998</v>
      </c>
      <c r="B335" s="20" t="s">
        <v>32</v>
      </c>
      <c r="C335" s="20">
        <v>27</v>
      </c>
      <c r="D335" s="38" t="s">
        <v>110</v>
      </c>
      <c r="E335" s="65">
        <v>0</v>
      </c>
      <c r="F335" s="38" t="s">
        <v>119</v>
      </c>
      <c r="G335" s="43">
        <v>0</v>
      </c>
      <c r="H335" s="48">
        <v>0</v>
      </c>
      <c r="I335" s="48">
        <v>0</v>
      </c>
      <c r="J335" s="48">
        <v>0</v>
      </c>
      <c r="K335" s="48">
        <v>0</v>
      </c>
    </row>
    <row r="336" spans="1:11" x14ac:dyDescent="0.25">
      <c r="A336" s="34">
        <v>1998</v>
      </c>
      <c r="B336" s="20" t="s">
        <v>32</v>
      </c>
      <c r="C336" s="20">
        <v>28</v>
      </c>
      <c r="D336" s="38" t="s">
        <v>110</v>
      </c>
      <c r="E336" s="65">
        <v>0</v>
      </c>
      <c r="F336" s="38" t="s">
        <v>119</v>
      </c>
      <c r="G336" s="43">
        <v>0</v>
      </c>
      <c r="H336" s="48">
        <v>0</v>
      </c>
      <c r="I336" s="48">
        <v>0</v>
      </c>
      <c r="J336" s="48">
        <v>0</v>
      </c>
      <c r="K336" s="48">
        <v>0</v>
      </c>
    </row>
    <row r="337" spans="1:11" x14ac:dyDescent="0.25">
      <c r="A337" s="34">
        <v>1998</v>
      </c>
      <c r="B337" s="20" t="s">
        <v>32</v>
      </c>
      <c r="C337" s="20">
        <v>29</v>
      </c>
      <c r="D337" s="38" t="s">
        <v>106</v>
      </c>
      <c r="E337" s="65">
        <v>0</v>
      </c>
      <c r="F337" s="38" t="s">
        <v>109</v>
      </c>
      <c r="G337" s="43">
        <v>0</v>
      </c>
      <c r="H337" s="48">
        <v>0</v>
      </c>
      <c r="I337" s="48">
        <v>0</v>
      </c>
      <c r="J337" s="48">
        <v>0</v>
      </c>
      <c r="K337" s="48">
        <v>0</v>
      </c>
    </row>
    <row r="338" spans="1:11" x14ac:dyDescent="0.25">
      <c r="A338" s="34">
        <v>1998</v>
      </c>
      <c r="B338" s="20" t="s">
        <v>32</v>
      </c>
      <c r="C338" s="20">
        <v>30</v>
      </c>
      <c r="D338" s="38" t="s">
        <v>106</v>
      </c>
      <c r="E338" s="65">
        <v>0</v>
      </c>
      <c r="F338" s="38" t="s">
        <v>109</v>
      </c>
      <c r="G338" s="43">
        <v>0</v>
      </c>
      <c r="H338" s="48">
        <v>0</v>
      </c>
      <c r="I338" s="48">
        <v>0</v>
      </c>
      <c r="J338" s="48">
        <v>0</v>
      </c>
      <c r="K338" s="48">
        <v>0</v>
      </c>
    </row>
    <row r="339" spans="1:11" x14ac:dyDescent="0.25">
      <c r="A339" s="34">
        <v>1998</v>
      </c>
      <c r="B339" s="21" t="s">
        <v>33</v>
      </c>
      <c r="C339" s="20">
        <v>1</v>
      </c>
      <c r="D339" s="42" t="s">
        <v>106</v>
      </c>
      <c r="E339" s="65">
        <v>0</v>
      </c>
      <c r="F339" s="44">
        <v>7200</v>
      </c>
      <c r="G339" s="43">
        <v>0</v>
      </c>
      <c r="H339" s="48">
        <v>0</v>
      </c>
      <c r="I339" s="48">
        <v>0</v>
      </c>
      <c r="J339" s="48">
        <v>0</v>
      </c>
      <c r="K339" s="48">
        <v>0</v>
      </c>
    </row>
    <row r="340" spans="1:11" x14ac:dyDescent="0.25">
      <c r="A340" s="34">
        <v>1998</v>
      </c>
      <c r="B340" s="20" t="s">
        <v>33</v>
      </c>
      <c r="C340" s="20">
        <v>2</v>
      </c>
      <c r="D340" s="42" t="s">
        <v>106</v>
      </c>
      <c r="E340" s="65">
        <v>0</v>
      </c>
      <c r="F340" s="44">
        <v>7200</v>
      </c>
      <c r="G340" s="43">
        <v>0</v>
      </c>
      <c r="H340" s="48">
        <v>0</v>
      </c>
      <c r="I340" s="48">
        <v>0</v>
      </c>
      <c r="J340" s="48">
        <v>0</v>
      </c>
      <c r="K340" s="48">
        <v>0</v>
      </c>
    </row>
    <row r="341" spans="1:11" x14ac:dyDescent="0.25">
      <c r="A341" s="34">
        <v>1998</v>
      </c>
      <c r="B341" s="20" t="s">
        <v>33</v>
      </c>
      <c r="C341" s="20">
        <v>3</v>
      </c>
      <c r="D341" s="42" t="s">
        <v>1</v>
      </c>
      <c r="E341" s="65">
        <v>0</v>
      </c>
      <c r="F341" s="44">
        <v>7300</v>
      </c>
      <c r="G341" s="43">
        <v>0</v>
      </c>
      <c r="H341" s="48">
        <v>0</v>
      </c>
      <c r="I341" s="48">
        <v>0</v>
      </c>
      <c r="J341" s="48">
        <v>0</v>
      </c>
      <c r="K341" s="48">
        <v>0</v>
      </c>
    </row>
    <row r="342" spans="1:11" x14ac:dyDescent="0.25">
      <c r="A342" s="34">
        <v>1998</v>
      </c>
      <c r="B342" s="20" t="s">
        <v>33</v>
      </c>
      <c r="C342" s="20">
        <v>4</v>
      </c>
      <c r="D342" s="42" t="s">
        <v>1</v>
      </c>
      <c r="E342" s="65">
        <v>0</v>
      </c>
      <c r="F342" s="44">
        <v>7300</v>
      </c>
      <c r="G342" s="43">
        <v>0</v>
      </c>
      <c r="H342" s="48">
        <v>0</v>
      </c>
      <c r="I342" s="48">
        <v>0</v>
      </c>
      <c r="J342" s="48">
        <v>0</v>
      </c>
      <c r="K342" s="48">
        <v>0</v>
      </c>
    </row>
    <row r="343" spans="1:11" x14ac:dyDescent="0.25">
      <c r="A343" s="34">
        <v>1998</v>
      </c>
      <c r="B343" s="20" t="s">
        <v>33</v>
      </c>
      <c r="C343" s="20">
        <v>5</v>
      </c>
      <c r="D343" s="42" t="s">
        <v>1</v>
      </c>
      <c r="E343" s="65">
        <v>0</v>
      </c>
      <c r="F343" s="44">
        <v>7300</v>
      </c>
      <c r="G343" s="43">
        <v>0</v>
      </c>
      <c r="H343" s="48">
        <v>0</v>
      </c>
      <c r="I343" s="48">
        <v>0</v>
      </c>
      <c r="J343" s="48">
        <v>0</v>
      </c>
      <c r="K343" s="48">
        <v>0</v>
      </c>
    </row>
    <row r="344" spans="1:11" x14ac:dyDescent="0.25">
      <c r="A344" s="34">
        <v>1998</v>
      </c>
      <c r="B344" s="20" t="s">
        <v>33</v>
      </c>
      <c r="C344" s="20">
        <v>6</v>
      </c>
      <c r="D344" s="42" t="s">
        <v>1</v>
      </c>
      <c r="E344" s="65">
        <v>0</v>
      </c>
      <c r="F344" s="44">
        <v>7300</v>
      </c>
      <c r="G344" s="43">
        <v>0</v>
      </c>
      <c r="H344" s="48">
        <v>0</v>
      </c>
      <c r="I344" s="48">
        <v>0</v>
      </c>
      <c r="J344" s="48">
        <v>0</v>
      </c>
      <c r="K344" s="48">
        <v>0</v>
      </c>
    </row>
    <row r="345" spans="1:11" x14ac:dyDescent="0.25">
      <c r="A345" s="34">
        <v>1998</v>
      </c>
      <c r="B345" s="20" t="s">
        <v>33</v>
      </c>
      <c r="C345" s="20">
        <v>7</v>
      </c>
      <c r="D345" s="42" t="s">
        <v>3</v>
      </c>
      <c r="E345" s="65">
        <v>0</v>
      </c>
      <c r="F345" s="44">
        <v>7400</v>
      </c>
      <c r="G345" s="43">
        <v>0</v>
      </c>
      <c r="H345" s="48">
        <v>0</v>
      </c>
      <c r="I345" s="48">
        <v>0</v>
      </c>
      <c r="J345" s="48">
        <v>0</v>
      </c>
      <c r="K345" s="48">
        <v>0</v>
      </c>
    </row>
    <row r="346" spans="1:11" x14ac:dyDescent="0.25">
      <c r="A346" s="34">
        <v>1998</v>
      </c>
      <c r="B346" s="20" t="s">
        <v>33</v>
      </c>
      <c r="C346" s="20">
        <v>8</v>
      </c>
      <c r="D346" s="42" t="s">
        <v>3</v>
      </c>
      <c r="E346" s="65">
        <v>0</v>
      </c>
      <c r="F346" s="44">
        <v>7400</v>
      </c>
      <c r="G346" s="43">
        <v>0</v>
      </c>
      <c r="H346" s="48">
        <v>0</v>
      </c>
      <c r="I346" s="48">
        <v>0</v>
      </c>
      <c r="J346" s="48">
        <v>0</v>
      </c>
      <c r="K346" s="48">
        <v>0</v>
      </c>
    </row>
    <row r="347" spans="1:11" x14ac:dyDescent="0.25">
      <c r="A347" s="34">
        <v>1998</v>
      </c>
      <c r="B347" s="20" t="s">
        <v>33</v>
      </c>
      <c r="C347" s="20">
        <v>9</v>
      </c>
      <c r="D347" s="42" t="s">
        <v>548</v>
      </c>
      <c r="E347" s="65">
        <v>0</v>
      </c>
      <c r="F347" s="44">
        <v>7900</v>
      </c>
      <c r="G347" s="43">
        <v>0</v>
      </c>
      <c r="H347" s="48">
        <v>0</v>
      </c>
      <c r="I347" s="48">
        <v>0</v>
      </c>
      <c r="J347" s="48">
        <v>0</v>
      </c>
      <c r="K347" s="48">
        <v>0</v>
      </c>
    </row>
    <row r="348" spans="1:11" x14ac:dyDescent="0.25">
      <c r="A348" s="34">
        <v>1998</v>
      </c>
      <c r="B348" s="20" t="s">
        <v>33</v>
      </c>
      <c r="C348" s="20">
        <v>10</v>
      </c>
      <c r="D348" s="42" t="s">
        <v>549</v>
      </c>
      <c r="E348" s="65">
        <v>0</v>
      </c>
      <c r="F348" s="44">
        <v>7950</v>
      </c>
      <c r="G348" s="43">
        <v>0</v>
      </c>
      <c r="H348" s="48">
        <v>0</v>
      </c>
      <c r="I348" s="48">
        <v>0</v>
      </c>
      <c r="J348" s="48">
        <v>0</v>
      </c>
      <c r="K348" s="48">
        <v>0</v>
      </c>
    </row>
    <row r="349" spans="1:11" x14ac:dyDescent="0.25">
      <c r="A349" s="34">
        <v>1998</v>
      </c>
      <c r="B349" s="20" t="s">
        <v>33</v>
      </c>
      <c r="C349" s="20">
        <v>11</v>
      </c>
      <c r="D349" s="42" t="s">
        <v>88</v>
      </c>
      <c r="E349" s="65">
        <v>0</v>
      </c>
      <c r="F349" s="44">
        <v>8300</v>
      </c>
      <c r="G349" s="43">
        <v>0</v>
      </c>
      <c r="H349" s="48">
        <v>0</v>
      </c>
      <c r="I349" s="48">
        <v>0</v>
      </c>
      <c r="J349" s="48">
        <v>0</v>
      </c>
      <c r="K349" s="48">
        <v>0</v>
      </c>
    </row>
    <row r="350" spans="1:11" x14ac:dyDescent="0.25">
      <c r="A350" s="34">
        <v>1998</v>
      </c>
      <c r="B350" s="20" t="s">
        <v>33</v>
      </c>
      <c r="C350" s="20">
        <v>12</v>
      </c>
      <c r="D350" s="42" t="s">
        <v>326</v>
      </c>
      <c r="E350" s="65">
        <v>0</v>
      </c>
      <c r="F350" s="44">
        <v>8700</v>
      </c>
      <c r="G350" s="43">
        <v>0</v>
      </c>
      <c r="H350" s="48">
        <v>0</v>
      </c>
      <c r="I350" s="48">
        <v>0</v>
      </c>
      <c r="J350" s="48">
        <v>0</v>
      </c>
      <c r="K350" s="48">
        <v>0</v>
      </c>
    </row>
    <row r="351" spans="1:11" x14ac:dyDescent="0.25">
      <c r="A351" s="34">
        <v>1998</v>
      </c>
      <c r="B351" s="20" t="s">
        <v>33</v>
      </c>
      <c r="C351" s="20">
        <v>13</v>
      </c>
      <c r="D351" s="42" t="s">
        <v>80</v>
      </c>
      <c r="E351" s="65">
        <v>0</v>
      </c>
      <c r="F351" s="44">
        <v>9000</v>
      </c>
      <c r="G351" s="43">
        <v>0</v>
      </c>
      <c r="H351" s="48">
        <v>0</v>
      </c>
      <c r="I351" s="48">
        <v>0</v>
      </c>
      <c r="J351" s="48">
        <v>0</v>
      </c>
      <c r="K351" s="48">
        <v>0</v>
      </c>
    </row>
    <row r="352" spans="1:11" x14ac:dyDescent="0.25">
      <c r="A352" s="34">
        <v>1998</v>
      </c>
      <c r="B352" s="20" t="s">
        <v>33</v>
      </c>
      <c r="C352" s="20">
        <v>14</v>
      </c>
      <c r="D352" s="42" t="s">
        <v>76</v>
      </c>
      <c r="E352" s="65">
        <v>0</v>
      </c>
      <c r="F352" s="44">
        <v>9100</v>
      </c>
      <c r="G352" s="43">
        <v>0</v>
      </c>
      <c r="H352" s="48">
        <v>0</v>
      </c>
      <c r="I352" s="48">
        <v>0</v>
      </c>
      <c r="J352" s="48">
        <v>0</v>
      </c>
      <c r="K352" s="48">
        <v>0</v>
      </c>
    </row>
    <row r="353" spans="1:11" x14ac:dyDescent="0.25">
      <c r="A353" s="34">
        <v>1998</v>
      </c>
      <c r="B353" s="20" t="s">
        <v>33</v>
      </c>
      <c r="C353" s="20">
        <v>15</v>
      </c>
      <c r="D353" s="42" t="s">
        <v>550</v>
      </c>
      <c r="E353" s="65">
        <v>0</v>
      </c>
      <c r="F353" s="44">
        <v>9250</v>
      </c>
      <c r="G353" s="43">
        <v>0</v>
      </c>
      <c r="H353" s="48">
        <v>0</v>
      </c>
      <c r="I353" s="48">
        <v>0</v>
      </c>
      <c r="J353" s="48">
        <v>0</v>
      </c>
      <c r="K353" s="48">
        <v>0</v>
      </c>
    </row>
    <row r="354" spans="1:11" x14ac:dyDescent="0.25">
      <c r="A354" s="34">
        <v>1998</v>
      </c>
      <c r="B354" s="20" t="s">
        <v>33</v>
      </c>
      <c r="C354" s="20">
        <v>16</v>
      </c>
      <c r="D354" s="42" t="s">
        <v>68</v>
      </c>
      <c r="E354" s="65">
        <v>0</v>
      </c>
      <c r="F354" s="44">
        <v>9400</v>
      </c>
      <c r="G354" s="43">
        <v>0</v>
      </c>
      <c r="H354" s="48">
        <v>0</v>
      </c>
      <c r="I354" s="48">
        <v>0</v>
      </c>
      <c r="J354" s="48">
        <v>0</v>
      </c>
      <c r="K354" s="48">
        <v>0</v>
      </c>
    </row>
    <row r="355" spans="1:11" x14ac:dyDescent="0.25">
      <c r="A355" s="34">
        <v>1998</v>
      </c>
      <c r="B355" s="20" t="s">
        <v>33</v>
      </c>
      <c r="C355" s="20">
        <v>17</v>
      </c>
      <c r="D355" s="42" t="s">
        <v>68</v>
      </c>
      <c r="E355" s="65">
        <v>0</v>
      </c>
      <c r="F355" s="44">
        <v>9400</v>
      </c>
      <c r="G355" s="43">
        <v>0</v>
      </c>
      <c r="H355" s="48">
        <v>0</v>
      </c>
      <c r="I355" s="48">
        <v>0</v>
      </c>
      <c r="J355" s="48">
        <v>0</v>
      </c>
      <c r="K355" s="48">
        <v>0</v>
      </c>
    </row>
    <row r="356" spans="1:11" x14ac:dyDescent="0.25">
      <c r="A356" s="34">
        <v>1998</v>
      </c>
      <c r="B356" s="20" t="s">
        <v>33</v>
      </c>
      <c r="C356" s="20">
        <v>18</v>
      </c>
      <c r="D356" s="42" t="s">
        <v>64</v>
      </c>
      <c r="E356" s="65">
        <v>0</v>
      </c>
      <c r="F356" s="44">
        <v>9500</v>
      </c>
      <c r="G356" s="43">
        <v>0</v>
      </c>
      <c r="H356" s="48">
        <v>0</v>
      </c>
      <c r="I356" s="48">
        <v>0</v>
      </c>
      <c r="J356" s="48">
        <v>0</v>
      </c>
      <c r="K356" s="48">
        <v>0</v>
      </c>
    </row>
    <row r="357" spans="1:11" x14ac:dyDescent="0.25">
      <c r="A357" s="34">
        <v>1998</v>
      </c>
      <c r="B357" s="20" t="s">
        <v>33</v>
      </c>
      <c r="C357" s="20">
        <v>19</v>
      </c>
      <c r="D357" s="42" t="s">
        <v>62</v>
      </c>
      <c r="E357" s="65">
        <v>0</v>
      </c>
      <c r="F357" s="42">
        <v>9600</v>
      </c>
      <c r="G357" s="43">
        <v>0</v>
      </c>
      <c r="H357" s="48">
        <v>0</v>
      </c>
      <c r="I357" s="48">
        <v>0</v>
      </c>
      <c r="J357" s="48">
        <v>0</v>
      </c>
      <c r="K357" s="48">
        <v>0</v>
      </c>
    </row>
    <row r="358" spans="1:11" x14ac:dyDescent="0.25">
      <c r="A358" s="34">
        <v>1998</v>
      </c>
      <c r="B358" s="20" t="s">
        <v>33</v>
      </c>
      <c r="C358" s="20">
        <v>20</v>
      </c>
      <c r="D358" s="42" t="s">
        <v>62</v>
      </c>
      <c r="E358" s="65">
        <v>0</v>
      </c>
      <c r="F358" s="42">
        <v>9600</v>
      </c>
      <c r="G358" s="43">
        <v>0</v>
      </c>
      <c r="H358" s="48">
        <v>0</v>
      </c>
      <c r="I358" s="48">
        <v>0</v>
      </c>
      <c r="J358" s="48">
        <v>0</v>
      </c>
      <c r="K358" s="48">
        <v>0</v>
      </c>
    </row>
    <row r="359" spans="1:11" x14ac:dyDescent="0.25">
      <c r="A359" s="34">
        <v>1998</v>
      </c>
      <c r="B359" s="20" t="s">
        <v>33</v>
      </c>
      <c r="C359" s="20">
        <v>21</v>
      </c>
      <c r="D359" s="42" t="s">
        <v>60</v>
      </c>
      <c r="E359" s="65">
        <v>0</v>
      </c>
      <c r="F359" s="42">
        <v>9700</v>
      </c>
      <c r="G359" s="43">
        <v>0</v>
      </c>
      <c r="H359" s="48">
        <v>0</v>
      </c>
      <c r="I359" s="48">
        <v>0</v>
      </c>
      <c r="J359" s="48">
        <v>0</v>
      </c>
      <c r="K359" s="48">
        <v>0</v>
      </c>
    </row>
    <row r="360" spans="1:11" x14ac:dyDescent="0.25">
      <c r="A360" s="34">
        <v>1998</v>
      </c>
      <c r="B360" s="20" t="s">
        <v>33</v>
      </c>
      <c r="C360" s="20">
        <v>22</v>
      </c>
      <c r="D360" s="42" t="s">
        <v>60</v>
      </c>
      <c r="E360" s="65">
        <v>0</v>
      </c>
      <c r="F360" s="44">
        <v>9700</v>
      </c>
      <c r="G360" s="43">
        <v>0</v>
      </c>
      <c r="H360" s="48">
        <v>0</v>
      </c>
      <c r="I360" s="48">
        <v>0</v>
      </c>
      <c r="J360" s="48">
        <v>0</v>
      </c>
      <c r="K360" s="48">
        <v>0</v>
      </c>
    </row>
    <row r="361" spans="1:11" x14ac:dyDescent="0.25">
      <c r="A361" s="34">
        <v>1998</v>
      </c>
      <c r="B361" s="20" t="s">
        <v>33</v>
      </c>
      <c r="C361" s="20">
        <v>23</v>
      </c>
      <c r="D361" s="42" t="s">
        <v>58</v>
      </c>
      <c r="E361" s="65">
        <v>0</v>
      </c>
      <c r="F361" s="44">
        <v>9800</v>
      </c>
      <c r="G361" s="43">
        <v>0</v>
      </c>
      <c r="H361" s="48">
        <v>0</v>
      </c>
      <c r="I361" s="48">
        <v>0</v>
      </c>
      <c r="J361" s="48">
        <v>0</v>
      </c>
      <c r="K361" s="48">
        <v>0</v>
      </c>
    </row>
    <row r="362" spans="1:11" x14ac:dyDescent="0.25">
      <c r="A362" s="34">
        <v>1998</v>
      </c>
      <c r="B362" s="20" t="s">
        <v>33</v>
      </c>
      <c r="C362" s="20">
        <v>24</v>
      </c>
      <c r="D362" s="42" t="s">
        <v>58</v>
      </c>
      <c r="E362" s="65">
        <v>0</v>
      </c>
      <c r="F362" s="44">
        <v>9800</v>
      </c>
      <c r="G362" s="43">
        <v>0</v>
      </c>
      <c r="H362" s="48">
        <v>0</v>
      </c>
      <c r="I362" s="48">
        <v>0</v>
      </c>
      <c r="J362" s="48">
        <v>0</v>
      </c>
      <c r="K362" s="48">
        <v>0</v>
      </c>
    </row>
    <row r="363" spans="1:11" x14ac:dyDescent="0.25">
      <c r="A363" s="34">
        <v>1998</v>
      </c>
      <c r="B363" s="20" t="s">
        <v>33</v>
      </c>
      <c r="C363" s="20">
        <v>25</v>
      </c>
      <c r="D363" s="42" t="s">
        <v>56</v>
      </c>
      <c r="E363" s="65">
        <v>0</v>
      </c>
      <c r="F363" s="44">
        <v>9900</v>
      </c>
      <c r="G363" s="43">
        <v>0</v>
      </c>
      <c r="H363" s="48">
        <v>0</v>
      </c>
      <c r="I363" s="48">
        <v>0</v>
      </c>
      <c r="J363" s="48">
        <v>0</v>
      </c>
      <c r="K363" s="48">
        <v>0</v>
      </c>
    </row>
    <row r="364" spans="1:11" x14ac:dyDescent="0.25">
      <c r="A364" s="34">
        <v>1998</v>
      </c>
      <c r="B364" s="20" t="s">
        <v>33</v>
      </c>
      <c r="C364" s="20">
        <v>26</v>
      </c>
      <c r="D364" s="42" t="s">
        <v>7</v>
      </c>
      <c r="E364" s="65">
        <v>0</v>
      </c>
      <c r="F364" s="44">
        <v>10000</v>
      </c>
      <c r="G364" s="43">
        <v>0</v>
      </c>
      <c r="H364" s="48">
        <v>0</v>
      </c>
      <c r="I364" s="48">
        <v>0</v>
      </c>
      <c r="J364" s="48">
        <v>0</v>
      </c>
      <c r="K364" s="48">
        <v>0</v>
      </c>
    </row>
    <row r="365" spans="1:11" x14ac:dyDescent="0.25">
      <c r="A365" s="34">
        <v>1998</v>
      </c>
      <c r="B365" s="20" t="s">
        <v>33</v>
      </c>
      <c r="C365" s="20">
        <v>27</v>
      </c>
      <c r="D365" s="42" t="s">
        <v>7</v>
      </c>
      <c r="E365" s="65">
        <v>0</v>
      </c>
      <c r="F365" s="44">
        <v>10000</v>
      </c>
      <c r="G365" s="43">
        <v>0</v>
      </c>
      <c r="H365" s="48">
        <v>0</v>
      </c>
      <c r="I365" s="48">
        <v>0</v>
      </c>
      <c r="J365" s="48">
        <v>0</v>
      </c>
      <c r="K365" s="48">
        <v>0</v>
      </c>
    </row>
    <row r="366" spans="1:11" x14ac:dyDescent="0.25">
      <c r="A366" s="34">
        <v>1998</v>
      </c>
      <c r="B366" s="20" t="s">
        <v>33</v>
      </c>
      <c r="C366" s="20">
        <v>28</v>
      </c>
      <c r="D366" s="42" t="s">
        <v>51</v>
      </c>
      <c r="E366" s="65">
        <v>0</v>
      </c>
      <c r="F366" s="42">
        <v>10100</v>
      </c>
      <c r="G366" s="43">
        <v>0</v>
      </c>
      <c r="H366" s="48">
        <v>0</v>
      </c>
      <c r="I366" s="48">
        <v>0</v>
      </c>
      <c r="J366" s="48">
        <v>0</v>
      </c>
      <c r="K366" s="48">
        <v>0</v>
      </c>
    </row>
    <row r="367" spans="1:11" x14ac:dyDescent="0.25">
      <c r="A367" s="34">
        <v>1998</v>
      </c>
      <c r="B367" s="20" t="s">
        <v>33</v>
      </c>
      <c r="C367" s="20">
        <v>29</v>
      </c>
      <c r="D367" s="42" t="s">
        <v>328</v>
      </c>
      <c r="E367" s="65">
        <v>0</v>
      </c>
      <c r="F367" s="42">
        <v>10200</v>
      </c>
      <c r="G367" s="43">
        <v>0</v>
      </c>
      <c r="H367" s="48">
        <v>0</v>
      </c>
      <c r="I367" s="48">
        <v>0</v>
      </c>
      <c r="J367" s="48">
        <v>0</v>
      </c>
      <c r="K367" s="48">
        <v>0</v>
      </c>
    </row>
    <row r="368" spans="1:11" x14ac:dyDescent="0.25">
      <c r="A368" s="34">
        <v>1998</v>
      </c>
      <c r="B368" s="20" t="s">
        <v>33</v>
      </c>
      <c r="C368" s="20">
        <v>30</v>
      </c>
      <c r="D368" s="42" t="s">
        <v>15</v>
      </c>
      <c r="E368" s="65">
        <v>0</v>
      </c>
      <c r="F368" s="42">
        <v>11500</v>
      </c>
      <c r="G368" s="43">
        <v>0</v>
      </c>
      <c r="H368" s="48">
        <v>0</v>
      </c>
      <c r="I368" s="48">
        <v>0</v>
      </c>
      <c r="J368" s="48">
        <v>0</v>
      </c>
      <c r="K368" s="48">
        <v>0</v>
      </c>
    </row>
    <row r="369" spans="1:11" x14ac:dyDescent="0.25">
      <c r="A369" s="34">
        <v>1998</v>
      </c>
      <c r="B369" s="20" t="s">
        <v>33</v>
      </c>
      <c r="C369" s="20">
        <v>31</v>
      </c>
      <c r="D369" s="42" t="s">
        <v>507</v>
      </c>
      <c r="E369" s="65">
        <v>0</v>
      </c>
      <c r="F369" s="42">
        <v>12900</v>
      </c>
      <c r="G369" s="43">
        <v>0</v>
      </c>
      <c r="H369" s="48">
        <v>0</v>
      </c>
      <c r="I369" s="48">
        <v>0</v>
      </c>
      <c r="J369" s="48">
        <v>0</v>
      </c>
      <c r="K369" s="48">
        <v>0</v>
      </c>
    </row>
    <row r="370" spans="1:11" x14ac:dyDescent="0.25">
      <c r="A370" s="409" t="s">
        <v>1759</v>
      </c>
      <c r="B370" s="410"/>
      <c r="C370" s="410"/>
      <c r="D370" s="410"/>
      <c r="E370" s="410"/>
      <c r="F370" s="410"/>
      <c r="G370" s="410"/>
      <c r="H370" s="410"/>
      <c r="I370" s="410"/>
      <c r="J370" s="410"/>
      <c r="K370" s="410"/>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D150:D167 D175:D176 D348:D368 D321:D322 D104 D128 D130 D139 D260:D264" twoDigitTextYear="1"/>
    <ignoredError sqref="E110:E124 G99:G124 J122:J124 E125:E155 G125:G155 J125:J155 K125:K133 E156:E185 G156:G185 J156:J185 E186:E201 G186:G201 F325:F330 F332:F338"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0"/>
  <sheetViews>
    <sheetView workbookViewId="0">
      <pane ySplit="3" topLeftCell="A4" activePane="bottomLeft" state="frozen"/>
      <selection pane="bottomLeft" activeCell="K20" sqref="K20"/>
    </sheetView>
  </sheetViews>
  <sheetFormatPr defaultColWidth="9.140625" defaultRowHeight="15" x14ac:dyDescent="0.25"/>
  <cols>
    <col min="1" max="1" width="7.140625" style="14" customWidth="1"/>
    <col min="2" max="2" width="9" style="14" customWidth="1"/>
    <col min="3" max="3" width="6.5703125" style="45" customWidth="1"/>
    <col min="4" max="4" width="7.42578125" style="37" customWidth="1"/>
    <col min="5" max="5" width="9.140625" style="37"/>
    <col min="6" max="6" width="10.140625" style="37" customWidth="1"/>
    <col min="7" max="7" width="7.140625" style="37" customWidth="1"/>
    <col min="8" max="8" width="6.28515625" style="37" customWidth="1"/>
    <col min="9" max="9" width="5.42578125" style="37" customWidth="1"/>
    <col min="10" max="10" width="6.28515625" style="37" customWidth="1"/>
    <col min="11" max="11" width="5.7109375" style="37" customWidth="1"/>
    <col min="12" max="16384" width="9.140625" style="14"/>
  </cols>
  <sheetData>
    <row r="1" spans="1:11" ht="18" x14ac:dyDescent="0.35">
      <c r="A1" s="395" t="s">
        <v>1754</v>
      </c>
      <c r="B1" s="395"/>
      <c r="C1" s="395"/>
      <c r="D1" s="395"/>
      <c r="E1" s="395"/>
      <c r="F1" s="395"/>
      <c r="G1" s="395"/>
      <c r="H1" s="395"/>
      <c r="I1" s="395"/>
      <c r="J1" s="395"/>
      <c r="K1" s="395"/>
    </row>
    <row r="2" spans="1:11" s="74" customFormat="1" ht="30" customHeight="1" x14ac:dyDescent="0.25">
      <c r="A2" s="398" t="s">
        <v>532</v>
      </c>
      <c r="B2" s="398" t="s">
        <v>22</v>
      </c>
      <c r="C2" s="415" t="s">
        <v>0</v>
      </c>
      <c r="D2" s="416" t="s">
        <v>728</v>
      </c>
      <c r="E2" s="416"/>
      <c r="F2" s="417" t="s">
        <v>729</v>
      </c>
      <c r="G2" s="417"/>
      <c r="H2" s="414" t="s">
        <v>1746</v>
      </c>
      <c r="I2" s="414"/>
      <c r="J2" s="414" t="s">
        <v>1747</v>
      </c>
      <c r="K2" s="414"/>
    </row>
    <row r="3" spans="1:11" s="74" customFormat="1" ht="99" customHeight="1" x14ac:dyDescent="0.25">
      <c r="A3" s="398"/>
      <c r="B3" s="398"/>
      <c r="C3" s="415"/>
      <c r="D3" s="32" t="s">
        <v>1755</v>
      </c>
      <c r="E3" s="32" t="s">
        <v>1756</v>
      </c>
      <c r="F3" s="32" t="s">
        <v>732</v>
      </c>
      <c r="G3" s="32" t="s">
        <v>733</v>
      </c>
      <c r="H3" s="75" t="s">
        <v>1271</v>
      </c>
      <c r="I3" s="76" t="s">
        <v>735</v>
      </c>
      <c r="J3" s="75" t="s">
        <v>1271</v>
      </c>
      <c r="K3" s="76" t="s">
        <v>735</v>
      </c>
    </row>
    <row r="4" spans="1:11" ht="13.9" x14ac:dyDescent="0.25">
      <c r="A4" s="43">
        <v>1999</v>
      </c>
      <c r="B4" s="43" t="s">
        <v>23</v>
      </c>
      <c r="C4" s="43">
        <v>1</v>
      </c>
      <c r="D4" s="42" t="s">
        <v>504</v>
      </c>
      <c r="E4" s="65">
        <v>0</v>
      </c>
      <c r="F4" s="44" t="s">
        <v>1224</v>
      </c>
      <c r="G4" s="43">
        <v>0</v>
      </c>
      <c r="H4" s="43">
        <v>0</v>
      </c>
      <c r="I4" s="43">
        <v>0</v>
      </c>
      <c r="J4" s="43">
        <v>0</v>
      </c>
      <c r="K4" s="43">
        <v>0</v>
      </c>
    </row>
    <row r="5" spans="1:11" ht="13.9" x14ac:dyDescent="0.25">
      <c r="A5" s="43">
        <v>1999</v>
      </c>
      <c r="B5" s="43" t="s">
        <v>23</v>
      </c>
      <c r="C5" s="43">
        <v>2</v>
      </c>
      <c r="D5" s="42" t="s">
        <v>503</v>
      </c>
      <c r="E5" s="65">
        <v>0</v>
      </c>
      <c r="F5" s="44" t="s">
        <v>1225</v>
      </c>
      <c r="G5" s="43">
        <v>0</v>
      </c>
      <c r="H5" s="43">
        <v>0</v>
      </c>
      <c r="I5" s="43">
        <v>0</v>
      </c>
      <c r="J5" s="43">
        <v>0</v>
      </c>
      <c r="K5" s="43">
        <v>0</v>
      </c>
    </row>
    <row r="6" spans="1:11" ht="13.9" x14ac:dyDescent="0.25">
      <c r="A6" s="43">
        <v>1999</v>
      </c>
      <c r="B6" s="43" t="s">
        <v>23</v>
      </c>
      <c r="C6" s="43">
        <v>3</v>
      </c>
      <c r="D6" s="42" t="s">
        <v>502</v>
      </c>
      <c r="E6" s="65">
        <v>0</v>
      </c>
      <c r="F6" s="44" t="s">
        <v>1226</v>
      </c>
      <c r="G6" s="43">
        <v>0</v>
      </c>
      <c r="H6" s="43">
        <v>0</v>
      </c>
      <c r="I6" s="43">
        <v>0</v>
      </c>
      <c r="J6" s="43">
        <v>0</v>
      </c>
      <c r="K6" s="43">
        <v>0</v>
      </c>
    </row>
    <row r="7" spans="1:11" ht="13.9" x14ac:dyDescent="0.25">
      <c r="A7" s="43">
        <v>1999</v>
      </c>
      <c r="B7" s="43" t="s">
        <v>23</v>
      </c>
      <c r="C7" s="43">
        <v>4</v>
      </c>
      <c r="D7" s="42" t="s">
        <v>336</v>
      </c>
      <c r="E7" s="65">
        <v>0</v>
      </c>
      <c r="F7" s="44" t="s">
        <v>1227</v>
      </c>
      <c r="G7" s="43">
        <v>0</v>
      </c>
      <c r="H7" s="43">
        <v>0</v>
      </c>
      <c r="I7" s="43">
        <v>0</v>
      </c>
      <c r="J7" s="43">
        <v>0</v>
      </c>
      <c r="K7" s="43">
        <v>0</v>
      </c>
    </row>
    <row r="8" spans="1:11" ht="13.9" x14ac:dyDescent="0.25">
      <c r="A8" s="43">
        <v>1999</v>
      </c>
      <c r="B8" s="43" t="s">
        <v>23</v>
      </c>
      <c r="C8" s="43">
        <v>5</v>
      </c>
      <c r="D8" s="42" t="s">
        <v>498</v>
      </c>
      <c r="E8" s="65">
        <v>0</v>
      </c>
      <c r="F8" s="44" t="s">
        <v>1228</v>
      </c>
      <c r="G8" s="43">
        <v>0</v>
      </c>
      <c r="H8" s="43">
        <v>0</v>
      </c>
      <c r="I8" s="43">
        <v>0</v>
      </c>
      <c r="J8" s="43">
        <v>0</v>
      </c>
      <c r="K8" s="43">
        <v>0</v>
      </c>
    </row>
    <row r="9" spans="1:11" ht="13.9" x14ac:dyDescent="0.25">
      <c r="A9" s="43">
        <v>1999</v>
      </c>
      <c r="B9" s="43" t="s">
        <v>23</v>
      </c>
      <c r="C9" s="43">
        <v>6</v>
      </c>
      <c r="D9" s="42" t="s">
        <v>338</v>
      </c>
      <c r="E9" s="65">
        <v>0</v>
      </c>
      <c r="F9" s="44" t="s">
        <v>1229</v>
      </c>
      <c r="G9" s="43">
        <v>0</v>
      </c>
      <c r="H9" s="43">
        <v>0</v>
      </c>
      <c r="I9" s="43">
        <v>0</v>
      </c>
      <c r="J9" s="43">
        <v>0</v>
      </c>
      <c r="K9" s="43">
        <v>0</v>
      </c>
    </row>
    <row r="10" spans="1:11" ht="13.9" x14ac:dyDescent="0.25">
      <c r="A10" s="43">
        <v>1999</v>
      </c>
      <c r="B10" s="43" t="s">
        <v>23</v>
      </c>
      <c r="C10" s="43">
        <v>7</v>
      </c>
      <c r="D10" s="42" t="s">
        <v>339</v>
      </c>
      <c r="E10" s="65">
        <v>0</v>
      </c>
      <c r="F10" s="44" t="s">
        <v>1230</v>
      </c>
      <c r="G10" s="43">
        <v>0</v>
      </c>
      <c r="H10" s="43">
        <v>0</v>
      </c>
      <c r="I10" s="43">
        <v>0</v>
      </c>
      <c r="J10" s="43">
        <v>0</v>
      </c>
      <c r="K10" s="43">
        <v>0</v>
      </c>
    </row>
    <row r="11" spans="1:11" ht="13.9" x14ac:dyDescent="0.25">
      <c r="A11" s="43">
        <v>1999</v>
      </c>
      <c r="B11" s="43" t="s">
        <v>23</v>
      </c>
      <c r="C11" s="43">
        <v>8</v>
      </c>
      <c r="D11" s="42" t="s">
        <v>495</v>
      </c>
      <c r="E11" s="65">
        <v>0</v>
      </c>
      <c r="F11" s="44" t="s">
        <v>1231</v>
      </c>
      <c r="G11" s="43">
        <v>0</v>
      </c>
      <c r="H11" s="43">
        <v>0</v>
      </c>
      <c r="I11" s="43">
        <v>0</v>
      </c>
      <c r="J11" s="43">
        <v>0</v>
      </c>
      <c r="K11" s="43">
        <v>0</v>
      </c>
    </row>
    <row r="12" spans="1:11" ht="13.9" x14ac:dyDescent="0.25">
      <c r="A12" s="43">
        <v>1999</v>
      </c>
      <c r="B12" s="43" t="s">
        <v>23</v>
      </c>
      <c r="C12" s="43">
        <v>9</v>
      </c>
      <c r="D12" s="42" t="s">
        <v>491</v>
      </c>
      <c r="E12" s="65">
        <v>0</v>
      </c>
      <c r="F12" s="44" t="s">
        <v>1232</v>
      </c>
      <c r="G12" s="43">
        <v>0</v>
      </c>
      <c r="H12" s="43">
        <v>0</v>
      </c>
      <c r="I12" s="43">
        <v>0</v>
      </c>
      <c r="J12" s="43">
        <v>0</v>
      </c>
      <c r="K12" s="43">
        <v>0</v>
      </c>
    </row>
    <row r="13" spans="1:11" ht="13.9" x14ac:dyDescent="0.25">
      <c r="A13" s="43">
        <v>1999</v>
      </c>
      <c r="B13" s="43" t="s">
        <v>23</v>
      </c>
      <c r="C13" s="43">
        <v>10</v>
      </c>
      <c r="D13" s="42" t="s">
        <v>361</v>
      </c>
      <c r="E13" s="65">
        <v>0</v>
      </c>
      <c r="F13" s="44" t="s">
        <v>1233</v>
      </c>
      <c r="G13" s="43">
        <v>0</v>
      </c>
      <c r="H13" s="43">
        <v>0</v>
      </c>
      <c r="I13" s="43">
        <v>0</v>
      </c>
      <c r="J13" s="43">
        <v>0</v>
      </c>
      <c r="K13" s="43">
        <v>0</v>
      </c>
    </row>
    <row r="14" spans="1:11" ht="13.9" x14ac:dyDescent="0.25">
      <c r="A14" s="43">
        <v>1999</v>
      </c>
      <c r="B14" s="43" t="s">
        <v>23</v>
      </c>
      <c r="C14" s="43">
        <v>11</v>
      </c>
      <c r="D14" s="42" t="s">
        <v>542</v>
      </c>
      <c r="E14" s="65">
        <v>0</v>
      </c>
      <c r="F14" s="44" t="s">
        <v>1234</v>
      </c>
      <c r="G14" s="43">
        <v>0</v>
      </c>
      <c r="H14" s="43">
        <v>0</v>
      </c>
      <c r="I14" s="43">
        <v>0</v>
      </c>
      <c r="J14" s="43">
        <v>0</v>
      </c>
      <c r="K14" s="43">
        <v>0</v>
      </c>
    </row>
    <row r="15" spans="1:11" ht="13.9" x14ac:dyDescent="0.25">
      <c r="A15" s="43">
        <v>1999</v>
      </c>
      <c r="B15" s="43" t="s">
        <v>23</v>
      </c>
      <c r="C15" s="43">
        <v>12</v>
      </c>
      <c r="D15" s="42" t="s">
        <v>542</v>
      </c>
      <c r="E15" s="65">
        <v>0</v>
      </c>
      <c r="F15" s="44" t="s">
        <v>1234</v>
      </c>
      <c r="G15" s="43">
        <v>0</v>
      </c>
      <c r="H15" s="43">
        <v>0</v>
      </c>
      <c r="I15" s="43">
        <v>0</v>
      </c>
      <c r="J15" s="43">
        <v>0</v>
      </c>
      <c r="K15" s="43">
        <v>0</v>
      </c>
    </row>
    <row r="16" spans="1:11" ht="13.9" x14ac:dyDescent="0.25">
      <c r="A16" s="43">
        <v>1999</v>
      </c>
      <c r="B16" s="43" t="s">
        <v>23</v>
      </c>
      <c r="C16" s="43">
        <v>13</v>
      </c>
      <c r="D16" s="42" t="s">
        <v>358</v>
      </c>
      <c r="E16" s="65">
        <v>0</v>
      </c>
      <c r="F16" s="44" t="s">
        <v>1235</v>
      </c>
      <c r="G16" s="43">
        <v>0</v>
      </c>
      <c r="H16" s="43">
        <v>0</v>
      </c>
      <c r="I16" s="43">
        <v>0</v>
      </c>
      <c r="J16" s="43">
        <v>0</v>
      </c>
      <c r="K16" s="43">
        <v>0</v>
      </c>
    </row>
    <row r="17" spans="1:11" ht="13.9" x14ac:dyDescent="0.25">
      <c r="A17" s="43">
        <v>1999</v>
      </c>
      <c r="B17" s="43" t="s">
        <v>23</v>
      </c>
      <c r="C17" s="43">
        <v>14</v>
      </c>
      <c r="D17" s="42" t="s">
        <v>358</v>
      </c>
      <c r="E17" s="65">
        <v>0</v>
      </c>
      <c r="F17" s="44" t="s">
        <v>1235</v>
      </c>
      <c r="G17" s="43">
        <v>0</v>
      </c>
      <c r="H17" s="43">
        <v>0</v>
      </c>
      <c r="I17" s="43">
        <v>0</v>
      </c>
      <c r="J17" s="43">
        <v>0</v>
      </c>
      <c r="K17" s="43">
        <v>0</v>
      </c>
    </row>
    <row r="18" spans="1:11" ht="13.9" x14ac:dyDescent="0.25">
      <c r="A18" s="43">
        <v>1999</v>
      </c>
      <c r="B18" s="43" t="s">
        <v>23</v>
      </c>
      <c r="C18" s="43">
        <v>15</v>
      </c>
      <c r="D18" s="42" t="s">
        <v>358</v>
      </c>
      <c r="E18" s="65">
        <v>0</v>
      </c>
      <c r="F18" s="44" t="s">
        <v>1235</v>
      </c>
      <c r="G18" s="43">
        <v>0</v>
      </c>
      <c r="H18" s="43">
        <v>6.5</v>
      </c>
      <c r="I18" s="43">
        <v>33</v>
      </c>
      <c r="J18" s="43">
        <v>0</v>
      </c>
      <c r="K18" s="43">
        <v>0</v>
      </c>
    </row>
    <row r="19" spans="1:11" ht="13.9" x14ac:dyDescent="0.25">
      <c r="A19" s="43">
        <v>1999</v>
      </c>
      <c r="B19" s="43" t="s">
        <v>23</v>
      </c>
      <c r="C19" s="43">
        <v>16</v>
      </c>
      <c r="D19" s="42" t="s">
        <v>1221</v>
      </c>
      <c r="E19" s="65">
        <v>0</v>
      </c>
      <c r="F19" s="44" t="s">
        <v>1236</v>
      </c>
      <c r="G19" s="43">
        <v>0</v>
      </c>
      <c r="H19" s="43">
        <v>6.5</v>
      </c>
      <c r="I19" s="43">
        <v>33</v>
      </c>
      <c r="J19" s="43">
        <v>10</v>
      </c>
      <c r="K19" s="43">
        <v>48</v>
      </c>
    </row>
    <row r="20" spans="1:11" ht="13.9" x14ac:dyDescent="0.25">
      <c r="A20" s="43">
        <v>1999</v>
      </c>
      <c r="B20" s="43" t="s">
        <v>23</v>
      </c>
      <c r="C20" s="43">
        <v>17</v>
      </c>
      <c r="D20" s="42" t="s">
        <v>1221</v>
      </c>
      <c r="E20" s="65">
        <v>0</v>
      </c>
      <c r="F20" s="44" t="s">
        <v>1236</v>
      </c>
      <c r="G20" s="43">
        <v>0</v>
      </c>
      <c r="H20" s="43">
        <v>6.5</v>
      </c>
      <c r="I20" s="43">
        <v>33</v>
      </c>
      <c r="J20" s="43">
        <v>10</v>
      </c>
      <c r="K20" s="43">
        <v>48</v>
      </c>
    </row>
    <row r="21" spans="1:11" ht="13.9" x14ac:dyDescent="0.25">
      <c r="A21" s="43">
        <v>1999</v>
      </c>
      <c r="B21" s="43" t="s">
        <v>23</v>
      </c>
      <c r="C21" s="43">
        <v>18</v>
      </c>
      <c r="D21" s="42" t="s">
        <v>1221</v>
      </c>
      <c r="E21" s="65">
        <v>0</v>
      </c>
      <c r="F21" s="44" t="s">
        <v>1237</v>
      </c>
      <c r="G21" s="43">
        <v>0</v>
      </c>
      <c r="H21" s="43">
        <v>6.5</v>
      </c>
      <c r="I21" s="43">
        <v>33</v>
      </c>
      <c r="J21" s="43">
        <v>10</v>
      </c>
      <c r="K21" s="43">
        <v>48</v>
      </c>
    </row>
    <row r="22" spans="1:11" ht="13.9" x14ac:dyDescent="0.25">
      <c r="A22" s="43">
        <v>1999</v>
      </c>
      <c r="B22" s="43" t="s">
        <v>23</v>
      </c>
      <c r="C22" s="43">
        <v>19</v>
      </c>
      <c r="D22" s="42" t="s">
        <v>542</v>
      </c>
      <c r="E22" s="65">
        <v>0</v>
      </c>
      <c r="F22" s="44" t="s">
        <v>1234</v>
      </c>
      <c r="G22" s="43">
        <v>0</v>
      </c>
      <c r="H22" s="43">
        <v>6.5</v>
      </c>
      <c r="I22" s="43">
        <v>33</v>
      </c>
      <c r="J22" s="43">
        <v>10</v>
      </c>
      <c r="K22" s="43">
        <v>48</v>
      </c>
    </row>
    <row r="23" spans="1:11" ht="13.9" x14ac:dyDescent="0.25">
      <c r="A23" s="43">
        <v>1999</v>
      </c>
      <c r="B23" s="43" t="s">
        <v>23</v>
      </c>
      <c r="C23" s="43">
        <v>20</v>
      </c>
      <c r="D23" s="42" t="s">
        <v>542</v>
      </c>
      <c r="E23" s="65">
        <v>0</v>
      </c>
      <c r="F23" s="44" t="s">
        <v>1234</v>
      </c>
      <c r="G23" s="43">
        <v>0</v>
      </c>
      <c r="H23" s="43">
        <v>6.5</v>
      </c>
      <c r="I23" s="43">
        <v>33</v>
      </c>
      <c r="J23" s="43">
        <v>10</v>
      </c>
      <c r="K23" s="43">
        <v>48</v>
      </c>
    </row>
    <row r="24" spans="1:11" ht="13.9" x14ac:dyDescent="0.25">
      <c r="A24" s="43">
        <v>1999</v>
      </c>
      <c r="B24" s="43" t="s">
        <v>23</v>
      </c>
      <c r="C24" s="43">
        <v>21</v>
      </c>
      <c r="D24" s="42" t="s">
        <v>1222</v>
      </c>
      <c r="E24" s="65">
        <v>0</v>
      </c>
      <c r="F24" s="44" t="s">
        <v>1238</v>
      </c>
      <c r="G24" s="43">
        <v>0</v>
      </c>
      <c r="H24" s="43">
        <v>7.5</v>
      </c>
      <c r="I24" s="43">
        <v>38</v>
      </c>
      <c r="J24" s="43">
        <v>15</v>
      </c>
      <c r="K24" s="43">
        <v>68</v>
      </c>
    </row>
    <row r="25" spans="1:11" ht="13.9" x14ac:dyDescent="0.25">
      <c r="A25" s="43">
        <v>1999</v>
      </c>
      <c r="B25" s="43" t="s">
        <v>23</v>
      </c>
      <c r="C25" s="43">
        <v>22</v>
      </c>
      <c r="D25" s="42" t="s">
        <v>1222</v>
      </c>
      <c r="E25" s="65">
        <v>0</v>
      </c>
      <c r="F25" s="44" t="s">
        <v>1238</v>
      </c>
      <c r="G25" s="43">
        <v>0</v>
      </c>
      <c r="H25" s="43">
        <v>7.5</v>
      </c>
      <c r="I25" s="43">
        <v>38</v>
      </c>
      <c r="J25" s="43">
        <v>15</v>
      </c>
      <c r="K25" s="43">
        <v>68</v>
      </c>
    </row>
    <row r="26" spans="1:11" ht="13.9" x14ac:dyDescent="0.25">
      <c r="A26" s="43">
        <v>1999</v>
      </c>
      <c r="B26" s="43" t="s">
        <v>23</v>
      </c>
      <c r="C26" s="43">
        <v>23</v>
      </c>
      <c r="D26" s="42" t="s">
        <v>1222</v>
      </c>
      <c r="E26" s="65">
        <v>0</v>
      </c>
      <c r="F26" s="44" t="s">
        <v>1238</v>
      </c>
      <c r="G26" s="43">
        <v>0</v>
      </c>
      <c r="H26" s="43">
        <v>7.5</v>
      </c>
      <c r="I26" s="43">
        <v>38</v>
      </c>
      <c r="J26" s="43">
        <v>15</v>
      </c>
      <c r="K26" s="43">
        <v>68</v>
      </c>
    </row>
    <row r="27" spans="1:11" ht="13.9" x14ac:dyDescent="0.25">
      <c r="A27" s="43">
        <v>1999</v>
      </c>
      <c r="B27" s="43" t="s">
        <v>23</v>
      </c>
      <c r="C27" s="43">
        <v>24</v>
      </c>
      <c r="D27" s="42" t="s">
        <v>360</v>
      </c>
      <c r="E27" s="65">
        <v>0</v>
      </c>
      <c r="F27" s="44" t="s">
        <v>1239</v>
      </c>
      <c r="G27" s="43">
        <v>0</v>
      </c>
      <c r="H27" s="43">
        <v>7.5</v>
      </c>
      <c r="I27" s="43">
        <v>38</v>
      </c>
      <c r="J27" s="43">
        <v>15</v>
      </c>
      <c r="K27" s="43">
        <v>68</v>
      </c>
    </row>
    <row r="28" spans="1:11" ht="13.9" x14ac:dyDescent="0.25">
      <c r="A28" s="43">
        <v>1999</v>
      </c>
      <c r="B28" s="43" t="s">
        <v>23</v>
      </c>
      <c r="C28" s="43">
        <v>25</v>
      </c>
      <c r="D28" s="42" t="s">
        <v>360</v>
      </c>
      <c r="E28" s="65">
        <v>0</v>
      </c>
      <c r="F28" s="44" t="s">
        <v>1239</v>
      </c>
      <c r="G28" s="43">
        <v>0</v>
      </c>
      <c r="H28" s="43">
        <v>0</v>
      </c>
      <c r="I28" s="43">
        <v>0</v>
      </c>
      <c r="J28" s="43">
        <v>0</v>
      </c>
      <c r="K28" s="43">
        <v>0</v>
      </c>
    </row>
    <row r="29" spans="1:11" ht="13.9" x14ac:dyDescent="0.25">
      <c r="A29" s="43">
        <v>1999</v>
      </c>
      <c r="B29" s="43" t="s">
        <v>23</v>
      </c>
      <c r="C29" s="43">
        <v>26</v>
      </c>
      <c r="D29" s="42" t="s">
        <v>360</v>
      </c>
      <c r="E29" s="65">
        <v>0</v>
      </c>
      <c r="F29" s="44" t="s">
        <v>1239</v>
      </c>
      <c r="G29" s="43">
        <v>0</v>
      </c>
      <c r="H29" s="43">
        <v>0</v>
      </c>
      <c r="I29" s="43">
        <v>0</v>
      </c>
      <c r="J29" s="43">
        <v>0</v>
      </c>
      <c r="K29" s="43">
        <v>0</v>
      </c>
    </row>
    <row r="30" spans="1:11" ht="13.9" x14ac:dyDescent="0.25">
      <c r="A30" s="43">
        <v>1999</v>
      </c>
      <c r="B30" s="43" t="s">
        <v>23</v>
      </c>
      <c r="C30" s="43">
        <v>27</v>
      </c>
      <c r="D30" s="42" t="s">
        <v>360</v>
      </c>
      <c r="E30" s="65">
        <v>0</v>
      </c>
      <c r="F30" s="44" t="s">
        <v>1239</v>
      </c>
      <c r="G30" s="43">
        <v>0</v>
      </c>
      <c r="H30" s="43">
        <v>7.5</v>
      </c>
      <c r="I30" s="43">
        <v>38</v>
      </c>
      <c r="J30" s="43">
        <v>0</v>
      </c>
      <c r="K30" s="43">
        <v>0</v>
      </c>
    </row>
    <row r="31" spans="1:11" ht="13.9" x14ac:dyDescent="0.25">
      <c r="A31" s="43">
        <v>1999</v>
      </c>
      <c r="B31" s="43" t="s">
        <v>23</v>
      </c>
      <c r="C31" s="43">
        <v>28</v>
      </c>
      <c r="D31" s="42" t="s">
        <v>1223</v>
      </c>
      <c r="E31" s="65">
        <v>0</v>
      </c>
      <c r="F31" s="44" t="s">
        <v>1240</v>
      </c>
      <c r="G31" s="43">
        <v>0</v>
      </c>
      <c r="H31" s="43">
        <v>7.5</v>
      </c>
      <c r="I31" s="43">
        <v>38</v>
      </c>
      <c r="J31" s="43">
        <v>0</v>
      </c>
      <c r="K31" s="43">
        <v>0</v>
      </c>
    </row>
    <row r="32" spans="1:11" ht="13.9" x14ac:dyDescent="0.25">
      <c r="A32" s="43">
        <v>1999</v>
      </c>
      <c r="B32" s="43" t="s">
        <v>23</v>
      </c>
      <c r="C32" s="43">
        <v>29</v>
      </c>
      <c r="D32" s="42" t="s">
        <v>1223</v>
      </c>
      <c r="E32" s="65">
        <v>0</v>
      </c>
      <c r="F32" s="44" t="s">
        <v>1240</v>
      </c>
      <c r="G32" s="43">
        <v>0</v>
      </c>
      <c r="H32" s="43">
        <v>7.5</v>
      </c>
      <c r="I32" s="43">
        <v>38</v>
      </c>
      <c r="J32" s="43">
        <v>0</v>
      </c>
      <c r="K32" s="43">
        <v>0</v>
      </c>
    </row>
    <row r="33" spans="1:11" ht="13.9" x14ac:dyDescent="0.25">
      <c r="A33" s="43">
        <v>1999</v>
      </c>
      <c r="B33" s="43" t="s">
        <v>23</v>
      </c>
      <c r="C33" s="43">
        <v>30</v>
      </c>
      <c r="D33" s="42" t="s">
        <v>1223</v>
      </c>
      <c r="E33" s="65">
        <v>0</v>
      </c>
      <c r="F33" s="44" t="s">
        <v>1240</v>
      </c>
      <c r="G33" s="43">
        <v>0</v>
      </c>
      <c r="H33" s="43">
        <v>7.5</v>
      </c>
      <c r="I33" s="43">
        <v>38</v>
      </c>
      <c r="J33" s="43">
        <v>0</v>
      </c>
      <c r="K33" s="43">
        <v>0</v>
      </c>
    </row>
    <row r="34" spans="1:11" ht="13.9" x14ac:dyDescent="0.25">
      <c r="A34" s="43">
        <v>1999</v>
      </c>
      <c r="B34" s="43" t="s">
        <v>23</v>
      </c>
      <c r="C34" s="43">
        <v>31</v>
      </c>
      <c r="D34" s="42" t="s">
        <v>361</v>
      </c>
      <c r="E34" s="65">
        <v>0</v>
      </c>
      <c r="F34" s="44" t="s">
        <v>1233</v>
      </c>
      <c r="G34" s="43">
        <v>0</v>
      </c>
      <c r="H34" s="43">
        <v>7.5</v>
      </c>
      <c r="I34" s="43">
        <v>38</v>
      </c>
      <c r="J34" s="43">
        <v>15</v>
      </c>
      <c r="K34" s="43">
        <v>68</v>
      </c>
    </row>
    <row r="35" spans="1:11" ht="13.9" x14ac:dyDescent="0.25">
      <c r="A35" s="43">
        <v>1999</v>
      </c>
      <c r="B35" s="36" t="s">
        <v>24</v>
      </c>
      <c r="C35" s="36">
        <v>1</v>
      </c>
      <c r="D35" s="38" t="s">
        <v>361</v>
      </c>
      <c r="E35" s="65">
        <v>0</v>
      </c>
      <c r="F35" s="44" t="s">
        <v>1233</v>
      </c>
      <c r="G35" s="43">
        <v>0</v>
      </c>
      <c r="H35" s="44" t="s">
        <v>1246</v>
      </c>
      <c r="I35" s="43">
        <v>0</v>
      </c>
      <c r="J35" s="44" t="s">
        <v>1248</v>
      </c>
      <c r="K35" s="43">
        <v>0</v>
      </c>
    </row>
    <row r="36" spans="1:11" ht="13.9" x14ac:dyDescent="0.25">
      <c r="A36" s="43">
        <v>1999</v>
      </c>
      <c r="B36" s="36" t="s">
        <v>24</v>
      </c>
      <c r="C36" s="36">
        <v>2</v>
      </c>
      <c r="D36" s="38" t="s">
        <v>361</v>
      </c>
      <c r="E36" s="65">
        <v>0</v>
      </c>
      <c r="F36" s="44" t="s">
        <v>1233</v>
      </c>
      <c r="G36" s="43">
        <v>0</v>
      </c>
      <c r="H36" s="44" t="s">
        <v>1246</v>
      </c>
      <c r="I36" s="43">
        <v>0</v>
      </c>
      <c r="J36" s="44" t="s">
        <v>1248</v>
      </c>
      <c r="K36" s="43">
        <v>0</v>
      </c>
    </row>
    <row r="37" spans="1:11" ht="13.9" x14ac:dyDescent="0.25">
      <c r="A37" s="43">
        <v>1999</v>
      </c>
      <c r="B37" s="36" t="s">
        <v>24</v>
      </c>
      <c r="C37" s="36">
        <v>3</v>
      </c>
      <c r="D37" s="38" t="s">
        <v>361</v>
      </c>
      <c r="E37" s="65">
        <v>0</v>
      </c>
      <c r="F37" s="44" t="s">
        <v>1233</v>
      </c>
      <c r="G37" s="43">
        <v>0</v>
      </c>
      <c r="H37" s="44" t="s">
        <v>1246</v>
      </c>
      <c r="I37" s="43">
        <v>0</v>
      </c>
      <c r="J37" s="44" t="s">
        <v>1248</v>
      </c>
      <c r="K37" s="43">
        <v>0</v>
      </c>
    </row>
    <row r="38" spans="1:11" ht="13.9" x14ac:dyDescent="0.25">
      <c r="A38" s="43">
        <v>1999</v>
      </c>
      <c r="B38" s="36" t="s">
        <v>24</v>
      </c>
      <c r="C38" s="36">
        <v>4</v>
      </c>
      <c r="D38" s="38" t="s">
        <v>361</v>
      </c>
      <c r="E38" s="65">
        <v>0</v>
      </c>
      <c r="F38" s="44" t="s">
        <v>1233</v>
      </c>
      <c r="G38" s="43">
        <v>0</v>
      </c>
      <c r="H38" s="44" t="s">
        <v>736</v>
      </c>
      <c r="I38" s="43">
        <v>0</v>
      </c>
      <c r="J38" s="44" t="s">
        <v>736</v>
      </c>
      <c r="K38" s="43">
        <v>0</v>
      </c>
    </row>
    <row r="39" spans="1:11" ht="13.9" x14ac:dyDescent="0.25">
      <c r="A39" s="43">
        <v>1999</v>
      </c>
      <c r="B39" s="36" t="s">
        <v>24</v>
      </c>
      <c r="C39" s="36">
        <v>5</v>
      </c>
      <c r="D39" s="38" t="s">
        <v>361</v>
      </c>
      <c r="E39" s="65">
        <v>0</v>
      </c>
      <c r="F39" s="44" t="s">
        <v>1233</v>
      </c>
      <c r="G39" s="43">
        <v>0</v>
      </c>
      <c r="H39" s="44" t="s">
        <v>736</v>
      </c>
      <c r="I39" s="43">
        <v>0</v>
      </c>
      <c r="J39" s="44" t="s">
        <v>736</v>
      </c>
      <c r="K39" s="43">
        <v>0</v>
      </c>
    </row>
    <row r="40" spans="1:11" ht="13.9" x14ac:dyDescent="0.25">
      <c r="A40" s="43">
        <v>1999</v>
      </c>
      <c r="B40" s="36" t="s">
        <v>24</v>
      </c>
      <c r="C40" s="36">
        <v>6</v>
      </c>
      <c r="D40" s="38" t="s">
        <v>361</v>
      </c>
      <c r="E40" s="65">
        <v>0</v>
      </c>
      <c r="F40" s="44" t="s">
        <v>1233</v>
      </c>
      <c r="G40" s="43">
        <v>0</v>
      </c>
      <c r="H40" s="44" t="s">
        <v>736</v>
      </c>
      <c r="I40" s="43">
        <v>0</v>
      </c>
      <c r="J40" s="44" t="s">
        <v>736</v>
      </c>
      <c r="K40" s="43">
        <v>0</v>
      </c>
    </row>
    <row r="41" spans="1:11" ht="13.9" x14ac:dyDescent="0.25">
      <c r="A41" s="43">
        <v>1999</v>
      </c>
      <c r="B41" s="36" t="s">
        <v>24</v>
      </c>
      <c r="C41" s="36">
        <v>7</v>
      </c>
      <c r="D41" s="38" t="s">
        <v>361</v>
      </c>
      <c r="E41" s="65">
        <v>0</v>
      </c>
      <c r="F41" s="44" t="s">
        <v>1233</v>
      </c>
      <c r="G41" s="43">
        <v>0</v>
      </c>
      <c r="H41" s="44" t="s">
        <v>823</v>
      </c>
      <c r="I41" s="43">
        <v>0</v>
      </c>
      <c r="J41" s="44" t="s">
        <v>736</v>
      </c>
      <c r="K41" s="43">
        <v>0</v>
      </c>
    </row>
    <row r="42" spans="1:11" ht="13.9" x14ac:dyDescent="0.25">
      <c r="A42" s="43">
        <v>1999</v>
      </c>
      <c r="B42" s="36" t="s">
        <v>24</v>
      </c>
      <c r="C42" s="36">
        <v>8</v>
      </c>
      <c r="D42" s="38" t="s">
        <v>361</v>
      </c>
      <c r="E42" s="65">
        <v>0</v>
      </c>
      <c r="F42" s="44" t="s">
        <v>1233</v>
      </c>
      <c r="G42" s="43">
        <v>0</v>
      </c>
      <c r="H42" s="44" t="s">
        <v>823</v>
      </c>
      <c r="I42" s="43">
        <v>0</v>
      </c>
      <c r="J42" s="44" t="s">
        <v>736</v>
      </c>
      <c r="K42" s="43">
        <v>0</v>
      </c>
    </row>
    <row r="43" spans="1:11" ht="13.9" x14ac:dyDescent="0.25">
      <c r="A43" s="43">
        <v>1999</v>
      </c>
      <c r="B43" s="36" t="s">
        <v>24</v>
      </c>
      <c r="C43" s="36">
        <v>9</v>
      </c>
      <c r="D43" s="38" t="s">
        <v>361</v>
      </c>
      <c r="E43" s="65">
        <v>0</v>
      </c>
      <c r="F43" s="44" t="s">
        <v>1233</v>
      </c>
      <c r="G43" s="43">
        <v>0</v>
      </c>
      <c r="H43" s="44" t="s">
        <v>823</v>
      </c>
      <c r="I43" s="43">
        <v>0</v>
      </c>
      <c r="J43" s="44" t="s">
        <v>736</v>
      </c>
      <c r="K43" s="43">
        <v>0</v>
      </c>
    </row>
    <row r="44" spans="1:11" ht="13.9" x14ac:dyDescent="0.25">
      <c r="A44" s="43">
        <v>1999</v>
      </c>
      <c r="B44" s="36" t="s">
        <v>24</v>
      </c>
      <c r="C44" s="36">
        <v>10</v>
      </c>
      <c r="D44" s="38" t="s">
        <v>343</v>
      </c>
      <c r="E44" s="65">
        <v>0</v>
      </c>
      <c r="F44" s="44" t="s">
        <v>1242</v>
      </c>
      <c r="G44" s="43">
        <v>0</v>
      </c>
      <c r="H44" s="44" t="s">
        <v>736</v>
      </c>
      <c r="I44" s="43">
        <v>0</v>
      </c>
      <c r="J44" s="44" t="s">
        <v>1061</v>
      </c>
      <c r="K44" s="43">
        <v>0</v>
      </c>
    </row>
    <row r="45" spans="1:11" ht="13.9" x14ac:dyDescent="0.25">
      <c r="A45" s="43">
        <v>1999</v>
      </c>
      <c r="B45" s="36" t="s">
        <v>24</v>
      </c>
      <c r="C45" s="36">
        <v>11</v>
      </c>
      <c r="D45" s="38" t="s">
        <v>363</v>
      </c>
      <c r="E45" s="65">
        <v>0</v>
      </c>
      <c r="F45" s="44" t="s">
        <v>1243</v>
      </c>
      <c r="G45" s="43">
        <v>0</v>
      </c>
      <c r="H45" s="44" t="s">
        <v>736</v>
      </c>
      <c r="I45" s="43">
        <v>0</v>
      </c>
      <c r="J45" s="44" t="s">
        <v>1061</v>
      </c>
      <c r="K45" s="43">
        <v>0</v>
      </c>
    </row>
    <row r="46" spans="1:11" x14ac:dyDescent="0.25">
      <c r="A46" s="43">
        <v>1999</v>
      </c>
      <c r="B46" s="36" t="s">
        <v>24</v>
      </c>
      <c r="C46" s="36">
        <v>12</v>
      </c>
      <c r="D46" s="38" t="s">
        <v>363</v>
      </c>
      <c r="E46" s="65">
        <v>0</v>
      </c>
      <c r="F46" s="44" t="s">
        <v>1243</v>
      </c>
      <c r="G46" s="43">
        <v>0</v>
      </c>
      <c r="H46" s="44" t="s">
        <v>1063</v>
      </c>
      <c r="I46" s="43">
        <v>0</v>
      </c>
      <c r="J46" s="44" t="s">
        <v>1249</v>
      </c>
      <c r="K46" s="43">
        <v>0</v>
      </c>
    </row>
    <row r="47" spans="1:11" x14ac:dyDescent="0.25">
      <c r="A47" s="43">
        <v>1999</v>
      </c>
      <c r="B47" s="36" t="s">
        <v>24</v>
      </c>
      <c r="C47" s="36">
        <v>13</v>
      </c>
      <c r="D47" s="38" t="s">
        <v>363</v>
      </c>
      <c r="E47" s="65">
        <v>0</v>
      </c>
      <c r="F47" s="44" t="s">
        <v>1243</v>
      </c>
      <c r="G47" s="43">
        <v>0</v>
      </c>
      <c r="H47" s="44" t="s">
        <v>1063</v>
      </c>
      <c r="I47" s="43">
        <v>0</v>
      </c>
      <c r="J47" s="44" t="s">
        <v>1249</v>
      </c>
      <c r="K47" s="43">
        <v>0</v>
      </c>
    </row>
    <row r="48" spans="1:11" x14ac:dyDescent="0.25">
      <c r="A48" s="43">
        <v>1999</v>
      </c>
      <c r="B48" s="36" t="s">
        <v>24</v>
      </c>
      <c r="C48" s="36">
        <v>14</v>
      </c>
      <c r="D48" s="38" t="s">
        <v>551</v>
      </c>
      <c r="E48" s="65">
        <v>0</v>
      </c>
      <c r="F48" s="44" t="s">
        <v>1244</v>
      </c>
      <c r="G48" s="43">
        <v>0</v>
      </c>
      <c r="H48" s="44" t="s">
        <v>1063</v>
      </c>
      <c r="I48" s="43">
        <v>0</v>
      </c>
      <c r="J48" s="44" t="s">
        <v>1249</v>
      </c>
      <c r="K48" s="43">
        <v>0</v>
      </c>
    </row>
    <row r="49" spans="1:11" x14ac:dyDescent="0.25">
      <c r="A49" s="43">
        <v>1999</v>
      </c>
      <c r="B49" s="36" t="s">
        <v>24</v>
      </c>
      <c r="C49" s="36">
        <v>15</v>
      </c>
      <c r="D49" s="38" t="s">
        <v>551</v>
      </c>
      <c r="E49" s="65">
        <v>0</v>
      </c>
      <c r="F49" s="44" t="s">
        <v>1244</v>
      </c>
      <c r="G49" s="43">
        <v>0</v>
      </c>
      <c r="H49" s="44" t="s">
        <v>1063</v>
      </c>
      <c r="I49" s="43">
        <v>0</v>
      </c>
      <c r="J49" s="44" t="s">
        <v>1249</v>
      </c>
      <c r="K49" s="43">
        <v>0</v>
      </c>
    </row>
    <row r="50" spans="1:11" x14ac:dyDescent="0.25">
      <c r="A50" s="43">
        <v>1999</v>
      </c>
      <c r="B50" s="36" t="s">
        <v>24</v>
      </c>
      <c r="C50" s="36">
        <v>16</v>
      </c>
      <c r="D50" s="38" t="s">
        <v>551</v>
      </c>
      <c r="E50" s="65">
        <v>0</v>
      </c>
      <c r="F50" s="44" t="s">
        <v>1244</v>
      </c>
      <c r="G50" s="43">
        <v>0</v>
      </c>
      <c r="H50" s="44" t="s">
        <v>1063</v>
      </c>
      <c r="I50" s="43">
        <v>0</v>
      </c>
      <c r="J50" s="44" t="s">
        <v>1060</v>
      </c>
      <c r="K50" s="43">
        <v>0</v>
      </c>
    </row>
    <row r="51" spans="1:11" x14ac:dyDescent="0.25">
      <c r="A51" s="43">
        <v>1999</v>
      </c>
      <c r="B51" s="36" t="s">
        <v>24</v>
      </c>
      <c r="C51" s="36">
        <v>17</v>
      </c>
      <c r="D51" s="38" t="s">
        <v>491</v>
      </c>
      <c r="E51" s="65">
        <v>0</v>
      </c>
      <c r="F51" s="44" t="s">
        <v>1232</v>
      </c>
      <c r="G51" s="43">
        <v>0</v>
      </c>
      <c r="H51" s="44" t="s">
        <v>1063</v>
      </c>
      <c r="I51" s="43">
        <v>0</v>
      </c>
      <c r="J51" s="44" t="s">
        <v>736</v>
      </c>
      <c r="K51" s="43">
        <v>0</v>
      </c>
    </row>
    <row r="52" spans="1:11" x14ac:dyDescent="0.25">
      <c r="A52" s="43">
        <v>1999</v>
      </c>
      <c r="B52" s="36" t="s">
        <v>24</v>
      </c>
      <c r="C52" s="36">
        <v>18</v>
      </c>
      <c r="D52" s="38" t="s">
        <v>1241</v>
      </c>
      <c r="E52" s="65">
        <v>0</v>
      </c>
      <c r="F52" s="44" t="s">
        <v>1245</v>
      </c>
      <c r="G52" s="43">
        <v>0</v>
      </c>
      <c r="H52" s="44" t="s">
        <v>736</v>
      </c>
      <c r="I52" s="43">
        <v>0</v>
      </c>
      <c r="J52" s="44" t="s">
        <v>736</v>
      </c>
      <c r="K52" s="43">
        <v>0</v>
      </c>
    </row>
    <row r="53" spans="1:11" x14ac:dyDescent="0.25">
      <c r="A53" s="43">
        <v>1999</v>
      </c>
      <c r="B53" s="36" t="s">
        <v>24</v>
      </c>
      <c r="C53" s="36">
        <v>19</v>
      </c>
      <c r="D53" s="38" t="s">
        <v>363</v>
      </c>
      <c r="E53" s="65">
        <v>0</v>
      </c>
      <c r="F53" s="44" t="s">
        <v>1243</v>
      </c>
      <c r="G53" s="43">
        <v>0</v>
      </c>
      <c r="H53" s="44" t="s">
        <v>736</v>
      </c>
      <c r="I53" s="43">
        <v>0</v>
      </c>
      <c r="J53" s="44" t="s">
        <v>736</v>
      </c>
      <c r="K53" s="43">
        <v>0</v>
      </c>
    </row>
    <row r="54" spans="1:11" x14ac:dyDescent="0.25">
      <c r="A54" s="43">
        <v>1999</v>
      </c>
      <c r="B54" s="36" t="s">
        <v>24</v>
      </c>
      <c r="C54" s="36">
        <v>20</v>
      </c>
      <c r="D54" s="38" t="s">
        <v>363</v>
      </c>
      <c r="E54" s="65">
        <v>0</v>
      </c>
      <c r="F54" s="44" t="s">
        <v>1243</v>
      </c>
      <c r="G54" s="43">
        <v>0</v>
      </c>
      <c r="H54" s="44" t="s">
        <v>736</v>
      </c>
      <c r="I54" s="43">
        <v>0</v>
      </c>
      <c r="J54" s="44" t="s">
        <v>736</v>
      </c>
      <c r="K54" s="43">
        <v>0</v>
      </c>
    </row>
    <row r="55" spans="1:11" x14ac:dyDescent="0.25">
      <c r="A55" s="43">
        <v>1999</v>
      </c>
      <c r="B55" s="36" t="s">
        <v>24</v>
      </c>
      <c r="C55" s="36">
        <v>21</v>
      </c>
      <c r="D55" s="38" t="s">
        <v>343</v>
      </c>
      <c r="E55" s="65">
        <v>0</v>
      </c>
      <c r="F55" s="44" t="s">
        <v>1242</v>
      </c>
      <c r="G55" s="43">
        <v>0</v>
      </c>
      <c r="H55" s="44" t="s">
        <v>736</v>
      </c>
      <c r="I55" s="43">
        <v>0</v>
      </c>
      <c r="J55" s="44" t="s">
        <v>736</v>
      </c>
      <c r="K55" s="43">
        <v>0</v>
      </c>
    </row>
    <row r="56" spans="1:11" x14ac:dyDescent="0.25">
      <c r="A56" s="43">
        <v>1999</v>
      </c>
      <c r="B56" s="36" t="s">
        <v>24</v>
      </c>
      <c r="C56" s="36">
        <v>22</v>
      </c>
      <c r="D56" s="38" t="s">
        <v>361</v>
      </c>
      <c r="E56" s="65">
        <v>0</v>
      </c>
      <c r="F56" s="44" t="s">
        <v>1233</v>
      </c>
      <c r="G56" s="43">
        <v>0</v>
      </c>
      <c r="H56" s="44" t="s">
        <v>736</v>
      </c>
      <c r="I56" s="43">
        <v>0</v>
      </c>
      <c r="J56" s="44" t="s">
        <v>736</v>
      </c>
      <c r="K56" s="43">
        <v>0</v>
      </c>
    </row>
    <row r="57" spans="1:11" x14ac:dyDescent="0.25">
      <c r="A57" s="43">
        <v>1999</v>
      </c>
      <c r="B57" s="36" t="s">
        <v>24</v>
      </c>
      <c r="C57" s="36">
        <v>23</v>
      </c>
      <c r="D57" s="38" t="s">
        <v>361</v>
      </c>
      <c r="E57" s="65">
        <v>0</v>
      </c>
      <c r="F57" s="44" t="s">
        <v>1233</v>
      </c>
      <c r="G57" s="43">
        <v>0</v>
      </c>
      <c r="H57" s="44" t="s">
        <v>1247</v>
      </c>
      <c r="I57" s="43">
        <v>0</v>
      </c>
      <c r="J57" s="44" t="s">
        <v>1180</v>
      </c>
      <c r="K57" s="43">
        <v>0</v>
      </c>
    </row>
    <row r="58" spans="1:11" x14ac:dyDescent="0.25">
      <c r="A58" s="43">
        <v>1999</v>
      </c>
      <c r="B58" s="36" t="s">
        <v>24</v>
      </c>
      <c r="C58" s="36">
        <v>24</v>
      </c>
      <c r="D58" s="38" t="s">
        <v>360</v>
      </c>
      <c r="E58" s="65">
        <v>0</v>
      </c>
      <c r="F58" s="44" t="s">
        <v>1239</v>
      </c>
      <c r="G58" s="43">
        <v>0</v>
      </c>
      <c r="H58" s="44" t="s">
        <v>1247</v>
      </c>
      <c r="I58" s="43">
        <v>0</v>
      </c>
      <c r="J58" s="44" t="s">
        <v>1180</v>
      </c>
      <c r="K58" s="43">
        <v>0</v>
      </c>
    </row>
    <row r="59" spans="1:11" x14ac:dyDescent="0.25">
      <c r="A59" s="43">
        <v>1999</v>
      </c>
      <c r="B59" s="36" t="s">
        <v>24</v>
      </c>
      <c r="C59" s="36">
        <v>25</v>
      </c>
      <c r="D59" s="38" t="s">
        <v>360</v>
      </c>
      <c r="E59" s="65">
        <v>0</v>
      </c>
      <c r="F59" s="44" t="s">
        <v>1239</v>
      </c>
      <c r="G59" s="43">
        <v>0</v>
      </c>
      <c r="H59" s="44" t="s">
        <v>1247</v>
      </c>
      <c r="I59" s="43">
        <v>0</v>
      </c>
      <c r="J59" s="44" t="s">
        <v>1180</v>
      </c>
      <c r="K59" s="43">
        <v>0</v>
      </c>
    </row>
    <row r="60" spans="1:11" x14ac:dyDescent="0.25">
      <c r="A60" s="43">
        <v>1999</v>
      </c>
      <c r="B60" s="36" t="s">
        <v>24</v>
      </c>
      <c r="C60" s="36">
        <v>26</v>
      </c>
      <c r="D60" s="38" t="s">
        <v>360</v>
      </c>
      <c r="E60" s="65">
        <v>0</v>
      </c>
      <c r="F60" s="44" t="s">
        <v>1233</v>
      </c>
      <c r="G60" s="43">
        <v>0</v>
      </c>
      <c r="H60" s="44" t="s">
        <v>1247</v>
      </c>
      <c r="I60" s="43">
        <v>0</v>
      </c>
      <c r="J60" s="44" t="s">
        <v>1180</v>
      </c>
      <c r="K60" s="43">
        <v>0</v>
      </c>
    </row>
    <row r="61" spans="1:11" x14ac:dyDescent="0.25">
      <c r="A61" s="43">
        <v>1999</v>
      </c>
      <c r="B61" s="36" t="s">
        <v>24</v>
      </c>
      <c r="C61" s="36">
        <v>27</v>
      </c>
      <c r="D61" s="38" t="s">
        <v>361</v>
      </c>
      <c r="E61" s="65">
        <v>0</v>
      </c>
      <c r="F61" s="44" t="s">
        <v>1233</v>
      </c>
      <c r="G61" s="43">
        <v>0</v>
      </c>
      <c r="H61" s="44" t="s">
        <v>1247</v>
      </c>
      <c r="I61" s="43">
        <v>0</v>
      </c>
      <c r="J61" s="44" t="s">
        <v>1180</v>
      </c>
      <c r="K61" s="43">
        <v>0</v>
      </c>
    </row>
    <row r="62" spans="1:11" x14ac:dyDescent="0.25">
      <c r="A62" s="43">
        <v>1999</v>
      </c>
      <c r="B62" s="36" t="s">
        <v>24</v>
      </c>
      <c r="C62" s="36">
        <v>28</v>
      </c>
      <c r="D62" s="38" t="s">
        <v>343</v>
      </c>
      <c r="E62" s="65">
        <v>0</v>
      </c>
      <c r="F62" s="44" t="s">
        <v>1242</v>
      </c>
      <c r="G62" s="43">
        <v>0</v>
      </c>
      <c r="H62" s="44" t="s">
        <v>1247</v>
      </c>
      <c r="I62" s="43">
        <v>0</v>
      </c>
      <c r="J62" s="44" t="s">
        <v>1180</v>
      </c>
      <c r="K62" s="43">
        <v>0</v>
      </c>
    </row>
    <row r="63" spans="1:11" x14ac:dyDescent="0.25">
      <c r="A63" s="43">
        <v>1999</v>
      </c>
      <c r="B63" s="36" t="s">
        <v>24</v>
      </c>
      <c r="C63" s="36">
        <v>29</v>
      </c>
      <c r="D63" s="44"/>
      <c r="E63" s="44"/>
      <c r="F63" s="44"/>
      <c r="G63" s="44"/>
      <c r="H63" s="44"/>
      <c r="I63" s="44"/>
      <c r="J63" s="44"/>
      <c r="K63" s="44"/>
    </row>
    <row r="64" spans="1:11" x14ac:dyDescent="0.25">
      <c r="A64" s="43">
        <v>1999</v>
      </c>
      <c r="B64" s="36" t="s">
        <v>25</v>
      </c>
      <c r="C64" s="36">
        <v>1</v>
      </c>
      <c r="D64" s="38" t="s">
        <v>363</v>
      </c>
      <c r="E64" s="40">
        <v>0</v>
      </c>
      <c r="F64" s="44" t="s">
        <v>1243</v>
      </c>
      <c r="G64" s="43">
        <v>0</v>
      </c>
      <c r="H64" s="44" t="s">
        <v>1247</v>
      </c>
      <c r="I64" s="44" t="s">
        <v>736</v>
      </c>
      <c r="J64" s="44" t="s">
        <v>1180</v>
      </c>
      <c r="K64" s="43">
        <v>0</v>
      </c>
    </row>
    <row r="65" spans="1:11" x14ac:dyDescent="0.25">
      <c r="A65" s="43">
        <v>1999</v>
      </c>
      <c r="B65" s="36" t="s">
        <v>25</v>
      </c>
      <c r="C65" s="36">
        <v>2</v>
      </c>
      <c r="D65" s="38" t="s">
        <v>551</v>
      </c>
      <c r="E65" s="40">
        <v>0</v>
      </c>
      <c r="F65" s="44" t="s">
        <v>1244</v>
      </c>
      <c r="G65" s="43">
        <v>0</v>
      </c>
      <c r="H65" s="44" t="s">
        <v>1247</v>
      </c>
      <c r="I65" s="43">
        <v>0</v>
      </c>
      <c r="J65" s="44" t="s">
        <v>1180</v>
      </c>
      <c r="K65" s="43">
        <v>0</v>
      </c>
    </row>
    <row r="66" spans="1:11" x14ac:dyDescent="0.25">
      <c r="A66" s="43">
        <v>1999</v>
      </c>
      <c r="B66" s="36" t="s">
        <v>25</v>
      </c>
      <c r="C66" s="36">
        <v>3</v>
      </c>
      <c r="D66" s="38" t="s">
        <v>491</v>
      </c>
      <c r="E66" s="40">
        <v>0</v>
      </c>
      <c r="F66" s="44" t="s">
        <v>1232</v>
      </c>
      <c r="G66" s="43">
        <v>0</v>
      </c>
      <c r="H66" s="44" t="s">
        <v>736</v>
      </c>
      <c r="I66" s="43">
        <v>0</v>
      </c>
      <c r="J66" s="44" t="s">
        <v>1061</v>
      </c>
      <c r="K66" s="43">
        <v>0</v>
      </c>
    </row>
    <row r="67" spans="1:11" x14ac:dyDescent="0.25">
      <c r="A67" s="43">
        <v>1999</v>
      </c>
      <c r="B67" s="36" t="s">
        <v>25</v>
      </c>
      <c r="C67" s="36">
        <v>4</v>
      </c>
      <c r="D67" s="38" t="s">
        <v>436</v>
      </c>
      <c r="E67" s="40">
        <v>0</v>
      </c>
      <c r="F67" s="44" t="s">
        <v>1254</v>
      </c>
      <c r="G67" s="43">
        <v>0</v>
      </c>
      <c r="H67" s="44" t="s">
        <v>736</v>
      </c>
      <c r="I67" s="43">
        <v>0</v>
      </c>
      <c r="J67" s="44" t="s">
        <v>1061</v>
      </c>
      <c r="K67" s="43">
        <v>0</v>
      </c>
    </row>
    <row r="68" spans="1:11" x14ac:dyDescent="0.25">
      <c r="A68" s="43">
        <v>1999</v>
      </c>
      <c r="B68" s="36" t="s">
        <v>25</v>
      </c>
      <c r="C68" s="36">
        <v>5</v>
      </c>
      <c r="D68" s="38" t="s">
        <v>492</v>
      </c>
      <c r="E68" s="40">
        <v>0</v>
      </c>
      <c r="F68" s="44" t="s">
        <v>1255</v>
      </c>
      <c r="G68" s="43">
        <v>0</v>
      </c>
      <c r="H68" s="44" t="s">
        <v>1272</v>
      </c>
      <c r="I68" s="43">
        <v>0</v>
      </c>
      <c r="J68" s="44" t="s">
        <v>1249</v>
      </c>
      <c r="K68" s="43">
        <v>0</v>
      </c>
    </row>
    <row r="69" spans="1:11" x14ac:dyDescent="0.25">
      <c r="A69" s="43">
        <v>1999</v>
      </c>
      <c r="B69" s="36" t="s">
        <v>25</v>
      </c>
      <c r="C69" s="36">
        <v>6</v>
      </c>
      <c r="D69" s="38" t="s">
        <v>493</v>
      </c>
      <c r="E69" s="40">
        <v>0</v>
      </c>
      <c r="F69" s="44" t="s">
        <v>1256</v>
      </c>
      <c r="G69" s="43">
        <v>0</v>
      </c>
      <c r="H69" s="44" t="s">
        <v>1272</v>
      </c>
      <c r="I69" s="43">
        <v>0</v>
      </c>
      <c r="J69" s="44" t="s">
        <v>1249</v>
      </c>
      <c r="K69" s="43">
        <v>0</v>
      </c>
    </row>
    <row r="70" spans="1:11" x14ac:dyDescent="0.25">
      <c r="A70" s="43">
        <v>1999</v>
      </c>
      <c r="B70" s="36" t="s">
        <v>25</v>
      </c>
      <c r="C70" s="36">
        <v>7</v>
      </c>
      <c r="D70" s="38" t="s">
        <v>494</v>
      </c>
      <c r="E70" s="40">
        <v>0</v>
      </c>
      <c r="F70" s="44" t="s">
        <v>1257</v>
      </c>
      <c r="G70" s="43">
        <v>0</v>
      </c>
      <c r="H70" s="44" t="s">
        <v>1272</v>
      </c>
      <c r="I70" s="43">
        <v>0</v>
      </c>
      <c r="J70" s="44" t="s">
        <v>1249</v>
      </c>
      <c r="K70" s="43">
        <v>0</v>
      </c>
    </row>
    <row r="71" spans="1:11" x14ac:dyDescent="0.25">
      <c r="A71" s="43">
        <v>1999</v>
      </c>
      <c r="B71" s="36" t="s">
        <v>25</v>
      </c>
      <c r="C71" s="36">
        <v>8</v>
      </c>
      <c r="D71" s="38" t="s">
        <v>495</v>
      </c>
      <c r="E71" s="40">
        <v>0</v>
      </c>
      <c r="F71" s="44" t="s">
        <v>1231</v>
      </c>
      <c r="G71" s="43">
        <v>0</v>
      </c>
      <c r="H71" s="44" t="s">
        <v>1272</v>
      </c>
      <c r="I71" s="43">
        <v>0</v>
      </c>
      <c r="J71" s="44" t="s">
        <v>1249</v>
      </c>
      <c r="K71" s="43">
        <v>0</v>
      </c>
    </row>
    <row r="72" spans="1:11" x14ac:dyDescent="0.25">
      <c r="A72" s="43">
        <v>1999</v>
      </c>
      <c r="B72" s="36" t="s">
        <v>25</v>
      </c>
      <c r="C72" s="36">
        <v>9</v>
      </c>
      <c r="D72" s="38" t="s">
        <v>341</v>
      </c>
      <c r="E72" s="40">
        <v>0</v>
      </c>
      <c r="F72" s="44" t="s">
        <v>1258</v>
      </c>
      <c r="G72" s="43">
        <v>0</v>
      </c>
      <c r="H72" s="44" t="s">
        <v>1272</v>
      </c>
      <c r="I72" s="43">
        <v>0</v>
      </c>
      <c r="J72" s="44" t="s">
        <v>1249</v>
      </c>
      <c r="K72" s="43">
        <v>0</v>
      </c>
    </row>
    <row r="73" spans="1:11" x14ac:dyDescent="0.25">
      <c r="A73" s="43">
        <v>1999</v>
      </c>
      <c r="B73" s="36" t="s">
        <v>25</v>
      </c>
      <c r="C73" s="36">
        <v>10</v>
      </c>
      <c r="D73" s="38" t="s">
        <v>340</v>
      </c>
      <c r="E73" s="40">
        <v>0</v>
      </c>
      <c r="F73" s="44" t="s">
        <v>1259</v>
      </c>
      <c r="G73" s="43">
        <v>0</v>
      </c>
      <c r="H73" s="44" t="s">
        <v>1272</v>
      </c>
      <c r="I73" s="43">
        <v>0</v>
      </c>
      <c r="J73" s="44" t="s">
        <v>1063</v>
      </c>
      <c r="K73" s="43">
        <v>0</v>
      </c>
    </row>
    <row r="74" spans="1:11" x14ac:dyDescent="0.25">
      <c r="A74" s="43">
        <v>1999</v>
      </c>
      <c r="B74" s="36" t="s">
        <v>25</v>
      </c>
      <c r="C74" s="36">
        <v>11</v>
      </c>
      <c r="D74" s="38" t="s">
        <v>339</v>
      </c>
      <c r="E74" s="40">
        <v>0</v>
      </c>
      <c r="F74" s="44" t="s">
        <v>1230</v>
      </c>
      <c r="G74" s="43">
        <v>0</v>
      </c>
      <c r="H74" s="44" t="s">
        <v>1272</v>
      </c>
      <c r="I74" s="43">
        <v>0</v>
      </c>
      <c r="J74" s="44" t="s">
        <v>1063</v>
      </c>
      <c r="K74" s="43">
        <v>0</v>
      </c>
    </row>
    <row r="75" spans="1:11" x14ac:dyDescent="0.25">
      <c r="A75" s="43">
        <v>1999</v>
      </c>
      <c r="B75" s="36" t="s">
        <v>25</v>
      </c>
      <c r="C75" s="36">
        <v>12</v>
      </c>
      <c r="D75" s="38" t="s">
        <v>342</v>
      </c>
      <c r="E75" s="40">
        <v>0</v>
      </c>
      <c r="F75" s="44" t="s">
        <v>1260</v>
      </c>
      <c r="G75" s="43">
        <v>0</v>
      </c>
      <c r="H75" s="44" t="s">
        <v>1272</v>
      </c>
      <c r="I75" s="43">
        <v>0</v>
      </c>
      <c r="J75" s="44" t="s">
        <v>823</v>
      </c>
      <c r="K75" s="43">
        <v>0</v>
      </c>
    </row>
    <row r="76" spans="1:11" x14ac:dyDescent="0.25">
      <c r="A76" s="43">
        <v>1999</v>
      </c>
      <c r="B76" s="36" t="s">
        <v>25</v>
      </c>
      <c r="C76" s="36">
        <v>13</v>
      </c>
      <c r="D76" s="38" t="s">
        <v>338</v>
      </c>
      <c r="E76" s="40">
        <v>0</v>
      </c>
      <c r="F76" s="44" t="s">
        <v>1229</v>
      </c>
      <c r="G76" s="43">
        <v>0</v>
      </c>
      <c r="H76" s="44" t="s">
        <v>824</v>
      </c>
      <c r="I76" s="43">
        <v>0</v>
      </c>
      <c r="J76" s="44" t="s">
        <v>823</v>
      </c>
      <c r="K76" s="43">
        <v>0</v>
      </c>
    </row>
    <row r="77" spans="1:11" x14ac:dyDescent="0.25">
      <c r="A77" s="43">
        <v>1999</v>
      </c>
      <c r="B77" s="36" t="s">
        <v>25</v>
      </c>
      <c r="C77" s="36">
        <v>14</v>
      </c>
      <c r="D77" s="38" t="s">
        <v>497</v>
      </c>
      <c r="E77" s="40">
        <v>0</v>
      </c>
      <c r="F77" s="44" t="s">
        <v>978</v>
      </c>
      <c r="G77" s="43">
        <v>0</v>
      </c>
      <c r="H77" s="44" t="s">
        <v>824</v>
      </c>
      <c r="I77" s="43">
        <v>0</v>
      </c>
      <c r="J77" s="44" t="s">
        <v>823</v>
      </c>
      <c r="K77" s="43">
        <v>0</v>
      </c>
    </row>
    <row r="78" spans="1:11" x14ac:dyDescent="0.25">
      <c r="A78" s="43">
        <v>1999</v>
      </c>
      <c r="B78" s="36" t="s">
        <v>25</v>
      </c>
      <c r="C78" s="62">
        <v>15</v>
      </c>
      <c r="D78" s="38" t="s">
        <v>514</v>
      </c>
      <c r="E78" s="40">
        <v>0</v>
      </c>
      <c r="F78" s="44" t="s">
        <v>979</v>
      </c>
      <c r="G78" s="43">
        <v>0</v>
      </c>
      <c r="H78" s="44" t="s">
        <v>824</v>
      </c>
      <c r="I78" s="43">
        <v>0</v>
      </c>
      <c r="J78" s="44" t="s">
        <v>1180</v>
      </c>
      <c r="K78" s="43">
        <v>0</v>
      </c>
    </row>
    <row r="79" spans="1:11" x14ac:dyDescent="0.25">
      <c r="A79" s="43">
        <v>1999</v>
      </c>
      <c r="B79" s="36" t="s">
        <v>25</v>
      </c>
      <c r="C79" s="36">
        <v>16</v>
      </c>
      <c r="D79" s="38" t="s">
        <v>1250</v>
      </c>
      <c r="E79" s="40">
        <v>0</v>
      </c>
      <c r="F79" s="44" t="s">
        <v>1261</v>
      </c>
      <c r="G79" s="43">
        <v>0</v>
      </c>
      <c r="H79" s="44" t="s">
        <v>1249</v>
      </c>
      <c r="I79" s="43">
        <v>0</v>
      </c>
      <c r="J79" s="44" t="s">
        <v>1180</v>
      </c>
      <c r="K79" s="43">
        <v>0</v>
      </c>
    </row>
    <row r="80" spans="1:11" x14ac:dyDescent="0.25">
      <c r="A80" s="43">
        <v>1999</v>
      </c>
      <c r="B80" s="36" t="s">
        <v>25</v>
      </c>
      <c r="C80" s="36">
        <v>17</v>
      </c>
      <c r="D80" s="38" t="s">
        <v>1251</v>
      </c>
      <c r="E80" s="40">
        <v>0</v>
      </c>
      <c r="F80" s="44" t="s">
        <v>1262</v>
      </c>
      <c r="G80" s="43">
        <v>0</v>
      </c>
      <c r="H80" s="44" t="s">
        <v>1249</v>
      </c>
      <c r="I80" s="43">
        <v>0</v>
      </c>
      <c r="J80" s="44" t="s">
        <v>1180</v>
      </c>
      <c r="K80" s="43">
        <v>0</v>
      </c>
    </row>
    <row r="81" spans="1:11" x14ac:dyDescent="0.25">
      <c r="A81" s="43">
        <v>1999</v>
      </c>
      <c r="B81" s="36" t="s">
        <v>25</v>
      </c>
      <c r="C81" s="36">
        <v>18</v>
      </c>
      <c r="D81" s="38" t="s">
        <v>500</v>
      </c>
      <c r="E81" s="40">
        <v>0</v>
      </c>
      <c r="F81" s="44" t="s">
        <v>1263</v>
      </c>
      <c r="G81" s="43">
        <v>0</v>
      </c>
      <c r="H81" s="44" t="s">
        <v>1249</v>
      </c>
      <c r="I81" s="43">
        <v>0</v>
      </c>
      <c r="J81" s="44" t="s">
        <v>1180</v>
      </c>
      <c r="K81" s="43">
        <v>0</v>
      </c>
    </row>
    <row r="82" spans="1:11" x14ac:dyDescent="0.25">
      <c r="A82" s="43">
        <v>1999</v>
      </c>
      <c r="B82" s="36" t="s">
        <v>25</v>
      </c>
      <c r="C82" s="36">
        <v>19</v>
      </c>
      <c r="D82" s="38" t="s">
        <v>501</v>
      </c>
      <c r="E82" s="40">
        <v>0</v>
      </c>
      <c r="F82" s="44" t="s">
        <v>1264</v>
      </c>
      <c r="G82" s="43">
        <v>0</v>
      </c>
      <c r="H82" s="44" t="s">
        <v>1249</v>
      </c>
      <c r="I82" s="43">
        <v>0</v>
      </c>
      <c r="J82" s="44" t="s">
        <v>1180</v>
      </c>
      <c r="K82" s="43">
        <v>0</v>
      </c>
    </row>
    <row r="83" spans="1:11" x14ac:dyDescent="0.25">
      <c r="A83" s="43">
        <v>1999</v>
      </c>
      <c r="B83" s="36" t="s">
        <v>25</v>
      </c>
      <c r="C83" s="36">
        <v>20</v>
      </c>
      <c r="D83" s="38" t="s">
        <v>335</v>
      </c>
      <c r="E83" s="40">
        <v>0</v>
      </c>
      <c r="F83" s="42" t="s">
        <v>1265</v>
      </c>
      <c r="G83" s="43">
        <v>0</v>
      </c>
      <c r="H83" s="44" t="s">
        <v>1249</v>
      </c>
      <c r="I83" s="43">
        <v>0</v>
      </c>
      <c r="J83" s="44" t="s">
        <v>1180</v>
      </c>
      <c r="K83" s="43">
        <v>0</v>
      </c>
    </row>
    <row r="84" spans="1:11" x14ac:dyDescent="0.25">
      <c r="A84" s="43">
        <v>1999</v>
      </c>
      <c r="B84" s="36" t="s">
        <v>25</v>
      </c>
      <c r="C84" s="36">
        <v>21</v>
      </c>
      <c r="D84" s="38" t="s">
        <v>435</v>
      </c>
      <c r="E84" s="40">
        <v>0</v>
      </c>
      <c r="F84" s="42" t="s">
        <v>839</v>
      </c>
      <c r="G84" s="43">
        <v>0</v>
      </c>
      <c r="H84" s="44" t="s">
        <v>1249</v>
      </c>
      <c r="I84" s="43">
        <v>0</v>
      </c>
      <c r="J84" s="44" t="s">
        <v>1180</v>
      </c>
      <c r="K84" s="43">
        <v>0</v>
      </c>
    </row>
    <row r="85" spans="1:11" x14ac:dyDescent="0.25">
      <c r="A85" s="43">
        <v>1999</v>
      </c>
      <c r="B85" s="36" t="s">
        <v>25</v>
      </c>
      <c r="C85" s="36">
        <v>22</v>
      </c>
      <c r="D85" s="38" t="s">
        <v>513</v>
      </c>
      <c r="E85" s="40">
        <v>0</v>
      </c>
      <c r="F85" s="73" t="s">
        <v>1266</v>
      </c>
      <c r="G85" s="43">
        <v>0</v>
      </c>
      <c r="H85" s="44" t="s">
        <v>1249</v>
      </c>
      <c r="I85" s="43">
        <v>0</v>
      </c>
      <c r="J85" s="44" t="s">
        <v>1180</v>
      </c>
      <c r="K85" s="43">
        <v>0</v>
      </c>
    </row>
    <row r="86" spans="1:11" x14ac:dyDescent="0.25">
      <c r="A86" s="43">
        <v>1999</v>
      </c>
      <c r="B86" s="36" t="s">
        <v>25</v>
      </c>
      <c r="C86" s="36">
        <v>23</v>
      </c>
      <c r="D86" s="38" t="s">
        <v>502</v>
      </c>
      <c r="E86" s="40">
        <v>0</v>
      </c>
      <c r="F86" s="73" t="s">
        <v>1226</v>
      </c>
      <c r="G86" s="43">
        <v>0</v>
      </c>
      <c r="H86" s="44" t="s">
        <v>1249</v>
      </c>
      <c r="I86" s="43">
        <v>0</v>
      </c>
      <c r="J86" s="44" t="s">
        <v>1249</v>
      </c>
      <c r="K86" s="43">
        <v>0</v>
      </c>
    </row>
    <row r="87" spans="1:11" x14ac:dyDescent="0.25">
      <c r="A87" s="43">
        <v>1999</v>
      </c>
      <c r="B87" s="36" t="s">
        <v>25</v>
      </c>
      <c r="C87" s="36">
        <v>24</v>
      </c>
      <c r="D87" s="38" t="s">
        <v>1252</v>
      </c>
      <c r="E87" s="40">
        <v>0</v>
      </c>
      <c r="F87" s="73" t="s">
        <v>1267</v>
      </c>
      <c r="G87" s="43">
        <v>0</v>
      </c>
      <c r="H87" s="44" t="s">
        <v>736</v>
      </c>
      <c r="I87" s="43">
        <v>0</v>
      </c>
      <c r="J87" s="44" t="s">
        <v>1249</v>
      </c>
      <c r="K87" s="43">
        <v>0</v>
      </c>
    </row>
    <row r="88" spans="1:11" x14ac:dyDescent="0.25">
      <c r="A88" s="43">
        <v>1999</v>
      </c>
      <c r="B88" s="36" t="s">
        <v>25</v>
      </c>
      <c r="C88" s="36">
        <v>25</v>
      </c>
      <c r="D88" s="38" t="s">
        <v>518</v>
      </c>
      <c r="E88" s="40">
        <v>0</v>
      </c>
      <c r="F88" s="73" t="s">
        <v>1005</v>
      </c>
      <c r="G88" s="43">
        <v>0</v>
      </c>
      <c r="H88" s="44" t="s">
        <v>736</v>
      </c>
      <c r="I88" s="43">
        <v>0</v>
      </c>
      <c r="J88" s="44" t="s">
        <v>1249</v>
      </c>
      <c r="K88" s="43">
        <v>0</v>
      </c>
    </row>
    <row r="89" spans="1:11" x14ac:dyDescent="0.25">
      <c r="A89" s="43">
        <v>1999</v>
      </c>
      <c r="B89" s="36" t="s">
        <v>25</v>
      </c>
      <c r="C89" s="36">
        <v>26</v>
      </c>
      <c r="D89" s="38" t="s">
        <v>334</v>
      </c>
      <c r="E89" s="40">
        <v>0</v>
      </c>
      <c r="F89" s="73" t="s">
        <v>843</v>
      </c>
      <c r="G89" s="43">
        <v>0</v>
      </c>
      <c r="H89" s="44" t="s">
        <v>1249</v>
      </c>
      <c r="I89" s="43">
        <v>0</v>
      </c>
      <c r="J89" s="44" t="s">
        <v>1180</v>
      </c>
      <c r="K89" s="43">
        <v>0</v>
      </c>
    </row>
    <row r="90" spans="1:11" x14ac:dyDescent="0.25">
      <c r="A90" s="43">
        <v>1999</v>
      </c>
      <c r="B90" s="36" t="s">
        <v>25</v>
      </c>
      <c r="C90" s="36">
        <v>27</v>
      </c>
      <c r="D90" s="38" t="s">
        <v>519</v>
      </c>
      <c r="E90" s="40">
        <v>0</v>
      </c>
      <c r="F90" s="73" t="s">
        <v>1006</v>
      </c>
      <c r="G90" s="43">
        <v>0</v>
      </c>
      <c r="H90" s="44" t="s">
        <v>1249</v>
      </c>
      <c r="I90" s="43">
        <v>0</v>
      </c>
      <c r="J90" s="44" t="s">
        <v>1180</v>
      </c>
      <c r="K90" s="43">
        <v>0</v>
      </c>
    </row>
    <row r="91" spans="1:11" x14ac:dyDescent="0.25">
      <c r="A91" s="43">
        <v>1999</v>
      </c>
      <c r="B91" s="36" t="s">
        <v>25</v>
      </c>
      <c r="C91" s="36">
        <v>28</v>
      </c>
      <c r="D91" s="38" t="s">
        <v>316</v>
      </c>
      <c r="E91" s="40">
        <v>0</v>
      </c>
      <c r="F91" s="73" t="s">
        <v>1268</v>
      </c>
      <c r="G91" s="43">
        <v>0</v>
      </c>
      <c r="H91" s="44" t="s">
        <v>1249</v>
      </c>
      <c r="I91" s="43">
        <v>0</v>
      </c>
      <c r="J91" s="44" t="s">
        <v>1180</v>
      </c>
      <c r="K91" s="43">
        <v>0</v>
      </c>
    </row>
    <row r="92" spans="1:11" x14ac:dyDescent="0.25">
      <c r="A92" s="43">
        <v>1999</v>
      </c>
      <c r="B92" s="36" t="s">
        <v>25</v>
      </c>
      <c r="C92" s="36">
        <v>29</v>
      </c>
      <c r="D92" s="38" t="s">
        <v>512</v>
      </c>
      <c r="E92" s="40">
        <v>0</v>
      </c>
      <c r="F92" s="42" t="s">
        <v>1269</v>
      </c>
      <c r="G92" s="43">
        <v>0</v>
      </c>
      <c r="H92" s="44" t="s">
        <v>1249</v>
      </c>
      <c r="I92" s="43">
        <v>0</v>
      </c>
      <c r="J92" s="44" t="s">
        <v>1180</v>
      </c>
      <c r="K92" s="43">
        <v>0</v>
      </c>
    </row>
    <row r="93" spans="1:11" x14ac:dyDescent="0.25">
      <c r="A93" s="43">
        <v>1999</v>
      </c>
      <c r="B93" s="36" t="s">
        <v>25</v>
      </c>
      <c r="C93" s="36">
        <v>30</v>
      </c>
      <c r="D93" s="38" t="s">
        <v>1253</v>
      </c>
      <c r="E93" s="40">
        <v>0</v>
      </c>
      <c r="F93" s="42" t="s">
        <v>1270</v>
      </c>
      <c r="G93" s="43">
        <v>0</v>
      </c>
      <c r="H93" s="44" t="s">
        <v>1249</v>
      </c>
      <c r="I93" s="43">
        <v>0</v>
      </c>
      <c r="J93" s="44" t="s">
        <v>1180</v>
      </c>
      <c r="K93" s="43">
        <v>0</v>
      </c>
    </row>
    <row r="94" spans="1:11" x14ac:dyDescent="0.25">
      <c r="A94" s="43">
        <v>1999</v>
      </c>
      <c r="B94" s="36" t="s">
        <v>25</v>
      </c>
      <c r="C94" s="36">
        <v>31</v>
      </c>
      <c r="D94" s="38" t="s">
        <v>503</v>
      </c>
      <c r="E94" s="40">
        <v>0</v>
      </c>
      <c r="F94" s="42" t="s">
        <v>1225</v>
      </c>
      <c r="G94" s="43">
        <v>0</v>
      </c>
      <c r="H94" s="44" t="s">
        <v>1249</v>
      </c>
      <c r="I94" s="43">
        <v>0</v>
      </c>
      <c r="J94" s="44" t="s">
        <v>1180</v>
      </c>
      <c r="K94" s="43">
        <v>0</v>
      </c>
    </row>
    <row r="95" spans="1:11" x14ac:dyDescent="0.25">
      <c r="A95" s="43">
        <v>1999</v>
      </c>
      <c r="B95" s="36" t="s">
        <v>26</v>
      </c>
      <c r="C95" s="36">
        <v>1</v>
      </c>
      <c r="D95" s="38" t="s">
        <v>380</v>
      </c>
      <c r="E95" s="40">
        <v>0</v>
      </c>
      <c r="F95" s="44" t="s">
        <v>1274</v>
      </c>
      <c r="G95" s="43">
        <v>0</v>
      </c>
      <c r="H95" s="44" t="s">
        <v>736</v>
      </c>
      <c r="I95" s="43">
        <v>0</v>
      </c>
      <c r="J95" s="44" t="s">
        <v>1060</v>
      </c>
      <c r="K95" s="43">
        <v>0</v>
      </c>
    </row>
    <row r="96" spans="1:11" x14ac:dyDescent="0.25">
      <c r="A96" s="43">
        <v>1999</v>
      </c>
      <c r="B96" s="36" t="s">
        <v>26</v>
      </c>
      <c r="C96" s="36">
        <v>2</v>
      </c>
      <c r="D96" s="38" t="s">
        <v>504</v>
      </c>
      <c r="E96" s="40">
        <v>0</v>
      </c>
      <c r="F96" s="44" t="s">
        <v>1224</v>
      </c>
      <c r="G96" s="43">
        <v>0</v>
      </c>
      <c r="H96" s="44" t="s">
        <v>736</v>
      </c>
      <c r="I96" s="43">
        <v>0</v>
      </c>
      <c r="J96" s="44" t="s">
        <v>1060</v>
      </c>
      <c r="K96" s="43">
        <v>0</v>
      </c>
    </row>
    <row r="97" spans="1:11" x14ac:dyDescent="0.25">
      <c r="A97" s="43">
        <v>1999</v>
      </c>
      <c r="B97" s="36" t="s">
        <v>26</v>
      </c>
      <c r="C97" s="36">
        <v>3</v>
      </c>
      <c r="D97" s="38" t="s">
        <v>333</v>
      </c>
      <c r="E97" s="40">
        <v>0</v>
      </c>
      <c r="F97" s="44" t="s">
        <v>1275</v>
      </c>
      <c r="G97" s="43">
        <v>0</v>
      </c>
      <c r="H97" s="44" t="s">
        <v>1249</v>
      </c>
      <c r="I97" s="43">
        <v>0</v>
      </c>
      <c r="J97" s="44" t="s">
        <v>1180</v>
      </c>
      <c r="K97" s="43">
        <v>0</v>
      </c>
    </row>
    <row r="98" spans="1:11" x14ac:dyDescent="0.25">
      <c r="A98" s="43">
        <v>1999</v>
      </c>
      <c r="B98" s="36" t="s">
        <v>26</v>
      </c>
      <c r="C98" s="36">
        <v>4</v>
      </c>
      <c r="D98" s="38" t="s">
        <v>385</v>
      </c>
      <c r="E98" s="40">
        <v>0</v>
      </c>
      <c r="F98" s="44" t="s">
        <v>757</v>
      </c>
      <c r="G98" s="43">
        <v>0</v>
      </c>
      <c r="H98" s="44" t="s">
        <v>1249</v>
      </c>
      <c r="I98" s="43">
        <v>0</v>
      </c>
      <c r="J98" s="44" t="s">
        <v>1180</v>
      </c>
      <c r="K98" s="43">
        <v>0</v>
      </c>
    </row>
    <row r="99" spans="1:11" x14ac:dyDescent="0.25">
      <c r="A99" s="43">
        <v>1999</v>
      </c>
      <c r="B99" s="36" t="s">
        <v>26</v>
      </c>
      <c r="C99" s="36">
        <v>5</v>
      </c>
      <c r="D99" s="38" t="s">
        <v>1273</v>
      </c>
      <c r="E99" s="40">
        <v>0</v>
      </c>
      <c r="F99" s="44" t="s">
        <v>1276</v>
      </c>
      <c r="G99" s="43">
        <v>0</v>
      </c>
      <c r="H99" s="44" t="s">
        <v>1249</v>
      </c>
      <c r="I99" s="43">
        <v>0</v>
      </c>
      <c r="J99" s="44" t="s">
        <v>1180</v>
      </c>
      <c r="K99" s="43">
        <v>0</v>
      </c>
    </row>
    <row r="100" spans="1:11" x14ac:dyDescent="0.25">
      <c r="A100" s="43">
        <v>1999</v>
      </c>
      <c r="B100" s="36" t="s">
        <v>26</v>
      </c>
      <c r="C100" s="36">
        <v>6</v>
      </c>
      <c r="D100" s="38" t="s">
        <v>524</v>
      </c>
      <c r="E100" s="40">
        <v>0</v>
      </c>
      <c r="F100" s="44" t="s">
        <v>859</v>
      </c>
      <c r="G100" s="43">
        <v>0</v>
      </c>
      <c r="H100" s="44" t="s">
        <v>1180</v>
      </c>
      <c r="I100" s="43">
        <v>0</v>
      </c>
      <c r="J100" s="44" t="s">
        <v>1180</v>
      </c>
      <c r="K100" s="43">
        <v>0</v>
      </c>
    </row>
    <row r="101" spans="1:11" x14ac:dyDescent="0.25">
      <c r="A101" s="43">
        <v>1999</v>
      </c>
      <c r="B101" s="36" t="s">
        <v>26</v>
      </c>
      <c r="C101" s="36">
        <v>7</v>
      </c>
      <c r="D101" s="38" t="s">
        <v>386</v>
      </c>
      <c r="E101" s="40">
        <v>0</v>
      </c>
      <c r="F101" s="44" t="s">
        <v>862</v>
      </c>
      <c r="G101" s="43">
        <v>0</v>
      </c>
      <c r="H101" s="44" t="s">
        <v>1180</v>
      </c>
      <c r="I101" s="43">
        <v>0</v>
      </c>
      <c r="J101" s="44" t="s">
        <v>1180</v>
      </c>
      <c r="K101" s="43">
        <v>0</v>
      </c>
    </row>
    <row r="102" spans="1:11" x14ac:dyDescent="0.25">
      <c r="A102" s="43">
        <v>1999</v>
      </c>
      <c r="B102" s="36" t="s">
        <v>26</v>
      </c>
      <c r="C102" s="36">
        <v>8</v>
      </c>
      <c r="D102" s="38" t="s">
        <v>507</v>
      </c>
      <c r="E102" s="40">
        <v>0</v>
      </c>
      <c r="F102" s="44" t="s">
        <v>1277</v>
      </c>
      <c r="G102" s="43">
        <v>0</v>
      </c>
      <c r="H102" s="44" t="s">
        <v>1180</v>
      </c>
      <c r="I102" s="43">
        <v>0</v>
      </c>
      <c r="J102" s="44" t="s">
        <v>1180</v>
      </c>
      <c r="K102" s="43">
        <v>0</v>
      </c>
    </row>
    <row r="103" spans="1:11" x14ac:dyDescent="0.25">
      <c r="A103" s="43">
        <v>1999</v>
      </c>
      <c r="B103" s="36" t="s">
        <v>26</v>
      </c>
      <c r="C103" s="36">
        <v>9</v>
      </c>
      <c r="D103" s="38" t="s">
        <v>387</v>
      </c>
      <c r="E103" s="40">
        <v>0</v>
      </c>
      <c r="F103" s="44" t="s">
        <v>1278</v>
      </c>
      <c r="G103" s="43">
        <v>0</v>
      </c>
      <c r="H103" s="44" t="s">
        <v>1180</v>
      </c>
      <c r="I103" s="43">
        <v>0</v>
      </c>
      <c r="J103" s="44" t="s">
        <v>1180</v>
      </c>
      <c r="K103" s="43">
        <v>0</v>
      </c>
    </row>
    <row r="104" spans="1:11" x14ac:dyDescent="0.25">
      <c r="A104" s="43">
        <v>1999</v>
      </c>
      <c r="B104" s="36" t="s">
        <v>26</v>
      </c>
      <c r="C104" s="36">
        <v>10</v>
      </c>
      <c r="D104" s="38" t="s">
        <v>525</v>
      </c>
      <c r="E104" s="40">
        <v>0</v>
      </c>
      <c r="F104" s="44" t="s">
        <v>1279</v>
      </c>
      <c r="G104" s="43">
        <v>0</v>
      </c>
      <c r="H104" s="44" t="s">
        <v>1180</v>
      </c>
      <c r="I104" s="43">
        <v>0</v>
      </c>
      <c r="J104" s="44" t="s">
        <v>1180</v>
      </c>
      <c r="K104" s="43">
        <v>0</v>
      </c>
    </row>
    <row r="105" spans="1:11" x14ac:dyDescent="0.25">
      <c r="A105" s="43">
        <v>1999</v>
      </c>
      <c r="B105" s="36" t="s">
        <v>26</v>
      </c>
      <c r="C105" s="36">
        <v>11</v>
      </c>
      <c r="D105" s="38" t="s">
        <v>434</v>
      </c>
      <c r="E105" s="40">
        <v>0</v>
      </c>
      <c r="F105" s="44" t="s">
        <v>1280</v>
      </c>
      <c r="G105" s="43">
        <v>0</v>
      </c>
      <c r="H105" s="44" t="s">
        <v>1180</v>
      </c>
      <c r="I105" s="43">
        <v>0</v>
      </c>
      <c r="J105" s="44" t="s">
        <v>1180</v>
      </c>
      <c r="K105" s="43">
        <v>0</v>
      </c>
    </row>
    <row r="106" spans="1:11" x14ac:dyDescent="0.25">
      <c r="A106" s="43">
        <v>1999</v>
      </c>
      <c r="B106" s="36" t="s">
        <v>26</v>
      </c>
      <c r="C106" s="36">
        <v>12</v>
      </c>
      <c r="D106" s="38" t="s">
        <v>526</v>
      </c>
      <c r="E106" s="40">
        <v>0</v>
      </c>
      <c r="F106" s="44" t="s">
        <v>1281</v>
      </c>
      <c r="G106" s="43">
        <v>0</v>
      </c>
      <c r="H106" s="44" t="s">
        <v>1063</v>
      </c>
      <c r="I106" s="43">
        <v>0</v>
      </c>
      <c r="J106" s="44" t="s">
        <v>1180</v>
      </c>
      <c r="K106" s="43">
        <v>0</v>
      </c>
    </row>
    <row r="107" spans="1:11" x14ac:dyDescent="0.25">
      <c r="A107" s="43">
        <v>1999</v>
      </c>
      <c r="B107" s="36" t="s">
        <v>26</v>
      </c>
      <c r="C107" s="36">
        <v>13</v>
      </c>
      <c r="D107" s="38" t="s">
        <v>390</v>
      </c>
      <c r="E107" s="40">
        <v>0</v>
      </c>
      <c r="F107" s="44" t="s">
        <v>1282</v>
      </c>
      <c r="G107" s="43">
        <v>0</v>
      </c>
      <c r="H107" s="44" t="s">
        <v>736</v>
      </c>
      <c r="I107" s="43">
        <v>0</v>
      </c>
      <c r="J107" s="44" t="s">
        <v>1061</v>
      </c>
      <c r="K107" s="43">
        <v>0</v>
      </c>
    </row>
    <row r="108" spans="1:11" x14ac:dyDescent="0.25">
      <c r="A108" s="43">
        <v>1999</v>
      </c>
      <c r="B108" s="36" t="s">
        <v>26</v>
      </c>
      <c r="C108" s="36">
        <v>14</v>
      </c>
      <c r="D108" s="38" t="s">
        <v>332</v>
      </c>
      <c r="E108" s="40">
        <v>0</v>
      </c>
      <c r="F108" s="44" t="s">
        <v>1283</v>
      </c>
      <c r="G108" s="43">
        <v>0</v>
      </c>
      <c r="H108" s="44" t="s">
        <v>736</v>
      </c>
      <c r="I108" s="43">
        <v>0</v>
      </c>
      <c r="J108" s="44" t="s">
        <v>1061</v>
      </c>
      <c r="K108" s="43">
        <v>0</v>
      </c>
    </row>
    <row r="109" spans="1:11" x14ac:dyDescent="0.25">
      <c r="A109" s="43">
        <v>1999</v>
      </c>
      <c r="B109" s="36" t="s">
        <v>26</v>
      </c>
      <c r="C109" s="36">
        <v>15</v>
      </c>
      <c r="D109" s="38" t="s">
        <v>433</v>
      </c>
      <c r="E109" s="40">
        <v>0</v>
      </c>
      <c r="F109" s="44" t="s">
        <v>18</v>
      </c>
      <c r="G109" s="43">
        <v>0</v>
      </c>
      <c r="H109" s="44" t="s">
        <v>1060</v>
      </c>
      <c r="I109" s="43">
        <v>0</v>
      </c>
      <c r="J109" s="44" t="s">
        <v>1061</v>
      </c>
      <c r="K109" s="43">
        <v>0</v>
      </c>
    </row>
    <row r="110" spans="1:11" x14ac:dyDescent="0.25">
      <c r="A110" s="43">
        <v>1999</v>
      </c>
      <c r="B110" s="36" t="s">
        <v>26</v>
      </c>
      <c r="C110" s="36">
        <v>16</v>
      </c>
      <c r="D110" s="38" t="s">
        <v>17</v>
      </c>
      <c r="E110" s="40">
        <v>0</v>
      </c>
      <c r="F110" s="44" t="s">
        <v>1284</v>
      </c>
      <c r="G110" s="43">
        <v>0</v>
      </c>
      <c r="H110" s="44" t="s">
        <v>1060</v>
      </c>
      <c r="I110" s="43">
        <v>0</v>
      </c>
      <c r="J110" s="44" t="s">
        <v>1061</v>
      </c>
      <c r="K110" s="43">
        <v>0</v>
      </c>
    </row>
    <row r="111" spans="1:11" x14ac:dyDescent="0.25">
      <c r="A111" s="43">
        <v>1999</v>
      </c>
      <c r="B111" s="36" t="s">
        <v>26</v>
      </c>
      <c r="C111" s="36">
        <v>17</v>
      </c>
      <c r="D111" s="38" t="s">
        <v>11</v>
      </c>
      <c r="E111" s="40">
        <v>0</v>
      </c>
      <c r="F111" s="44" t="s">
        <v>42</v>
      </c>
      <c r="G111" s="43">
        <v>0</v>
      </c>
      <c r="H111" s="44" t="s">
        <v>1060</v>
      </c>
      <c r="I111" s="43">
        <v>0</v>
      </c>
      <c r="J111" s="44" t="s">
        <v>1180</v>
      </c>
      <c r="K111" s="43">
        <v>0</v>
      </c>
    </row>
    <row r="112" spans="1:11" x14ac:dyDescent="0.25">
      <c r="A112" s="43">
        <v>1999</v>
      </c>
      <c r="B112" s="36" t="s">
        <v>26</v>
      </c>
      <c r="C112" s="36">
        <v>18</v>
      </c>
      <c r="D112" s="38" t="s">
        <v>508</v>
      </c>
      <c r="E112" s="40">
        <v>0</v>
      </c>
      <c r="F112" s="44" t="s">
        <v>1285</v>
      </c>
      <c r="G112" s="43">
        <v>0</v>
      </c>
      <c r="H112" s="44" t="s">
        <v>1060</v>
      </c>
      <c r="I112" s="43">
        <v>0</v>
      </c>
      <c r="J112" s="44" t="s">
        <v>1180</v>
      </c>
      <c r="K112" s="43">
        <v>0</v>
      </c>
    </row>
    <row r="113" spans="1:11" x14ac:dyDescent="0.25">
      <c r="A113" s="43">
        <v>1999</v>
      </c>
      <c r="B113" s="36" t="s">
        <v>26</v>
      </c>
      <c r="C113" s="36">
        <v>19</v>
      </c>
      <c r="D113" s="38" t="s">
        <v>509</v>
      </c>
      <c r="E113" s="40">
        <v>0</v>
      </c>
      <c r="F113" s="44" t="s">
        <v>1286</v>
      </c>
      <c r="G113" s="43">
        <v>0</v>
      </c>
      <c r="H113" s="44" t="s">
        <v>1060</v>
      </c>
      <c r="I113" s="43">
        <v>0</v>
      </c>
      <c r="J113" s="44" t="s">
        <v>1063</v>
      </c>
      <c r="K113" s="43">
        <v>0</v>
      </c>
    </row>
    <row r="114" spans="1:11" x14ac:dyDescent="0.25">
      <c r="A114" s="43">
        <v>1999</v>
      </c>
      <c r="B114" s="36" t="s">
        <v>26</v>
      </c>
      <c r="C114" s="36">
        <v>20</v>
      </c>
      <c r="D114" s="38" t="s">
        <v>328</v>
      </c>
      <c r="E114" s="40">
        <v>0</v>
      </c>
      <c r="F114" s="42" t="s">
        <v>1287</v>
      </c>
      <c r="G114" s="43">
        <v>0</v>
      </c>
      <c r="H114" s="43">
        <v>0</v>
      </c>
      <c r="I114" s="43">
        <v>0</v>
      </c>
      <c r="J114" s="43">
        <v>0</v>
      </c>
      <c r="K114" s="43">
        <v>0</v>
      </c>
    </row>
    <row r="115" spans="1:11" x14ac:dyDescent="0.25">
      <c r="A115" s="43">
        <v>1999</v>
      </c>
      <c r="B115" s="36" t="s">
        <v>26</v>
      </c>
      <c r="C115" s="36">
        <v>21</v>
      </c>
      <c r="D115" s="38" t="s">
        <v>509</v>
      </c>
      <c r="E115" s="40">
        <v>0</v>
      </c>
      <c r="F115" s="42" t="s">
        <v>1286</v>
      </c>
      <c r="G115" s="43">
        <v>0</v>
      </c>
      <c r="H115" s="43">
        <v>0</v>
      </c>
      <c r="I115" s="43">
        <v>0</v>
      </c>
      <c r="J115" s="43">
        <v>0</v>
      </c>
      <c r="K115" s="43">
        <v>0</v>
      </c>
    </row>
    <row r="116" spans="1:11" x14ac:dyDescent="0.25">
      <c r="A116" s="43">
        <v>1999</v>
      </c>
      <c r="B116" s="36" t="s">
        <v>26</v>
      </c>
      <c r="C116" s="36">
        <v>22</v>
      </c>
      <c r="D116" s="38" t="s">
        <v>9</v>
      </c>
      <c r="E116" s="40">
        <v>0</v>
      </c>
      <c r="F116" s="73" t="s">
        <v>1288</v>
      </c>
      <c r="G116" s="43">
        <v>0</v>
      </c>
      <c r="H116" s="43">
        <v>0</v>
      </c>
      <c r="I116" s="43">
        <v>0</v>
      </c>
      <c r="J116" s="43">
        <v>0</v>
      </c>
      <c r="K116" s="43">
        <v>0</v>
      </c>
    </row>
    <row r="117" spans="1:11" x14ac:dyDescent="0.25">
      <c r="A117" s="43">
        <v>1999</v>
      </c>
      <c r="B117" s="36" t="s">
        <v>26</v>
      </c>
      <c r="C117" s="36">
        <v>23</v>
      </c>
      <c r="D117" s="38" t="s">
        <v>36</v>
      </c>
      <c r="E117" s="40">
        <v>0</v>
      </c>
      <c r="F117" s="73" t="s">
        <v>10</v>
      </c>
      <c r="G117" s="43">
        <v>0</v>
      </c>
      <c r="H117" s="43">
        <v>0</v>
      </c>
      <c r="I117" s="43">
        <v>0</v>
      </c>
      <c r="J117" s="43">
        <v>0</v>
      </c>
      <c r="K117" s="43">
        <v>0</v>
      </c>
    </row>
    <row r="118" spans="1:11" x14ac:dyDescent="0.25">
      <c r="A118" s="43">
        <v>1999</v>
      </c>
      <c r="B118" s="36" t="s">
        <v>26</v>
      </c>
      <c r="C118" s="36">
        <v>24</v>
      </c>
      <c r="D118" s="38" t="s">
        <v>36</v>
      </c>
      <c r="E118" s="40">
        <v>0</v>
      </c>
      <c r="F118" s="73" t="s">
        <v>10</v>
      </c>
      <c r="G118" s="43">
        <v>0</v>
      </c>
      <c r="H118" s="43">
        <v>0</v>
      </c>
      <c r="I118" s="43">
        <v>0</v>
      </c>
      <c r="J118" s="43">
        <v>0</v>
      </c>
      <c r="K118" s="43">
        <v>0</v>
      </c>
    </row>
    <row r="119" spans="1:11" x14ac:dyDescent="0.25">
      <c r="A119" s="43">
        <v>1999</v>
      </c>
      <c r="B119" s="36" t="s">
        <v>26</v>
      </c>
      <c r="C119" s="36">
        <v>25</v>
      </c>
      <c r="D119" s="38" t="s">
        <v>36</v>
      </c>
      <c r="E119" s="40">
        <v>0</v>
      </c>
      <c r="F119" s="73" t="s">
        <v>10</v>
      </c>
      <c r="G119" s="43">
        <v>0</v>
      </c>
      <c r="H119" s="43">
        <v>0</v>
      </c>
      <c r="I119" s="43">
        <v>0</v>
      </c>
      <c r="J119" s="43">
        <v>0</v>
      </c>
      <c r="K119" s="43">
        <v>0</v>
      </c>
    </row>
    <row r="120" spans="1:11" x14ac:dyDescent="0.25">
      <c r="A120" s="43">
        <v>1999</v>
      </c>
      <c r="B120" s="36" t="s">
        <v>26</v>
      </c>
      <c r="C120" s="36">
        <v>26</v>
      </c>
      <c r="D120" s="38" t="s">
        <v>36</v>
      </c>
      <c r="E120" s="40">
        <v>0</v>
      </c>
      <c r="F120" s="73" t="s">
        <v>10</v>
      </c>
      <c r="G120" s="43">
        <v>0</v>
      </c>
      <c r="H120" s="43">
        <v>0</v>
      </c>
      <c r="I120" s="43">
        <v>0</v>
      </c>
      <c r="J120" s="43">
        <v>0</v>
      </c>
      <c r="K120" s="43">
        <v>0</v>
      </c>
    </row>
    <row r="121" spans="1:11" x14ac:dyDescent="0.25">
      <c r="A121" s="43">
        <v>1999</v>
      </c>
      <c r="B121" s="36" t="s">
        <v>26</v>
      </c>
      <c r="C121" s="36">
        <v>27</v>
      </c>
      <c r="D121" s="38" t="s">
        <v>40</v>
      </c>
      <c r="E121" s="40">
        <v>0</v>
      </c>
      <c r="F121" s="73" t="s">
        <v>1289</v>
      </c>
      <c r="G121" s="43">
        <v>0</v>
      </c>
      <c r="H121" s="43">
        <v>0</v>
      </c>
      <c r="I121" s="43">
        <v>0</v>
      </c>
      <c r="J121" s="43">
        <v>0</v>
      </c>
      <c r="K121" s="43">
        <v>0</v>
      </c>
    </row>
    <row r="122" spans="1:11" x14ac:dyDescent="0.25">
      <c r="A122" s="43">
        <v>1999</v>
      </c>
      <c r="B122" s="36" t="s">
        <v>26</v>
      </c>
      <c r="C122" s="36">
        <v>28</v>
      </c>
      <c r="D122" s="38" t="s">
        <v>40</v>
      </c>
      <c r="E122" s="40">
        <v>0</v>
      </c>
      <c r="F122" s="73" t="s">
        <v>1289</v>
      </c>
      <c r="G122" s="43">
        <v>0</v>
      </c>
      <c r="H122" s="43">
        <v>0</v>
      </c>
      <c r="I122" s="43">
        <v>0</v>
      </c>
      <c r="J122" s="43">
        <v>0</v>
      </c>
      <c r="K122" s="43">
        <v>0</v>
      </c>
    </row>
    <row r="123" spans="1:11" x14ac:dyDescent="0.25">
      <c r="A123" s="43">
        <v>1999</v>
      </c>
      <c r="B123" s="36" t="s">
        <v>26</v>
      </c>
      <c r="C123" s="36">
        <v>29</v>
      </c>
      <c r="D123" s="38" t="s">
        <v>508</v>
      </c>
      <c r="E123" s="40">
        <v>0</v>
      </c>
      <c r="F123" s="42" t="s">
        <v>1285</v>
      </c>
      <c r="G123" s="43">
        <v>0</v>
      </c>
      <c r="H123" s="43">
        <v>0</v>
      </c>
      <c r="I123" s="43">
        <v>0</v>
      </c>
      <c r="J123" s="43">
        <v>0</v>
      </c>
      <c r="K123" s="43">
        <v>0</v>
      </c>
    </row>
    <row r="124" spans="1:11" x14ac:dyDescent="0.25">
      <c r="A124" s="43">
        <v>1999</v>
      </c>
      <c r="B124" s="36" t="s">
        <v>26</v>
      </c>
      <c r="C124" s="36">
        <v>30</v>
      </c>
      <c r="D124" s="38" t="s">
        <v>9</v>
      </c>
      <c r="E124" s="40">
        <v>0</v>
      </c>
      <c r="F124" s="42" t="s">
        <v>1288</v>
      </c>
      <c r="G124" s="43">
        <v>0</v>
      </c>
      <c r="H124" s="43">
        <v>0</v>
      </c>
      <c r="I124" s="43">
        <v>0</v>
      </c>
      <c r="J124" s="43">
        <v>0</v>
      </c>
      <c r="K124" s="43">
        <v>0</v>
      </c>
    </row>
    <row r="125" spans="1:11" x14ac:dyDescent="0.25">
      <c r="A125" s="43">
        <v>1999</v>
      </c>
      <c r="B125" s="36" t="s">
        <v>27</v>
      </c>
      <c r="C125" s="36">
        <v>1</v>
      </c>
      <c r="D125" s="42" t="s">
        <v>9</v>
      </c>
      <c r="E125" s="40">
        <v>0</v>
      </c>
      <c r="F125" s="44" t="s">
        <v>1288</v>
      </c>
      <c r="G125" s="43">
        <v>0</v>
      </c>
      <c r="H125" s="43">
        <v>0</v>
      </c>
      <c r="I125" s="43">
        <v>0</v>
      </c>
      <c r="J125" s="43">
        <v>0</v>
      </c>
      <c r="K125" s="43">
        <v>0</v>
      </c>
    </row>
    <row r="126" spans="1:11" x14ac:dyDescent="0.25">
      <c r="A126" s="43">
        <v>1999</v>
      </c>
      <c r="B126" s="36" t="s">
        <v>27</v>
      </c>
      <c r="C126" s="36">
        <v>2</v>
      </c>
      <c r="D126" s="42" t="s">
        <v>45</v>
      </c>
      <c r="E126" s="40">
        <v>0</v>
      </c>
      <c r="F126" s="44" t="s">
        <v>8</v>
      </c>
      <c r="G126" s="43">
        <v>0</v>
      </c>
      <c r="H126" s="43">
        <v>0</v>
      </c>
      <c r="I126" s="43">
        <v>0</v>
      </c>
      <c r="J126" s="43">
        <v>0</v>
      </c>
      <c r="K126" s="43">
        <v>0</v>
      </c>
    </row>
    <row r="127" spans="1:11" x14ac:dyDescent="0.25">
      <c r="A127" s="43">
        <v>1999</v>
      </c>
      <c r="B127" s="36" t="s">
        <v>27</v>
      </c>
      <c r="C127" s="36">
        <v>3</v>
      </c>
      <c r="D127" s="42" t="s">
        <v>45</v>
      </c>
      <c r="E127" s="40">
        <v>0</v>
      </c>
      <c r="F127" s="44" t="s">
        <v>8</v>
      </c>
      <c r="G127" s="43">
        <v>0</v>
      </c>
      <c r="H127" s="43">
        <v>0</v>
      </c>
      <c r="I127" s="43">
        <v>0</v>
      </c>
      <c r="J127" s="43">
        <v>0</v>
      </c>
      <c r="K127" s="43">
        <v>0</v>
      </c>
    </row>
    <row r="128" spans="1:11" x14ac:dyDescent="0.25">
      <c r="A128" s="43">
        <v>1999</v>
      </c>
      <c r="B128" s="36" t="s">
        <v>27</v>
      </c>
      <c r="C128" s="36">
        <v>4</v>
      </c>
      <c r="D128" s="42" t="s">
        <v>509</v>
      </c>
      <c r="E128" s="40">
        <v>0</v>
      </c>
      <c r="F128" s="44" t="s">
        <v>1286</v>
      </c>
      <c r="G128" s="43">
        <v>0</v>
      </c>
      <c r="H128" s="43">
        <v>0</v>
      </c>
      <c r="I128" s="43">
        <v>0</v>
      </c>
      <c r="J128" s="43">
        <v>0</v>
      </c>
      <c r="K128" s="43">
        <v>0</v>
      </c>
    </row>
    <row r="129" spans="1:11" x14ac:dyDescent="0.25">
      <c r="A129" s="43">
        <v>1999</v>
      </c>
      <c r="B129" s="36" t="s">
        <v>27</v>
      </c>
      <c r="C129" s="36">
        <v>5</v>
      </c>
      <c r="D129" s="42" t="s">
        <v>395</v>
      </c>
      <c r="E129" s="40">
        <v>0</v>
      </c>
      <c r="F129" s="44" t="s">
        <v>1296</v>
      </c>
      <c r="G129" s="43">
        <v>0</v>
      </c>
      <c r="H129" s="43">
        <v>0</v>
      </c>
      <c r="I129" s="43">
        <v>0</v>
      </c>
      <c r="J129" s="43">
        <v>0</v>
      </c>
      <c r="K129" s="43">
        <v>0</v>
      </c>
    </row>
    <row r="130" spans="1:11" x14ac:dyDescent="0.25">
      <c r="A130" s="43">
        <v>1999</v>
      </c>
      <c r="B130" s="36" t="s">
        <v>27</v>
      </c>
      <c r="C130" s="36">
        <v>6</v>
      </c>
      <c r="D130" s="42" t="s">
        <v>395</v>
      </c>
      <c r="E130" s="40">
        <v>0</v>
      </c>
      <c r="F130" s="44" t="s">
        <v>1296</v>
      </c>
      <c r="G130" s="43">
        <v>0</v>
      </c>
      <c r="H130" s="43">
        <v>0</v>
      </c>
      <c r="I130" s="43">
        <v>0</v>
      </c>
      <c r="J130" s="43">
        <v>0</v>
      </c>
      <c r="K130" s="43">
        <v>0</v>
      </c>
    </row>
    <row r="131" spans="1:11" x14ac:dyDescent="0.25">
      <c r="A131" s="43">
        <v>1999</v>
      </c>
      <c r="B131" s="36" t="s">
        <v>27</v>
      </c>
      <c r="C131" s="36">
        <v>7</v>
      </c>
      <c r="D131" s="42" t="s">
        <v>395</v>
      </c>
      <c r="E131" s="40">
        <v>0</v>
      </c>
      <c r="F131" s="44" t="s">
        <v>1296</v>
      </c>
      <c r="G131" s="43">
        <v>0</v>
      </c>
      <c r="H131" s="43">
        <v>0</v>
      </c>
      <c r="I131" s="43">
        <v>0</v>
      </c>
      <c r="J131" s="43">
        <v>0</v>
      </c>
      <c r="K131" s="43">
        <v>0</v>
      </c>
    </row>
    <row r="132" spans="1:11" x14ac:dyDescent="0.25">
      <c r="A132" s="43">
        <v>1999</v>
      </c>
      <c r="B132" s="36" t="s">
        <v>27</v>
      </c>
      <c r="C132" s="36">
        <v>8</v>
      </c>
      <c r="D132" s="42" t="s">
        <v>49</v>
      </c>
      <c r="E132" s="40">
        <v>0</v>
      </c>
      <c r="F132" s="44" t="s">
        <v>59</v>
      </c>
      <c r="G132" s="43">
        <v>0</v>
      </c>
      <c r="H132" s="43">
        <v>19</v>
      </c>
      <c r="I132" s="43">
        <v>0</v>
      </c>
      <c r="J132" s="43">
        <v>21</v>
      </c>
      <c r="K132" s="43">
        <v>0</v>
      </c>
    </row>
    <row r="133" spans="1:11" x14ac:dyDescent="0.25">
      <c r="A133" s="43">
        <v>1999</v>
      </c>
      <c r="B133" s="36" t="s">
        <v>27</v>
      </c>
      <c r="C133" s="36">
        <v>9</v>
      </c>
      <c r="D133" s="42" t="s">
        <v>51</v>
      </c>
      <c r="E133" s="40">
        <v>0</v>
      </c>
      <c r="F133" s="44" t="s">
        <v>1297</v>
      </c>
      <c r="G133" s="43">
        <v>0</v>
      </c>
      <c r="H133" s="43">
        <v>19</v>
      </c>
      <c r="I133" s="43">
        <v>0</v>
      </c>
      <c r="J133" s="44" t="s">
        <v>1313</v>
      </c>
      <c r="K133" s="43">
        <v>0</v>
      </c>
    </row>
    <row r="134" spans="1:11" x14ac:dyDescent="0.25">
      <c r="A134" s="43">
        <v>1999</v>
      </c>
      <c r="B134" s="36" t="s">
        <v>27</v>
      </c>
      <c r="C134" s="36">
        <v>10</v>
      </c>
      <c r="D134" s="42" t="s">
        <v>56</v>
      </c>
      <c r="E134" s="40">
        <v>0</v>
      </c>
      <c r="F134" s="44" t="s">
        <v>1298</v>
      </c>
      <c r="G134" s="43">
        <v>0</v>
      </c>
      <c r="H134" s="43">
        <v>19</v>
      </c>
      <c r="I134" s="43">
        <v>0</v>
      </c>
      <c r="J134" s="44" t="s">
        <v>1313</v>
      </c>
      <c r="K134" s="43">
        <v>0</v>
      </c>
    </row>
    <row r="135" spans="1:11" x14ac:dyDescent="0.25">
      <c r="A135" s="43">
        <v>1999</v>
      </c>
      <c r="B135" s="36" t="s">
        <v>27</v>
      </c>
      <c r="C135" s="36">
        <v>11</v>
      </c>
      <c r="D135" s="42" t="s">
        <v>60</v>
      </c>
      <c r="E135" s="40">
        <v>0</v>
      </c>
      <c r="F135" s="44" t="s">
        <v>1299</v>
      </c>
      <c r="G135" s="43">
        <v>0</v>
      </c>
      <c r="H135" s="43">
        <v>19</v>
      </c>
      <c r="I135" s="43">
        <v>0</v>
      </c>
      <c r="J135" s="44" t="s">
        <v>1313</v>
      </c>
      <c r="K135" s="43">
        <v>0</v>
      </c>
    </row>
    <row r="136" spans="1:11" x14ac:dyDescent="0.25">
      <c r="A136" s="43">
        <v>1999</v>
      </c>
      <c r="B136" s="36" t="s">
        <v>27</v>
      </c>
      <c r="C136" s="36">
        <v>12</v>
      </c>
      <c r="D136" s="42" t="s">
        <v>64</v>
      </c>
      <c r="E136" s="40">
        <v>0</v>
      </c>
      <c r="F136" s="44" t="s">
        <v>1043</v>
      </c>
      <c r="G136" s="43">
        <v>0</v>
      </c>
      <c r="H136" s="43">
        <v>0</v>
      </c>
      <c r="I136" s="43">
        <v>0</v>
      </c>
      <c r="J136" s="44" t="s">
        <v>1249</v>
      </c>
      <c r="K136" s="43">
        <v>0</v>
      </c>
    </row>
    <row r="137" spans="1:11" x14ac:dyDescent="0.25">
      <c r="A137" s="43">
        <v>1999</v>
      </c>
      <c r="B137" s="36" t="s">
        <v>27</v>
      </c>
      <c r="C137" s="36">
        <v>13</v>
      </c>
      <c r="D137" s="42" t="s">
        <v>68</v>
      </c>
      <c r="E137" s="40">
        <v>0</v>
      </c>
      <c r="F137" s="44" t="s">
        <v>1300</v>
      </c>
      <c r="G137" s="43">
        <v>0</v>
      </c>
      <c r="H137" s="43">
        <v>0</v>
      </c>
      <c r="I137" s="43">
        <v>0</v>
      </c>
      <c r="J137" s="44" t="s">
        <v>1249</v>
      </c>
      <c r="K137" s="43">
        <v>0</v>
      </c>
    </row>
    <row r="138" spans="1:11" x14ac:dyDescent="0.25">
      <c r="A138" s="43">
        <v>1999</v>
      </c>
      <c r="B138" s="36" t="s">
        <v>27</v>
      </c>
      <c r="C138" s="36">
        <v>14</v>
      </c>
      <c r="D138" s="42" t="s">
        <v>1290</v>
      </c>
      <c r="E138" s="40">
        <v>0</v>
      </c>
      <c r="F138" s="44" t="s">
        <v>1301</v>
      </c>
      <c r="G138" s="43">
        <v>0</v>
      </c>
      <c r="H138" s="43">
        <v>0</v>
      </c>
      <c r="I138" s="43">
        <v>0</v>
      </c>
      <c r="J138" s="44" t="s">
        <v>1249</v>
      </c>
      <c r="K138" s="43">
        <v>0</v>
      </c>
    </row>
    <row r="139" spans="1:11" x14ac:dyDescent="0.25">
      <c r="A139" s="43">
        <v>1999</v>
      </c>
      <c r="B139" s="36" t="s">
        <v>27</v>
      </c>
      <c r="C139" s="36">
        <v>15</v>
      </c>
      <c r="D139" s="42" t="s">
        <v>1291</v>
      </c>
      <c r="E139" s="40">
        <v>0</v>
      </c>
      <c r="F139" s="44" t="s">
        <v>1302</v>
      </c>
      <c r="G139" s="43">
        <v>0</v>
      </c>
      <c r="H139" s="43">
        <v>0</v>
      </c>
      <c r="I139" s="43">
        <v>0</v>
      </c>
      <c r="J139" s="44" t="s">
        <v>1249</v>
      </c>
      <c r="K139" s="43">
        <v>0</v>
      </c>
    </row>
    <row r="140" spans="1:11" x14ac:dyDescent="0.25">
      <c r="A140" s="43">
        <v>1999</v>
      </c>
      <c r="B140" s="36" t="s">
        <v>27</v>
      </c>
      <c r="C140" s="36">
        <v>16</v>
      </c>
      <c r="D140" s="42" t="s">
        <v>80</v>
      </c>
      <c r="E140" s="40">
        <v>0</v>
      </c>
      <c r="F140" s="44" t="s">
        <v>1303</v>
      </c>
      <c r="G140" s="43">
        <v>0</v>
      </c>
      <c r="H140" s="43">
        <v>0</v>
      </c>
      <c r="I140" s="43">
        <v>0</v>
      </c>
      <c r="J140" s="43">
        <v>0</v>
      </c>
      <c r="K140" s="43">
        <v>0</v>
      </c>
    </row>
    <row r="141" spans="1:11" x14ac:dyDescent="0.25">
      <c r="A141" s="43">
        <v>1999</v>
      </c>
      <c r="B141" s="36" t="s">
        <v>27</v>
      </c>
      <c r="C141" s="36">
        <v>17</v>
      </c>
      <c r="D141" s="42" t="s">
        <v>80</v>
      </c>
      <c r="E141" s="40">
        <v>0</v>
      </c>
      <c r="F141" s="44" t="s">
        <v>1303</v>
      </c>
      <c r="G141" s="43">
        <v>0</v>
      </c>
      <c r="H141" s="43">
        <v>0</v>
      </c>
      <c r="I141" s="43">
        <v>0</v>
      </c>
      <c r="J141" s="43">
        <v>0</v>
      </c>
      <c r="K141" s="43">
        <v>0</v>
      </c>
    </row>
    <row r="142" spans="1:11" x14ac:dyDescent="0.25">
      <c r="A142" s="43">
        <v>1999</v>
      </c>
      <c r="B142" s="36" t="s">
        <v>27</v>
      </c>
      <c r="C142" s="36">
        <v>18</v>
      </c>
      <c r="D142" s="42" t="s">
        <v>1292</v>
      </c>
      <c r="E142" s="40">
        <v>0</v>
      </c>
      <c r="F142" s="44" t="s">
        <v>1304</v>
      </c>
      <c r="G142" s="43">
        <v>0</v>
      </c>
      <c r="H142" s="43">
        <v>0</v>
      </c>
      <c r="I142" s="43">
        <v>0</v>
      </c>
      <c r="J142" s="43">
        <v>0</v>
      </c>
      <c r="K142" s="43">
        <v>0</v>
      </c>
    </row>
    <row r="143" spans="1:11" x14ac:dyDescent="0.25">
      <c r="A143" s="43">
        <v>1999</v>
      </c>
      <c r="B143" s="36" t="s">
        <v>27</v>
      </c>
      <c r="C143" s="36">
        <v>19</v>
      </c>
      <c r="D143" s="42" t="s">
        <v>1292</v>
      </c>
      <c r="E143" s="40">
        <v>0</v>
      </c>
      <c r="F143" s="44" t="s">
        <v>1304</v>
      </c>
      <c r="G143" s="43">
        <v>0</v>
      </c>
      <c r="H143" s="43">
        <v>0</v>
      </c>
      <c r="I143" s="43">
        <v>0</v>
      </c>
      <c r="J143" s="43">
        <v>0</v>
      </c>
      <c r="K143" s="43">
        <v>0</v>
      </c>
    </row>
    <row r="144" spans="1:11" x14ac:dyDescent="0.25">
      <c r="A144" s="43">
        <v>1999</v>
      </c>
      <c r="B144" s="36" t="s">
        <v>27</v>
      </c>
      <c r="C144" s="36">
        <v>20</v>
      </c>
      <c r="D144" s="42" t="s">
        <v>5</v>
      </c>
      <c r="E144" s="40">
        <v>0</v>
      </c>
      <c r="F144" s="44" t="s">
        <v>1305</v>
      </c>
      <c r="G144" s="43">
        <v>0</v>
      </c>
      <c r="H144" s="43">
        <v>0</v>
      </c>
      <c r="I144" s="43">
        <v>0</v>
      </c>
      <c r="J144" s="43">
        <v>0</v>
      </c>
      <c r="K144" s="43">
        <v>0</v>
      </c>
    </row>
    <row r="145" spans="1:11" x14ac:dyDescent="0.25">
      <c r="A145" s="43">
        <v>1999</v>
      </c>
      <c r="B145" s="36" t="s">
        <v>27</v>
      </c>
      <c r="C145" s="36">
        <v>21</v>
      </c>
      <c r="D145" s="42" t="s">
        <v>5</v>
      </c>
      <c r="E145" s="40">
        <v>0</v>
      </c>
      <c r="F145" s="42" t="s">
        <v>1305</v>
      </c>
      <c r="G145" s="43">
        <v>0</v>
      </c>
      <c r="H145" s="43">
        <v>0</v>
      </c>
      <c r="I145" s="43">
        <v>0</v>
      </c>
      <c r="J145" s="43">
        <v>0</v>
      </c>
      <c r="K145" s="43">
        <v>0</v>
      </c>
    </row>
    <row r="146" spans="1:11" x14ac:dyDescent="0.25">
      <c r="A146" s="43">
        <v>1999</v>
      </c>
      <c r="B146" s="36" t="s">
        <v>27</v>
      </c>
      <c r="C146" s="36">
        <v>22</v>
      </c>
      <c r="D146" s="42" t="s">
        <v>1293</v>
      </c>
      <c r="E146" s="40">
        <v>0</v>
      </c>
      <c r="F146" s="42" t="s">
        <v>1306</v>
      </c>
      <c r="G146" s="43">
        <v>0</v>
      </c>
      <c r="H146" s="43">
        <v>0</v>
      </c>
      <c r="I146" s="43">
        <v>0</v>
      </c>
      <c r="J146" s="43">
        <v>0</v>
      </c>
      <c r="K146" s="43">
        <v>0</v>
      </c>
    </row>
    <row r="147" spans="1:11" x14ac:dyDescent="0.25">
      <c r="A147" s="43">
        <v>1999</v>
      </c>
      <c r="B147" s="36" t="s">
        <v>27</v>
      </c>
      <c r="C147" s="36">
        <v>23</v>
      </c>
      <c r="D147" s="42" t="s">
        <v>1293</v>
      </c>
      <c r="E147" s="40">
        <v>0</v>
      </c>
      <c r="F147" s="42" t="s">
        <v>1306</v>
      </c>
      <c r="G147" s="43">
        <v>0</v>
      </c>
      <c r="H147" s="43">
        <v>0</v>
      </c>
      <c r="I147" s="43">
        <v>0</v>
      </c>
      <c r="J147" s="43">
        <v>0</v>
      </c>
      <c r="K147" s="43">
        <v>0</v>
      </c>
    </row>
    <row r="148" spans="1:11" x14ac:dyDescent="0.25">
      <c r="A148" s="43">
        <v>1999</v>
      </c>
      <c r="B148" s="36" t="s">
        <v>27</v>
      </c>
      <c r="C148" s="36">
        <v>24</v>
      </c>
      <c r="D148" s="42" t="s">
        <v>82</v>
      </c>
      <c r="E148" s="40">
        <v>0</v>
      </c>
      <c r="F148" s="44" t="s">
        <v>1307</v>
      </c>
      <c r="G148" s="43">
        <v>0</v>
      </c>
      <c r="H148" s="43">
        <v>0</v>
      </c>
      <c r="I148" s="43">
        <v>0</v>
      </c>
      <c r="J148" s="43">
        <v>0</v>
      </c>
      <c r="K148" s="43">
        <v>0</v>
      </c>
    </row>
    <row r="149" spans="1:11" x14ac:dyDescent="0.25">
      <c r="A149" s="43">
        <v>1999</v>
      </c>
      <c r="B149" s="36" t="s">
        <v>27</v>
      </c>
      <c r="C149" s="36">
        <v>25</v>
      </c>
      <c r="D149" s="42" t="s">
        <v>82</v>
      </c>
      <c r="E149" s="40">
        <v>0</v>
      </c>
      <c r="F149" s="44" t="s">
        <v>1307</v>
      </c>
      <c r="G149" s="43">
        <v>0</v>
      </c>
      <c r="H149" s="43">
        <v>0</v>
      </c>
      <c r="I149" s="43">
        <v>0</v>
      </c>
      <c r="J149" s="43">
        <v>0</v>
      </c>
      <c r="K149" s="43">
        <v>0</v>
      </c>
    </row>
    <row r="150" spans="1:11" x14ac:dyDescent="0.25">
      <c r="A150" s="43">
        <v>1999</v>
      </c>
      <c r="B150" s="36" t="s">
        <v>27</v>
      </c>
      <c r="C150" s="36">
        <v>26</v>
      </c>
      <c r="D150" s="42" t="s">
        <v>1294</v>
      </c>
      <c r="E150" s="40">
        <v>0</v>
      </c>
      <c r="F150" s="42" t="s">
        <v>1308</v>
      </c>
      <c r="G150" s="43">
        <v>0</v>
      </c>
      <c r="H150" s="43">
        <v>0</v>
      </c>
      <c r="I150" s="43">
        <v>0</v>
      </c>
      <c r="J150" s="43">
        <v>0</v>
      </c>
      <c r="K150" s="43">
        <v>0</v>
      </c>
    </row>
    <row r="151" spans="1:11" x14ac:dyDescent="0.25">
      <c r="A151" s="43">
        <v>1999</v>
      </c>
      <c r="B151" s="36" t="s">
        <v>27</v>
      </c>
      <c r="C151" s="36">
        <v>27</v>
      </c>
      <c r="D151" s="42" t="s">
        <v>1294</v>
      </c>
      <c r="E151" s="40">
        <v>0</v>
      </c>
      <c r="F151" s="42" t="s">
        <v>1308</v>
      </c>
      <c r="G151" s="43">
        <v>0</v>
      </c>
      <c r="H151" s="44" t="s">
        <v>1312</v>
      </c>
      <c r="I151" s="43">
        <v>0</v>
      </c>
      <c r="J151" s="43">
        <v>0</v>
      </c>
      <c r="K151" s="43">
        <v>0</v>
      </c>
    </row>
    <row r="152" spans="1:11" x14ac:dyDescent="0.25">
      <c r="A152" s="43">
        <v>1999</v>
      </c>
      <c r="B152" s="36" t="s">
        <v>27</v>
      </c>
      <c r="C152" s="36">
        <v>28</v>
      </c>
      <c r="D152" s="42" t="s">
        <v>326</v>
      </c>
      <c r="E152" s="40">
        <v>0</v>
      </c>
      <c r="F152" s="42" t="s">
        <v>1309</v>
      </c>
      <c r="G152" s="43">
        <v>0</v>
      </c>
      <c r="H152" s="44" t="s">
        <v>1312</v>
      </c>
      <c r="I152" s="43">
        <v>0</v>
      </c>
      <c r="J152" s="43">
        <v>0</v>
      </c>
      <c r="K152" s="43">
        <v>0</v>
      </c>
    </row>
    <row r="153" spans="1:11" x14ac:dyDescent="0.25">
      <c r="A153" s="43">
        <v>1999</v>
      </c>
      <c r="B153" s="36" t="s">
        <v>27</v>
      </c>
      <c r="C153" s="36">
        <v>29</v>
      </c>
      <c r="D153" s="42" t="s">
        <v>326</v>
      </c>
      <c r="E153" s="40">
        <v>0</v>
      </c>
      <c r="F153" s="42" t="s">
        <v>1309</v>
      </c>
      <c r="G153" s="43">
        <v>0</v>
      </c>
      <c r="H153" s="44" t="s">
        <v>1312</v>
      </c>
      <c r="I153" s="43">
        <v>0</v>
      </c>
      <c r="J153" s="43">
        <v>0</v>
      </c>
      <c r="K153" s="43">
        <v>0</v>
      </c>
    </row>
    <row r="154" spans="1:11" x14ac:dyDescent="0.25">
      <c r="A154" s="43">
        <v>1999</v>
      </c>
      <c r="B154" s="36" t="s">
        <v>27</v>
      </c>
      <c r="C154" s="36">
        <v>30</v>
      </c>
      <c r="D154" s="42" t="s">
        <v>1295</v>
      </c>
      <c r="E154" s="40">
        <v>0</v>
      </c>
      <c r="F154" s="42" t="s">
        <v>1310</v>
      </c>
      <c r="G154" s="43">
        <v>0</v>
      </c>
      <c r="H154" s="44" t="s">
        <v>1312</v>
      </c>
      <c r="I154" s="43">
        <v>0</v>
      </c>
      <c r="J154" s="43">
        <v>0</v>
      </c>
      <c r="K154" s="43">
        <v>0</v>
      </c>
    </row>
    <row r="155" spans="1:11" x14ac:dyDescent="0.25">
      <c r="A155" s="43">
        <v>1999</v>
      </c>
      <c r="B155" s="36" t="s">
        <v>27</v>
      </c>
      <c r="C155" s="36">
        <v>31</v>
      </c>
      <c r="D155" s="42" t="s">
        <v>403</v>
      </c>
      <c r="E155" s="40">
        <v>0</v>
      </c>
      <c r="F155" s="44" t="s">
        <v>1311</v>
      </c>
      <c r="G155" s="43">
        <v>0</v>
      </c>
      <c r="H155" s="44" t="s">
        <v>1312</v>
      </c>
      <c r="I155" s="43">
        <v>0</v>
      </c>
      <c r="J155" s="43">
        <v>0</v>
      </c>
      <c r="K155" s="43">
        <v>0</v>
      </c>
    </row>
    <row r="156" spans="1:11" x14ac:dyDescent="0.25">
      <c r="A156" s="43">
        <v>1999</v>
      </c>
      <c r="B156" s="36" t="s">
        <v>28</v>
      </c>
      <c r="C156" s="36">
        <v>1</v>
      </c>
      <c r="D156" s="42" t="s">
        <v>325</v>
      </c>
      <c r="E156" s="40">
        <v>0</v>
      </c>
      <c r="F156" s="44" t="s">
        <v>1330</v>
      </c>
      <c r="G156" s="43">
        <v>0</v>
      </c>
      <c r="H156" s="43">
        <v>4</v>
      </c>
      <c r="I156" s="43">
        <v>0</v>
      </c>
      <c r="J156" s="43">
        <v>0</v>
      </c>
      <c r="K156" s="43">
        <v>0</v>
      </c>
    </row>
    <row r="157" spans="1:11" x14ac:dyDescent="0.25">
      <c r="A157" s="43">
        <v>1999</v>
      </c>
      <c r="B157" s="36" t="s">
        <v>28</v>
      </c>
      <c r="C157" s="36">
        <v>2</v>
      </c>
      <c r="D157" s="42" t="s">
        <v>1314</v>
      </c>
      <c r="E157" s="40">
        <v>0</v>
      </c>
      <c r="F157" s="44" t="s">
        <v>1331</v>
      </c>
      <c r="G157" s="43">
        <v>0</v>
      </c>
      <c r="H157" s="43">
        <v>4</v>
      </c>
      <c r="I157" s="43">
        <v>0</v>
      </c>
      <c r="J157" s="43">
        <v>0</v>
      </c>
      <c r="K157" s="43">
        <v>0</v>
      </c>
    </row>
    <row r="158" spans="1:11" x14ac:dyDescent="0.25">
      <c r="A158" s="43">
        <v>1999</v>
      </c>
      <c r="B158" s="36" t="s">
        <v>28</v>
      </c>
      <c r="C158" s="36">
        <v>3</v>
      </c>
      <c r="D158" s="42" t="s">
        <v>1315</v>
      </c>
      <c r="E158" s="40">
        <v>0</v>
      </c>
      <c r="F158" s="44" t="s">
        <v>1332</v>
      </c>
      <c r="G158" s="43">
        <v>0</v>
      </c>
      <c r="H158" s="43">
        <v>4</v>
      </c>
      <c r="I158" s="43">
        <v>0</v>
      </c>
      <c r="J158" s="43">
        <v>0</v>
      </c>
      <c r="K158" s="43">
        <v>0</v>
      </c>
    </row>
    <row r="159" spans="1:11" x14ac:dyDescent="0.25">
      <c r="A159" s="43">
        <v>1999</v>
      </c>
      <c r="B159" s="36" t="s">
        <v>28</v>
      </c>
      <c r="C159" s="36">
        <v>4</v>
      </c>
      <c r="D159" s="42" t="s">
        <v>1316</v>
      </c>
      <c r="E159" s="40">
        <v>0</v>
      </c>
      <c r="F159" s="44" t="s">
        <v>1333</v>
      </c>
      <c r="G159" s="43">
        <v>0</v>
      </c>
      <c r="H159" s="43">
        <v>4</v>
      </c>
      <c r="I159" s="43">
        <v>0</v>
      </c>
      <c r="J159" s="43">
        <v>0</v>
      </c>
      <c r="K159" s="43">
        <v>0</v>
      </c>
    </row>
    <row r="160" spans="1:11" x14ac:dyDescent="0.25">
      <c r="A160" s="43">
        <v>1999</v>
      </c>
      <c r="B160" s="36" t="s">
        <v>28</v>
      </c>
      <c r="C160" s="36">
        <v>5</v>
      </c>
      <c r="D160" s="42" t="s">
        <v>1317</v>
      </c>
      <c r="E160" s="40">
        <v>0</v>
      </c>
      <c r="F160" s="44" t="s">
        <v>1334</v>
      </c>
      <c r="G160" s="43">
        <v>0</v>
      </c>
      <c r="H160" s="43">
        <v>4</v>
      </c>
      <c r="I160" s="43">
        <v>0</v>
      </c>
      <c r="J160" s="43">
        <v>0</v>
      </c>
      <c r="K160" s="43">
        <v>0</v>
      </c>
    </row>
    <row r="161" spans="1:11" x14ac:dyDescent="0.25">
      <c r="A161" s="43">
        <v>1999</v>
      </c>
      <c r="B161" s="36" t="s">
        <v>28</v>
      </c>
      <c r="C161" s="36">
        <v>6</v>
      </c>
      <c r="D161" s="42" t="s">
        <v>1318</v>
      </c>
      <c r="E161" s="40">
        <v>0</v>
      </c>
      <c r="F161" s="44" t="s">
        <v>1335</v>
      </c>
      <c r="G161" s="43">
        <v>0</v>
      </c>
      <c r="H161" s="43">
        <v>4</v>
      </c>
      <c r="I161" s="43">
        <v>0</v>
      </c>
      <c r="J161" s="43">
        <v>0</v>
      </c>
      <c r="K161" s="43">
        <v>0</v>
      </c>
    </row>
    <row r="162" spans="1:11" x14ac:dyDescent="0.25">
      <c r="A162" s="43">
        <v>1999</v>
      </c>
      <c r="B162" s="36" t="s">
        <v>28</v>
      </c>
      <c r="C162" s="36">
        <v>7</v>
      </c>
      <c r="D162" s="42" t="s">
        <v>1319</v>
      </c>
      <c r="E162" s="40">
        <v>0</v>
      </c>
      <c r="F162" s="44" t="s">
        <v>1336</v>
      </c>
      <c r="G162" s="43">
        <v>0</v>
      </c>
      <c r="H162" s="43">
        <v>4</v>
      </c>
      <c r="I162" s="43">
        <v>0</v>
      </c>
      <c r="J162" s="43">
        <v>0</v>
      </c>
      <c r="K162" s="43">
        <v>0</v>
      </c>
    </row>
    <row r="163" spans="1:11" x14ac:dyDescent="0.25">
      <c r="A163" s="43">
        <v>1999</v>
      </c>
      <c r="B163" s="36" t="s">
        <v>28</v>
      </c>
      <c r="C163" s="36">
        <v>8</v>
      </c>
      <c r="D163" s="42" t="s">
        <v>1320</v>
      </c>
      <c r="E163" s="40">
        <v>0</v>
      </c>
      <c r="F163" s="44" t="s">
        <v>1337</v>
      </c>
      <c r="G163" s="43">
        <v>0</v>
      </c>
      <c r="H163" s="43">
        <v>4</v>
      </c>
      <c r="I163" s="43">
        <v>0</v>
      </c>
      <c r="J163" s="43">
        <v>0</v>
      </c>
      <c r="K163" s="43">
        <v>0</v>
      </c>
    </row>
    <row r="164" spans="1:11" x14ac:dyDescent="0.25">
      <c r="A164" s="43">
        <v>1999</v>
      </c>
      <c r="B164" s="36" t="s">
        <v>28</v>
      </c>
      <c r="C164" s="36">
        <v>9</v>
      </c>
      <c r="D164" s="42" t="s">
        <v>98</v>
      </c>
      <c r="E164" s="40">
        <v>0</v>
      </c>
      <c r="F164" s="44" t="s">
        <v>113</v>
      </c>
      <c r="G164" s="43">
        <v>0</v>
      </c>
      <c r="H164" s="43">
        <v>4</v>
      </c>
      <c r="I164" s="43">
        <v>0</v>
      </c>
      <c r="J164" s="43">
        <v>0</v>
      </c>
      <c r="K164" s="43">
        <v>0</v>
      </c>
    </row>
    <row r="165" spans="1:11" x14ac:dyDescent="0.25">
      <c r="A165" s="43">
        <v>1999</v>
      </c>
      <c r="B165" s="36" t="s">
        <v>28</v>
      </c>
      <c r="C165" s="36">
        <v>10</v>
      </c>
      <c r="D165" s="42" t="s">
        <v>1321</v>
      </c>
      <c r="E165" s="40">
        <v>0</v>
      </c>
      <c r="F165" s="44" t="s">
        <v>1338</v>
      </c>
      <c r="G165" s="43">
        <v>0</v>
      </c>
      <c r="H165" s="43">
        <v>4</v>
      </c>
      <c r="I165" s="43">
        <v>0</v>
      </c>
      <c r="J165" s="43">
        <v>0</v>
      </c>
      <c r="K165" s="43">
        <v>0</v>
      </c>
    </row>
    <row r="166" spans="1:11" x14ac:dyDescent="0.25">
      <c r="A166" s="43">
        <v>1999</v>
      </c>
      <c r="B166" s="36" t="s">
        <v>28</v>
      </c>
      <c r="C166" s="36">
        <v>11</v>
      </c>
      <c r="D166" s="42" t="s">
        <v>511</v>
      </c>
      <c r="E166" s="40">
        <v>0</v>
      </c>
      <c r="F166" s="44" t="s">
        <v>4</v>
      </c>
      <c r="G166" s="43">
        <v>0</v>
      </c>
      <c r="H166" s="43">
        <v>4</v>
      </c>
      <c r="I166" s="43">
        <v>0</v>
      </c>
      <c r="J166" s="43">
        <v>0</v>
      </c>
      <c r="K166" s="43">
        <v>0</v>
      </c>
    </row>
    <row r="167" spans="1:11" x14ac:dyDescent="0.25">
      <c r="A167" s="43">
        <v>1999</v>
      </c>
      <c r="B167" s="36" t="s">
        <v>28</v>
      </c>
      <c r="C167" s="36">
        <v>12</v>
      </c>
      <c r="D167" s="42" t="s">
        <v>1322</v>
      </c>
      <c r="E167" s="40">
        <v>0</v>
      </c>
      <c r="F167" s="42" t="s">
        <v>1339</v>
      </c>
      <c r="G167" s="43">
        <v>0</v>
      </c>
      <c r="H167" s="43">
        <v>4</v>
      </c>
      <c r="I167" s="43">
        <v>0</v>
      </c>
      <c r="J167" s="43">
        <v>0</v>
      </c>
      <c r="K167" s="43">
        <v>0</v>
      </c>
    </row>
    <row r="168" spans="1:11" x14ac:dyDescent="0.25">
      <c r="A168" s="43">
        <v>1999</v>
      </c>
      <c r="B168" s="36" t="s">
        <v>28</v>
      </c>
      <c r="C168" s="36">
        <v>13</v>
      </c>
      <c r="D168" s="42" t="s">
        <v>1323</v>
      </c>
      <c r="E168" s="40">
        <v>0</v>
      </c>
      <c r="F168" s="42" t="s">
        <v>1340</v>
      </c>
      <c r="G168" s="43">
        <v>0</v>
      </c>
      <c r="H168" s="43">
        <v>4</v>
      </c>
      <c r="I168" s="43">
        <v>0</v>
      </c>
      <c r="J168" s="43">
        <v>0</v>
      </c>
      <c r="K168" s="43">
        <v>0</v>
      </c>
    </row>
    <row r="169" spans="1:11" x14ac:dyDescent="0.25">
      <c r="A169" s="43">
        <v>1999</v>
      </c>
      <c r="B169" s="36" t="s">
        <v>28</v>
      </c>
      <c r="C169" s="36">
        <v>14</v>
      </c>
      <c r="D169" s="42" t="s">
        <v>1324</v>
      </c>
      <c r="E169" s="40">
        <v>0</v>
      </c>
      <c r="F169" s="44" t="s">
        <v>1341</v>
      </c>
      <c r="G169" s="43">
        <v>0</v>
      </c>
      <c r="H169" s="43">
        <v>4</v>
      </c>
      <c r="I169" s="43">
        <v>0</v>
      </c>
      <c r="J169" s="43">
        <v>0</v>
      </c>
      <c r="K169" s="43">
        <v>0</v>
      </c>
    </row>
    <row r="170" spans="1:11" x14ac:dyDescent="0.25">
      <c r="A170" s="43">
        <v>1999</v>
      </c>
      <c r="B170" s="36" t="s">
        <v>28</v>
      </c>
      <c r="C170" s="36">
        <v>15</v>
      </c>
      <c r="D170" s="42" t="s">
        <v>1324</v>
      </c>
      <c r="E170" s="40">
        <v>0</v>
      </c>
      <c r="F170" s="44" t="s">
        <v>1341</v>
      </c>
      <c r="G170" s="43">
        <v>0</v>
      </c>
      <c r="H170" s="43">
        <v>4</v>
      </c>
      <c r="I170" s="43">
        <v>0</v>
      </c>
      <c r="J170" s="43">
        <v>0</v>
      </c>
      <c r="K170" s="43">
        <v>0</v>
      </c>
    </row>
    <row r="171" spans="1:11" x14ac:dyDescent="0.25">
      <c r="A171" s="43">
        <v>1999</v>
      </c>
      <c r="B171" s="36" t="s">
        <v>28</v>
      </c>
      <c r="C171" s="36">
        <v>16</v>
      </c>
      <c r="D171" s="42" t="s">
        <v>112</v>
      </c>
      <c r="E171" s="40">
        <v>0</v>
      </c>
      <c r="F171" s="44" t="s">
        <v>1342</v>
      </c>
      <c r="G171" s="43">
        <v>0</v>
      </c>
      <c r="H171" s="43">
        <v>4</v>
      </c>
      <c r="I171" s="43">
        <v>0</v>
      </c>
      <c r="J171" s="43">
        <v>0</v>
      </c>
      <c r="K171" s="43">
        <v>0</v>
      </c>
    </row>
    <row r="172" spans="1:11" x14ac:dyDescent="0.25">
      <c r="A172" s="43">
        <v>1999</v>
      </c>
      <c r="B172" s="36" t="s">
        <v>28</v>
      </c>
      <c r="C172" s="36">
        <v>17</v>
      </c>
      <c r="D172" s="42" t="s">
        <v>1325</v>
      </c>
      <c r="E172" s="40">
        <v>0</v>
      </c>
      <c r="F172" s="44" t="s">
        <v>1343</v>
      </c>
      <c r="G172" s="43">
        <v>0</v>
      </c>
      <c r="H172" s="43">
        <v>4</v>
      </c>
      <c r="I172" s="43">
        <v>0</v>
      </c>
      <c r="J172" s="43">
        <v>0</v>
      </c>
      <c r="K172" s="43">
        <v>0</v>
      </c>
    </row>
    <row r="173" spans="1:11" x14ac:dyDescent="0.25">
      <c r="A173" s="43">
        <v>1999</v>
      </c>
      <c r="B173" s="36" t="s">
        <v>28</v>
      </c>
      <c r="C173" s="36">
        <v>18</v>
      </c>
      <c r="D173" s="42" t="s">
        <v>104</v>
      </c>
      <c r="E173" s="40">
        <v>0</v>
      </c>
      <c r="F173" s="44" t="s">
        <v>1344</v>
      </c>
      <c r="G173" s="43">
        <v>0</v>
      </c>
      <c r="H173" s="43">
        <v>4</v>
      </c>
      <c r="I173" s="43">
        <v>0</v>
      </c>
      <c r="J173" s="43">
        <v>0</v>
      </c>
      <c r="K173" s="43">
        <v>0</v>
      </c>
    </row>
    <row r="174" spans="1:11" x14ac:dyDescent="0.25">
      <c r="A174" s="43">
        <v>1999</v>
      </c>
      <c r="B174" s="36" t="s">
        <v>28</v>
      </c>
      <c r="C174" s="36">
        <v>19</v>
      </c>
      <c r="D174" s="42" t="s">
        <v>104</v>
      </c>
      <c r="E174" s="40">
        <v>0</v>
      </c>
      <c r="F174" s="42" t="s">
        <v>1344</v>
      </c>
      <c r="G174" s="43">
        <v>0</v>
      </c>
      <c r="H174" s="43">
        <v>4</v>
      </c>
      <c r="I174" s="43">
        <v>0</v>
      </c>
      <c r="J174" s="43">
        <v>0</v>
      </c>
      <c r="K174" s="43">
        <v>0</v>
      </c>
    </row>
    <row r="175" spans="1:11" x14ac:dyDescent="0.25">
      <c r="A175" s="43">
        <v>1999</v>
      </c>
      <c r="B175" s="36" t="s">
        <v>28</v>
      </c>
      <c r="C175" s="36">
        <v>20</v>
      </c>
      <c r="D175" s="42" t="s">
        <v>1326</v>
      </c>
      <c r="E175" s="40">
        <v>0</v>
      </c>
      <c r="F175" s="42" t="s">
        <v>1345</v>
      </c>
      <c r="G175" s="43">
        <v>0</v>
      </c>
      <c r="H175" s="43">
        <v>4</v>
      </c>
      <c r="I175" s="43">
        <v>0</v>
      </c>
      <c r="J175" s="43">
        <v>0</v>
      </c>
      <c r="K175" s="43">
        <v>0</v>
      </c>
    </row>
    <row r="176" spans="1:11" x14ac:dyDescent="0.25">
      <c r="A176" s="43">
        <v>1999</v>
      </c>
      <c r="B176" s="36" t="s">
        <v>28</v>
      </c>
      <c r="C176" s="36">
        <v>21</v>
      </c>
      <c r="D176" s="42" t="s">
        <v>1326</v>
      </c>
      <c r="E176" s="40">
        <v>0</v>
      </c>
      <c r="F176" s="44" t="s">
        <v>1345</v>
      </c>
      <c r="G176" s="43">
        <v>0</v>
      </c>
      <c r="H176" s="43">
        <v>4</v>
      </c>
      <c r="I176" s="43">
        <v>0</v>
      </c>
      <c r="J176" s="43">
        <v>0</v>
      </c>
      <c r="K176" s="43">
        <v>0</v>
      </c>
    </row>
    <row r="177" spans="1:11" x14ac:dyDescent="0.25">
      <c r="A177" s="43">
        <v>1999</v>
      </c>
      <c r="B177" s="36" t="s">
        <v>28</v>
      </c>
      <c r="C177" s="36">
        <v>22</v>
      </c>
      <c r="D177" s="42" t="s">
        <v>3</v>
      </c>
      <c r="E177" s="40">
        <v>0</v>
      </c>
      <c r="F177" s="44" t="s">
        <v>1346</v>
      </c>
      <c r="G177" s="43">
        <v>0</v>
      </c>
      <c r="H177" s="43">
        <v>4</v>
      </c>
      <c r="I177" s="43">
        <v>0</v>
      </c>
      <c r="J177" s="43">
        <v>0</v>
      </c>
      <c r="K177" s="43">
        <v>0</v>
      </c>
    </row>
    <row r="178" spans="1:11" x14ac:dyDescent="0.25">
      <c r="A178" s="43">
        <v>1999</v>
      </c>
      <c r="B178" s="36" t="s">
        <v>28</v>
      </c>
      <c r="C178" s="36">
        <v>23</v>
      </c>
      <c r="D178" s="42" t="s">
        <v>1327</v>
      </c>
      <c r="E178" s="40">
        <v>0</v>
      </c>
      <c r="F178" s="44" t="s">
        <v>1347</v>
      </c>
      <c r="G178" s="43">
        <v>0</v>
      </c>
      <c r="H178" s="43">
        <v>4</v>
      </c>
      <c r="I178" s="43">
        <v>0</v>
      </c>
      <c r="J178" s="43">
        <v>0</v>
      </c>
      <c r="K178" s="43">
        <v>0</v>
      </c>
    </row>
    <row r="179" spans="1:11" x14ac:dyDescent="0.25">
      <c r="A179" s="43">
        <v>1999</v>
      </c>
      <c r="B179" s="36" t="s">
        <v>28</v>
      </c>
      <c r="C179" s="36">
        <v>24</v>
      </c>
      <c r="D179" s="42" t="s">
        <v>1</v>
      </c>
      <c r="E179" s="40">
        <v>0</v>
      </c>
      <c r="F179" s="44" t="s">
        <v>111</v>
      </c>
      <c r="G179" s="43">
        <v>0</v>
      </c>
      <c r="H179" s="43">
        <v>4</v>
      </c>
      <c r="I179" s="43">
        <v>0</v>
      </c>
      <c r="J179" s="43">
        <v>0</v>
      </c>
      <c r="K179" s="43">
        <v>0</v>
      </c>
    </row>
    <row r="180" spans="1:11" x14ac:dyDescent="0.25">
      <c r="A180" s="43">
        <v>1999</v>
      </c>
      <c r="B180" s="36" t="s">
        <v>28</v>
      </c>
      <c r="C180" s="36">
        <v>25</v>
      </c>
      <c r="D180" s="42" t="s">
        <v>1328</v>
      </c>
      <c r="E180" s="40">
        <v>0</v>
      </c>
      <c r="F180" s="42" t="s">
        <v>117</v>
      </c>
      <c r="G180" s="43">
        <v>0</v>
      </c>
      <c r="H180" s="43">
        <v>4</v>
      </c>
      <c r="I180" s="43">
        <v>0</v>
      </c>
      <c r="J180" s="43">
        <v>0</v>
      </c>
      <c r="K180" s="43">
        <v>0</v>
      </c>
    </row>
    <row r="181" spans="1:11" x14ac:dyDescent="0.25">
      <c r="A181" s="43">
        <v>1999</v>
      </c>
      <c r="B181" s="36" t="s">
        <v>28</v>
      </c>
      <c r="C181" s="36">
        <v>26</v>
      </c>
      <c r="D181" s="42" t="s">
        <v>106</v>
      </c>
      <c r="E181" s="40">
        <v>0</v>
      </c>
      <c r="F181" s="42" t="s">
        <v>109</v>
      </c>
      <c r="G181" s="43">
        <v>0</v>
      </c>
      <c r="H181" s="43">
        <v>4</v>
      </c>
      <c r="I181" s="43">
        <v>0</v>
      </c>
      <c r="J181" s="43">
        <v>0</v>
      </c>
      <c r="K181" s="43">
        <v>0</v>
      </c>
    </row>
    <row r="182" spans="1:11" x14ac:dyDescent="0.25">
      <c r="A182" s="43">
        <v>1999</v>
      </c>
      <c r="B182" s="36" t="s">
        <v>28</v>
      </c>
      <c r="C182" s="36">
        <v>27</v>
      </c>
      <c r="D182" s="42" t="s">
        <v>1329</v>
      </c>
      <c r="E182" s="40">
        <v>0</v>
      </c>
      <c r="F182" s="42" t="s">
        <v>1348</v>
      </c>
      <c r="G182" s="43">
        <v>0</v>
      </c>
      <c r="H182" s="43">
        <v>4</v>
      </c>
      <c r="I182" s="43">
        <v>0</v>
      </c>
      <c r="J182" s="43">
        <v>0</v>
      </c>
      <c r="K182" s="43">
        <v>0</v>
      </c>
    </row>
    <row r="183" spans="1:11" x14ac:dyDescent="0.25">
      <c r="A183" s="43">
        <v>1999</v>
      </c>
      <c r="B183" s="36" t="s">
        <v>28</v>
      </c>
      <c r="C183" s="36">
        <v>28</v>
      </c>
      <c r="D183" s="42" t="s">
        <v>1329</v>
      </c>
      <c r="E183" s="40">
        <v>0</v>
      </c>
      <c r="F183" s="42" t="s">
        <v>1348</v>
      </c>
      <c r="G183" s="43">
        <v>0</v>
      </c>
      <c r="H183" s="43">
        <v>4</v>
      </c>
      <c r="I183" s="43">
        <v>0</v>
      </c>
      <c r="J183" s="43">
        <v>0</v>
      </c>
      <c r="K183" s="43">
        <v>0</v>
      </c>
    </row>
    <row r="184" spans="1:11" x14ac:dyDescent="0.25">
      <c r="A184" s="43">
        <v>1999</v>
      </c>
      <c r="B184" s="36" t="s">
        <v>28</v>
      </c>
      <c r="C184" s="36">
        <v>29</v>
      </c>
      <c r="D184" s="42" t="s">
        <v>110</v>
      </c>
      <c r="E184" s="40">
        <v>0</v>
      </c>
      <c r="F184" s="42" t="s">
        <v>119</v>
      </c>
      <c r="G184" s="43">
        <v>0</v>
      </c>
      <c r="H184" s="43">
        <v>4</v>
      </c>
      <c r="I184" s="43">
        <v>0</v>
      </c>
      <c r="J184" s="43">
        <v>0</v>
      </c>
      <c r="K184" s="43">
        <v>0</v>
      </c>
    </row>
    <row r="185" spans="1:11" x14ac:dyDescent="0.25">
      <c r="A185" s="43">
        <v>1999</v>
      </c>
      <c r="B185" s="36" t="s">
        <v>28</v>
      </c>
      <c r="C185" s="36">
        <v>30</v>
      </c>
      <c r="D185" s="42" t="s">
        <v>1219</v>
      </c>
      <c r="E185" s="40">
        <v>0</v>
      </c>
      <c r="F185" s="42" t="s">
        <v>1220</v>
      </c>
      <c r="G185" s="43">
        <v>0</v>
      </c>
      <c r="H185" s="43">
        <v>4</v>
      </c>
      <c r="I185" s="43">
        <v>0</v>
      </c>
      <c r="J185" s="43">
        <v>0</v>
      </c>
      <c r="K185" s="43">
        <v>0</v>
      </c>
    </row>
    <row r="186" spans="1:11" x14ac:dyDescent="0.25">
      <c r="A186" s="43">
        <v>1999</v>
      </c>
      <c r="B186" s="36" t="s">
        <v>29</v>
      </c>
      <c r="C186" s="36">
        <v>1</v>
      </c>
      <c r="D186" s="42" t="s">
        <v>110</v>
      </c>
      <c r="E186" s="40">
        <v>0</v>
      </c>
      <c r="F186" s="42" t="s">
        <v>119</v>
      </c>
      <c r="G186" s="43">
        <v>0</v>
      </c>
      <c r="H186" s="43">
        <v>7</v>
      </c>
      <c r="I186" s="43">
        <v>0</v>
      </c>
      <c r="J186" s="43">
        <v>0</v>
      </c>
      <c r="K186" s="43">
        <v>0</v>
      </c>
    </row>
    <row r="187" spans="1:11" x14ac:dyDescent="0.25">
      <c r="A187" s="43">
        <v>1999</v>
      </c>
      <c r="B187" s="36" t="s">
        <v>29</v>
      </c>
      <c r="C187" s="36">
        <v>2</v>
      </c>
      <c r="D187" s="42" t="s">
        <v>108</v>
      </c>
      <c r="E187" s="40">
        <v>0</v>
      </c>
      <c r="F187" s="42" t="s">
        <v>121</v>
      </c>
      <c r="G187" s="43">
        <v>0</v>
      </c>
      <c r="H187" s="43">
        <v>7</v>
      </c>
      <c r="I187" s="43">
        <v>0</v>
      </c>
      <c r="J187" s="43">
        <v>0</v>
      </c>
      <c r="K187" s="43">
        <v>0</v>
      </c>
    </row>
    <row r="188" spans="1:11" x14ac:dyDescent="0.25">
      <c r="A188" s="43">
        <v>1999</v>
      </c>
      <c r="B188" s="36" t="s">
        <v>29</v>
      </c>
      <c r="C188" s="36">
        <v>3</v>
      </c>
      <c r="D188" s="42" t="s">
        <v>118</v>
      </c>
      <c r="E188" s="40">
        <v>0</v>
      </c>
      <c r="F188" s="42" t="s">
        <v>1350</v>
      </c>
      <c r="G188" s="43">
        <v>0</v>
      </c>
      <c r="H188" s="43">
        <v>7</v>
      </c>
      <c r="I188" s="43">
        <v>0</v>
      </c>
      <c r="J188" s="43">
        <v>0</v>
      </c>
      <c r="K188" s="43">
        <v>0</v>
      </c>
    </row>
    <row r="189" spans="1:11" x14ac:dyDescent="0.25">
      <c r="A189" s="43">
        <v>1999</v>
      </c>
      <c r="B189" s="36" t="s">
        <v>29</v>
      </c>
      <c r="C189" s="36">
        <v>4</v>
      </c>
      <c r="D189" s="42" t="s">
        <v>192</v>
      </c>
      <c r="E189" s="40">
        <v>0</v>
      </c>
      <c r="F189" s="42" t="s">
        <v>1351</v>
      </c>
      <c r="G189" s="43">
        <v>0</v>
      </c>
      <c r="H189" s="43">
        <v>7</v>
      </c>
      <c r="I189" s="43">
        <v>0</v>
      </c>
      <c r="J189" s="43">
        <v>0</v>
      </c>
      <c r="K189" s="43">
        <v>0</v>
      </c>
    </row>
    <row r="190" spans="1:11" x14ac:dyDescent="0.25">
      <c r="A190" s="43">
        <v>1999</v>
      </c>
      <c r="B190" s="36" t="s">
        <v>29</v>
      </c>
      <c r="C190" s="36">
        <v>5</v>
      </c>
      <c r="D190" s="42" t="s">
        <v>194</v>
      </c>
      <c r="E190" s="40">
        <v>0</v>
      </c>
      <c r="F190" s="42" t="s">
        <v>1352</v>
      </c>
      <c r="G190" s="43">
        <v>0</v>
      </c>
      <c r="H190" s="43">
        <v>7</v>
      </c>
      <c r="I190" s="43">
        <v>0</v>
      </c>
      <c r="J190" s="43">
        <v>0</v>
      </c>
      <c r="K190" s="43">
        <v>0</v>
      </c>
    </row>
    <row r="191" spans="1:11" x14ac:dyDescent="0.25">
      <c r="A191" s="43">
        <v>1999</v>
      </c>
      <c r="B191" s="36" t="s">
        <v>29</v>
      </c>
      <c r="C191" s="36">
        <v>6</v>
      </c>
      <c r="D191" s="42" t="s">
        <v>194</v>
      </c>
      <c r="E191" s="40">
        <v>0</v>
      </c>
      <c r="F191" s="42" t="s">
        <v>1352</v>
      </c>
      <c r="G191" s="43">
        <v>0</v>
      </c>
      <c r="H191" s="43">
        <v>7</v>
      </c>
      <c r="I191" s="43">
        <v>0</v>
      </c>
      <c r="J191" s="43">
        <v>0</v>
      </c>
      <c r="K191" s="43">
        <v>0</v>
      </c>
    </row>
    <row r="192" spans="1:11" x14ac:dyDescent="0.25">
      <c r="A192" s="43">
        <v>1999</v>
      </c>
      <c r="B192" s="36" t="s">
        <v>29</v>
      </c>
      <c r="C192" s="36">
        <v>7</v>
      </c>
      <c r="D192" s="42" t="s">
        <v>194</v>
      </c>
      <c r="E192" s="40">
        <v>0</v>
      </c>
      <c r="F192" s="42" t="s">
        <v>1352</v>
      </c>
      <c r="G192" s="43">
        <v>0</v>
      </c>
      <c r="H192" s="43">
        <v>7</v>
      </c>
      <c r="I192" s="43">
        <v>0</v>
      </c>
      <c r="J192" s="43">
        <v>0</v>
      </c>
      <c r="K192" s="43">
        <v>0</v>
      </c>
    </row>
    <row r="193" spans="1:11" x14ac:dyDescent="0.25">
      <c r="A193" s="43">
        <v>1999</v>
      </c>
      <c r="B193" s="36" t="s">
        <v>29</v>
      </c>
      <c r="C193" s="36">
        <v>8</v>
      </c>
      <c r="D193" s="42" t="s">
        <v>422</v>
      </c>
      <c r="E193" s="40">
        <v>0</v>
      </c>
      <c r="F193" s="42" t="s">
        <v>1353</v>
      </c>
      <c r="G193" s="43">
        <v>0</v>
      </c>
      <c r="H193" s="43">
        <v>7</v>
      </c>
      <c r="I193" s="43">
        <v>0</v>
      </c>
      <c r="J193" s="43">
        <v>0</v>
      </c>
      <c r="K193" s="43">
        <v>0</v>
      </c>
    </row>
    <row r="194" spans="1:11" x14ac:dyDescent="0.25">
      <c r="A194" s="43">
        <v>1999</v>
      </c>
      <c r="B194" s="36" t="s">
        <v>29</v>
      </c>
      <c r="C194" s="36">
        <v>9</v>
      </c>
      <c r="D194" s="42" t="s">
        <v>201</v>
      </c>
      <c r="E194" s="40">
        <v>0</v>
      </c>
      <c r="F194" s="42" t="s">
        <v>1354</v>
      </c>
      <c r="G194" s="43">
        <v>0</v>
      </c>
      <c r="H194" s="43">
        <v>7</v>
      </c>
      <c r="I194" s="43">
        <v>0</v>
      </c>
      <c r="J194" s="43">
        <v>0</v>
      </c>
      <c r="K194" s="43">
        <v>0</v>
      </c>
    </row>
    <row r="195" spans="1:11" x14ac:dyDescent="0.25">
      <c r="A195" s="43">
        <v>1999</v>
      </c>
      <c r="B195" s="36" t="s">
        <v>29</v>
      </c>
      <c r="C195" s="36">
        <v>10</v>
      </c>
      <c r="D195" s="42" t="s">
        <v>177</v>
      </c>
      <c r="E195" s="40">
        <v>0</v>
      </c>
      <c r="F195" s="42" t="s">
        <v>1355</v>
      </c>
      <c r="G195" s="43">
        <v>0</v>
      </c>
      <c r="H195" s="43">
        <v>7</v>
      </c>
      <c r="I195" s="43">
        <v>0</v>
      </c>
      <c r="J195" s="43">
        <v>0</v>
      </c>
      <c r="K195" s="43">
        <v>0</v>
      </c>
    </row>
    <row r="196" spans="1:11" x14ac:dyDescent="0.25">
      <c r="A196" s="43">
        <v>1999</v>
      </c>
      <c r="B196" s="36" t="s">
        <v>29</v>
      </c>
      <c r="C196" s="36">
        <v>11</v>
      </c>
      <c r="D196" s="42" t="s">
        <v>208</v>
      </c>
      <c r="E196" s="40">
        <v>0</v>
      </c>
      <c r="F196" s="42" t="s">
        <v>1356</v>
      </c>
      <c r="G196" s="43">
        <v>0</v>
      </c>
      <c r="H196" s="43">
        <v>7</v>
      </c>
      <c r="I196" s="43">
        <v>0</v>
      </c>
      <c r="J196" s="43">
        <v>0</v>
      </c>
      <c r="K196" s="43">
        <v>0</v>
      </c>
    </row>
    <row r="197" spans="1:11" x14ac:dyDescent="0.25">
      <c r="A197" s="43">
        <v>1999</v>
      </c>
      <c r="B197" s="36" t="s">
        <v>29</v>
      </c>
      <c r="C197" s="36">
        <v>12</v>
      </c>
      <c r="D197" s="42" t="s">
        <v>212</v>
      </c>
      <c r="E197" s="40">
        <v>0</v>
      </c>
      <c r="F197" s="42" t="s">
        <v>1357</v>
      </c>
      <c r="G197" s="43">
        <v>0</v>
      </c>
      <c r="H197" s="43">
        <v>7</v>
      </c>
      <c r="I197" s="43">
        <v>0</v>
      </c>
      <c r="J197" s="43">
        <v>0</v>
      </c>
      <c r="K197" s="43">
        <v>0</v>
      </c>
    </row>
    <row r="198" spans="1:11" x14ac:dyDescent="0.25">
      <c r="A198" s="43">
        <v>1999</v>
      </c>
      <c r="B198" s="36" t="s">
        <v>29</v>
      </c>
      <c r="C198" s="36">
        <v>13</v>
      </c>
      <c r="D198" s="42" t="s">
        <v>175</v>
      </c>
      <c r="E198" s="40">
        <v>0</v>
      </c>
      <c r="F198" s="42" t="s">
        <v>172</v>
      </c>
      <c r="G198" s="43">
        <v>0</v>
      </c>
      <c r="H198" s="43">
        <v>7</v>
      </c>
      <c r="I198" s="43">
        <v>0</v>
      </c>
      <c r="J198" s="43">
        <v>0</v>
      </c>
      <c r="K198" s="43">
        <v>0</v>
      </c>
    </row>
    <row r="199" spans="1:11" x14ac:dyDescent="0.25">
      <c r="A199" s="43">
        <v>1999</v>
      </c>
      <c r="B199" s="36" t="s">
        <v>29</v>
      </c>
      <c r="C199" s="36">
        <v>14</v>
      </c>
      <c r="D199" s="42" t="s">
        <v>175</v>
      </c>
      <c r="E199" s="40">
        <v>0</v>
      </c>
      <c r="F199" s="42" t="s">
        <v>172</v>
      </c>
      <c r="G199" s="43">
        <v>0</v>
      </c>
      <c r="H199" s="43">
        <v>7</v>
      </c>
      <c r="I199" s="43">
        <v>0</v>
      </c>
      <c r="J199" s="43">
        <v>0</v>
      </c>
      <c r="K199" s="43">
        <v>0</v>
      </c>
    </row>
    <row r="200" spans="1:11" x14ac:dyDescent="0.25">
      <c r="A200" s="43">
        <v>1999</v>
      </c>
      <c r="B200" s="36" t="s">
        <v>29</v>
      </c>
      <c r="C200" s="36">
        <v>15</v>
      </c>
      <c r="D200" s="42" t="s">
        <v>175</v>
      </c>
      <c r="E200" s="40">
        <v>0</v>
      </c>
      <c r="F200" s="42" t="s">
        <v>172</v>
      </c>
      <c r="G200" s="43">
        <v>0</v>
      </c>
      <c r="H200" s="43">
        <v>7</v>
      </c>
      <c r="I200" s="43">
        <v>0</v>
      </c>
      <c r="J200" s="43">
        <v>0</v>
      </c>
      <c r="K200" s="43">
        <v>0</v>
      </c>
    </row>
    <row r="201" spans="1:11" x14ac:dyDescent="0.25">
      <c r="A201" s="43">
        <v>1999</v>
      </c>
      <c r="B201" s="36" t="s">
        <v>29</v>
      </c>
      <c r="C201" s="36">
        <v>16</v>
      </c>
      <c r="D201" s="42" t="s">
        <v>171</v>
      </c>
      <c r="E201" s="40">
        <v>0</v>
      </c>
      <c r="F201" s="44" t="s">
        <v>1358</v>
      </c>
      <c r="G201" s="43">
        <v>0</v>
      </c>
      <c r="H201" s="43">
        <v>7</v>
      </c>
      <c r="I201" s="43">
        <v>0</v>
      </c>
      <c r="J201" s="43">
        <v>0</v>
      </c>
      <c r="K201" s="43">
        <v>0</v>
      </c>
    </row>
    <row r="202" spans="1:11" x14ac:dyDescent="0.25">
      <c r="A202" s="43">
        <v>1999</v>
      </c>
      <c r="B202" s="36" t="s">
        <v>29</v>
      </c>
      <c r="C202" s="36">
        <v>17</v>
      </c>
      <c r="D202" s="42" t="s">
        <v>221</v>
      </c>
      <c r="E202" s="40">
        <v>0</v>
      </c>
      <c r="F202" s="44" t="s">
        <v>1359</v>
      </c>
      <c r="G202" s="43">
        <v>0</v>
      </c>
      <c r="H202" s="43">
        <v>7</v>
      </c>
      <c r="I202" s="43">
        <v>0</v>
      </c>
      <c r="J202" s="43">
        <v>0</v>
      </c>
      <c r="K202" s="43">
        <v>0</v>
      </c>
    </row>
    <row r="203" spans="1:11" x14ac:dyDescent="0.25">
      <c r="A203" s="43">
        <v>1999</v>
      </c>
      <c r="B203" s="36" t="s">
        <v>29</v>
      </c>
      <c r="C203" s="36">
        <v>18</v>
      </c>
      <c r="D203" s="42" t="s">
        <v>169</v>
      </c>
      <c r="E203" s="40">
        <v>0</v>
      </c>
      <c r="F203" s="42" t="s">
        <v>1360</v>
      </c>
      <c r="G203" s="43">
        <v>0</v>
      </c>
      <c r="H203" s="43">
        <v>7</v>
      </c>
      <c r="I203" s="43">
        <v>0</v>
      </c>
      <c r="J203" s="43">
        <v>0</v>
      </c>
      <c r="K203" s="43">
        <v>0</v>
      </c>
    </row>
    <row r="204" spans="1:11" x14ac:dyDescent="0.25">
      <c r="A204" s="43">
        <v>1999</v>
      </c>
      <c r="B204" s="36" t="s">
        <v>29</v>
      </c>
      <c r="C204" s="36">
        <v>19</v>
      </c>
      <c r="D204" s="42" t="s">
        <v>165</v>
      </c>
      <c r="E204" s="40">
        <v>0</v>
      </c>
      <c r="F204" s="42" t="s">
        <v>1361</v>
      </c>
      <c r="G204" s="43">
        <v>0</v>
      </c>
      <c r="H204" s="43">
        <v>7</v>
      </c>
      <c r="I204" s="43">
        <v>0</v>
      </c>
      <c r="J204" s="43">
        <v>0</v>
      </c>
      <c r="K204" s="43">
        <v>0</v>
      </c>
    </row>
    <row r="205" spans="1:11" x14ac:dyDescent="0.25">
      <c r="A205" s="43">
        <v>1999</v>
      </c>
      <c r="B205" s="36" t="s">
        <v>29</v>
      </c>
      <c r="C205" s="36">
        <v>20</v>
      </c>
      <c r="D205" s="42" t="s">
        <v>165</v>
      </c>
      <c r="E205" s="40">
        <v>0</v>
      </c>
      <c r="F205" s="42" t="s">
        <v>1361</v>
      </c>
      <c r="G205" s="43">
        <v>0</v>
      </c>
      <c r="H205" s="43">
        <v>7</v>
      </c>
      <c r="I205" s="43">
        <v>0</v>
      </c>
      <c r="J205" s="43">
        <v>0</v>
      </c>
      <c r="K205" s="43">
        <v>0</v>
      </c>
    </row>
    <row r="206" spans="1:11" x14ac:dyDescent="0.25">
      <c r="A206" s="43">
        <v>1999</v>
      </c>
      <c r="B206" s="36" t="s">
        <v>29</v>
      </c>
      <c r="C206" s="36">
        <v>21</v>
      </c>
      <c r="D206" s="42" t="s">
        <v>1349</v>
      </c>
      <c r="E206" s="40">
        <v>0</v>
      </c>
      <c r="F206" s="42" t="s">
        <v>1362</v>
      </c>
      <c r="G206" s="43">
        <v>0</v>
      </c>
      <c r="H206" s="43">
        <v>7</v>
      </c>
      <c r="I206" s="43">
        <v>0</v>
      </c>
      <c r="J206" s="43">
        <v>0</v>
      </c>
      <c r="K206" s="43">
        <v>0</v>
      </c>
    </row>
    <row r="207" spans="1:11" x14ac:dyDescent="0.25">
      <c r="A207" s="43">
        <v>1999</v>
      </c>
      <c r="B207" s="36" t="s">
        <v>29</v>
      </c>
      <c r="C207" s="36">
        <v>22</v>
      </c>
      <c r="D207" s="42" t="s">
        <v>227</v>
      </c>
      <c r="E207" s="40">
        <v>0</v>
      </c>
      <c r="F207" s="42" t="s">
        <v>164</v>
      </c>
      <c r="G207" s="43">
        <v>0</v>
      </c>
      <c r="H207" s="43">
        <v>7</v>
      </c>
      <c r="I207" s="43">
        <v>0</v>
      </c>
      <c r="J207" s="43">
        <v>0</v>
      </c>
      <c r="K207" s="43">
        <v>0</v>
      </c>
    </row>
    <row r="208" spans="1:11" x14ac:dyDescent="0.25">
      <c r="A208" s="43">
        <v>1999</v>
      </c>
      <c r="B208" s="36" t="s">
        <v>29</v>
      </c>
      <c r="C208" s="36">
        <v>23</v>
      </c>
      <c r="D208" s="42" t="s">
        <v>227</v>
      </c>
      <c r="E208" s="40">
        <v>0</v>
      </c>
      <c r="F208" s="42" t="s">
        <v>164</v>
      </c>
      <c r="G208" s="43">
        <v>0</v>
      </c>
      <c r="H208" s="43">
        <v>7</v>
      </c>
      <c r="I208" s="43">
        <v>0</v>
      </c>
      <c r="J208" s="43">
        <v>0</v>
      </c>
      <c r="K208" s="43">
        <v>0</v>
      </c>
    </row>
    <row r="209" spans="1:11" x14ac:dyDescent="0.25">
      <c r="A209" s="43">
        <v>1999</v>
      </c>
      <c r="B209" s="36" t="s">
        <v>29</v>
      </c>
      <c r="C209" s="36">
        <v>24</v>
      </c>
      <c r="D209" s="42" t="s">
        <v>229</v>
      </c>
      <c r="E209" s="40">
        <v>0</v>
      </c>
      <c r="F209" s="42" t="s">
        <v>1363</v>
      </c>
      <c r="G209" s="43">
        <v>0</v>
      </c>
      <c r="H209" s="43">
        <v>7</v>
      </c>
      <c r="I209" s="43">
        <v>0</v>
      </c>
      <c r="J209" s="43">
        <v>0</v>
      </c>
      <c r="K209" s="43">
        <v>0</v>
      </c>
    </row>
    <row r="210" spans="1:11" x14ac:dyDescent="0.25">
      <c r="A210" s="43">
        <v>1999</v>
      </c>
      <c r="B210" s="36" t="s">
        <v>29</v>
      </c>
      <c r="C210" s="36">
        <v>25</v>
      </c>
      <c r="D210" s="42" t="s">
        <v>161</v>
      </c>
      <c r="E210" s="40">
        <v>0</v>
      </c>
      <c r="F210" s="42" t="s">
        <v>1364</v>
      </c>
      <c r="G210" s="43">
        <v>0</v>
      </c>
      <c r="H210" s="43">
        <v>7</v>
      </c>
      <c r="I210" s="43">
        <v>0</v>
      </c>
      <c r="J210" s="43">
        <v>0</v>
      </c>
      <c r="K210" s="43">
        <v>0</v>
      </c>
    </row>
    <row r="211" spans="1:11" x14ac:dyDescent="0.25">
      <c r="A211" s="43">
        <v>1999</v>
      </c>
      <c r="B211" s="36" t="s">
        <v>29</v>
      </c>
      <c r="C211" s="36">
        <v>26</v>
      </c>
      <c r="D211" s="42" t="s">
        <v>161</v>
      </c>
      <c r="E211" s="40">
        <v>0</v>
      </c>
      <c r="F211" s="42" t="s">
        <v>1364</v>
      </c>
      <c r="G211" s="43">
        <v>0</v>
      </c>
      <c r="H211" s="43">
        <v>7</v>
      </c>
      <c r="I211" s="43">
        <v>0</v>
      </c>
      <c r="J211" s="43">
        <v>0</v>
      </c>
      <c r="K211" s="43">
        <v>0</v>
      </c>
    </row>
    <row r="212" spans="1:11" x14ac:dyDescent="0.25">
      <c r="A212" s="43">
        <v>1999</v>
      </c>
      <c r="B212" s="36" t="s">
        <v>29</v>
      </c>
      <c r="C212" s="36">
        <v>27</v>
      </c>
      <c r="D212" s="42" t="s">
        <v>236</v>
      </c>
      <c r="E212" s="40">
        <v>0</v>
      </c>
      <c r="F212" s="42" t="s">
        <v>1365</v>
      </c>
      <c r="G212" s="43">
        <v>0</v>
      </c>
      <c r="H212" s="43">
        <v>6</v>
      </c>
      <c r="I212" s="43">
        <v>0</v>
      </c>
      <c r="J212" s="43">
        <v>0</v>
      </c>
      <c r="K212" s="43">
        <v>0</v>
      </c>
    </row>
    <row r="213" spans="1:11" x14ac:dyDescent="0.25">
      <c r="A213" s="43">
        <v>1999</v>
      </c>
      <c r="B213" s="36" t="s">
        <v>29</v>
      </c>
      <c r="C213" s="36">
        <v>28</v>
      </c>
      <c r="D213" s="42" t="s">
        <v>236</v>
      </c>
      <c r="E213" s="40">
        <v>0</v>
      </c>
      <c r="F213" s="42" t="s">
        <v>1365</v>
      </c>
      <c r="G213" s="43">
        <v>0</v>
      </c>
      <c r="H213" s="43">
        <v>6</v>
      </c>
      <c r="I213" s="43">
        <v>0</v>
      </c>
      <c r="J213" s="43">
        <v>0</v>
      </c>
      <c r="K213" s="43">
        <v>0</v>
      </c>
    </row>
    <row r="214" spans="1:11" x14ac:dyDescent="0.25">
      <c r="A214" s="43">
        <v>1999</v>
      </c>
      <c r="B214" s="36" t="s">
        <v>29</v>
      </c>
      <c r="C214" s="36">
        <v>29</v>
      </c>
      <c r="D214" s="42" t="s">
        <v>239</v>
      </c>
      <c r="E214" s="40">
        <v>0</v>
      </c>
      <c r="F214" s="42" t="s">
        <v>1366</v>
      </c>
      <c r="G214" s="43">
        <v>0</v>
      </c>
      <c r="H214" s="43">
        <v>6</v>
      </c>
      <c r="I214" s="43">
        <v>0</v>
      </c>
      <c r="J214" s="43">
        <v>0</v>
      </c>
      <c r="K214" s="43">
        <v>0</v>
      </c>
    </row>
    <row r="215" spans="1:11" x14ac:dyDescent="0.25">
      <c r="A215" s="43">
        <v>1999</v>
      </c>
      <c r="B215" s="36" t="s">
        <v>29</v>
      </c>
      <c r="C215" s="36">
        <v>30</v>
      </c>
      <c r="D215" s="42" t="s">
        <v>239</v>
      </c>
      <c r="E215" s="40">
        <v>0</v>
      </c>
      <c r="F215" s="42" t="s">
        <v>1366</v>
      </c>
      <c r="G215" s="43">
        <v>0</v>
      </c>
      <c r="H215" s="43">
        <v>6</v>
      </c>
      <c r="I215" s="43">
        <v>0</v>
      </c>
      <c r="J215" s="43">
        <v>0</v>
      </c>
      <c r="K215" s="43">
        <v>0</v>
      </c>
    </row>
    <row r="216" spans="1:11" x14ac:dyDescent="0.25">
      <c r="A216" s="43">
        <v>1999</v>
      </c>
      <c r="B216" s="36" t="s">
        <v>29</v>
      </c>
      <c r="C216" s="36">
        <v>31</v>
      </c>
      <c r="D216" s="42" t="s">
        <v>242</v>
      </c>
      <c r="E216" s="40">
        <v>0</v>
      </c>
      <c r="F216" s="42" t="s">
        <v>1367</v>
      </c>
      <c r="G216" s="43">
        <v>0</v>
      </c>
      <c r="H216" s="43">
        <v>6</v>
      </c>
      <c r="I216" s="43">
        <v>0</v>
      </c>
      <c r="J216" s="43">
        <v>0</v>
      </c>
      <c r="K216" s="43">
        <v>0</v>
      </c>
    </row>
    <row r="217" spans="1:11" x14ac:dyDescent="0.25">
      <c r="A217" s="43">
        <v>1999</v>
      </c>
      <c r="B217" s="36" t="s">
        <v>30</v>
      </c>
      <c r="C217" s="36">
        <v>1</v>
      </c>
      <c r="D217" s="42" t="s">
        <v>242</v>
      </c>
      <c r="E217" s="40">
        <v>0</v>
      </c>
      <c r="F217" s="44" t="s">
        <v>1367</v>
      </c>
      <c r="G217" s="44" t="s">
        <v>736</v>
      </c>
      <c r="H217" s="43">
        <v>0</v>
      </c>
      <c r="I217" s="43">
        <v>0</v>
      </c>
      <c r="J217" s="43">
        <v>0</v>
      </c>
      <c r="K217" s="43">
        <v>0</v>
      </c>
    </row>
    <row r="218" spans="1:11" x14ac:dyDescent="0.25">
      <c r="A218" s="43">
        <v>1999</v>
      </c>
      <c r="B218" s="36" t="s">
        <v>30</v>
      </c>
      <c r="C218" s="36">
        <v>2</v>
      </c>
      <c r="D218" s="42" t="s">
        <v>157</v>
      </c>
      <c r="E218" s="40">
        <v>0</v>
      </c>
      <c r="F218" s="44" t="s">
        <v>1369</v>
      </c>
      <c r="G218" s="44" t="s">
        <v>1383</v>
      </c>
      <c r="H218" s="43">
        <v>0</v>
      </c>
      <c r="I218" s="43">
        <v>0</v>
      </c>
      <c r="J218" s="43">
        <v>0</v>
      </c>
      <c r="K218" s="43">
        <v>0</v>
      </c>
    </row>
    <row r="219" spans="1:11" x14ac:dyDescent="0.25">
      <c r="A219" s="43">
        <v>1999</v>
      </c>
      <c r="B219" s="36" t="s">
        <v>30</v>
      </c>
      <c r="C219" s="36">
        <v>3</v>
      </c>
      <c r="D219" s="42" t="s">
        <v>248</v>
      </c>
      <c r="E219" s="40">
        <v>0</v>
      </c>
      <c r="F219" s="44" t="s">
        <v>1370</v>
      </c>
      <c r="G219" s="44" t="s">
        <v>1383</v>
      </c>
      <c r="H219" s="43">
        <v>0</v>
      </c>
      <c r="I219" s="43">
        <v>0</v>
      </c>
      <c r="J219" s="43">
        <v>0</v>
      </c>
      <c r="K219" s="43">
        <v>0</v>
      </c>
    </row>
    <row r="220" spans="1:11" x14ac:dyDescent="0.25">
      <c r="A220" s="43">
        <v>1999</v>
      </c>
      <c r="B220" s="36" t="s">
        <v>30</v>
      </c>
      <c r="C220" s="36">
        <v>4</v>
      </c>
      <c r="D220" s="42" t="s">
        <v>153</v>
      </c>
      <c r="E220" s="40">
        <v>0</v>
      </c>
      <c r="F220" s="44" t="s">
        <v>1371</v>
      </c>
      <c r="G220" s="44" t="s">
        <v>1383</v>
      </c>
      <c r="H220" s="43">
        <v>0</v>
      </c>
      <c r="I220" s="43">
        <v>0</v>
      </c>
      <c r="J220" s="43">
        <v>0</v>
      </c>
      <c r="K220" s="43">
        <v>0</v>
      </c>
    </row>
    <row r="221" spans="1:11" x14ac:dyDescent="0.25">
      <c r="A221" s="43">
        <v>1999</v>
      </c>
      <c r="B221" s="36" t="s">
        <v>30</v>
      </c>
      <c r="C221" s="36">
        <v>5</v>
      </c>
      <c r="D221" s="42" t="s">
        <v>151</v>
      </c>
      <c r="E221" s="40">
        <v>0</v>
      </c>
      <c r="F221" s="44" t="s">
        <v>1372</v>
      </c>
      <c r="G221" s="44" t="s">
        <v>736</v>
      </c>
      <c r="H221" s="43">
        <v>0</v>
      </c>
      <c r="I221" s="43">
        <v>0</v>
      </c>
      <c r="J221" s="43">
        <v>0</v>
      </c>
      <c r="K221" s="43">
        <v>0</v>
      </c>
    </row>
    <row r="222" spans="1:11" x14ac:dyDescent="0.25">
      <c r="A222" s="43">
        <v>1999</v>
      </c>
      <c r="B222" s="36" t="s">
        <v>30</v>
      </c>
      <c r="C222" s="36">
        <v>6</v>
      </c>
      <c r="D222" s="42" t="s">
        <v>258</v>
      </c>
      <c r="E222" s="40">
        <v>0</v>
      </c>
      <c r="F222" s="44" t="s">
        <v>1065</v>
      </c>
      <c r="G222" s="44" t="s">
        <v>736</v>
      </c>
      <c r="H222" s="43">
        <v>0</v>
      </c>
      <c r="I222" s="43">
        <v>0</v>
      </c>
      <c r="J222" s="43">
        <v>0</v>
      </c>
      <c r="K222" s="43">
        <v>0</v>
      </c>
    </row>
    <row r="223" spans="1:11" x14ac:dyDescent="0.25">
      <c r="A223" s="43">
        <v>1999</v>
      </c>
      <c r="B223" s="36" t="s">
        <v>30</v>
      </c>
      <c r="C223" s="36">
        <v>7</v>
      </c>
      <c r="D223" s="42" t="s">
        <v>258</v>
      </c>
      <c r="E223" s="40">
        <v>0</v>
      </c>
      <c r="F223" s="44" t="s">
        <v>1082</v>
      </c>
      <c r="G223" s="44" t="s">
        <v>736</v>
      </c>
      <c r="H223" s="43">
        <v>0</v>
      </c>
      <c r="I223" s="43">
        <v>0</v>
      </c>
      <c r="J223" s="43">
        <v>0</v>
      </c>
      <c r="K223" s="43">
        <v>0</v>
      </c>
    </row>
    <row r="224" spans="1:11" x14ac:dyDescent="0.25">
      <c r="A224" s="43">
        <v>1999</v>
      </c>
      <c r="B224" s="36" t="s">
        <v>30</v>
      </c>
      <c r="C224" s="36">
        <v>8</v>
      </c>
      <c r="D224" s="42" t="s">
        <v>262</v>
      </c>
      <c r="E224" s="40">
        <v>0</v>
      </c>
      <c r="F224" s="44" t="s">
        <v>1082</v>
      </c>
      <c r="G224" s="44" t="s">
        <v>1247</v>
      </c>
      <c r="H224" s="43">
        <v>0</v>
      </c>
      <c r="I224" s="43">
        <v>0</v>
      </c>
      <c r="J224" s="43">
        <v>0</v>
      </c>
      <c r="K224" s="43">
        <v>0</v>
      </c>
    </row>
    <row r="225" spans="1:11" x14ac:dyDescent="0.25">
      <c r="A225" s="43">
        <v>1999</v>
      </c>
      <c r="B225" s="36" t="s">
        <v>30</v>
      </c>
      <c r="C225" s="36">
        <v>9</v>
      </c>
      <c r="D225" s="42" t="s">
        <v>262</v>
      </c>
      <c r="E225" s="40">
        <v>0</v>
      </c>
      <c r="F225" s="44" t="s">
        <v>1373</v>
      </c>
      <c r="G225" s="44" t="s">
        <v>1247</v>
      </c>
      <c r="H225" s="43">
        <v>0</v>
      </c>
      <c r="I225" s="43">
        <v>0</v>
      </c>
      <c r="J225" s="43">
        <v>0</v>
      </c>
      <c r="K225" s="43">
        <v>0</v>
      </c>
    </row>
    <row r="226" spans="1:11" x14ac:dyDescent="0.25">
      <c r="A226" s="43">
        <v>1999</v>
      </c>
      <c r="B226" s="36" t="s">
        <v>30</v>
      </c>
      <c r="C226" s="36">
        <v>10</v>
      </c>
      <c r="D226" s="42" t="s">
        <v>423</v>
      </c>
      <c r="E226" s="40">
        <v>0</v>
      </c>
      <c r="F226" s="44" t="s">
        <v>1373</v>
      </c>
      <c r="G226" s="44" t="s">
        <v>1247</v>
      </c>
      <c r="H226" s="43">
        <v>0</v>
      </c>
      <c r="I226" s="43">
        <v>0</v>
      </c>
      <c r="J226" s="43">
        <v>0</v>
      </c>
      <c r="K226" s="43">
        <v>0</v>
      </c>
    </row>
    <row r="227" spans="1:11" x14ac:dyDescent="0.25">
      <c r="A227" s="43">
        <v>1999</v>
      </c>
      <c r="B227" s="36" t="s">
        <v>30</v>
      </c>
      <c r="C227" s="36">
        <v>11</v>
      </c>
      <c r="D227" s="42" t="s">
        <v>423</v>
      </c>
      <c r="E227" s="40">
        <v>0</v>
      </c>
      <c r="F227" s="44" t="s">
        <v>1373</v>
      </c>
      <c r="G227" s="44" t="s">
        <v>736</v>
      </c>
      <c r="H227" s="43">
        <v>0</v>
      </c>
      <c r="I227" s="43">
        <v>0</v>
      </c>
      <c r="J227" s="43">
        <v>0</v>
      </c>
      <c r="K227" s="43">
        <v>0</v>
      </c>
    </row>
    <row r="228" spans="1:11" x14ac:dyDescent="0.25">
      <c r="A228" s="43">
        <v>1999</v>
      </c>
      <c r="B228" s="36" t="s">
        <v>30</v>
      </c>
      <c r="C228" s="36">
        <v>12</v>
      </c>
      <c r="D228" s="42" t="s">
        <v>145</v>
      </c>
      <c r="E228" s="40">
        <v>0</v>
      </c>
      <c r="F228" s="44" t="s">
        <v>1083</v>
      </c>
      <c r="G228" s="44" t="s">
        <v>736</v>
      </c>
      <c r="H228" s="43">
        <v>0</v>
      </c>
      <c r="I228" s="43">
        <v>0</v>
      </c>
      <c r="J228" s="43">
        <v>0</v>
      </c>
      <c r="K228" s="43">
        <v>0</v>
      </c>
    </row>
    <row r="229" spans="1:11" x14ac:dyDescent="0.25">
      <c r="A229" s="43">
        <v>1999</v>
      </c>
      <c r="B229" s="36" t="s">
        <v>30</v>
      </c>
      <c r="C229" s="36">
        <v>13</v>
      </c>
      <c r="D229" s="42" t="s">
        <v>145</v>
      </c>
      <c r="E229" s="40">
        <v>0</v>
      </c>
      <c r="F229" s="44" t="s">
        <v>1083</v>
      </c>
      <c r="G229" s="44" t="s">
        <v>736</v>
      </c>
      <c r="H229" s="43">
        <v>0</v>
      </c>
      <c r="I229" s="43">
        <v>0</v>
      </c>
      <c r="J229" s="43">
        <v>0</v>
      </c>
      <c r="K229" s="43">
        <v>0</v>
      </c>
    </row>
    <row r="230" spans="1:11" x14ac:dyDescent="0.25">
      <c r="A230" s="43">
        <v>1999</v>
      </c>
      <c r="B230" s="36" t="s">
        <v>30</v>
      </c>
      <c r="C230" s="36">
        <v>14</v>
      </c>
      <c r="D230" s="42" t="s">
        <v>145</v>
      </c>
      <c r="E230" s="40">
        <v>0</v>
      </c>
      <c r="F230" s="44" t="s">
        <v>1083</v>
      </c>
      <c r="G230" s="44" t="s">
        <v>736</v>
      </c>
      <c r="H230" s="43">
        <v>0</v>
      </c>
      <c r="I230" s="43">
        <v>0</v>
      </c>
      <c r="J230" s="43">
        <v>0</v>
      </c>
      <c r="K230" s="43">
        <v>0</v>
      </c>
    </row>
    <row r="231" spans="1:11" x14ac:dyDescent="0.25">
      <c r="A231" s="43">
        <v>1999</v>
      </c>
      <c r="B231" s="36" t="s">
        <v>30</v>
      </c>
      <c r="C231" s="36">
        <v>15</v>
      </c>
      <c r="D231" s="42" t="s">
        <v>145</v>
      </c>
      <c r="E231" s="40">
        <v>0</v>
      </c>
      <c r="F231" s="44" t="s">
        <v>1083</v>
      </c>
      <c r="G231" s="44" t="s">
        <v>736</v>
      </c>
      <c r="H231" s="43">
        <v>0</v>
      </c>
      <c r="I231" s="43">
        <v>0</v>
      </c>
      <c r="J231" s="43">
        <v>0</v>
      </c>
      <c r="K231" s="43">
        <v>0</v>
      </c>
    </row>
    <row r="232" spans="1:11" x14ac:dyDescent="0.25">
      <c r="A232" s="43">
        <v>1999</v>
      </c>
      <c r="B232" s="36" t="s">
        <v>30</v>
      </c>
      <c r="C232" s="36">
        <v>16</v>
      </c>
      <c r="D232" s="42" t="s">
        <v>145</v>
      </c>
      <c r="E232" s="40">
        <v>0</v>
      </c>
      <c r="F232" s="44" t="s">
        <v>1083</v>
      </c>
      <c r="G232" s="44" t="s">
        <v>1247</v>
      </c>
      <c r="H232" s="43">
        <v>0</v>
      </c>
      <c r="I232" s="43">
        <v>0</v>
      </c>
      <c r="J232" s="43">
        <v>0</v>
      </c>
      <c r="K232" s="43">
        <v>0</v>
      </c>
    </row>
    <row r="233" spans="1:11" x14ac:dyDescent="0.25">
      <c r="A233" s="43">
        <v>1999</v>
      </c>
      <c r="B233" s="36" t="s">
        <v>30</v>
      </c>
      <c r="C233" s="36">
        <v>17</v>
      </c>
      <c r="D233" s="42" t="s">
        <v>143</v>
      </c>
      <c r="E233" s="40">
        <v>0</v>
      </c>
      <c r="F233" s="44" t="s">
        <v>146</v>
      </c>
      <c r="G233" s="44" t="s">
        <v>1247</v>
      </c>
      <c r="H233" s="43">
        <v>0</v>
      </c>
      <c r="I233" s="43">
        <v>0</v>
      </c>
      <c r="J233" s="43">
        <v>0</v>
      </c>
      <c r="K233" s="43">
        <v>0</v>
      </c>
    </row>
    <row r="234" spans="1:11" x14ac:dyDescent="0.25">
      <c r="A234" s="43">
        <v>1999</v>
      </c>
      <c r="B234" s="36" t="s">
        <v>30</v>
      </c>
      <c r="C234" s="36">
        <v>18</v>
      </c>
      <c r="D234" s="42" t="s">
        <v>141</v>
      </c>
      <c r="E234" s="40">
        <v>0</v>
      </c>
      <c r="F234" s="44" t="s">
        <v>1374</v>
      </c>
      <c r="G234" s="44" t="s">
        <v>1247</v>
      </c>
      <c r="H234" s="43">
        <v>0</v>
      </c>
      <c r="I234" s="43">
        <v>0</v>
      </c>
      <c r="J234" s="43">
        <v>0</v>
      </c>
      <c r="K234" s="43">
        <v>0</v>
      </c>
    </row>
    <row r="235" spans="1:11" x14ac:dyDescent="0.25">
      <c r="A235" s="43">
        <v>1999</v>
      </c>
      <c r="B235" s="36" t="s">
        <v>30</v>
      </c>
      <c r="C235" s="36">
        <v>19</v>
      </c>
      <c r="D235" s="42" t="s">
        <v>139</v>
      </c>
      <c r="E235" s="40">
        <v>0</v>
      </c>
      <c r="F235" s="44" t="s">
        <v>1375</v>
      </c>
      <c r="G235" s="44" t="s">
        <v>736</v>
      </c>
      <c r="H235" s="43">
        <v>0</v>
      </c>
      <c r="I235" s="43">
        <v>0</v>
      </c>
      <c r="J235" s="43">
        <v>0</v>
      </c>
      <c r="K235" s="43">
        <v>0</v>
      </c>
    </row>
    <row r="236" spans="1:11" x14ac:dyDescent="0.25">
      <c r="A236" s="43">
        <v>1999</v>
      </c>
      <c r="B236" s="36" t="s">
        <v>30</v>
      </c>
      <c r="C236" s="36">
        <v>20</v>
      </c>
      <c r="D236" s="42" t="s">
        <v>139</v>
      </c>
      <c r="E236" s="40">
        <v>0</v>
      </c>
      <c r="F236" s="44" t="s">
        <v>1375</v>
      </c>
      <c r="G236" s="44" t="s">
        <v>736</v>
      </c>
      <c r="H236" s="43">
        <v>0</v>
      </c>
      <c r="I236" s="43">
        <v>0</v>
      </c>
      <c r="J236" s="43">
        <v>0</v>
      </c>
      <c r="K236" s="43">
        <v>0</v>
      </c>
    </row>
    <row r="237" spans="1:11" x14ac:dyDescent="0.25">
      <c r="A237" s="43">
        <v>1999</v>
      </c>
      <c r="B237" s="36" t="s">
        <v>30</v>
      </c>
      <c r="C237" s="36">
        <v>21</v>
      </c>
      <c r="D237" s="42" t="s">
        <v>139</v>
      </c>
      <c r="E237" s="40">
        <v>0</v>
      </c>
      <c r="F237" s="44" t="s">
        <v>1375</v>
      </c>
      <c r="G237" s="44" t="s">
        <v>736</v>
      </c>
      <c r="H237" s="43">
        <v>0</v>
      </c>
      <c r="I237" s="43">
        <v>0</v>
      </c>
      <c r="J237" s="43">
        <v>0</v>
      </c>
      <c r="K237" s="43">
        <v>0</v>
      </c>
    </row>
    <row r="238" spans="1:11" x14ac:dyDescent="0.25">
      <c r="A238" s="43">
        <v>1999</v>
      </c>
      <c r="B238" s="36" t="s">
        <v>30</v>
      </c>
      <c r="C238" s="36">
        <v>22</v>
      </c>
      <c r="D238" s="42" t="s">
        <v>1368</v>
      </c>
      <c r="E238" s="40">
        <v>0</v>
      </c>
      <c r="F238" s="44" t="s">
        <v>1376</v>
      </c>
      <c r="G238" s="44" t="s">
        <v>736</v>
      </c>
      <c r="H238" s="43">
        <v>0</v>
      </c>
      <c r="I238" s="43">
        <v>0</v>
      </c>
      <c r="J238" s="43">
        <v>0</v>
      </c>
      <c r="K238" s="43">
        <v>0</v>
      </c>
    </row>
    <row r="239" spans="1:11" x14ac:dyDescent="0.25">
      <c r="A239" s="43">
        <v>1999</v>
      </c>
      <c r="B239" s="36" t="s">
        <v>30</v>
      </c>
      <c r="C239" s="36">
        <v>23</v>
      </c>
      <c r="D239" s="42" t="s">
        <v>279</v>
      </c>
      <c r="E239" s="40">
        <v>0</v>
      </c>
      <c r="F239" s="44" t="s">
        <v>1377</v>
      </c>
      <c r="G239" s="44" t="s">
        <v>1247</v>
      </c>
      <c r="H239" s="43">
        <v>0</v>
      </c>
      <c r="I239" s="43">
        <v>0</v>
      </c>
      <c r="J239" s="43">
        <v>0</v>
      </c>
      <c r="K239" s="43">
        <v>0</v>
      </c>
    </row>
    <row r="240" spans="1:11" x14ac:dyDescent="0.25">
      <c r="A240" s="43">
        <v>1999</v>
      </c>
      <c r="B240" s="36" t="s">
        <v>30</v>
      </c>
      <c r="C240" s="36">
        <v>24</v>
      </c>
      <c r="D240" s="42" t="s">
        <v>281</v>
      </c>
      <c r="E240" s="40">
        <v>0</v>
      </c>
      <c r="F240" s="44" t="s">
        <v>948</v>
      </c>
      <c r="G240" s="44" t="s">
        <v>1247</v>
      </c>
      <c r="H240" s="43">
        <v>0</v>
      </c>
      <c r="I240" s="43">
        <v>0</v>
      </c>
      <c r="J240" s="43">
        <v>0</v>
      </c>
      <c r="K240" s="43">
        <v>0</v>
      </c>
    </row>
    <row r="241" spans="1:11" x14ac:dyDescent="0.25">
      <c r="A241" s="43">
        <v>1999</v>
      </c>
      <c r="B241" s="36" t="s">
        <v>30</v>
      </c>
      <c r="C241" s="36">
        <v>25</v>
      </c>
      <c r="D241" s="42" t="s">
        <v>135</v>
      </c>
      <c r="E241" s="40">
        <v>0</v>
      </c>
      <c r="F241" s="44" t="s">
        <v>1378</v>
      </c>
      <c r="G241" s="44" t="s">
        <v>1247</v>
      </c>
      <c r="H241" s="43">
        <v>0</v>
      </c>
      <c r="I241" s="43">
        <v>0</v>
      </c>
      <c r="J241" s="43">
        <v>0</v>
      </c>
      <c r="K241" s="43">
        <v>0</v>
      </c>
    </row>
    <row r="242" spans="1:11" x14ac:dyDescent="0.25">
      <c r="A242" s="43">
        <v>1999</v>
      </c>
      <c r="B242" s="36" t="s">
        <v>30</v>
      </c>
      <c r="C242" s="36">
        <v>26</v>
      </c>
      <c r="D242" s="42" t="s">
        <v>133</v>
      </c>
      <c r="E242" s="40">
        <v>0</v>
      </c>
      <c r="F242" s="44" t="s">
        <v>1379</v>
      </c>
      <c r="G242" s="44" t="s">
        <v>736</v>
      </c>
      <c r="H242" s="43">
        <v>0</v>
      </c>
      <c r="I242" s="43">
        <v>0</v>
      </c>
      <c r="J242" s="43">
        <v>0</v>
      </c>
      <c r="K242" s="43">
        <v>0</v>
      </c>
    </row>
    <row r="243" spans="1:11" x14ac:dyDescent="0.25">
      <c r="A243" s="43">
        <v>1999</v>
      </c>
      <c r="B243" s="36" t="s">
        <v>30</v>
      </c>
      <c r="C243" s="36">
        <v>27</v>
      </c>
      <c r="D243" s="42" t="s">
        <v>284</v>
      </c>
      <c r="E243" s="40">
        <v>0</v>
      </c>
      <c r="F243" s="44" t="s">
        <v>1380</v>
      </c>
      <c r="G243" s="44" t="s">
        <v>736</v>
      </c>
      <c r="H243" s="43">
        <v>0</v>
      </c>
      <c r="I243" s="43">
        <v>0</v>
      </c>
      <c r="J243" s="43">
        <v>0</v>
      </c>
      <c r="K243" s="43">
        <v>0</v>
      </c>
    </row>
    <row r="244" spans="1:11" x14ac:dyDescent="0.25">
      <c r="A244" s="43">
        <v>1999</v>
      </c>
      <c r="B244" s="36" t="s">
        <v>30</v>
      </c>
      <c r="C244" s="36">
        <v>28</v>
      </c>
      <c r="D244" s="42" t="s">
        <v>284</v>
      </c>
      <c r="E244" s="40">
        <v>0</v>
      </c>
      <c r="F244" s="44" t="s">
        <v>1380</v>
      </c>
      <c r="G244" s="44" t="s">
        <v>736</v>
      </c>
      <c r="H244" s="43">
        <v>0</v>
      </c>
      <c r="I244" s="43">
        <v>0</v>
      </c>
      <c r="J244" s="43">
        <v>0</v>
      </c>
      <c r="K244" s="43">
        <v>0</v>
      </c>
    </row>
    <row r="245" spans="1:11" x14ac:dyDescent="0.25">
      <c r="A245" s="43">
        <v>1999</v>
      </c>
      <c r="B245" s="36" t="s">
        <v>30</v>
      </c>
      <c r="C245" s="36">
        <v>29</v>
      </c>
      <c r="D245" s="42" t="s">
        <v>424</v>
      </c>
      <c r="E245" s="40">
        <v>0</v>
      </c>
      <c r="F245" s="44" t="s">
        <v>1381</v>
      </c>
      <c r="G245" s="44" t="s">
        <v>736</v>
      </c>
      <c r="H245" s="43">
        <v>0</v>
      </c>
      <c r="I245" s="43">
        <v>0</v>
      </c>
      <c r="J245" s="43">
        <v>0</v>
      </c>
      <c r="K245" s="43">
        <v>0</v>
      </c>
    </row>
    <row r="246" spans="1:11" x14ac:dyDescent="0.25">
      <c r="A246" s="43">
        <v>1999</v>
      </c>
      <c r="B246" s="36" t="s">
        <v>30</v>
      </c>
      <c r="C246" s="36">
        <v>30</v>
      </c>
      <c r="D246" s="42" t="s">
        <v>128</v>
      </c>
      <c r="E246" s="40">
        <v>0</v>
      </c>
      <c r="F246" s="44" t="s">
        <v>976</v>
      </c>
      <c r="G246" s="44" t="s">
        <v>1247</v>
      </c>
      <c r="H246" s="43">
        <v>0</v>
      </c>
      <c r="I246" s="43">
        <v>0</v>
      </c>
      <c r="J246" s="43">
        <v>0</v>
      </c>
      <c r="K246" s="43">
        <v>0</v>
      </c>
    </row>
    <row r="247" spans="1:11" x14ac:dyDescent="0.25">
      <c r="A247" s="43">
        <v>1999</v>
      </c>
      <c r="B247" s="36" t="s">
        <v>30</v>
      </c>
      <c r="C247" s="36">
        <v>31</v>
      </c>
      <c r="D247" s="42" t="s">
        <v>132</v>
      </c>
      <c r="E247" s="40">
        <v>0</v>
      </c>
      <c r="F247" s="44" t="s">
        <v>1382</v>
      </c>
      <c r="G247" s="44" t="s">
        <v>1247</v>
      </c>
      <c r="H247" s="43">
        <v>0</v>
      </c>
      <c r="I247" s="43">
        <v>0</v>
      </c>
      <c r="J247" s="43">
        <v>0</v>
      </c>
      <c r="K247" s="43">
        <v>0</v>
      </c>
    </row>
    <row r="248" spans="1:11" x14ac:dyDescent="0.25">
      <c r="A248" s="43">
        <v>1999</v>
      </c>
      <c r="B248" s="36" t="s">
        <v>31</v>
      </c>
      <c r="C248" s="36">
        <v>1</v>
      </c>
      <c r="D248" s="42" t="s">
        <v>1384</v>
      </c>
      <c r="E248" s="40">
        <v>0</v>
      </c>
      <c r="F248" s="44" t="s">
        <v>307</v>
      </c>
      <c r="G248" s="43">
        <v>0</v>
      </c>
      <c r="H248" s="43">
        <v>0</v>
      </c>
      <c r="I248" s="43">
        <v>0</v>
      </c>
      <c r="J248" s="43">
        <v>0</v>
      </c>
      <c r="K248" s="43">
        <v>0</v>
      </c>
    </row>
    <row r="249" spans="1:11" x14ac:dyDescent="0.25">
      <c r="A249" s="43">
        <v>1999</v>
      </c>
      <c r="B249" s="36" t="s">
        <v>31</v>
      </c>
      <c r="C249" s="36">
        <v>2</v>
      </c>
      <c r="D249" s="42" t="s">
        <v>1385</v>
      </c>
      <c r="E249" s="40">
        <v>0</v>
      </c>
      <c r="F249" s="44" t="s">
        <v>1386</v>
      </c>
      <c r="G249" s="43">
        <v>0</v>
      </c>
      <c r="H249" s="43">
        <v>0</v>
      </c>
      <c r="I249" s="43">
        <v>0</v>
      </c>
      <c r="J249" s="43">
        <v>0</v>
      </c>
      <c r="K249" s="43">
        <v>0</v>
      </c>
    </row>
    <row r="250" spans="1:11" x14ac:dyDescent="0.25">
      <c r="A250" s="43">
        <v>1999</v>
      </c>
      <c r="B250" s="36" t="s">
        <v>31</v>
      </c>
      <c r="C250" s="36">
        <v>3</v>
      </c>
      <c r="D250" s="42" t="s">
        <v>124</v>
      </c>
      <c r="E250" s="40">
        <v>0</v>
      </c>
      <c r="F250" s="44" t="s">
        <v>1095</v>
      </c>
      <c r="G250" s="43">
        <v>0</v>
      </c>
      <c r="H250" s="43">
        <v>14</v>
      </c>
      <c r="I250" s="43">
        <v>0</v>
      </c>
      <c r="J250" s="43">
        <v>0</v>
      </c>
      <c r="K250" s="43">
        <v>0</v>
      </c>
    </row>
    <row r="251" spans="1:11" x14ac:dyDescent="0.25">
      <c r="A251" s="43">
        <v>1999</v>
      </c>
      <c r="B251" s="36" t="s">
        <v>31</v>
      </c>
      <c r="C251" s="36">
        <v>4</v>
      </c>
      <c r="D251" s="42" t="s">
        <v>124</v>
      </c>
      <c r="E251" s="40">
        <v>0</v>
      </c>
      <c r="F251" s="44" t="s">
        <v>1095</v>
      </c>
      <c r="G251" s="43">
        <v>0</v>
      </c>
      <c r="H251" s="43">
        <v>14</v>
      </c>
      <c r="I251" s="43">
        <v>0</v>
      </c>
      <c r="J251" s="43">
        <v>0</v>
      </c>
      <c r="K251" s="43">
        <v>0</v>
      </c>
    </row>
    <row r="252" spans="1:11" x14ac:dyDescent="0.25">
      <c r="A252" s="43">
        <v>1999</v>
      </c>
      <c r="B252" s="36" t="s">
        <v>31</v>
      </c>
      <c r="C252" s="36">
        <v>5</v>
      </c>
      <c r="D252" s="42" t="s">
        <v>124</v>
      </c>
      <c r="E252" s="40">
        <v>0</v>
      </c>
      <c r="F252" s="44" t="s">
        <v>1095</v>
      </c>
      <c r="G252" s="43">
        <v>0</v>
      </c>
      <c r="H252" s="43">
        <v>14</v>
      </c>
      <c r="I252" s="43">
        <v>0</v>
      </c>
      <c r="J252" s="43">
        <v>0</v>
      </c>
      <c r="K252" s="43">
        <v>0</v>
      </c>
    </row>
    <row r="253" spans="1:11" x14ac:dyDescent="0.25">
      <c r="A253" s="43">
        <v>1999</v>
      </c>
      <c r="B253" s="36" t="s">
        <v>31</v>
      </c>
      <c r="C253" s="36">
        <v>6</v>
      </c>
      <c r="D253" s="42" t="s">
        <v>124</v>
      </c>
      <c r="E253" s="40">
        <v>0</v>
      </c>
      <c r="F253" s="44" t="s">
        <v>1387</v>
      </c>
      <c r="G253" s="43">
        <v>0</v>
      </c>
      <c r="H253" s="43">
        <v>14</v>
      </c>
      <c r="I253" s="43">
        <v>0</v>
      </c>
      <c r="J253" s="43">
        <v>0</v>
      </c>
      <c r="K253" s="43">
        <v>0</v>
      </c>
    </row>
    <row r="254" spans="1:11" x14ac:dyDescent="0.25">
      <c r="A254" s="43">
        <v>1999</v>
      </c>
      <c r="B254" s="36" t="s">
        <v>31</v>
      </c>
      <c r="C254" s="36">
        <v>7</v>
      </c>
      <c r="D254" s="42" t="s">
        <v>123</v>
      </c>
      <c r="E254" s="40">
        <v>0</v>
      </c>
      <c r="F254" s="44" t="s">
        <v>1388</v>
      </c>
      <c r="G254" s="43">
        <v>0</v>
      </c>
      <c r="H254" s="43">
        <v>14</v>
      </c>
      <c r="I254" s="43">
        <v>0</v>
      </c>
      <c r="J254" s="43">
        <v>0</v>
      </c>
      <c r="K254" s="43">
        <v>0</v>
      </c>
    </row>
    <row r="255" spans="1:11" x14ac:dyDescent="0.25">
      <c r="A255" s="43">
        <v>1999</v>
      </c>
      <c r="B255" s="36" t="s">
        <v>31</v>
      </c>
      <c r="C255" s="36">
        <v>8</v>
      </c>
      <c r="D255" s="42" t="s">
        <v>294</v>
      </c>
      <c r="E255" s="40">
        <v>0</v>
      </c>
      <c r="F255" s="44" t="s">
        <v>1389</v>
      </c>
      <c r="G255" s="43">
        <v>0</v>
      </c>
      <c r="H255" s="43">
        <v>14</v>
      </c>
      <c r="I255" s="43">
        <v>0</v>
      </c>
      <c r="J255" s="43">
        <v>0</v>
      </c>
      <c r="K255" s="43">
        <v>0</v>
      </c>
    </row>
    <row r="256" spans="1:11" x14ac:dyDescent="0.25">
      <c r="A256" s="43">
        <v>1999</v>
      </c>
      <c r="B256" s="36" t="s">
        <v>31</v>
      </c>
      <c r="C256" s="36">
        <v>9</v>
      </c>
      <c r="D256" s="42" t="s">
        <v>296</v>
      </c>
      <c r="E256" s="40">
        <v>0</v>
      </c>
      <c r="F256" s="44" t="s">
        <v>1027</v>
      </c>
      <c r="G256" s="43">
        <v>0</v>
      </c>
      <c r="H256" s="43">
        <v>14</v>
      </c>
      <c r="I256" s="43">
        <v>0</v>
      </c>
      <c r="J256" s="43">
        <v>0</v>
      </c>
      <c r="K256" s="43">
        <v>0</v>
      </c>
    </row>
    <row r="257" spans="1:11" x14ac:dyDescent="0.25">
      <c r="A257" s="43">
        <v>1999</v>
      </c>
      <c r="B257" s="36" t="s">
        <v>31</v>
      </c>
      <c r="C257" s="36">
        <v>10</v>
      </c>
      <c r="D257" s="42" t="s">
        <v>300</v>
      </c>
      <c r="E257" s="40">
        <v>0</v>
      </c>
      <c r="F257" s="44" t="s">
        <v>966</v>
      </c>
      <c r="G257" s="43">
        <v>0</v>
      </c>
      <c r="H257" s="43">
        <v>14</v>
      </c>
      <c r="I257" s="43">
        <v>0</v>
      </c>
      <c r="J257" s="43">
        <v>0</v>
      </c>
      <c r="K257" s="43">
        <v>0</v>
      </c>
    </row>
    <row r="258" spans="1:11" x14ac:dyDescent="0.25">
      <c r="A258" s="43">
        <v>1999</v>
      </c>
      <c r="B258" s="36" t="s">
        <v>31</v>
      </c>
      <c r="C258" s="36">
        <v>11</v>
      </c>
      <c r="D258" s="42" t="s">
        <v>304</v>
      </c>
      <c r="E258" s="40">
        <v>0</v>
      </c>
      <c r="F258" s="44" t="s">
        <v>1390</v>
      </c>
      <c r="G258" s="43">
        <v>0</v>
      </c>
      <c r="H258" s="43">
        <v>0</v>
      </c>
      <c r="I258" s="43">
        <v>0</v>
      </c>
      <c r="J258" s="43">
        <v>0</v>
      </c>
      <c r="K258" s="43">
        <v>0</v>
      </c>
    </row>
    <row r="259" spans="1:11" x14ac:dyDescent="0.25">
      <c r="A259" s="43">
        <v>1999</v>
      </c>
      <c r="B259" s="36" t="s">
        <v>31</v>
      </c>
      <c r="C259" s="36">
        <v>12</v>
      </c>
      <c r="D259" s="42" t="s">
        <v>304</v>
      </c>
      <c r="E259" s="40">
        <v>0</v>
      </c>
      <c r="F259" s="44" t="s">
        <v>1390</v>
      </c>
      <c r="G259" s="43">
        <v>0</v>
      </c>
      <c r="H259" s="43">
        <v>0</v>
      </c>
      <c r="I259" s="43">
        <v>0</v>
      </c>
      <c r="J259" s="43">
        <v>0</v>
      </c>
      <c r="K259" s="43">
        <v>0</v>
      </c>
    </row>
    <row r="260" spans="1:11" x14ac:dyDescent="0.25">
      <c r="A260" s="43">
        <v>1999</v>
      </c>
      <c r="B260" s="36" t="s">
        <v>31</v>
      </c>
      <c r="C260" s="36">
        <v>13</v>
      </c>
      <c r="D260" s="42" t="s">
        <v>304</v>
      </c>
      <c r="E260" s="40">
        <v>0</v>
      </c>
      <c r="F260" s="44" t="s">
        <v>1390</v>
      </c>
      <c r="G260" s="43">
        <v>0</v>
      </c>
      <c r="H260" s="43">
        <v>0</v>
      </c>
      <c r="I260" s="43">
        <v>0</v>
      </c>
      <c r="J260" s="43">
        <v>0</v>
      </c>
      <c r="K260" s="43">
        <v>0</v>
      </c>
    </row>
    <row r="261" spans="1:11" x14ac:dyDescent="0.25">
      <c r="A261" s="43">
        <v>1999</v>
      </c>
      <c r="B261" s="36" t="s">
        <v>31</v>
      </c>
      <c r="C261" s="36">
        <v>14</v>
      </c>
      <c r="D261" s="42" t="s">
        <v>510</v>
      </c>
      <c r="E261" s="40">
        <v>0</v>
      </c>
      <c r="F261" s="44" t="s">
        <v>1115</v>
      </c>
      <c r="G261" s="43">
        <v>0</v>
      </c>
      <c r="H261" s="43">
        <v>0</v>
      </c>
      <c r="I261" s="43">
        <v>0</v>
      </c>
      <c r="J261" s="43">
        <v>0</v>
      </c>
      <c r="K261" s="43">
        <v>0</v>
      </c>
    </row>
    <row r="262" spans="1:11" x14ac:dyDescent="0.25">
      <c r="A262" s="43">
        <v>1999</v>
      </c>
      <c r="B262" s="36" t="s">
        <v>31</v>
      </c>
      <c r="C262" s="36">
        <v>15</v>
      </c>
      <c r="D262" s="42" t="s">
        <v>510</v>
      </c>
      <c r="E262" s="40">
        <v>0</v>
      </c>
      <c r="F262" s="44" t="s">
        <v>1115</v>
      </c>
      <c r="G262" s="43">
        <v>0</v>
      </c>
      <c r="H262" s="43">
        <v>0</v>
      </c>
      <c r="I262" s="43">
        <v>0</v>
      </c>
      <c r="J262" s="43">
        <v>0</v>
      </c>
      <c r="K262" s="43">
        <v>0</v>
      </c>
    </row>
    <row r="263" spans="1:11" x14ac:dyDescent="0.25">
      <c r="A263" s="43">
        <v>1999</v>
      </c>
      <c r="B263" s="36" t="s">
        <v>31</v>
      </c>
      <c r="C263" s="36">
        <v>16</v>
      </c>
      <c r="D263" s="42" t="s">
        <v>311</v>
      </c>
      <c r="E263" s="40">
        <v>0</v>
      </c>
      <c r="F263" s="44" t="s">
        <v>1391</v>
      </c>
      <c r="G263" s="43">
        <v>0</v>
      </c>
      <c r="H263" s="43">
        <v>14</v>
      </c>
      <c r="I263" s="43">
        <v>0</v>
      </c>
      <c r="J263" s="43">
        <v>0</v>
      </c>
      <c r="K263" s="43">
        <v>0</v>
      </c>
    </row>
    <row r="264" spans="1:11" x14ac:dyDescent="0.25">
      <c r="A264" s="43">
        <v>1999</v>
      </c>
      <c r="B264" s="36" t="s">
        <v>31</v>
      </c>
      <c r="C264" s="36">
        <v>17</v>
      </c>
      <c r="D264" s="42" t="s">
        <v>317</v>
      </c>
      <c r="E264" s="40">
        <v>0</v>
      </c>
      <c r="F264" s="44" t="s">
        <v>975</v>
      </c>
      <c r="G264" s="43">
        <v>0</v>
      </c>
      <c r="H264" s="43">
        <v>14</v>
      </c>
      <c r="I264" s="43">
        <v>0</v>
      </c>
      <c r="J264" s="43">
        <v>0</v>
      </c>
      <c r="K264" s="43">
        <v>0</v>
      </c>
    </row>
    <row r="265" spans="1:11" x14ac:dyDescent="0.25">
      <c r="A265" s="43">
        <v>1999</v>
      </c>
      <c r="B265" s="36" t="s">
        <v>31</v>
      </c>
      <c r="C265" s="36">
        <v>18</v>
      </c>
      <c r="D265" s="42" t="s">
        <v>319</v>
      </c>
      <c r="E265" s="40">
        <v>0</v>
      </c>
      <c r="F265" s="44" t="s">
        <v>1028</v>
      </c>
      <c r="G265" s="43">
        <v>0</v>
      </c>
      <c r="H265" s="43">
        <v>14</v>
      </c>
      <c r="I265" s="43">
        <v>0</v>
      </c>
      <c r="J265" s="43">
        <v>0</v>
      </c>
      <c r="K265" s="43">
        <v>0</v>
      </c>
    </row>
    <row r="266" spans="1:11" x14ac:dyDescent="0.25">
      <c r="A266" s="43">
        <v>1999</v>
      </c>
      <c r="B266" s="36" t="s">
        <v>31</v>
      </c>
      <c r="C266" s="36">
        <v>19</v>
      </c>
      <c r="D266" s="42" t="s">
        <v>321</v>
      </c>
      <c r="E266" s="40">
        <v>0</v>
      </c>
      <c r="F266" s="44" t="s">
        <v>1029</v>
      </c>
      <c r="G266" s="43">
        <v>0</v>
      </c>
      <c r="H266" s="43">
        <v>14</v>
      </c>
      <c r="I266" s="43">
        <v>0</v>
      </c>
      <c r="J266" s="43">
        <v>0</v>
      </c>
      <c r="K266" s="43">
        <v>0</v>
      </c>
    </row>
    <row r="267" spans="1:11" x14ac:dyDescent="0.25">
      <c r="A267" s="43">
        <v>1999</v>
      </c>
      <c r="B267" s="36" t="s">
        <v>31</v>
      </c>
      <c r="C267" s="36">
        <v>20</v>
      </c>
      <c r="D267" s="42" t="s">
        <v>426</v>
      </c>
      <c r="E267" s="40">
        <v>0</v>
      </c>
      <c r="F267" s="44" t="s">
        <v>1030</v>
      </c>
      <c r="G267" s="43">
        <v>0</v>
      </c>
      <c r="H267" s="43">
        <v>14</v>
      </c>
      <c r="I267" s="43">
        <v>0</v>
      </c>
      <c r="J267" s="43">
        <v>0</v>
      </c>
      <c r="K267" s="43">
        <v>0</v>
      </c>
    </row>
    <row r="268" spans="1:11" x14ac:dyDescent="0.25">
      <c r="A268" s="43">
        <v>1999</v>
      </c>
      <c r="B268" s="36" t="s">
        <v>31</v>
      </c>
      <c r="C268" s="36">
        <v>21</v>
      </c>
      <c r="D268" s="42" t="s">
        <v>417</v>
      </c>
      <c r="E268" s="40">
        <v>0</v>
      </c>
      <c r="F268" s="44" t="s">
        <v>1031</v>
      </c>
      <c r="G268" s="43">
        <v>0</v>
      </c>
      <c r="H268" s="43">
        <v>14</v>
      </c>
      <c r="I268" s="43">
        <v>0</v>
      </c>
      <c r="J268" s="43">
        <v>0</v>
      </c>
      <c r="K268" s="43">
        <v>0</v>
      </c>
    </row>
    <row r="269" spans="1:11" x14ac:dyDescent="0.25">
      <c r="A269" s="43">
        <v>1999</v>
      </c>
      <c r="B269" s="36" t="s">
        <v>31</v>
      </c>
      <c r="C269" s="36">
        <v>22</v>
      </c>
      <c r="D269" s="42" t="s">
        <v>427</v>
      </c>
      <c r="E269" s="40">
        <v>0</v>
      </c>
      <c r="F269" s="44" t="s">
        <v>1032</v>
      </c>
      <c r="G269" s="43">
        <v>0</v>
      </c>
      <c r="H269" s="43">
        <v>14</v>
      </c>
      <c r="I269" s="43">
        <v>0</v>
      </c>
      <c r="J269" s="43">
        <v>0</v>
      </c>
      <c r="K269" s="43">
        <v>0</v>
      </c>
    </row>
    <row r="270" spans="1:11" x14ac:dyDescent="0.25">
      <c r="A270" s="43">
        <v>1999</v>
      </c>
      <c r="B270" s="36" t="s">
        <v>31</v>
      </c>
      <c r="C270" s="36">
        <v>23</v>
      </c>
      <c r="D270" s="42" t="s">
        <v>416</v>
      </c>
      <c r="E270" s="40">
        <v>0</v>
      </c>
      <c r="F270" s="44" t="s">
        <v>1033</v>
      </c>
      <c r="G270" s="43">
        <v>0</v>
      </c>
      <c r="H270" s="43">
        <v>14</v>
      </c>
      <c r="I270" s="43">
        <v>0</v>
      </c>
      <c r="J270" s="43">
        <v>0</v>
      </c>
      <c r="K270" s="43">
        <v>0</v>
      </c>
    </row>
    <row r="271" spans="1:11" x14ac:dyDescent="0.25">
      <c r="A271" s="43">
        <v>1999</v>
      </c>
      <c r="B271" s="36" t="s">
        <v>31</v>
      </c>
      <c r="C271" s="36">
        <v>24</v>
      </c>
      <c r="D271" s="42" t="s">
        <v>416</v>
      </c>
      <c r="E271" s="40">
        <v>0</v>
      </c>
      <c r="F271" s="44" t="s">
        <v>1033</v>
      </c>
      <c r="G271" s="43">
        <v>0</v>
      </c>
      <c r="H271" s="43">
        <v>0</v>
      </c>
      <c r="I271" s="43">
        <v>0</v>
      </c>
      <c r="J271" s="43">
        <v>0</v>
      </c>
      <c r="K271" s="43">
        <v>0</v>
      </c>
    </row>
    <row r="272" spans="1:11" x14ac:dyDescent="0.25">
      <c r="A272" s="43">
        <v>1999</v>
      </c>
      <c r="B272" s="36" t="s">
        <v>31</v>
      </c>
      <c r="C272" s="36">
        <v>25</v>
      </c>
      <c r="D272" s="42" t="s">
        <v>416</v>
      </c>
      <c r="E272" s="40">
        <v>0</v>
      </c>
      <c r="F272" s="44" t="s">
        <v>1033</v>
      </c>
      <c r="G272" s="43">
        <v>0</v>
      </c>
      <c r="H272" s="43">
        <v>0</v>
      </c>
      <c r="I272" s="43">
        <v>0</v>
      </c>
      <c r="J272" s="43">
        <v>0</v>
      </c>
      <c r="K272" s="43">
        <v>0</v>
      </c>
    </row>
    <row r="273" spans="1:11" x14ac:dyDescent="0.25">
      <c r="A273" s="43">
        <v>1999</v>
      </c>
      <c r="B273" s="36" t="s">
        <v>31</v>
      </c>
      <c r="C273" s="36">
        <v>26</v>
      </c>
      <c r="D273" s="42" t="s">
        <v>427</v>
      </c>
      <c r="E273" s="40">
        <v>0</v>
      </c>
      <c r="F273" s="44" t="s">
        <v>736</v>
      </c>
      <c r="G273" s="43">
        <v>0</v>
      </c>
      <c r="H273" s="43">
        <v>0</v>
      </c>
      <c r="I273" s="43">
        <v>0</v>
      </c>
      <c r="J273" s="43">
        <v>0</v>
      </c>
      <c r="K273" s="43">
        <v>0</v>
      </c>
    </row>
    <row r="274" spans="1:11" x14ac:dyDescent="0.25">
      <c r="A274" s="43">
        <v>1999</v>
      </c>
      <c r="B274" s="36" t="s">
        <v>31</v>
      </c>
      <c r="C274" s="36">
        <v>27</v>
      </c>
      <c r="D274" s="42" t="s">
        <v>426</v>
      </c>
      <c r="E274" s="40">
        <v>0</v>
      </c>
      <c r="F274" s="43">
        <v>3300</v>
      </c>
      <c r="G274" s="43">
        <v>0</v>
      </c>
      <c r="H274" s="43">
        <v>0</v>
      </c>
      <c r="I274" s="43">
        <v>0</v>
      </c>
      <c r="J274" s="43">
        <v>0</v>
      </c>
      <c r="K274" s="43">
        <v>0</v>
      </c>
    </row>
    <row r="275" spans="1:11" x14ac:dyDescent="0.25">
      <c r="A275" s="43">
        <v>1999</v>
      </c>
      <c r="B275" s="36" t="s">
        <v>31</v>
      </c>
      <c r="C275" s="36">
        <v>28</v>
      </c>
      <c r="D275" s="42" t="s">
        <v>426</v>
      </c>
      <c r="E275" s="40">
        <v>0</v>
      </c>
      <c r="F275" s="43">
        <v>3300</v>
      </c>
      <c r="G275" s="43">
        <v>0</v>
      </c>
      <c r="H275" s="43">
        <v>0</v>
      </c>
      <c r="I275" s="43">
        <v>0</v>
      </c>
      <c r="J275" s="43">
        <v>0</v>
      </c>
      <c r="K275" s="43">
        <v>0</v>
      </c>
    </row>
    <row r="276" spans="1:11" x14ac:dyDescent="0.25">
      <c r="A276" s="43">
        <v>1999</v>
      </c>
      <c r="B276" s="36" t="s">
        <v>31</v>
      </c>
      <c r="C276" s="36">
        <v>29</v>
      </c>
      <c r="D276" s="42" t="s">
        <v>426</v>
      </c>
      <c r="E276" s="40">
        <v>0</v>
      </c>
      <c r="F276" s="43">
        <v>3300</v>
      </c>
      <c r="G276" s="43">
        <v>0</v>
      </c>
      <c r="H276" s="43">
        <v>0</v>
      </c>
      <c r="I276" s="43">
        <v>0</v>
      </c>
      <c r="J276" s="43">
        <v>0</v>
      </c>
      <c r="K276" s="43">
        <v>0</v>
      </c>
    </row>
    <row r="277" spans="1:11" x14ac:dyDescent="0.25">
      <c r="A277" s="43">
        <v>1999</v>
      </c>
      <c r="B277" s="36" t="s">
        <v>31</v>
      </c>
      <c r="C277" s="36">
        <v>30</v>
      </c>
      <c r="D277" s="42" t="s">
        <v>426</v>
      </c>
      <c r="E277" s="40">
        <v>0</v>
      </c>
      <c r="F277" s="43">
        <v>3300</v>
      </c>
      <c r="G277" s="43">
        <v>0</v>
      </c>
      <c r="H277" s="43">
        <v>0</v>
      </c>
      <c r="I277" s="43">
        <v>0</v>
      </c>
      <c r="J277" s="43">
        <v>0</v>
      </c>
      <c r="K277" s="43">
        <v>0</v>
      </c>
    </row>
    <row r="278" spans="1:11" x14ac:dyDescent="0.25">
      <c r="A278" s="43">
        <v>1999</v>
      </c>
      <c r="B278" s="36" t="s">
        <v>1750</v>
      </c>
      <c r="C278" s="36">
        <v>1</v>
      </c>
      <c r="D278" s="42"/>
      <c r="E278" s="42"/>
      <c r="F278" s="44"/>
      <c r="G278" s="44"/>
      <c r="H278" s="44"/>
      <c r="I278" s="44"/>
      <c r="J278" s="44"/>
      <c r="K278" s="44"/>
    </row>
    <row r="279" spans="1:11" x14ac:dyDescent="0.25">
      <c r="A279" s="43">
        <v>1999</v>
      </c>
      <c r="B279" s="36" t="s">
        <v>1750</v>
      </c>
      <c r="C279" s="36">
        <v>2</v>
      </c>
      <c r="D279" s="42"/>
      <c r="E279" s="42"/>
      <c r="F279" s="44"/>
      <c r="G279" s="44"/>
      <c r="H279" s="44"/>
      <c r="I279" s="44"/>
      <c r="J279" s="44"/>
      <c r="K279" s="44"/>
    </row>
    <row r="280" spans="1:11" x14ac:dyDescent="0.25">
      <c r="A280" s="43">
        <v>1999</v>
      </c>
      <c r="B280" s="36" t="s">
        <v>1750</v>
      </c>
      <c r="C280" s="36">
        <v>3</v>
      </c>
      <c r="D280" s="42"/>
      <c r="E280" s="42"/>
      <c r="F280" s="44"/>
      <c r="G280" s="44"/>
      <c r="H280" s="44"/>
      <c r="I280" s="44"/>
      <c r="J280" s="44"/>
      <c r="K280" s="44"/>
    </row>
    <row r="281" spans="1:11" x14ac:dyDescent="0.25">
      <c r="A281" s="43">
        <v>1999</v>
      </c>
      <c r="B281" s="36" t="s">
        <v>1750</v>
      </c>
      <c r="C281" s="36">
        <v>4</v>
      </c>
      <c r="D281" s="42"/>
      <c r="E281" s="42"/>
      <c r="F281" s="44"/>
      <c r="G281" s="44"/>
      <c r="H281" s="44"/>
      <c r="I281" s="44"/>
      <c r="J281" s="44"/>
      <c r="K281" s="44"/>
    </row>
    <row r="282" spans="1:11" x14ac:dyDescent="0.25">
      <c r="A282" s="43">
        <v>1999</v>
      </c>
      <c r="B282" s="36" t="s">
        <v>1750</v>
      </c>
      <c r="C282" s="36">
        <v>5</v>
      </c>
      <c r="D282" s="42"/>
      <c r="E282" s="42"/>
      <c r="F282" s="44"/>
      <c r="G282" s="44"/>
      <c r="H282" s="44"/>
      <c r="I282" s="44"/>
      <c r="J282" s="44"/>
      <c r="K282" s="44"/>
    </row>
    <row r="283" spans="1:11" x14ac:dyDescent="0.25">
      <c r="A283" s="43">
        <v>1999</v>
      </c>
      <c r="B283" s="36" t="s">
        <v>1750</v>
      </c>
      <c r="C283" s="36">
        <v>6</v>
      </c>
      <c r="D283" s="42"/>
      <c r="E283" s="42"/>
      <c r="F283" s="44"/>
      <c r="G283" s="44"/>
      <c r="H283" s="44"/>
      <c r="I283" s="44"/>
      <c r="J283" s="44"/>
      <c r="K283" s="44"/>
    </row>
    <row r="284" spans="1:11" x14ac:dyDescent="0.25">
      <c r="A284" s="43">
        <v>1999</v>
      </c>
      <c r="B284" s="36" t="s">
        <v>1750</v>
      </c>
      <c r="C284" s="36">
        <v>7</v>
      </c>
      <c r="D284" s="42"/>
      <c r="E284" s="42"/>
      <c r="F284" s="44"/>
      <c r="G284" s="44"/>
      <c r="H284" s="44"/>
      <c r="I284" s="44"/>
      <c r="J284" s="44"/>
      <c r="K284" s="44"/>
    </row>
    <row r="285" spans="1:11" x14ac:dyDescent="0.25">
      <c r="A285" s="43">
        <v>1999</v>
      </c>
      <c r="B285" s="36" t="s">
        <v>1750</v>
      </c>
      <c r="C285" s="36">
        <v>8</v>
      </c>
      <c r="D285" s="42"/>
      <c r="E285" s="42"/>
      <c r="F285" s="44"/>
      <c r="G285" s="44"/>
      <c r="H285" s="44"/>
      <c r="I285" s="44"/>
      <c r="J285" s="44"/>
      <c r="K285" s="44"/>
    </row>
    <row r="286" spans="1:11" x14ac:dyDescent="0.25">
      <c r="A286" s="43">
        <v>1999</v>
      </c>
      <c r="B286" s="36" t="s">
        <v>1750</v>
      </c>
      <c r="C286" s="36">
        <v>9</v>
      </c>
      <c r="D286" s="42"/>
      <c r="E286" s="42"/>
      <c r="F286" s="44"/>
      <c r="G286" s="44"/>
      <c r="H286" s="44"/>
      <c r="I286" s="44"/>
      <c r="J286" s="44"/>
      <c r="K286" s="44"/>
    </row>
    <row r="287" spans="1:11" x14ac:dyDescent="0.25">
      <c r="A287" s="43">
        <v>1999</v>
      </c>
      <c r="B287" s="36" t="s">
        <v>1750</v>
      </c>
      <c r="C287" s="36">
        <v>10</v>
      </c>
      <c r="D287" s="42"/>
      <c r="E287" s="42"/>
      <c r="F287" s="44"/>
      <c r="G287" s="44"/>
      <c r="H287" s="44"/>
      <c r="I287" s="44"/>
      <c r="J287" s="44"/>
      <c r="K287" s="44"/>
    </row>
    <row r="288" spans="1:11" x14ac:dyDescent="0.25">
      <c r="A288" s="43">
        <v>1999</v>
      </c>
      <c r="B288" s="36" t="s">
        <v>1750</v>
      </c>
      <c r="C288" s="36">
        <v>11</v>
      </c>
      <c r="D288" s="42"/>
      <c r="E288" s="42"/>
      <c r="F288" s="44"/>
      <c r="G288" s="44"/>
      <c r="H288" s="44"/>
      <c r="I288" s="44"/>
      <c r="J288" s="44"/>
      <c r="K288" s="44"/>
    </row>
    <row r="289" spans="1:11" x14ac:dyDescent="0.25">
      <c r="A289" s="43">
        <v>1999</v>
      </c>
      <c r="B289" s="36" t="s">
        <v>1750</v>
      </c>
      <c r="C289" s="36">
        <v>12</v>
      </c>
      <c r="D289" s="42"/>
      <c r="E289" s="42"/>
      <c r="F289" s="44"/>
      <c r="G289" s="44"/>
      <c r="H289" s="44"/>
      <c r="I289" s="44"/>
      <c r="J289" s="44"/>
      <c r="K289" s="44"/>
    </row>
    <row r="290" spans="1:11" x14ac:dyDescent="0.25">
      <c r="A290" s="43">
        <v>1999</v>
      </c>
      <c r="B290" s="36" t="s">
        <v>1750</v>
      </c>
      <c r="C290" s="36">
        <v>13</v>
      </c>
      <c r="D290" s="42"/>
      <c r="E290" s="42"/>
      <c r="F290" s="44"/>
      <c r="G290" s="44"/>
      <c r="H290" s="44"/>
      <c r="I290" s="44"/>
      <c r="J290" s="44"/>
      <c r="K290" s="44"/>
    </row>
    <row r="291" spans="1:11" x14ac:dyDescent="0.25">
      <c r="A291" s="43">
        <v>1999</v>
      </c>
      <c r="B291" s="36" t="s">
        <v>1750</v>
      </c>
      <c r="C291" s="36">
        <v>14</v>
      </c>
      <c r="D291" s="42"/>
      <c r="E291" s="42"/>
      <c r="F291" s="44"/>
      <c r="G291" s="44"/>
      <c r="H291" s="44"/>
      <c r="I291" s="44"/>
      <c r="J291" s="44"/>
      <c r="K291" s="44"/>
    </row>
    <row r="292" spans="1:11" x14ac:dyDescent="0.25">
      <c r="A292" s="43">
        <v>1999</v>
      </c>
      <c r="B292" s="36" t="s">
        <v>1750</v>
      </c>
      <c r="C292" s="36">
        <v>15</v>
      </c>
      <c r="D292" s="42"/>
      <c r="E292" s="42"/>
      <c r="F292" s="44"/>
      <c r="G292" s="44"/>
      <c r="H292" s="44"/>
      <c r="I292" s="44"/>
      <c r="J292" s="44"/>
      <c r="K292" s="44"/>
    </row>
    <row r="293" spans="1:11" x14ac:dyDescent="0.25">
      <c r="A293" s="43">
        <v>1999</v>
      </c>
      <c r="B293" s="36" t="s">
        <v>1750</v>
      </c>
      <c r="C293" s="36">
        <v>16</v>
      </c>
      <c r="D293" s="42"/>
      <c r="E293" s="42"/>
      <c r="F293" s="44"/>
      <c r="G293" s="44"/>
      <c r="H293" s="44"/>
      <c r="I293" s="44"/>
      <c r="J293" s="44"/>
      <c r="K293" s="44"/>
    </row>
    <row r="294" spans="1:11" x14ac:dyDescent="0.25">
      <c r="A294" s="43">
        <v>1999</v>
      </c>
      <c r="B294" s="36" t="s">
        <v>1750</v>
      </c>
      <c r="C294" s="36">
        <v>17</v>
      </c>
      <c r="D294" s="42"/>
      <c r="E294" s="42"/>
      <c r="F294" s="44"/>
      <c r="G294" s="44"/>
      <c r="H294" s="44"/>
      <c r="I294" s="44"/>
      <c r="J294" s="44"/>
      <c r="K294" s="44"/>
    </row>
    <row r="295" spans="1:11" x14ac:dyDescent="0.25">
      <c r="A295" s="43">
        <v>1999</v>
      </c>
      <c r="B295" s="36" t="s">
        <v>1750</v>
      </c>
      <c r="C295" s="36">
        <v>18</v>
      </c>
      <c r="D295" s="42"/>
      <c r="E295" s="42"/>
      <c r="F295" s="44"/>
      <c r="G295" s="44"/>
      <c r="H295" s="44"/>
      <c r="I295" s="44"/>
      <c r="J295" s="44"/>
      <c r="K295" s="44"/>
    </row>
    <row r="296" spans="1:11" x14ac:dyDescent="0.25">
      <c r="A296" s="43">
        <v>1999</v>
      </c>
      <c r="B296" s="36" t="s">
        <v>1750</v>
      </c>
      <c r="C296" s="36">
        <v>19</v>
      </c>
      <c r="D296" s="42"/>
      <c r="E296" s="42"/>
      <c r="F296" s="44"/>
      <c r="G296" s="44"/>
      <c r="H296" s="44"/>
      <c r="I296" s="44"/>
      <c r="J296" s="44"/>
      <c r="K296" s="44"/>
    </row>
    <row r="297" spans="1:11" x14ac:dyDescent="0.25">
      <c r="A297" s="43">
        <v>1999</v>
      </c>
      <c r="B297" s="36" t="s">
        <v>1750</v>
      </c>
      <c r="C297" s="36">
        <v>20</v>
      </c>
      <c r="D297" s="42"/>
      <c r="E297" s="42"/>
      <c r="F297" s="44"/>
      <c r="G297" s="44"/>
      <c r="H297" s="44"/>
      <c r="I297" s="44"/>
      <c r="J297" s="44"/>
      <c r="K297" s="44"/>
    </row>
    <row r="298" spans="1:11" x14ac:dyDescent="0.25">
      <c r="A298" s="43">
        <v>1999</v>
      </c>
      <c r="B298" s="36" t="s">
        <v>1750</v>
      </c>
      <c r="C298" s="36">
        <v>21</v>
      </c>
      <c r="D298" s="42"/>
      <c r="E298" s="42"/>
      <c r="F298" s="44"/>
      <c r="G298" s="44"/>
      <c r="H298" s="44"/>
      <c r="I298" s="44"/>
      <c r="J298" s="44"/>
      <c r="K298" s="44"/>
    </row>
    <row r="299" spans="1:11" x14ac:dyDescent="0.25">
      <c r="A299" s="43">
        <v>1999</v>
      </c>
      <c r="B299" s="36" t="s">
        <v>1750</v>
      </c>
      <c r="C299" s="36">
        <v>22</v>
      </c>
      <c r="D299" s="42"/>
      <c r="E299" s="42"/>
      <c r="F299" s="44"/>
      <c r="G299" s="44"/>
      <c r="H299" s="44"/>
      <c r="I299" s="44"/>
      <c r="J299" s="44"/>
      <c r="K299" s="44"/>
    </row>
    <row r="300" spans="1:11" x14ac:dyDescent="0.25">
      <c r="A300" s="43">
        <v>1999</v>
      </c>
      <c r="B300" s="36" t="s">
        <v>1750</v>
      </c>
      <c r="C300" s="36">
        <v>23</v>
      </c>
      <c r="D300" s="42"/>
      <c r="E300" s="42"/>
      <c r="F300" s="44"/>
      <c r="G300" s="44"/>
      <c r="H300" s="44"/>
      <c r="I300" s="44"/>
      <c r="J300" s="44"/>
      <c r="K300" s="44"/>
    </row>
    <row r="301" spans="1:11" x14ac:dyDescent="0.25">
      <c r="A301" s="43">
        <v>1999</v>
      </c>
      <c r="B301" s="36" t="s">
        <v>1750</v>
      </c>
      <c r="C301" s="36">
        <v>24</v>
      </c>
      <c r="D301" s="42"/>
      <c r="E301" s="42"/>
      <c r="F301" s="44"/>
      <c r="G301" s="44"/>
      <c r="H301" s="44"/>
      <c r="I301" s="44"/>
      <c r="J301" s="44"/>
      <c r="K301" s="44"/>
    </row>
    <row r="302" spans="1:11" x14ac:dyDescent="0.25">
      <c r="A302" s="43">
        <v>1999</v>
      </c>
      <c r="B302" s="36" t="s">
        <v>1750</v>
      </c>
      <c r="C302" s="36">
        <v>25</v>
      </c>
      <c r="D302" s="42"/>
      <c r="E302" s="42"/>
      <c r="F302" s="44"/>
      <c r="G302" s="44"/>
      <c r="H302" s="44"/>
      <c r="I302" s="44"/>
      <c r="J302" s="44"/>
      <c r="K302" s="44"/>
    </row>
    <row r="303" spans="1:11" x14ac:dyDescent="0.25">
      <c r="A303" s="43">
        <v>1999</v>
      </c>
      <c r="B303" s="36" t="s">
        <v>1750</v>
      </c>
      <c r="C303" s="36">
        <v>26</v>
      </c>
      <c r="D303" s="42"/>
      <c r="E303" s="42"/>
      <c r="F303" s="42"/>
      <c r="G303" s="42"/>
      <c r="H303" s="44"/>
      <c r="I303" s="44"/>
      <c r="J303" s="44"/>
      <c r="K303" s="44"/>
    </row>
    <row r="304" spans="1:11" x14ac:dyDescent="0.25">
      <c r="A304" s="43">
        <v>1999</v>
      </c>
      <c r="B304" s="36" t="s">
        <v>1750</v>
      </c>
      <c r="C304" s="36">
        <v>27</v>
      </c>
      <c r="D304" s="42"/>
      <c r="E304" s="42"/>
      <c r="F304" s="42"/>
      <c r="G304" s="42"/>
      <c r="H304" s="44"/>
      <c r="I304" s="44"/>
      <c r="J304" s="44"/>
      <c r="K304" s="44"/>
    </row>
    <row r="305" spans="1:11" x14ac:dyDescent="0.25">
      <c r="A305" s="43">
        <v>1999</v>
      </c>
      <c r="B305" s="36" t="s">
        <v>1750</v>
      </c>
      <c r="C305" s="36">
        <v>28</v>
      </c>
      <c r="D305" s="42"/>
      <c r="E305" s="42"/>
      <c r="F305" s="42"/>
      <c r="G305" s="42"/>
      <c r="H305" s="44"/>
      <c r="I305" s="44"/>
      <c r="J305" s="44"/>
      <c r="K305" s="44"/>
    </row>
    <row r="306" spans="1:11" x14ac:dyDescent="0.25">
      <c r="A306" s="43">
        <v>1999</v>
      </c>
      <c r="B306" s="36" t="s">
        <v>1750</v>
      </c>
      <c r="C306" s="36">
        <v>29</v>
      </c>
      <c r="D306" s="42"/>
      <c r="E306" s="42"/>
      <c r="F306" s="42"/>
      <c r="G306" s="42"/>
      <c r="H306" s="44"/>
      <c r="I306" s="44"/>
      <c r="J306" s="44"/>
      <c r="K306" s="44"/>
    </row>
    <row r="307" spans="1:11" x14ac:dyDescent="0.25">
      <c r="A307" s="43">
        <v>1999</v>
      </c>
      <c r="B307" s="36" t="s">
        <v>1750</v>
      </c>
      <c r="C307" s="36">
        <v>30</v>
      </c>
      <c r="D307" s="42"/>
      <c r="E307" s="42"/>
      <c r="F307" s="42"/>
      <c r="G307" s="42"/>
      <c r="H307" s="44"/>
      <c r="I307" s="44"/>
      <c r="J307" s="44"/>
      <c r="K307" s="44"/>
    </row>
    <row r="308" spans="1:11" x14ac:dyDescent="0.25">
      <c r="A308" s="43">
        <v>1999</v>
      </c>
      <c r="B308" s="36" t="s">
        <v>1750</v>
      </c>
      <c r="C308" s="36">
        <v>31</v>
      </c>
      <c r="D308" s="42"/>
      <c r="E308" s="42"/>
      <c r="F308" s="42"/>
      <c r="G308" s="42"/>
      <c r="H308" s="44"/>
      <c r="I308" s="44"/>
      <c r="J308" s="44"/>
      <c r="K308" s="44"/>
    </row>
    <row r="309" spans="1:11" x14ac:dyDescent="0.25">
      <c r="A309" s="43">
        <v>1999</v>
      </c>
      <c r="B309" s="36" t="s">
        <v>32</v>
      </c>
      <c r="C309" s="36">
        <v>1</v>
      </c>
      <c r="D309" s="38" t="s">
        <v>171</v>
      </c>
      <c r="E309" s="40">
        <v>0</v>
      </c>
      <c r="F309" s="44" t="s">
        <v>1358</v>
      </c>
      <c r="G309" s="43">
        <v>0</v>
      </c>
      <c r="H309" s="43">
        <v>0</v>
      </c>
      <c r="I309" s="43">
        <v>0</v>
      </c>
      <c r="J309" s="43">
        <v>0</v>
      </c>
      <c r="K309" s="43">
        <v>0</v>
      </c>
    </row>
    <row r="310" spans="1:11" x14ac:dyDescent="0.25">
      <c r="A310" s="43">
        <v>1999</v>
      </c>
      <c r="B310" s="36" t="s">
        <v>32</v>
      </c>
      <c r="C310" s="36">
        <v>2</v>
      </c>
      <c r="D310" s="38" t="s">
        <v>171</v>
      </c>
      <c r="E310" s="40">
        <v>0</v>
      </c>
      <c r="F310" s="44" t="s">
        <v>1358</v>
      </c>
      <c r="G310" s="43">
        <v>0</v>
      </c>
      <c r="H310" s="43">
        <v>0</v>
      </c>
      <c r="I310" s="43">
        <v>0</v>
      </c>
      <c r="J310" s="43">
        <v>0</v>
      </c>
      <c r="K310" s="43">
        <v>0</v>
      </c>
    </row>
    <row r="311" spans="1:11" x14ac:dyDescent="0.25">
      <c r="A311" s="43">
        <v>1999</v>
      </c>
      <c r="B311" s="36" t="s">
        <v>32</v>
      </c>
      <c r="C311" s="36">
        <v>3</v>
      </c>
      <c r="D311" s="38" t="s">
        <v>171</v>
      </c>
      <c r="E311" s="40">
        <v>0</v>
      </c>
      <c r="F311" s="44" t="s">
        <v>1358</v>
      </c>
      <c r="G311" s="43">
        <v>0</v>
      </c>
      <c r="H311" s="43">
        <v>0</v>
      </c>
      <c r="I311" s="43">
        <v>0</v>
      </c>
      <c r="J311" s="43">
        <v>0</v>
      </c>
      <c r="K311" s="43">
        <v>0</v>
      </c>
    </row>
    <row r="312" spans="1:11" x14ac:dyDescent="0.25">
      <c r="A312" s="43">
        <v>1999</v>
      </c>
      <c r="B312" s="36" t="s">
        <v>32</v>
      </c>
      <c r="C312" s="36">
        <v>4</v>
      </c>
      <c r="D312" s="38" t="s">
        <v>221</v>
      </c>
      <c r="E312" s="40">
        <v>0</v>
      </c>
      <c r="F312" s="44" t="s">
        <v>1358</v>
      </c>
      <c r="G312" s="43">
        <v>0</v>
      </c>
      <c r="H312" s="43">
        <v>0</v>
      </c>
      <c r="I312" s="43">
        <v>0</v>
      </c>
      <c r="J312" s="43">
        <v>0</v>
      </c>
      <c r="K312" s="43">
        <v>0</v>
      </c>
    </row>
    <row r="313" spans="1:11" x14ac:dyDescent="0.25">
      <c r="A313" s="43">
        <v>1999</v>
      </c>
      <c r="B313" s="36" t="s">
        <v>32</v>
      </c>
      <c r="C313" s="36">
        <v>5</v>
      </c>
      <c r="D313" s="38" t="s">
        <v>1392</v>
      </c>
      <c r="E313" s="40">
        <v>0</v>
      </c>
      <c r="F313" s="44" t="s">
        <v>1393</v>
      </c>
      <c r="G313" s="43">
        <v>0</v>
      </c>
      <c r="H313" s="43">
        <v>0</v>
      </c>
      <c r="I313" s="43">
        <v>0</v>
      </c>
      <c r="J313" s="43">
        <v>0</v>
      </c>
      <c r="K313" s="43">
        <v>0</v>
      </c>
    </row>
    <row r="314" spans="1:11" x14ac:dyDescent="0.25">
      <c r="A314" s="43">
        <v>1999</v>
      </c>
      <c r="B314" s="36" t="s">
        <v>32</v>
      </c>
      <c r="C314" s="36">
        <v>6</v>
      </c>
      <c r="D314" s="38" t="s">
        <v>1392</v>
      </c>
      <c r="E314" s="40">
        <v>0</v>
      </c>
      <c r="F314" s="42" t="s">
        <v>1393</v>
      </c>
      <c r="G314" s="43">
        <v>0</v>
      </c>
      <c r="H314" s="43">
        <v>0</v>
      </c>
      <c r="I314" s="43">
        <v>0</v>
      </c>
      <c r="J314" s="43">
        <v>0</v>
      </c>
      <c r="K314" s="43">
        <v>0</v>
      </c>
    </row>
    <row r="315" spans="1:11" x14ac:dyDescent="0.25">
      <c r="A315" s="43">
        <v>1999</v>
      </c>
      <c r="B315" s="36" t="s">
        <v>32</v>
      </c>
      <c r="C315" s="36">
        <v>7</v>
      </c>
      <c r="D315" s="38" t="s">
        <v>171</v>
      </c>
      <c r="E315" s="40">
        <v>0</v>
      </c>
      <c r="F315" s="42" t="s">
        <v>1358</v>
      </c>
      <c r="G315" s="43">
        <v>0</v>
      </c>
      <c r="H315" s="43">
        <v>0</v>
      </c>
      <c r="I315" s="43">
        <v>0</v>
      </c>
      <c r="J315" s="43">
        <v>0</v>
      </c>
      <c r="K315" s="43">
        <v>0</v>
      </c>
    </row>
    <row r="316" spans="1:11" x14ac:dyDescent="0.25">
      <c r="A316" s="43">
        <v>1999</v>
      </c>
      <c r="B316" s="36" t="s">
        <v>32</v>
      </c>
      <c r="C316" s="36">
        <v>8</v>
      </c>
      <c r="D316" s="38" t="s">
        <v>175</v>
      </c>
      <c r="E316" s="40">
        <v>0</v>
      </c>
      <c r="F316" s="44" t="s">
        <v>172</v>
      </c>
      <c r="G316" s="43">
        <v>0</v>
      </c>
      <c r="H316" s="43">
        <v>0</v>
      </c>
      <c r="I316" s="43">
        <v>0</v>
      </c>
      <c r="J316" s="43">
        <v>0</v>
      </c>
      <c r="K316" s="43">
        <v>0</v>
      </c>
    </row>
    <row r="317" spans="1:11" x14ac:dyDescent="0.25">
      <c r="A317" s="43">
        <v>1999</v>
      </c>
      <c r="B317" s="36" t="s">
        <v>32</v>
      </c>
      <c r="C317" s="36">
        <v>9</v>
      </c>
      <c r="D317" s="38" t="s">
        <v>212</v>
      </c>
      <c r="E317" s="40">
        <v>0</v>
      </c>
      <c r="F317" s="44" t="s">
        <v>1357</v>
      </c>
      <c r="G317" s="43">
        <v>0</v>
      </c>
      <c r="H317" s="43">
        <v>0</v>
      </c>
      <c r="I317" s="43">
        <v>0</v>
      </c>
      <c r="J317" s="43">
        <v>0</v>
      </c>
      <c r="K317" s="43">
        <v>0</v>
      </c>
    </row>
    <row r="318" spans="1:11" x14ac:dyDescent="0.25">
      <c r="A318" s="43">
        <v>1999</v>
      </c>
      <c r="B318" s="36" t="s">
        <v>32</v>
      </c>
      <c r="C318" s="36">
        <v>10</v>
      </c>
      <c r="D318" s="38" t="s">
        <v>212</v>
      </c>
      <c r="E318" s="40">
        <v>0</v>
      </c>
      <c r="F318" s="44" t="s">
        <v>1357</v>
      </c>
      <c r="G318" s="43">
        <v>0</v>
      </c>
      <c r="H318" s="43">
        <v>0</v>
      </c>
      <c r="I318" s="43">
        <v>0</v>
      </c>
      <c r="J318" s="43">
        <v>0</v>
      </c>
      <c r="K318" s="43">
        <v>0</v>
      </c>
    </row>
    <row r="319" spans="1:11" x14ac:dyDescent="0.25">
      <c r="A319" s="43">
        <v>1999</v>
      </c>
      <c r="B319" s="36" t="s">
        <v>32</v>
      </c>
      <c r="C319" s="36">
        <v>11</v>
      </c>
      <c r="D319" s="38" t="s">
        <v>212</v>
      </c>
      <c r="E319" s="40">
        <v>0</v>
      </c>
      <c r="F319" s="44" t="s">
        <v>1357</v>
      </c>
      <c r="G319" s="43">
        <v>0</v>
      </c>
      <c r="H319" s="43">
        <v>0</v>
      </c>
      <c r="I319" s="43">
        <v>0</v>
      </c>
      <c r="J319" s="43">
        <v>0</v>
      </c>
      <c r="K319" s="43">
        <v>0</v>
      </c>
    </row>
    <row r="320" spans="1:11" x14ac:dyDescent="0.25">
      <c r="A320" s="43">
        <v>1999</v>
      </c>
      <c r="B320" s="36" t="s">
        <v>32</v>
      </c>
      <c r="C320" s="36">
        <v>12</v>
      </c>
      <c r="D320" s="38" t="s">
        <v>212</v>
      </c>
      <c r="E320" s="40">
        <v>0</v>
      </c>
      <c r="F320" s="44" t="s">
        <v>1357</v>
      </c>
      <c r="G320" s="43">
        <v>0</v>
      </c>
      <c r="H320" s="43">
        <v>0</v>
      </c>
      <c r="I320" s="43">
        <v>0</v>
      </c>
      <c r="J320" s="43">
        <v>0</v>
      </c>
      <c r="K320" s="43">
        <v>0</v>
      </c>
    </row>
    <row r="321" spans="1:11" x14ac:dyDescent="0.25">
      <c r="A321" s="43">
        <v>1999</v>
      </c>
      <c r="B321" s="36" t="s">
        <v>32</v>
      </c>
      <c r="C321" s="36">
        <v>13</v>
      </c>
      <c r="D321" s="38" t="s">
        <v>212</v>
      </c>
      <c r="E321" s="40">
        <v>0</v>
      </c>
      <c r="F321" s="42" t="s">
        <v>1357</v>
      </c>
      <c r="G321" s="43">
        <v>0</v>
      </c>
      <c r="H321" s="43">
        <v>0</v>
      </c>
      <c r="I321" s="43">
        <v>0</v>
      </c>
      <c r="J321" s="43">
        <v>0</v>
      </c>
      <c r="K321" s="43">
        <v>0</v>
      </c>
    </row>
    <row r="322" spans="1:11" x14ac:dyDescent="0.25">
      <c r="A322" s="43">
        <v>1999</v>
      </c>
      <c r="B322" s="36" t="s">
        <v>32</v>
      </c>
      <c r="C322" s="36">
        <v>14</v>
      </c>
      <c r="D322" s="38" t="s">
        <v>208</v>
      </c>
      <c r="E322" s="40">
        <v>0</v>
      </c>
      <c r="F322" s="42" t="s">
        <v>1356</v>
      </c>
      <c r="G322" s="43">
        <v>0</v>
      </c>
      <c r="H322" s="43">
        <v>0</v>
      </c>
      <c r="I322" s="43">
        <v>0</v>
      </c>
      <c r="J322" s="43">
        <v>0</v>
      </c>
      <c r="K322" s="43">
        <v>0</v>
      </c>
    </row>
    <row r="323" spans="1:11" x14ac:dyDescent="0.25">
      <c r="A323" s="43">
        <v>1999</v>
      </c>
      <c r="B323" s="36" t="s">
        <v>32</v>
      </c>
      <c r="C323" s="36">
        <v>15</v>
      </c>
      <c r="D323" s="38" t="s">
        <v>208</v>
      </c>
      <c r="E323" s="40">
        <v>0</v>
      </c>
      <c r="F323" s="42" t="s">
        <v>1356</v>
      </c>
      <c r="G323" s="43">
        <v>0</v>
      </c>
      <c r="H323" s="43">
        <v>0</v>
      </c>
      <c r="I323" s="43">
        <v>0</v>
      </c>
      <c r="J323" s="43">
        <v>0</v>
      </c>
      <c r="K323" s="43">
        <v>0</v>
      </c>
    </row>
    <row r="324" spans="1:11" x14ac:dyDescent="0.25">
      <c r="A324" s="43">
        <v>1999</v>
      </c>
      <c r="B324" s="36" t="s">
        <v>32</v>
      </c>
      <c r="C324" s="36">
        <v>16</v>
      </c>
      <c r="D324" s="38" t="s">
        <v>208</v>
      </c>
      <c r="E324" s="40">
        <v>0</v>
      </c>
      <c r="F324" s="44" t="s">
        <v>1356</v>
      </c>
      <c r="G324" s="43">
        <v>0</v>
      </c>
      <c r="H324" s="43">
        <v>0</v>
      </c>
      <c r="I324" s="43">
        <v>0</v>
      </c>
      <c r="J324" s="43">
        <v>0</v>
      </c>
      <c r="K324" s="43">
        <v>0</v>
      </c>
    </row>
    <row r="325" spans="1:11" x14ac:dyDescent="0.25">
      <c r="A325" s="43">
        <v>1999</v>
      </c>
      <c r="B325" s="36" t="s">
        <v>32</v>
      </c>
      <c r="C325" s="36">
        <v>17</v>
      </c>
      <c r="D325" s="38" t="s">
        <v>208</v>
      </c>
      <c r="E325" s="40">
        <v>0</v>
      </c>
      <c r="F325" s="38" t="s">
        <v>1356</v>
      </c>
      <c r="G325" s="43">
        <v>0</v>
      </c>
      <c r="H325" s="43">
        <v>0</v>
      </c>
      <c r="I325" s="43">
        <v>0</v>
      </c>
      <c r="J325" s="43">
        <v>0</v>
      </c>
      <c r="K325" s="43">
        <v>0</v>
      </c>
    </row>
    <row r="326" spans="1:11" x14ac:dyDescent="0.25">
      <c r="A326" s="43">
        <v>1999</v>
      </c>
      <c r="B326" s="36" t="s">
        <v>32</v>
      </c>
      <c r="C326" s="36">
        <v>18</v>
      </c>
      <c r="D326" s="38" t="s">
        <v>177</v>
      </c>
      <c r="E326" s="40">
        <v>0</v>
      </c>
      <c r="F326" s="38" t="s">
        <v>1355</v>
      </c>
      <c r="G326" s="43">
        <v>0</v>
      </c>
      <c r="H326" s="43">
        <v>0</v>
      </c>
      <c r="I326" s="43">
        <v>0</v>
      </c>
      <c r="J326" s="43">
        <v>0</v>
      </c>
      <c r="K326" s="43">
        <v>0</v>
      </c>
    </row>
    <row r="327" spans="1:11" x14ac:dyDescent="0.25">
      <c r="A327" s="43">
        <v>1999</v>
      </c>
      <c r="B327" s="36" t="s">
        <v>32</v>
      </c>
      <c r="C327" s="36">
        <v>19</v>
      </c>
      <c r="D327" s="38" t="s">
        <v>192</v>
      </c>
      <c r="E327" s="40">
        <v>0</v>
      </c>
      <c r="F327" s="38" t="s">
        <v>1351</v>
      </c>
      <c r="G327" s="43">
        <v>0</v>
      </c>
      <c r="H327" s="43">
        <v>0</v>
      </c>
      <c r="I327" s="43">
        <v>0</v>
      </c>
      <c r="J327" s="43">
        <v>0</v>
      </c>
      <c r="K327" s="43">
        <v>0</v>
      </c>
    </row>
    <row r="328" spans="1:11" x14ac:dyDescent="0.25">
      <c r="A328" s="43">
        <v>1999</v>
      </c>
      <c r="B328" s="36" t="s">
        <v>32</v>
      </c>
      <c r="C328" s="36">
        <v>20</v>
      </c>
      <c r="D328" s="38" t="s">
        <v>192</v>
      </c>
      <c r="E328" s="40">
        <v>0</v>
      </c>
      <c r="F328" s="38" t="s">
        <v>1351</v>
      </c>
      <c r="G328" s="43">
        <v>0</v>
      </c>
      <c r="H328" s="43">
        <v>0</v>
      </c>
      <c r="I328" s="43">
        <v>0</v>
      </c>
      <c r="J328" s="43">
        <v>0</v>
      </c>
      <c r="K328" s="43">
        <v>0</v>
      </c>
    </row>
    <row r="329" spans="1:11" x14ac:dyDescent="0.25">
      <c r="A329" s="43">
        <v>1999</v>
      </c>
      <c r="B329" s="36" t="s">
        <v>32</v>
      </c>
      <c r="C329" s="36">
        <v>21</v>
      </c>
      <c r="D329" s="38" t="s">
        <v>3</v>
      </c>
      <c r="E329" s="40">
        <v>0</v>
      </c>
      <c r="F329" s="38" t="s">
        <v>1351</v>
      </c>
      <c r="G329" s="43">
        <v>0</v>
      </c>
      <c r="H329" s="43">
        <v>0</v>
      </c>
      <c r="I329" s="43">
        <v>0</v>
      </c>
      <c r="J329" s="43">
        <v>0</v>
      </c>
      <c r="K329" s="43">
        <v>0</v>
      </c>
    </row>
    <row r="330" spans="1:11" x14ac:dyDescent="0.25">
      <c r="A330" s="43">
        <v>1999</v>
      </c>
      <c r="B330" s="36" t="s">
        <v>32</v>
      </c>
      <c r="C330" s="36">
        <v>22</v>
      </c>
      <c r="D330" s="38" t="s">
        <v>3</v>
      </c>
      <c r="E330" s="40">
        <v>0</v>
      </c>
      <c r="F330" s="44" t="s">
        <v>1346</v>
      </c>
      <c r="G330" s="43">
        <v>0</v>
      </c>
      <c r="H330" s="43">
        <v>0</v>
      </c>
      <c r="I330" s="43">
        <v>0</v>
      </c>
      <c r="J330" s="43">
        <v>0</v>
      </c>
      <c r="K330" s="43">
        <v>0</v>
      </c>
    </row>
    <row r="331" spans="1:11" x14ac:dyDescent="0.25">
      <c r="A331" s="43">
        <v>1999</v>
      </c>
      <c r="B331" s="36" t="s">
        <v>32</v>
      </c>
      <c r="C331" s="36">
        <v>23</v>
      </c>
      <c r="D331" s="38" t="s">
        <v>3</v>
      </c>
      <c r="E331" s="40">
        <v>0</v>
      </c>
      <c r="F331" s="44" t="s">
        <v>1346</v>
      </c>
      <c r="G331" s="43">
        <v>0</v>
      </c>
      <c r="H331" s="43">
        <v>0</v>
      </c>
      <c r="I331" s="43">
        <v>0</v>
      </c>
      <c r="J331" s="43">
        <v>0</v>
      </c>
      <c r="K331" s="43">
        <v>0</v>
      </c>
    </row>
    <row r="332" spans="1:11" x14ac:dyDescent="0.25">
      <c r="A332" s="43">
        <v>1999</v>
      </c>
      <c r="B332" s="36" t="s">
        <v>32</v>
      </c>
      <c r="C332" s="36">
        <v>24</v>
      </c>
      <c r="D332" s="38" t="s">
        <v>3</v>
      </c>
      <c r="E332" s="40">
        <v>0</v>
      </c>
      <c r="F332" s="44" t="s">
        <v>1346</v>
      </c>
      <c r="G332" s="43">
        <v>0</v>
      </c>
      <c r="H332" s="43">
        <v>0</v>
      </c>
      <c r="I332" s="43">
        <v>0</v>
      </c>
      <c r="J332" s="43">
        <v>0</v>
      </c>
      <c r="K332" s="43">
        <v>0</v>
      </c>
    </row>
    <row r="333" spans="1:11" x14ac:dyDescent="0.25">
      <c r="A333" s="43">
        <v>1999</v>
      </c>
      <c r="B333" s="36" t="s">
        <v>32</v>
      </c>
      <c r="C333" s="36">
        <v>25</v>
      </c>
      <c r="D333" s="38" t="s">
        <v>3</v>
      </c>
      <c r="E333" s="40">
        <v>0</v>
      </c>
      <c r="F333" s="44" t="s">
        <v>1346</v>
      </c>
      <c r="G333" s="43">
        <v>0</v>
      </c>
      <c r="H333" s="43">
        <v>0</v>
      </c>
      <c r="I333" s="43">
        <v>0</v>
      </c>
      <c r="J333" s="43">
        <v>0</v>
      </c>
      <c r="K333" s="43">
        <v>0</v>
      </c>
    </row>
    <row r="334" spans="1:11" x14ac:dyDescent="0.25">
      <c r="A334" s="43">
        <v>1999</v>
      </c>
      <c r="B334" s="36" t="s">
        <v>32</v>
      </c>
      <c r="C334" s="36">
        <v>26</v>
      </c>
      <c r="D334" s="38" t="s">
        <v>3</v>
      </c>
      <c r="E334" s="40">
        <v>0</v>
      </c>
      <c r="F334" s="44" t="s">
        <v>1346</v>
      </c>
      <c r="G334" s="43">
        <v>0</v>
      </c>
      <c r="H334" s="43">
        <v>0</v>
      </c>
      <c r="I334" s="43">
        <v>0</v>
      </c>
      <c r="J334" s="43">
        <v>0</v>
      </c>
      <c r="K334" s="43">
        <v>0</v>
      </c>
    </row>
    <row r="335" spans="1:11" x14ac:dyDescent="0.25">
      <c r="A335" s="43">
        <v>1999</v>
      </c>
      <c r="B335" s="36" t="s">
        <v>32</v>
      </c>
      <c r="C335" s="36">
        <v>27</v>
      </c>
      <c r="D335" s="38" t="s">
        <v>112</v>
      </c>
      <c r="E335" s="40">
        <v>0</v>
      </c>
      <c r="F335" s="38" t="s">
        <v>1342</v>
      </c>
      <c r="G335" s="43">
        <v>0</v>
      </c>
      <c r="H335" s="43">
        <v>0</v>
      </c>
      <c r="I335" s="43">
        <v>0</v>
      </c>
      <c r="J335" s="43">
        <v>0</v>
      </c>
      <c r="K335" s="43">
        <v>0</v>
      </c>
    </row>
    <row r="336" spans="1:11" x14ac:dyDescent="0.25">
      <c r="A336" s="43">
        <v>1999</v>
      </c>
      <c r="B336" s="36" t="s">
        <v>32</v>
      </c>
      <c r="C336" s="36">
        <v>28</v>
      </c>
      <c r="D336" s="38" t="s">
        <v>1324</v>
      </c>
      <c r="E336" s="40">
        <v>0</v>
      </c>
      <c r="F336" s="38" t="s">
        <v>1341</v>
      </c>
      <c r="G336" s="43">
        <v>0</v>
      </c>
      <c r="H336" s="43">
        <v>0</v>
      </c>
      <c r="I336" s="43">
        <v>0</v>
      </c>
      <c r="J336" s="43">
        <v>0</v>
      </c>
      <c r="K336" s="43">
        <v>0</v>
      </c>
    </row>
    <row r="337" spans="1:11" x14ac:dyDescent="0.25">
      <c r="A337" s="43">
        <v>1999</v>
      </c>
      <c r="B337" s="36" t="s">
        <v>32</v>
      </c>
      <c r="C337" s="36">
        <v>29</v>
      </c>
      <c r="D337" s="38" t="s">
        <v>1324</v>
      </c>
      <c r="E337" s="40">
        <v>0</v>
      </c>
      <c r="F337" s="38" t="s">
        <v>1341</v>
      </c>
      <c r="G337" s="43">
        <v>0</v>
      </c>
      <c r="H337" s="43">
        <v>0</v>
      </c>
      <c r="I337" s="43">
        <v>0</v>
      </c>
      <c r="J337" s="43">
        <v>0</v>
      </c>
      <c r="K337" s="43">
        <v>0</v>
      </c>
    </row>
    <row r="338" spans="1:11" x14ac:dyDescent="0.25">
      <c r="A338" s="43">
        <v>1999</v>
      </c>
      <c r="B338" s="36" t="s">
        <v>32</v>
      </c>
      <c r="C338" s="36">
        <v>30</v>
      </c>
      <c r="D338" s="38" t="s">
        <v>102</v>
      </c>
      <c r="E338" s="40">
        <v>0</v>
      </c>
      <c r="F338" s="38" t="s">
        <v>105</v>
      </c>
      <c r="G338" s="43">
        <v>0</v>
      </c>
      <c r="H338" s="43">
        <v>0</v>
      </c>
      <c r="I338" s="43">
        <v>0</v>
      </c>
      <c r="J338" s="43">
        <v>0</v>
      </c>
      <c r="K338" s="43">
        <v>0</v>
      </c>
    </row>
    <row r="339" spans="1:11" x14ac:dyDescent="0.25">
      <c r="A339" s="43">
        <v>1999</v>
      </c>
      <c r="B339" s="36" t="s">
        <v>33</v>
      </c>
      <c r="C339" s="36">
        <v>1</v>
      </c>
      <c r="D339" s="42" t="s">
        <v>511</v>
      </c>
      <c r="E339" s="40">
        <v>0</v>
      </c>
      <c r="F339" s="44" t="s">
        <v>4</v>
      </c>
      <c r="G339" s="43">
        <v>0</v>
      </c>
      <c r="H339" s="43">
        <v>0</v>
      </c>
      <c r="I339" s="43">
        <v>0</v>
      </c>
      <c r="J339" s="43">
        <v>0</v>
      </c>
      <c r="K339" s="43">
        <v>0</v>
      </c>
    </row>
    <row r="340" spans="1:11" x14ac:dyDescent="0.25">
      <c r="A340" s="43">
        <v>1999</v>
      </c>
      <c r="B340" s="36" t="s">
        <v>33</v>
      </c>
      <c r="C340" s="36">
        <v>2</v>
      </c>
      <c r="D340" s="42" t="s">
        <v>96</v>
      </c>
      <c r="E340" s="40">
        <v>0</v>
      </c>
      <c r="F340" s="44" t="s">
        <v>103</v>
      </c>
      <c r="G340" s="43">
        <v>0</v>
      </c>
      <c r="H340" s="43">
        <v>0</v>
      </c>
      <c r="I340" s="43">
        <v>0</v>
      </c>
      <c r="J340" s="43">
        <v>0</v>
      </c>
      <c r="K340" s="43">
        <v>0</v>
      </c>
    </row>
    <row r="341" spans="1:11" x14ac:dyDescent="0.25">
      <c r="A341" s="43">
        <v>1999</v>
      </c>
      <c r="B341" s="36" t="s">
        <v>33</v>
      </c>
      <c r="C341" s="36">
        <v>3</v>
      </c>
      <c r="D341" s="42" t="s">
        <v>92</v>
      </c>
      <c r="E341" s="40">
        <v>0</v>
      </c>
      <c r="F341" s="44" t="s">
        <v>1394</v>
      </c>
      <c r="G341" s="43">
        <v>0</v>
      </c>
      <c r="H341" s="43">
        <v>0</v>
      </c>
      <c r="I341" s="43">
        <v>0</v>
      </c>
      <c r="J341" s="43">
        <v>0</v>
      </c>
      <c r="K341" s="43">
        <v>0</v>
      </c>
    </row>
    <row r="342" spans="1:11" x14ac:dyDescent="0.25">
      <c r="A342" s="43">
        <v>1999</v>
      </c>
      <c r="B342" s="36" t="s">
        <v>33</v>
      </c>
      <c r="C342" s="36">
        <v>4</v>
      </c>
      <c r="D342" s="42" t="s">
        <v>90</v>
      </c>
      <c r="E342" s="40">
        <v>0</v>
      </c>
      <c r="F342" s="44" t="s">
        <v>977</v>
      </c>
      <c r="G342" s="43">
        <v>0</v>
      </c>
      <c r="H342" s="43">
        <v>0</v>
      </c>
      <c r="I342" s="43">
        <v>0</v>
      </c>
      <c r="J342" s="43">
        <v>0</v>
      </c>
      <c r="K342" s="43">
        <v>0</v>
      </c>
    </row>
    <row r="343" spans="1:11" x14ac:dyDescent="0.25">
      <c r="A343" s="43">
        <v>1999</v>
      </c>
      <c r="B343" s="36" t="s">
        <v>33</v>
      </c>
      <c r="C343" s="36">
        <v>5</v>
      </c>
      <c r="D343" s="42" t="s">
        <v>86</v>
      </c>
      <c r="E343" s="40">
        <v>0</v>
      </c>
      <c r="F343" s="44" t="s">
        <v>909</v>
      </c>
      <c r="G343" s="43">
        <v>0</v>
      </c>
      <c r="H343" s="43">
        <v>0</v>
      </c>
      <c r="I343" s="43">
        <v>0</v>
      </c>
      <c r="J343" s="43">
        <v>0</v>
      </c>
      <c r="K343" s="43">
        <v>0</v>
      </c>
    </row>
    <row r="344" spans="1:11" x14ac:dyDescent="0.25">
      <c r="A344" s="43">
        <v>1999</v>
      </c>
      <c r="B344" s="36" t="s">
        <v>33</v>
      </c>
      <c r="C344" s="36">
        <v>6</v>
      </c>
      <c r="D344" s="42" t="s">
        <v>325</v>
      </c>
      <c r="E344" s="40">
        <v>0</v>
      </c>
      <c r="F344" s="44" t="s">
        <v>1330</v>
      </c>
      <c r="G344" s="43">
        <v>0</v>
      </c>
      <c r="H344" s="43">
        <v>0</v>
      </c>
      <c r="I344" s="43">
        <v>0</v>
      </c>
      <c r="J344" s="43">
        <v>0</v>
      </c>
      <c r="K344" s="43">
        <v>0</v>
      </c>
    </row>
    <row r="345" spans="1:11" x14ac:dyDescent="0.25">
      <c r="A345" s="43">
        <v>1999</v>
      </c>
      <c r="B345" s="36" t="s">
        <v>33</v>
      </c>
      <c r="C345" s="36">
        <v>7</v>
      </c>
      <c r="D345" s="42" t="s">
        <v>325</v>
      </c>
      <c r="E345" s="40">
        <v>0</v>
      </c>
      <c r="F345" s="44" t="s">
        <v>1330</v>
      </c>
      <c r="G345" s="43">
        <v>0</v>
      </c>
      <c r="H345" s="43">
        <v>0</v>
      </c>
      <c r="I345" s="43">
        <v>0</v>
      </c>
      <c r="J345" s="43">
        <v>0</v>
      </c>
      <c r="K345" s="43">
        <v>0</v>
      </c>
    </row>
    <row r="346" spans="1:11" x14ac:dyDescent="0.25">
      <c r="A346" s="43">
        <v>1999</v>
      </c>
      <c r="B346" s="36" t="s">
        <v>33</v>
      </c>
      <c r="C346" s="36">
        <v>8</v>
      </c>
      <c r="D346" s="42" t="s">
        <v>325</v>
      </c>
      <c r="E346" s="40">
        <v>0</v>
      </c>
      <c r="F346" s="44" t="s">
        <v>1330</v>
      </c>
      <c r="G346" s="43">
        <v>0</v>
      </c>
      <c r="H346" s="43">
        <v>0</v>
      </c>
      <c r="I346" s="43">
        <v>0</v>
      </c>
      <c r="J346" s="43">
        <v>0</v>
      </c>
      <c r="K346" s="43">
        <v>0</v>
      </c>
    </row>
    <row r="347" spans="1:11" x14ac:dyDescent="0.25">
      <c r="A347" s="43">
        <v>1999</v>
      </c>
      <c r="B347" s="36" t="s">
        <v>33</v>
      </c>
      <c r="C347" s="36">
        <v>9</v>
      </c>
      <c r="D347" s="42" t="s">
        <v>403</v>
      </c>
      <c r="E347" s="40">
        <v>0</v>
      </c>
      <c r="F347" s="44" t="s">
        <v>1311</v>
      </c>
      <c r="G347" s="43">
        <v>0</v>
      </c>
      <c r="H347" s="43">
        <v>0</v>
      </c>
      <c r="I347" s="43">
        <v>0</v>
      </c>
      <c r="J347" s="43">
        <v>0</v>
      </c>
      <c r="K347" s="43">
        <v>0</v>
      </c>
    </row>
    <row r="348" spans="1:11" x14ac:dyDescent="0.25">
      <c r="A348" s="43">
        <v>1999</v>
      </c>
      <c r="B348" s="36" t="s">
        <v>33</v>
      </c>
      <c r="C348" s="36">
        <v>10</v>
      </c>
      <c r="D348" s="42" t="s">
        <v>403</v>
      </c>
      <c r="E348" s="40">
        <v>0</v>
      </c>
      <c r="F348" s="44" t="s">
        <v>1311</v>
      </c>
      <c r="G348" s="43">
        <v>0</v>
      </c>
      <c r="H348" s="43">
        <v>0</v>
      </c>
      <c r="I348" s="43">
        <v>0</v>
      </c>
      <c r="J348" s="43">
        <v>0</v>
      </c>
      <c r="K348" s="43">
        <v>0</v>
      </c>
    </row>
    <row r="349" spans="1:11" x14ac:dyDescent="0.25">
      <c r="A349" s="43">
        <v>1999</v>
      </c>
      <c r="B349" s="36" t="s">
        <v>33</v>
      </c>
      <c r="C349" s="36">
        <v>11</v>
      </c>
      <c r="D349" s="42" t="s">
        <v>403</v>
      </c>
      <c r="E349" s="40">
        <v>0</v>
      </c>
      <c r="F349" s="44" t="s">
        <v>1311</v>
      </c>
      <c r="G349" s="43">
        <v>0</v>
      </c>
      <c r="H349" s="43">
        <v>0</v>
      </c>
      <c r="I349" s="43">
        <v>0</v>
      </c>
      <c r="J349" s="43">
        <v>0</v>
      </c>
      <c r="K349" s="43">
        <v>0</v>
      </c>
    </row>
    <row r="350" spans="1:11" x14ac:dyDescent="0.25">
      <c r="A350" s="43">
        <v>1999</v>
      </c>
      <c r="B350" s="36" t="s">
        <v>33</v>
      </c>
      <c r="C350" s="36">
        <v>12</v>
      </c>
      <c r="D350" s="42" t="s">
        <v>403</v>
      </c>
      <c r="E350" s="40">
        <v>0</v>
      </c>
      <c r="F350" s="44" t="s">
        <v>1311</v>
      </c>
      <c r="G350" s="43">
        <v>0</v>
      </c>
      <c r="H350" s="43">
        <v>0</v>
      </c>
      <c r="I350" s="43">
        <v>0</v>
      </c>
      <c r="J350" s="43">
        <v>0</v>
      </c>
      <c r="K350" s="43">
        <v>0</v>
      </c>
    </row>
    <row r="351" spans="1:11" x14ac:dyDescent="0.25">
      <c r="A351" s="43">
        <v>1999</v>
      </c>
      <c r="B351" s="36" t="s">
        <v>33</v>
      </c>
      <c r="C351" s="36">
        <v>13</v>
      </c>
      <c r="D351" s="42" t="s">
        <v>326</v>
      </c>
      <c r="E351" s="40">
        <v>0</v>
      </c>
      <c r="F351" s="44" t="s">
        <v>1309</v>
      </c>
      <c r="G351" s="43">
        <v>0</v>
      </c>
      <c r="H351" s="43">
        <v>0</v>
      </c>
      <c r="I351" s="43">
        <v>0</v>
      </c>
      <c r="J351" s="43">
        <v>0</v>
      </c>
      <c r="K351" s="43">
        <v>0</v>
      </c>
    </row>
    <row r="352" spans="1:11" x14ac:dyDescent="0.25">
      <c r="A352" s="43">
        <v>1999</v>
      </c>
      <c r="B352" s="36" t="s">
        <v>33</v>
      </c>
      <c r="C352" s="36">
        <v>14</v>
      </c>
      <c r="D352" s="42" t="s">
        <v>70</v>
      </c>
      <c r="E352" s="40">
        <v>0</v>
      </c>
      <c r="F352" s="44" t="s">
        <v>1395</v>
      </c>
      <c r="G352" s="43">
        <v>0</v>
      </c>
      <c r="H352" s="43">
        <v>0</v>
      </c>
      <c r="I352" s="43">
        <v>0</v>
      </c>
      <c r="J352" s="43">
        <v>0</v>
      </c>
      <c r="K352" s="43">
        <v>0</v>
      </c>
    </row>
    <row r="353" spans="1:11" x14ac:dyDescent="0.25">
      <c r="A353" s="43">
        <v>1999</v>
      </c>
      <c r="B353" s="36" t="s">
        <v>33</v>
      </c>
      <c r="C353" s="36">
        <v>15</v>
      </c>
      <c r="D353" s="42" t="s">
        <v>62</v>
      </c>
      <c r="E353" s="40">
        <v>0</v>
      </c>
      <c r="F353" s="44" t="s">
        <v>1396</v>
      </c>
      <c r="G353" s="43">
        <v>0</v>
      </c>
      <c r="H353" s="43">
        <v>0</v>
      </c>
      <c r="I353" s="43">
        <v>0</v>
      </c>
      <c r="J353" s="43">
        <v>0</v>
      </c>
      <c r="K353" s="43">
        <v>0</v>
      </c>
    </row>
    <row r="354" spans="1:11" x14ac:dyDescent="0.25">
      <c r="A354" s="43">
        <v>1999</v>
      </c>
      <c r="B354" s="36" t="s">
        <v>33</v>
      </c>
      <c r="C354" s="36">
        <v>16</v>
      </c>
      <c r="D354" s="42" t="s">
        <v>56</v>
      </c>
      <c r="E354" s="40">
        <v>0</v>
      </c>
      <c r="F354" s="44" t="s">
        <v>1298</v>
      </c>
      <c r="G354" s="43">
        <v>0</v>
      </c>
      <c r="H354" s="43">
        <v>0</v>
      </c>
      <c r="I354" s="43">
        <v>0</v>
      </c>
      <c r="J354" s="43">
        <v>0</v>
      </c>
      <c r="K354" s="43">
        <v>0</v>
      </c>
    </row>
    <row r="355" spans="1:11" x14ac:dyDescent="0.25">
      <c r="A355" s="43">
        <v>1999</v>
      </c>
      <c r="B355" s="36" t="s">
        <v>33</v>
      </c>
      <c r="C355" s="36">
        <v>17</v>
      </c>
      <c r="D355" s="42" t="s">
        <v>51</v>
      </c>
      <c r="E355" s="40">
        <v>0</v>
      </c>
      <c r="F355" s="44" t="s">
        <v>1297</v>
      </c>
      <c r="G355" s="43">
        <v>0</v>
      </c>
      <c r="H355" s="43">
        <v>0</v>
      </c>
      <c r="I355" s="43">
        <v>0</v>
      </c>
      <c r="J355" s="43">
        <v>0</v>
      </c>
      <c r="K355" s="43">
        <v>0</v>
      </c>
    </row>
    <row r="356" spans="1:11" x14ac:dyDescent="0.25">
      <c r="A356" s="43">
        <v>1999</v>
      </c>
      <c r="B356" s="36" t="s">
        <v>33</v>
      </c>
      <c r="C356" s="36">
        <v>18</v>
      </c>
      <c r="D356" s="42" t="s">
        <v>49</v>
      </c>
      <c r="E356" s="40">
        <v>0</v>
      </c>
      <c r="F356" s="44" t="s">
        <v>59</v>
      </c>
      <c r="G356" s="43">
        <v>0</v>
      </c>
      <c r="H356" s="43">
        <v>0</v>
      </c>
      <c r="I356" s="43">
        <v>0</v>
      </c>
      <c r="J356" s="43">
        <v>0</v>
      </c>
      <c r="K356" s="43">
        <v>0</v>
      </c>
    </row>
    <row r="357" spans="1:11" x14ac:dyDescent="0.25">
      <c r="A357" s="43">
        <v>1999</v>
      </c>
      <c r="B357" s="36" t="s">
        <v>33</v>
      </c>
      <c r="C357" s="36">
        <v>19</v>
      </c>
      <c r="D357" s="42" t="s">
        <v>508</v>
      </c>
      <c r="E357" s="40">
        <v>0</v>
      </c>
      <c r="F357" s="42" t="s">
        <v>1285</v>
      </c>
      <c r="G357" s="43">
        <v>0</v>
      </c>
      <c r="H357" s="43">
        <v>0</v>
      </c>
      <c r="I357" s="43">
        <v>0</v>
      </c>
      <c r="J357" s="43">
        <v>0</v>
      </c>
      <c r="K357" s="43">
        <v>0</v>
      </c>
    </row>
    <row r="358" spans="1:11" x14ac:dyDescent="0.25">
      <c r="A358" s="43">
        <v>1999</v>
      </c>
      <c r="B358" s="36" t="s">
        <v>33</v>
      </c>
      <c r="C358" s="36">
        <v>20</v>
      </c>
      <c r="D358" s="42" t="s">
        <v>36</v>
      </c>
      <c r="E358" s="40">
        <v>0</v>
      </c>
      <c r="F358" s="42" t="s">
        <v>10</v>
      </c>
      <c r="G358" s="43">
        <v>0</v>
      </c>
      <c r="H358" s="43">
        <v>0</v>
      </c>
      <c r="I358" s="43">
        <v>0</v>
      </c>
      <c r="J358" s="43">
        <v>0</v>
      </c>
      <c r="K358" s="43">
        <v>0</v>
      </c>
    </row>
    <row r="359" spans="1:11" x14ac:dyDescent="0.25">
      <c r="A359" s="43">
        <v>1999</v>
      </c>
      <c r="B359" s="36" t="s">
        <v>33</v>
      </c>
      <c r="C359" s="36">
        <v>21</v>
      </c>
      <c r="D359" s="42" t="s">
        <v>11</v>
      </c>
      <c r="E359" s="40">
        <v>0</v>
      </c>
      <c r="F359" s="42" t="s">
        <v>42</v>
      </c>
      <c r="G359" s="43">
        <v>0</v>
      </c>
      <c r="H359" s="43">
        <v>0</v>
      </c>
      <c r="I359" s="43">
        <v>0</v>
      </c>
      <c r="J359" s="43">
        <v>0</v>
      </c>
      <c r="K359" s="43">
        <v>0</v>
      </c>
    </row>
    <row r="360" spans="1:11" x14ac:dyDescent="0.25">
      <c r="A360" s="43">
        <v>1999</v>
      </c>
      <c r="B360" s="36" t="s">
        <v>33</v>
      </c>
      <c r="C360" s="36">
        <v>22</v>
      </c>
      <c r="D360" s="42" t="s">
        <v>15</v>
      </c>
      <c r="E360" s="40">
        <v>0</v>
      </c>
      <c r="F360" s="44" t="s">
        <v>1397</v>
      </c>
      <c r="G360" s="43">
        <v>0</v>
      </c>
      <c r="H360" s="43">
        <v>0</v>
      </c>
      <c r="I360" s="43">
        <v>0</v>
      </c>
      <c r="J360" s="43">
        <v>0</v>
      </c>
      <c r="K360" s="43">
        <v>0</v>
      </c>
    </row>
    <row r="361" spans="1:11" x14ac:dyDescent="0.25">
      <c r="A361" s="43">
        <v>1999</v>
      </c>
      <c r="B361" s="36" t="s">
        <v>33</v>
      </c>
      <c r="C361" s="36">
        <v>23</v>
      </c>
      <c r="D361" s="42" t="s">
        <v>17</v>
      </c>
      <c r="E361" s="40">
        <v>0</v>
      </c>
      <c r="F361" s="44" t="s">
        <v>1284</v>
      </c>
      <c r="G361" s="43">
        <v>0</v>
      </c>
      <c r="H361" s="43">
        <v>0</v>
      </c>
      <c r="I361" s="43">
        <v>0</v>
      </c>
      <c r="J361" s="43">
        <v>0</v>
      </c>
      <c r="K361" s="43">
        <v>0</v>
      </c>
    </row>
    <row r="362" spans="1:11" x14ac:dyDescent="0.25">
      <c r="A362" s="43">
        <v>1999</v>
      </c>
      <c r="B362" s="36" t="s">
        <v>33</v>
      </c>
      <c r="C362" s="36">
        <v>24</v>
      </c>
      <c r="D362" s="42" t="s">
        <v>17</v>
      </c>
      <c r="E362" s="40">
        <v>0</v>
      </c>
      <c r="F362" s="44" t="s">
        <v>1284</v>
      </c>
      <c r="G362" s="43">
        <v>0</v>
      </c>
      <c r="H362" s="43">
        <v>0</v>
      </c>
      <c r="I362" s="43">
        <v>0</v>
      </c>
      <c r="J362" s="43">
        <v>0</v>
      </c>
      <c r="K362" s="43">
        <v>0</v>
      </c>
    </row>
    <row r="363" spans="1:11" x14ac:dyDescent="0.25">
      <c r="A363" s="43">
        <v>1999</v>
      </c>
      <c r="B363" s="36" t="s">
        <v>33</v>
      </c>
      <c r="C363" s="36">
        <v>25</v>
      </c>
      <c r="D363" s="42" t="s">
        <v>433</v>
      </c>
      <c r="E363" s="40">
        <v>0</v>
      </c>
      <c r="F363" s="44" t="s">
        <v>18</v>
      </c>
      <c r="G363" s="43">
        <v>0</v>
      </c>
      <c r="H363" s="43">
        <v>0</v>
      </c>
      <c r="I363" s="43">
        <v>0</v>
      </c>
      <c r="J363" s="43">
        <v>0</v>
      </c>
      <c r="K363" s="43">
        <v>0</v>
      </c>
    </row>
    <row r="364" spans="1:11" x14ac:dyDescent="0.25">
      <c r="A364" s="43">
        <v>1999</v>
      </c>
      <c r="B364" s="36" t="s">
        <v>33</v>
      </c>
      <c r="C364" s="36">
        <v>26</v>
      </c>
      <c r="D364" s="42" t="s">
        <v>390</v>
      </c>
      <c r="E364" s="40">
        <v>0</v>
      </c>
      <c r="F364" s="44" t="s">
        <v>1282</v>
      </c>
      <c r="G364" s="43">
        <v>0</v>
      </c>
      <c r="H364" s="43">
        <v>0</v>
      </c>
      <c r="I364" s="43">
        <v>0</v>
      </c>
      <c r="J364" s="43">
        <v>0</v>
      </c>
      <c r="K364" s="43">
        <v>0</v>
      </c>
    </row>
    <row r="365" spans="1:11" x14ac:dyDescent="0.25">
      <c r="A365" s="43">
        <v>1999</v>
      </c>
      <c r="B365" s="36" t="s">
        <v>33</v>
      </c>
      <c r="C365" s="36">
        <v>27</v>
      </c>
      <c r="D365" s="42" t="s">
        <v>526</v>
      </c>
      <c r="E365" s="40">
        <v>0</v>
      </c>
      <c r="F365" s="44" t="s">
        <v>1281</v>
      </c>
      <c r="G365" s="43">
        <v>0</v>
      </c>
      <c r="H365" s="43">
        <v>0</v>
      </c>
      <c r="I365" s="43">
        <v>0</v>
      </c>
      <c r="J365" s="43">
        <v>0</v>
      </c>
      <c r="K365" s="43">
        <v>0</v>
      </c>
    </row>
    <row r="366" spans="1:11" x14ac:dyDescent="0.25">
      <c r="A366" s="43">
        <v>1999</v>
      </c>
      <c r="B366" s="36" t="s">
        <v>33</v>
      </c>
      <c r="C366" s="36">
        <v>28</v>
      </c>
      <c r="D366" s="42" t="s">
        <v>526</v>
      </c>
      <c r="E366" s="40">
        <v>0</v>
      </c>
      <c r="F366" s="42" t="s">
        <v>1281</v>
      </c>
      <c r="G366" s="43">
        <v>0</v>
      </c>
      <c r="H366" s="43">
        <v>0</v>
      </c>
      <c r="I366" s="43">
        <v>0</v>
      </c>
      <c r="J366" s="43">
        <v>0</v>
      </c>
      <c r="K366" s="43">
        <v>0</v>
      </c>
    </row>
    <row r="367" spans="1:11" x14ac:dyDescent="0.25">
      <c r="A367" s="43">
        <v>1999</v>
      </c>
      <c r="B367" s="36" t="s">
        <v>33</v>
      </c>
      <c r="C367" s="36">
        <v>29</v>
      </c>
      <c r="D367" s="42" t="s">
        <v>526</v>
      </c>
      <c r="E367" s="40">
        <v>0</v>
      </c>
      <c r="F367" s="42" t="s">
        <v>1281</v>
      </c>
      <c r="G367" s="43">
        <v>0</v>
      </c>
      <c r="H367" s="43">
        <v>0</v>
      </c>
      <c r="I367" s="43">
        <v>0</v>
      </c>
      <c r="J367" s="43">
        <v>0</v>
      </c>
      <c r="K367" s="43">
        <v>0</v>
      </c>
    </row>
    <row r="368" spans="1:11" x14ac:dyDescent="0.25">
      <c r="A368" s="43">
        <v>1999</v>
      </c>
      <c r="B368" s="36" t="s">
        <v>33</v>
      </c>
      <c r="C368" s="36">
        <v>30</v>
      </c>
      <c r="D368" s="42" t="s">
        <v>434</v>
      </c>
      <c r="E368" s="40">
        <v>0</v>
      </c>
      <c r="F368" s="42" t="s">
        <v>1280</v>
      </c>
      <c r="G368" s="43">
        <v>0</v>
      </c>
      <c r="H368" s="43">
        <v>0</v>
      </c>
      <c r="I368" s="43">
        <v>0</v>
      </c>
      <c r="J368" s="43">
        <v>0</v>
      </c>
      <c r="K368" s="43">
        <v>0</v>
      </c>
    </row>
    <row r="369" spans="1:11" x14ac:dyDescent="0.25">
      <c r="A369" s="43">
        <v>1999</v>
      </c>
      <c r="B369" s="36" t="s">
        <v>33</v>
      </c>
      <c r="C369" s="36">
        <v>31</v>
      </c>
      <c r="D369" s="42" t="s">
        <v>434</v>
      </c>
      <c r="E369" s="40">
        <v>0</v>
      </c>
      <c r="F369" s="42" t="s">
        <v>1280</v>
      </c>
      <c r="G369" s="43">
        <v>0</v>
      </c>
      <c r="H369" s="43">
        <v>0</v>
      </c>
      <c r="I369" s="43">
        <v>0</v>
      </c>
      <c r="J369" s="43">
        <v>0</v>
      </c>
      <c r="K369" s="43">
        <v>0</v>
      </c>
    </row>
    <row r="370" spans="1:11" x14ac:dyDescent="0.25">
      <c r="A370" s="409" t="s">
        <v>1759</v>
      </c>
      <c r="B370" s="410"/>
      <c r="C370" s="410"/>
      <c r="D370" s="410"/>
      <c r="E370" s="410"/>
      <c r="F370" s="410"/>
      <c r="G370" s="410"/>
      <c r="H370" s="410"/>
      <c r="I370" s="410"/>
      <c r="J370" s="410"/>
      <c r="K370" s="410"/>
    </row>
  </sheetData>
  <mergeCells count="9">
    <mergeCell ref="A370:K370"/>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F4:F34 F35:F62 H35:H62 J35:J62 F64:F94 H64:H94 I64 J64:J94 F95:F124 H95:H113 J95:J113 H151:H155 J133:J139 F125:F155 F156:F185 F186:F216 F217:F247 G217:G247 F248:F273 F309:F338 F339:F369" numberStoredAsText="1"/>
    <ignoredError sqref="D90 D110 D114 D98 D140:D141 D164 D189 D207:D208 D261:D262 D327:D328 D361:D362" twoDigitTextYea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9"/>
  <sheetViews>
    <sheetView workbookViewId="0">
      <pane ySplit="3" topLeftCell="A358" activePane="bottomLeft" state="frozen"/>
      <selection pane="bottomLeft" activeCell="N299" sqref="N299"/>
    </sheetView>
  </sheetViews>
  <sheetFormatPr defaultColWidth="9.140625" defaultRowHeight="15" x14ac:dyDescent="0.25"/>
  <cols>
    <col min="1" max="1" width="5.5703125" style="14" customWidth="1"/>
    <col min="2" max="2" width="9.85546875" style="14" customWidth="1"/>
    <col min="3" max="3" width="6.42578125" style="55" customWidth="1"/>
    <col min="4" max="4" width="7.28515625" style="37" customWidth="1"/>
    <col min="5" max="5" width="6.85546875" style="37" customWidth="1"/>
    <col min="6" max="6" width="8" style="37" customWidth="1"/>
    <col min="7" max="7" width="5.28515625" style="37" customWidth="1"/>
    <col min="8" max="8" width="5.42578125" style="37" customWidth="1"/>
    <col min="9" max="9" width="6" style="37" customWidth="1"/>
    <col min="10" max="11" width="9.140625" style="37"/>
    <col min="12" max="16384" width="9.140625" style="14"/>
  </cols>
  <sheetData>
    <row r="1" spans="1:11" ht="18" x14ac:dyDescent="0.35">
      <c r="A1" s="395" t="s">
        <v>1754</v>
      </c>
      <c r="B1" s="395"/>
      <c r="C1" s="395"/>
      <c r="D1" s="395"/>
      <c r="E1" s="395"/>
      <c r="F1" s="395"/>
      <c r="G1" s="395"/>
      <c r="H1" s="395"/>
      <c r="I1" s="395"/>
      <c r="J1" s="395"/>
      <c r="K1" s="395"/>
    </row>
    <row r="2" spans="1:11" ht="30" customHeight="1" x14ac:dyDescent="0.25">
      <c r="A2" s="419" t="s">
        <v>532</v>
      </c>
      <c r="B2" s="419" t="s">
        <v>22</v>
      </c>
      <c r="C2" s="419" t="s">
        <v>0</v>
      </c>
      <c r="D2" s="420" t="s">
        <v>728</v>
      </c>
      <c r="E2" s="420"/>
      <c r="F2" s="421" t="s">
        <v>729</v>
      </c>
      <c r="G2" s="421"/>
      <c r="H2" s="418" t="s">
        <v>1746</v>
      </c>
      <c r="I2" s="418"/>
      <c r="J2" s="418" t="s">
        <v>1747</v>
      </c>
      <c r="K2" s="418"/>
    </row>
    <row r="3" spans="1:11" ht="74.25" customHeight="1" x14ac:dyDescent="0.25">
      <c r="A3" s="419"/>
      <c r="B3" s="419"/>
      <c r="C3" s="419"/>
      <c r="D3" s="77" t="s">
        <v>1755</v>
      </c>
      <c r="E3" s="77" t="s">
        <v>1756</v>
      </c>
      <c r="F3" s="77" t="s">
        <v>732</v>
      </c>
      <c r="G3" s="77" t="s">
        <v>1758</v>
      </c>
      <c r="H3" s="78" t="s">
        <v>734</v>
      </c>
      <c r="I3" s="79" t="s">
        <v>735</v>
      </c>
      <c r="J3" s="78" t="s">
        <v>734</v>
      </c>
      <c r="K3" s="79" t="s">
        <v>735</v>
      </c>
    </row>
    <row r="4" spans="1:11" ht="13.9" x14ac:dyDescent="0.25">
      <c r="A4" s="43">
        <v>2000</v>
      </c>
      <c r="B4" s="43" t="s">
        <v>23</v>
      </c>
      <c r="C4" s="43">
        <v>1</v>
      </c>
      <c r="D4" s="42" t="s">
        <v>1398</v>
      </c>
      <c r="E4" s="65">
        <v>0</v>
      </c>
      <c r="F4" s="44" t="s">
        <v>1401</v>
      </c>
      <c r="G4" s="43">
        <v>0</v>
      </c>
      <c r="H4" s="43">
        <v>0</v>
      </c>
      <c r="I4" s="43">
        <v>0</v>
      </c>
      <c r="J4" s="43">
        <v>0</v>
      </c>
      <c r="K4" s="43">
        <v>0</v>
      </c>
    </row>
    <row r="5" spans="1:11" ht="13.9" x14ac:dyDescent="0.25">
      <c r="A5" s="43">
        <v>2000</v>
      </c>
      <c r="B5" s="43" t="s">
        <v>23</v>
      </c>
      <c r="C5" s="43">
        <v>2</v>
      </c>
      <c r="D5" s="42" t="s">
        <v>1398</v>
      </c>
      <c r="E5" s="65">
        <v>0</v>
      </c>
      <c r="F5" s="44" t="s">
        <v>1401</v>
      </c>
      <c r="G5" s="43">
        <v>0</v>
      </c>
      <c r="H5" s="43">
        <v>0</v>
      </c>
      <c r="I5" s="43">
        <v>0</v>
      </c>
      <c r="J5" s="43">
        <v>0</v>
      </c>
      <c r="K5" s="43">
        <v>0</v>
      </c>
    </row>
    <row r="6" spans="1:11" ht="13.9" x14ac:dyDescent="0.25">
      <c r="A6" s="43">
        <v>2000</v>
      </c>
      <c r="B6" s="43" t="s">
        <v>23</v>
      </c>
      <c r="C6" s="43">
        <v>3</v>
      </c>
      <c r="D6" s="42" t="s">
        <v>1398</v>
      </c>
      <c r="E6" s="65">
        <v>0</v>
      </c>
      <c r="F6" s="44" t="s">
        <v>1401</v>
      </c>
      <c r="G6" s="43">
        <v>0</v>
      </c>
      <c r="H6" s="43">
        <v>0</v>
      </c>
      <c r="I6" s="43">
        <v>0</v>
      </c>
      <c r="J6" s="43">
        <v>0</v>
      </c>
      <c r="K6" s="43">
        <v>0</v>
      </c>
    </row>
    <row r="7" spans="1:11" ht="13.9" x14ac:dyDescent="0.25">
      <c r="A7" s="43">
        <v>2000</v>
      </c>
      <c r="B7" s="43" t="s">
        <v>23</v>
      </c>
      <c r="C7" s="43">
        <v>4</v>
      </c>
      <c r="D7" s="42" t="s">
        <v>507</v>
      </c>
      <c r="E7" s="65">
        <v>0</v>
      </c>
      <c r="F7" s="44" t="s">
        <v>18</v>
      </c>
      <c r="G7" s="43">
        <v>0</v>
      </c>
      <c r="H7" s="43">
        <v>0</v>
      </c>
      <c r="I7" s="43">
        <v>0</v>
      </c>
      <c r="J7" s="43">
        <v>0</v>
      </c>
      <c r="K7" s="43">
        <v>0</v>
      </c>
    </row>
    <row r="8" spans="1:11" ht="13.9" x14ac:dyDescent="0.25">
      <c r="A8" s="43">
        <v>2000</v>
      </c>
      <c r="B8" s="43" t="s">
        <v>23</v>
      </c>
      <c r="C8" s="43">
        <v>5</v>
      </c>
      <c r="D8" s="42" t="s">
        <v>384</v>
      </c>
      <c r="E8" s="65">
        <v>0</v>
      </c>
      <c r="F8" s="44" t="s">
        <v>1402</v>
      </c>
      <c r="G8" s="43">
        <v>0</v>
      </c>
      <c r="H8" s="43">
        <v>0</v>
      </c>
      <c r="I8" s="43">
        <v>0</v>
      </c>
      <c r="J8" s="43">
        <v>0</v>
      </c>
      <c r="K8" s="43">
        <v>0</v>
      </c>
    </row>
    <row r="9" spans="1:11" ht="13.9" x14ac:dyDescent="0.25">
      <c r="A9" s="43">
        <v>2000</v>
      </c>
      <c r="B9" s="43" t="s">
        <v>23</v>
      </c>
      <c r="C9" s="43">
        <v>6</v>
      </c>
      <c r="D9" s="42" t="s">
        <v>503</v>
      </c>
      <c r="E9" s="65">
        <v>0</v>
      </c>
      <c r="F9" s="44" t="s">
        <v>1225</v>
      </c>
      <c r="G9" s="43">
        <v>0</v>
      </c>
      <c r="H9" s="43">
        <v>0</v>
      </c>
      <c r="I9" s="43">
        <v>0</v>
      </c>
      <c r="J9" s="43">
        <v>0</v>
      </c>
      <c r="K9" s="43">
        <v>0</v>
      </c>
    </row>
    <row r="10" spans="1:11" ht="13.9" x14ac:dyDescent="0.25">
      <c r="A10" s="43">
        <v>2000</v>
      </c>
      <c r="B10" s="43" t="s">
        <v>23</v>
      </c>
      <c r="C10" s="43">
        <v>7</v>
      </c>
      <c r="D10" s="42" t="s">
        <v>502</v>
      </c>
      <c r="E10" s="65">
        <v>0</v>
      </c>
      <c r="F10" s="44" t="s">
        <v>1226</v>
      </c>
      <c r="G10" s="43">
        <v>0</v>
      </c>
      <c r="H10" s="43">
        <v>0</v>
      </c>
      <c r="I10" s="43">
        <v>0</v>
      </c>
      <c r="J10" s="43">
        <v>0</v>
      </c>
      <c r="K10" s="43">
        <v>0</v>
      </c>
    </row>
    <row r="11" spans="1:11" ht="13.9" x14ac:dyDescent="0.25">
      <c r="A11" s="43">
        <v>2000</v>
      </c>
      <c r="B11" s="43" t="s">
        <v>23</v>
      </c>
      <c r="C11" s="43">
        <v>8</v>
      </c>
      <c r="D11" s="42" t="s">
        <v>500</v>
      </c>
      <c r="E11" s="65">
        <v>0</v>
      </c>
      <c r="F11" s="44" t="s">
        <v>1263</v>
      </c>
      <c r="G11" s="43">
        <v>0</v>
      </c>
      <c r="H11" s="43">
        <v>0</v>
      </c>
      <c r="I11" s="43">
        <v>0</v>
      </c>
      <c r="J11" s="43">
        <v>0</v>
      </c>
      <c r="K11" s="43">
        <v>0</v>
      </c>
    </row>
    <row r="12" spans="1:11" ht="13.9" x14ac:dyDescent="0.25">
      <c r="A12" s="43">
        <v>2000</v>
      </c>
      <c r="B12" s="43" t="s">
        <v>23</v>
      </c>
      <c r="C12" s="43">
        <v>9</v>
      </c>
      <c r="D12" s="42" t="s">
        <v>499</v>
      </c>
      <c r="E12" s="65">
        <v>0</v>
      </c>
      <c r="F12" s="44" t="s">
        <v>1403</v>
      </c>
      <c r="G12" s="43">
        <v>0</v>
      </c>
      <c r="H12" s="43">
        <v>0</v>
      </c>
      <c r="I12" s="43">
        <v>0</v>
      </c>
      <c r="J12" s="43">
        <v>0</v>
      </c>
      <c r="K12" s="43">
        <v>0</v>
      </c>
    </row>
    <row r="13" spans="1:11" ht="13.9" x14ac:dyDescent="0.25">
      <c r="A13" s="43">
        <v>2000</v>
      </c>
      <c r="B13" s="43" t="s">
        <v>23</v>
      </c>
      <c r="C13" s="43">
        <v>10</v>
      </c>
      <c r="D13" s="42" t="s">
        <v>514</v>
      </c>
      <c r="E13" s="65">
        <v>0</v>
      </c>
      <c r="F13" s="44" t="s">
        <v>979</v>
      </c>
      <c r="G13" s="43">
        <v>0</v>
      </c>
      <c r="H13" s="43">
        <v>0</v>
      </c>
      <c r="I13" s="43">
        <v>0</v>
      </c>
      <c r="J13" s="43">
        <v>0</v>
      </c>
      <c r="K13" s="43">
        <v>0</v>
      </c>
    </row>
    <row r="14" spans="1:11" ht="13.9" x14ac:dyDescent="0.25">
      <c r="A14" s="43">
        <v>2000</v>
      </c>
      <c r="B14" s="43" t="s">
        <v>23</v>
      </c>
      <c r="C14" s="43">
        <v>11</v>
      </c>
      <c r="D14" s="42" t="s">
        <v>497</v>
      </c>
      <c r="E14" s="65">
        <v>0</v>
      </c>
      <c r="F14" s="44" t="s">
        <v>978</v>
      </c>
      <c r="G14" s="43">
        <v>0</v>
      </c>
      <c r="H14" s="43">
        <v>0</v>
      </c>
      <c r="I14" s="43">
        <v>0</v>
      </c>
      <c r="J14" s="43">
        <v>0</v>
      </c>
      <c r="K14" s="43">
        <v>0</v>
      </c>
    </row>
    <row r="15" spans="1:11" ht="13.9" x14ac:dyDescent="0.25">
      <c r="A15" s="43">
        <v>2000</v>
      </c>
      <c r="B15" s="43" t="s">
        <v>23</v>
      </c>
      <c r="C15" s="43">
        <v>12</v>
      </c>
      <c r="D15" s="42" t="s">
        <v>338</v>
      </c>
      <c r="E15" s="65">
        <v>0</v>
      </c>
      <c r="F15" s="44" t="s">
        <v>1229</v>
      </c>
      <c r="G15" s="43">
        <v>0</v>
      </c>
      <c r="H15" s="43">
        <v>0</v>
      </c>
      <c r="I15" s="43">
        <v>0</v>
      </c>
      <c r="J15" s="43">
        <v>0</v>
      </c>
      <c r="K15" s="43">
        <v>0</v>
      </c>
    </row>
    <row r="16" spans="1:11" ht="13.9" x14ac:dyDescent="0.25">
      <c r="A16" s="43">
        <v>2000</v>
      </c>
      <c r="B16" s="43" t="s">
        <v>23</v>
      </c>
      <c r="C16" s="43">
        <v>13</v>
      </c>
      <c r="D16" s="42" t="s">
        <v>338</v>
      </c>
      <c r="E16" s="65">
        <v>0</v>
      </c>
      <c r="F16" s="44" t="s">
        <v>1229</v>
      </c>
      <c r="G16" s="43">
        <v>0</v>
      </c>
      <c r="H16" s="43">
        <v>0</v>
      </c>
      <c r="I16" s="43">
        <v>0</v>
      </c>
      <c r="J16" s="43">
        <v>0</v>
      </c>
      <c r="K16" s="43">
        <v>0</v>
      </c>
    </row>
    <row r="17" spans="1:11" ht="13.9" x14ac:dyDescent="0.25">
      <c r="A17" s="43">
        <v>2000</v>
      </c>
      <c r="B17" s="43" t="s">
        <v>23</v>
      </c>
      <c r="C17" s="43">
        <v>14</v>
      </c>
      <c r="D17" s="42" t="s">
        <v>342</v>
      </c>
      <c r="E17" s="65">
        <v>0</v>
      </c>
      <c r="F17" s="44" t="s">
        <v>1260</v>
      </c>
      <c r="G17" s="43">
        <v>0</v>
      </c>
      <c r="H17" s="43">
        <v>0</v>
      </c>
      <c r="I17" s="43">
        <v>0</v>
      </c>
      <c r="J17" s="43">
        <v>0</v>
      </c>
      <c r="K17" s="43">
        <v>0</v>
      </c>
    </row>
    <row r="18" spans="1:11" ht="13.9" x14ac:dyDescent="0.25">
      <c r="A18" s="43">
        <v>2000</v>
      </c>
      <c r="B18" s="43" t="s">
        <v>23</v>
      </c>
      <c r="C18" s="43">
        <v>15</v>
      </c>
      <c r="D18" s="42" t="s">
        <v>339</v>
      </c>
      <c r="E18" s="65">
        <v>0</v>
      </c>
      <c r="F18" s="44" t="s">
        <v>1230</v>
      </c>
      <c r="G18" s="43">
        <v>0</v>
      </c>
      <c r="H18" s="44" t="s">
        <v>823</v>
      </c>
      <c r="I18" s="43">
        <v>0</v>
      </c>
      <c r="J18" s="44" t="s">
        <v>1312</v>
      </c>
      <c r="K18" s="43">
        <v>0</v>
      </c>
    </row>
    <row r="19" spans="1:11" ht="13.9" x14ac:dyDescent="0.25">
      <c r="A19" s="43">
        <v>2000</v>
      </c>
      <c r="B19" s="43" t="s">
        <v>23</v>
      </c>
      <c r="C19" s="43">
        <v>16</v>
      </c>
      <c r="D19" s="42" t="s">
        <v>340</v>
      </c>
      <c r="E19" s="65">
        <v>0</v>
      </c>
      <c r="F19" s="44" t="s">
        <v>1259</v>
      </c>
      <c r="G19" s="43">
        <v>0</v>
      </c>
      <c r="H19" s="44" t="s">
        <v>823</v>
      </c>
      <c r="I19" s="43">
        <v>0</v>
      </c>
      <c r="J19" s="44" t="s">
        <v>1063</v>
      </c>
      <c r="K19" s="43">
        <v>0</v>
      </c>
    </row>
    <row r="20" spans="1:11" ht="13.9" x14ac:dyDescent="0.25">
      <c r="A20" s="43">
        <v>2000</v>
      </c>
      <c r="B20" s="43" t="s">
        <v>23</v>
      </c>
      <c r="C20" s="43">
        <v>17</v>
      </c>
      <c r="D20" s="42" t="s">
        <v>551</v>
      </c>
      <c r="E20" s="65">
        <v>0</v>
      </c>
      <c r="F20" s="44" t="s">
        <v>1244</v>
      </c>
      <c r="G20" s="43">
        <v>0</v>
      </c>
      <c r="H20" s="44" t="s">
        <v>823</v>
      </c>
      <c r="I20" s="43">
        <v>0</v>
      </c>
      <c r="J20" s="44" t="s">
        <v>1063</v>
      </c>
      <c r="K20" s="43">
        <v>0</v>
      </c>
    </row>
    <row r="21" spans="1:11" ht="13.9" x14ac:dyDescent="0.25">
      <c r="A21" s="43">
        <v>2000</v>
      </c>
      <c r="B21" s="43" t="s">
        <v>23</v>
      </c>
      <c r="C21" s="43">
        <v>18</v>
      </c>
      <c r="D21" s="42" t="s">
        <v>358</v>
      </c>
      <c r="E21" s="65">
        <v>0</v>
      </c>
      <c r="F21" s="44" t="s">
        <v>1235</v>
      </c>
      <c r="G21" s="43">
        <v>0</v>
      </c>
      <c r="H21" s="44" t="s">
        <v>1061</v>
      </c>
      <c r="I21" s="43">
        <v>0</v>
      </c>
      <c r="J21" s="44" t="s">
        <v>1063</v>
      </c>
      <c r="K21" s="43">
        <v>0</v>
      </c>
    </row>
    <row r="22" spans="1:11" ht="13.9" x14ac:dyDescent="0.25">
      <c r="A22" s="43">
        <v>2000</v>
      </c>
      <c r="B22" s="43" t="s">
        <v>23</v>
      </c>
      <c r="C22" s="43">
        <v>19</v>
      </c>
      <c r="D22" s="42" t="s">
        <v>356</v>
      </c>
      <c r="E22" s="65">
        <v>0</v>
      </c>
      <c r="F22" s="44" t="s">
        <v>1404</v>
      </c>
      <c r="G22" s="43">
        <v>0</v>
      </c>
      <c r="H22" s="44" t="s">
        <v>1061</v>
      </c>
      <c r="I22" s="43">
        <v>0</v>
      </c>
      <c r="J22" s="44" t="s">
        <v>1063</v>
      </c>
      <c r="K22" s="43">
        <v>0</v>
      </c>
    </row>
    <row r="23" spans="1:11" ht="13.9" x14ac:dyDescent="0.25">
      <c r="A23" s="43">
        <v>2000</v>
      </c>
      <c r="B23" s="43" t="s">
        <v>23</v>
      </c>
      <c r="C23" s="43">
        <v>20</v>
      </c>
      <c r="D23" s="42" t="s">
        <v>488</v>
      </c>
      <c r="E23" s="65">
        <v>0</v>
      </c>
      <c r="F23" s="44" t="s">
        <v>1405</v>
      </c>
      <c r="G23" s="43">
        <v>0</v>
      </c>
      <c r="H23" s="44" t="s">
        <v>765</v>
      </c>
      <c r="I23" s="43">
        <v>0</v>
      </c>
      <c r="J23" s="44" t="s">
        <v>824</v>
      </c>
      <c r="K23" s="43">
        <v>0</v>
      </c>
    </row>
    <row r="24" spans="1:11" ht="13.9" x14ac:dyDescent="0.25">
      <c r="A24" s="43">
        <v>2000</v>
      </c>
      <c r="B24" s="43" t="s">
        <v>23</v>
      </c>
      <c r="C24" s="43">
        <v>21</v>
      </c>
      <c r="D24" s="42" t="s">
        <v>488</v>
      </c>
      <c r="E24" s="65">
        <v>0</v>
      </c>
      <c r="F24" s="44" t="s">
        <v>1405</v>
      </c>
      <c r="G24" s="43">
        <v>0</v>
      </c>
      <c r="H24" s="44" t="s">
        <v>765</v>
      </c>
      <c r="I24" s="43">
        <v>0</v>
      </c>
      <c r="J24" s="44" t="s">
        <v>765</v>
      </c>
      <c r="K24" s="43">
        <v>0</v>
      </c>
    </row>
    <row r="25" spans="1:11" ht="13.9" x14ac:dyDescent="0.25">
      <c r="A25" s="43">
        <v>2000</v>
      </c>
      <c r="B25" s="43" t="s">
        <v>23</v>
      </c>
      <c r="C25" s="43">
        <v>22</v>
      </c>
      <c r="D25" s="42" t="s">
        <v>488</v>
      </c>
      <c r="E25" s="65">
        <v>0</v>
      </c>
      <c r="F25" s="44" t="s">
        <v>1405</v>
      </c>
      <c r="G25" s="43">
        <v>0</v>
      </c>
      <c r="H25" s="44" t="s">
        <v>765</v>
      </c>
      <c r="I25" s="43">
        <v>0</v>
      </c>
      <c r="J25" s="44" t="s">
        <v>765</v>
      </c>
      <c r="K25" s="43">
        <v>0</v>
      </c>
    </row>
    <row r="26" spans="1:11" ht="13.9" x14ac:dyDescent="0.25">
      <c r="A26" s="43">
        <v>2000</v>
      </c>
      <c r="B26" s="43" t="s">
        <v>23</v>
      </c>
      <c r="C26" s="43">
        <v>23</v>
      </c>
      <c r="D26" s="42" t="s">
        <v>356</v>
      </c>
      <c r="E26" s="65">
        <v>0</v>
      </c>
      <c r="F26" s="44" t="s">
        <v>1404</v>
      </c>
      <c r="G26" s="43">
        <v>0</v>
      </c>
      <c r="H26" s="44" t="s">
        <v>765</v>
      </c>
      <c r="I26" s="43">
        <v>0</v>
      </c>
      <c r="J26" s="44" t="s">
        <v>765</v>
      </c>
      <c r="K26" s="43">
        <v>0</v>
      </c>
    </row>
    <row r="27" spans="1:11" ht="13.9" x14ac:dyDescent="0.25">
      <c r="A27" s="43">
        <v>2000</v>
      </c>
      <c r="B27" s="43" t="s">
        <v>23</v>
      </c>
      <c r="C27" s="43">
        <v>24</v>
      </c>
      <c r="D27" s="42" t="s">
        <v>1399</v>
      </c>
      <c r="E27" s="65">
        <v>0</v>
      </c>
      <c r="F27" s="44" t="s">
        <v>1406</v>
      </c>
      <c r="G27" s="43">
        <v>0</v>
      </c>
      <c r="H27" s="44" t="s">
        <v>765</v>
      </c>
      <c r="I27" s="43">
        <v>0</v>
      </c>
      <c r="J27" s="44" t="s">
        <v>765</v>
      </c>
      <c r="K27" s="43">
        <v>0</v>
      </c>
    </row>
    <row r="28" spans="1:11" ht="13.9" x14ac:dyDescent="0.25">
      <c r="A28" s="43">
        <v>2000</v>
      </c>
      <c r="B28" s="43" t="s">
        <v>23</v>
      </c>
      <c r="C28" s="43">
        <v>25</v>
      </c>
      <c r="D28" s="42" t="s">
        <v>1221</v>
      </c>
      <c r="E28" s="65">
        <v>0</v>
      </c>
      <c r="F28" s="44" t="s">
        <v>1237</v>
      </c>
      <c r="G28" s="43">
        <v>0</v>
      </c>
      <c r="H28" s="44" t="s">
        <v>1060</v>
      </c>
      <c r="I28" s="43">
        <v>0</v>
      </c>
      <c r="J28" s="44" t="s">
        <v>765</v>
      </c>
      <c r="K28" s="43">
        <v>0</v>
      </c>
    </row>
    <row r="29" spans="1:11" ht="13.9" x14ac:dyDescent="0.25">
      <c r="A29" s="43">
        <v>2000</v>
      </c>
      <c r="B29" s="43" t="s">
        <v>23</v>
      </c>
      <c r="C29" s="43">
        <v>26</v>
      </c>
      <c r="D29" s="42" t="s">
        <v>360</v>
      </c>
      <c r="E29" s="65">
        <v>0</v>
      </c>
      <c r="F29" s="44" t="s">
        <v>1239</v>
      </c>
      <c r="G29" s="43">
        <v>0</v>
      </c>
      <c r="H29" s="44" t="s">
        <v>765</v>
      </c>
      <c r="I29" s="43">
        <v>0</v>
      </c>
      <c r="J29" s="44" t="s">
        <v>981</v>
      </c>
      <c r="K29" s="43">
        <v>0</v>
      </c>
    </row>
    <row r="30" spans="1:11" ht="13.9" x14ac:dyDescent="0.25">
      <c r="A30" s="43">
        <v>2000</v>
      </c>
      <c r="B30" s="43" t="s">
        <v>23</v>
      </c>
      <c r="C30" s="43">
        <v>27</v>
      </c>
      <c r="D30" s="42" t="s">
        <v>357</v>
      </c>
      <c r="E30" s="65">
        <v>0</v>
      </c>
      <c r="F30" s="44" t="s">
        <v>1407</v>
      </c>
      <c r="G30" s="43">
        <v>0</v>
      </c>
      <c r="H30" s="44" t="s">
        <v>770</v>
      </c>
      <c r="I30" s="43">
        <v>0</v>
      </c>
      <c r="J30" s="44" t="s">
        <v>981</v>
      </c>
      <c r="K30" s="43">
        <v>0</v>
      </c>
    </row>
    <row r="31" spans="1:11" ht="13.9" x14ac:dyDescent="0.25">
      <c r="A31" s="43">
        <v>2000</v>
      </c>
      <c r="B31" s="43" t="s">
        <v>23</v>
      </c>
      <c r="C31" s="43">
        <v>28</v>
      </c>
      <c r="D31" s="42" t="s">
        <v>343</v>
      </c>
      <c r="E31" s="65">
        <v>0</v>
      </c>
      <c r="F31" s="44" t="s">
        <v>1242</v>
      </c>
      <c r="G31" s="43">
        <v>0</v>
      </c>
      <c r="H31" s="44" t="s">
        <v>770</v>
      </c>
      <c r="I31" s="43">
        <v>0</v>
      </c>
      <c r="J31" s="44" t="s">
        <v>981</v>
      </c>
      <c r="K31" s="43">
        <v>0</v>
      </c>
    </row>
    <row r="32" spans="1:11" ht="13.9" x14ac:dyDescent="0.25">
      <c r="A32" s="43">
        <v>2000</v>
      </c>
      <c r="B32" s="43" t="s">
        <v>23</v>
      </c>
      <c r="C32" s="43">
        <v>29</v>
      </c>
      <c r="D32" s="42" t="s">
        <v>363</v>
      </c>
      <c r="E32" s="65">
        <v>0</v>
      </c>
      <c r="F32" s="44" t="s">
        <v>1243</v>
      </c>
      <c r="G32" s="43">
        <v>0</v>
      </c>
      <c r="H32" s="44" t="s">
        <v>1409</v>
      </c>
      <c r="I32" s="43">
        <v>0</v>
      </c>
      <c r="J32" s="44" t="s">
        <v>981</v>
      </c>
      <c r="K32" s="43">
        <v>0</v>
      </c>
    </row>
    <row r="33" spans="1:11" ht="13.9" x14ac:dyDescent="0.25">
      <c r="A33" s="43">
        <v>2000</v>
      </c>
      <c r="B33" s="43" t="s">
        <v>23</v>
      </c>
      <c r="C33" s="43">
        <v>30</v>
      </c>
      <c r="D33" s="42" t="s">
        <v>1400</v>
      </c>
      <c r="E33" s="65">
        <v>0</v>
      </c>
      <c r="F33" s="44" t="s">
        <v>1408</v>
      </c>
      <c r="G33" s="43">
        <v>0</v>
      </c>
      <c r="H33" s="44" t="s">
        <v>1409</v>
      </c>
      <c r="I33" s="43">
        <v>0</v>
      </c>
      <c r="J33" s="44" t="s">
        <v>981</v>
      </c>
      <c r="K33" s="43">
        <v>0</v>
      </c>
    </row>
    <row r="34" spans="1:11" ht="13.9" x14ac:dyDescent="0.25">
      <c r="A34" s="43">
        <v>2000</v>
      </c>
      <c r="B34" s="43" t="s">
        <v>23</v>
      </c>
      <c r="C34" s="43">
        <v>31</v>
      </c>
      <c r="D34" s="42" t="s">
        <v>1400</v>
      </c>
      <c r="E34" s="65">
        <v>0</v>
      </c>
      <c r="F34" s="44" t="s">
        <v>1408</v>
      </c>
      <c r="G34" s="43">
        <v>0</v>
      </c>
      <c r="H34" s="44" t="s">
        <v>1409</v>
      </c>
      <c r="I34" s="43">
        <v>0</v>
      </c>
      <c r="J34" s="44" t="s">
        <v>981</v>
      </c>
      <c r="K34" s="43">
        <v>0</v>
      </c>
    </row>
    <row r="35" spans="1:11" ht="13.9" x14ac:dyDescent="0.25">
      <c r="A35" s="43">
        <v>2000</v>
      </c>
      <c r="B35" s="36" t="s">
        <v>24</v>
      </c>
      <c r="C35" s="36">
        <v>1</v>
      </c>
      <c r="D35" s="38" t="s">
        <v>1400</v>
      </c>
      <c r="E35" s="65">
        <v>0</v>
      </c>
      <c r="F35" s="44" t="s">
        <v>1408</v>
      </c>
      <c r="G35" s="43">
        <v>0</v>
      </c>
      <c r="H35" s="44" t="s">
        <v>1061</v>
      </c>
      <c r="I35" s="43">
        <v>0</v>
      </c>
      <c r="J35" s="44" t="s">
        <v>766</v>
      </c>
      <c r="K35" s="43">
        <v>0</v>
      </c>
    </row>
    <row r="36" spans="1:11" ht="13.9" x14ac:dyDescent="0.25">
      <c r="A36" s="43">
        <v>2000</v>
      </c>
      <c r="B36" s="36" t="s">
        <v>24</v>
      </c>
      <c r="C36" s="36">
        <v>2</v>
      </c>
      <c r="D36" s="38" t="s">
        <v>551</v>
      </c>
      <c r="E36" s="65">
        <v>0</v>
      </c>
      <c r="F36" s="44" t="s">
        <v>1244</v>
      </c>
      <c r="G36" s="43">
        <v>0</v>
      </c>
      <c r="H36" s="44" t="s">
        <v>1061</v>
      </c>
      <c r="I36" s="43">
        <v>0</v>
      </c>
      <c r="J36" s="44" t="s">
        <v>736</v>
      </c>
      <c r="K36" s="43">
        <v>0</v>
      </c>
    </row>
    <row r="37" spans="1:11" ht="13.9" x14ac:dyDescent="0.25">
      <c r="A37" s="43">
        <v>2000</v>
      </c>
      <c r="B37" s="36" t="s">
        <v>24</v>
      </c>
      <c r="C37" s="36">
        <v>3</v>
      </c>
      <c r="D37" s="38" t="s">
        <v>363</v>
      </c>
      <c r="E37" s="65">
        <v>0</v>
      </c>
      <c r="F37" s="44" t="s">
        <v>1243</v>
      </c>
      <c r="G37" s="43">
        <v>0</v>
      </c>
      <c r="H37" s="44" t="s">
        <v>736</v>
      </c>
      <c r="I37" s="43">
        <v>0</v>
      </c>
      <c r="J37" s="44" t="s">
        <v>736</v>
      </c>
      <c r="K37" s="43">
        <v>0</v>
      </c>
    </row>
    <row r="38" spans="1:11" ht="13.9" x14ac:dyDescent="0.25">
      <c r="A38" s="43">
        <v>2000</v>
      </c>
      <c r="B38" s="36" t="s">
        <v>24</v>
      </c>
      <c r="C38" s="36">
        <v>4</v>
      </c>
      <c r="D38" s="38" t="s">
        <v>343</v>
      </c>
      <c r="E38" s="65">
        <v>0</v>
      </c>
      <c r="F38" s="44" t="s">
        <v>1242</v>
      </c>
      <c r="G38" s="43">
        <v>0</v>
      </c>
      <c r="H38" s="44" t="s">
        <v>736</v>
      </c>
      <c r="I38" s="43">
        <v>0</v>
      </c>
      <c r="J38" s="44" t="s">
        <v>736</v>
      </c>
      <c r="K38" s="43">
        <v>0</v>
      </c>
    </row>
    <row r="39" spans="1:11" ht="13.9" x14ac:dyDescent="0.25">
      <c r="A39" s="43">
        <v>2000</v>
      </c>
      <c r="B39" s="36" t="s">
        <v>24</v>
      </c>
      <c r="C39" s="36">
        <v>5</v>
      </c>
      <c r="D39" s="38" t="s">
        <v>360</v>
      </c>
      <c r="E39" s="65">
        <v>0</v>
      </c>
      <c r="F39" s="44" t="s">
        <v>1239</v>
      </c>
      <c r="G39" s="43">
        <v>0</v>
      </c>
      <c r="H39" s="44" t="s">
        <v>736</v>
      </c>
      <c r="I39" s="43">
        <v>0</v>
      </c>
      <c r="J39" s="44" t="s">
        <v>736</v>
      </c>
      <c r="K39" s="43">
        <v>0</v>
      </c>
    </row>
    <row r="40" spans="1:11" ht="13.9" x14ac:dyDescent="0.25">
      <c r="A40" s="43">
        <v>2000</v>
      </c>
      <c r="B40" s="36" t="s">
        <v>24</v>
      </c>
      <c r="C40" s="36">
        <v>6</v>
      </c>
      <c r="D40" s="38" t="s">
        <v>542</v>
      </c>
      <c r="E40" s="65">
        <v>0</v>
      </c>
      <c r="F40" s="44" t="s">
        <v>1234</v>
      </c>
      <c r="G40" s="43">
        <v>0</v>
      </c>
      <c r="H40" s="44" t="s">
        <v>1060</v>
      </c>
      <c r="I40" s="43">
        <v>0</v>
      </c>
      <c r="J40" s="44" t="s">
        <v>736</v>
      </c>
      <c r="K40" s="43">
        <v>0</v>
      </c>
    </row>
    <row r="41" spans="1:11" ht="13.9" x14ac:dyDescent="0.25">
      <c r="A41" s="43">
        <v>2000</v>
      </c>
      <c r="B41" s="36" t="s">
        <v>24</v>
      </c>
      <c r="C41" s="36">
        <v>7</v>
      </c>
      <c r="D41" s="35" t="s">
        <v>358</v>
      </c>
      <c r="E41" s="65">
        <v>0</v>
      </c>
      <c r="F41" s="44" t="s">
        <v>1235</v>
      </c>
      <c r="G41" s="43">
        <v>0</v>
      </c>
      <c r="H41" s="44" t="s">
        <v>736</v>
      </c>
      <c r="I41" s="43">
        <v>0</v>
      </c>
      <c r="J41" s="44" t="s">
        <v>824</v>
      </c>
      <c r="K41" s="43">
        <v>0</v>
      </c>
    </row>
    <row r="42" spans="1:11" ht="13.9" x14ac:dyDescent="0.25">
      <c r="A42" s="43">
        <v>2000</v>
      </c>
      <c r="B42" s="36" t="s">
        <v>24</v>
      </c>
      <c r="C42" s="36">
        <v>8</v>
      </c>
      <c r="D42" s="38" t="s">
        <v>357</v>
      </c>
      <c r="E42" s="65">
        <v>0</v>
      </c>
      <c r="F42" s="44" t="s">
        <v>1407</v>
      </c>
      <c r="G42" s="43">
        <v>0</v>
      </c>
      <c r="H42" s="44" t="s">
        <v>736</v>
      </c>
      <c r="I42" s="43">
        <v>0</v>
      </c>
      <c r="J42" s="44" t="s">
        <v>824</v>
      </c>
      <c r="K42" s="43">
        <v>0</v>
      </c>
    </row>
    <row r="43" spans="1:11" ht="13.9" x14ac:dyDescent="0.25">
      <c r="A43" s="43">
        <v>2000</v>
      </c>
      <c r="B43" s="36" t="s">
        <v>24</v>
      </c>
      <c r="C43" s="36">
        <v>9</v>
      </c>
      <c r="D43" s="38" t="s">
        <v>357</v>
      </c>
      <c r="E43" s="65">
        <v>0</v>
      </c>
      <c r="F43" s="44" t="s">
        <v>1407</v>
      </c>
      <c r="G43" s="43">
        <v>0</v>
      </c>
      <c r="H43" s="44" t="s">
        <v>1061</v>
      </c>
      <c r="I43" s="43">
        <v>0</v>
      </c>
      <c r="J43" s="44" t="s">
        <v>824</v>
      </c>
      <c r="K43" s="43">
        <v>0</v>
      </c>
    </row>
    <row r="44" spans="1:11" ht="13.9" x14ac:dyDescent="0.25">
      <c r="A44" s="43">
        <v>2000</v>
      </c>
      <c r="B44" s="36" t="s">
        <v>24</v>
      </c>
      <c r="C44" s="36">
        <v>10</v>
      </c>
      <c r="D44" s="38" t="s">
        <v>358</v>
      </c>
      <c r="E44" s="65">
        <v>0</v>
      </c>
      <c r="F44" s="44" t="s">
        <v>1235</v>
      </c>
      <c r="G44" s="43">
        <v>0</v>
      </c>
      <c r="H44" s="44" t="s">
        <v>1061</v>
      </c>
      <c r="I44" s="43">
        <v>0</v>
      </c>
      <c r="J44" s="44" t="s">
        <v>824</v>
      </c>
      <c r="K44" s="43">
        <v>0</v>
      </c>
    </row>
    <row r="45" spans="1:11" ht="13.9" x14ac:dyDescent="0.25">
      <c r="A45" s="43">
        <v>2000</v>
      </c>
      <c r="B45" s="36" t="s">
        <v>24</v>
      </c>
      <c r="C45" s="36">
        <v>11</v>
      </c>
      <c r="D45" s="38" t="s">
        <v>542</v>
      </c>
      <c r="E45" s="65">
        <v>0</v>
      </c>
      <c r="F45" s="44" t="s">
        <v>1234</v>
      </c>
      <c r="G45" s="43">
        <v>0</v>
      </c>
      <c r="H45" s="44" t="s">
        <v>824</v>
      </c>
      <c r="I45" s="43">
        <v>0</v>
      </c>
      <c r="J45" s="44" t="s">
        <v>824</v>
      </c>
      <c r="K45" s="43">
        <v>0</v>
      </c>
    </row>
    <row r="46" spans="1:11" ht="13.9" x14ac:dyDescent="0.25">
      <c r="A46" s="43">
        <v>2000</v>
      </c>
      <c r="B46" s="36" t="s">
        <v>24</v>
      </c>
      <c r="C46" s="36">
        <v>12</v>
      </c>
      <c r="D46" s="38" t="s">
        <v>360</v>
      </c>
      <c r="E46" s="65">
        <v>0</v>
      </c>
      <c r="F46" s="44" t="s">
        <v>1239</v>
      </c>
      <c r="G46" s="43">
        <v>0</v>
      </c>
      <c r="H46" s="44" t="s">
        <v>824</v>
      </c>
      <c r="I46" s="43">
        <v>0</v>
      </c>
      <c r="J46" s="44" t="s">
        <v>824</v>
      </c>
      <c r="K46" s="43">
        <v>0</v>
      </c>
    </row>
    <row r="47" spans="1:11" ht="13.9" x14ac:dyDescent="0.25">
      <c r="A47" s="43">
        <v>2000</v>
      </c>
      <c r="B47" s="36" t="s">
        <v>24</v>
      </c>
      <c r="C47" s="36">
        <v>13</v>
      </c>
      <c r="D47" s="38" t="s">
        <v>361</v>
      </c>
      <c r="E47" s="65">
        <v>0</v>
      </c>
      <c r="F47" s="44" t="s">
        <v>1233</v>
      </c>
      <c r="G47" s="43">
        <v>0</v>
      </c>
      <c r="H47" s="44" t="s">
        <v>824</v>
      </c>
      <c r="I47" s="43">
        <v>0</v>
      </c>
      <c r="J47" s="44" t="s">
        <v>824</v>
      </c>
      <c r="K47" s="43">
        <v>0</v>
      </c>
    </row>
    <row r="48" spans="1:11" ht="13.9" x14ac:dyDescent="0.25">
      <c r="A48" s="43">
        <v>2000</v>
      </c>
      <c r="B48" s="36" t="s">
        <v>24</v>
      </c>
      <c r="C48" s="36">
        <v>14</v>
      </c>
      <c r="D48" s="38" t="s">
        <v>343</v>
      </c>
      <c r="E48" s="65">
        <v>0</v>
      </c>
      <c r="F48" s="44" t="s">
        <v>1242</v>
      </c>
      <c r="G48" s="43">
        <v>0</v>
      </c>
      <c r="H48" s="44" t="s">
        <v>824</v>
      </c>
      <c r="I48" s="43">
        <v>0</v>
      </c>
      <c r="J48" s="44" t="s">
        <v>824</v>
      </c>
      <c r="K48" s="43">
        <v>0</v>
      </c>
    </row>
    <row r="49" spans="1:11" ht="13.9" x14ac:dyDescent="0.25">
      <c r="A49" s="43">
        <v>2000</v>
      </c>
      <c r="B49" s="36" t="s">
        <v>24</v>
      </c>
      <c r="C49" s="36">
        <v>15</v>
      </c>
      <c r="D49" s="38" t="s">
        <v>363</v>
      </c>
      <c r="E49" s="65">
        <v>0</v>
      </c>
      <c r="F49" s="44" t="s">
        <v>1243</v>
      </c>
      <c r="G49" s="43">
        <v>0</v>
      </c>
      <c r="H49" s="44" t="s">
        <v>736</v>
      </c>
      <c r="I49" s="43">
        <v>0</v>
      </c>
      <c r="J49" s="44" t="s">
        <v>1063</v>
      </c>
      <c r="K49" s="43">
        <v>0</v>
      </c>
    </row>
    <row r="50" spans="1:11" ht="13.9" x14ac:dyDescent="0.25">
      <c r="A50" s="43">
        <v>2000</v>
      </c>
      <c r="B50" s="36" t="s">
        <v>24</v>
      </c>
      <c r="C50" s="36">
        <v>16</v>
      </c>
      <c r="D50" s="38" t="s">
        <v>363</v>
      </c>
      <c r="E50" s="65">
        <v>0</v>
      </c>
      <c r="F50" s="44" t="s">
        <v>1243</v>
      </c>
      <c r="G50" s="43">
        <v>0</v>
      </c>
      <c r="H50" s="44" t="s">
        <v>736</v>
      </c>
      <c r="I50" s="43">
        <v>0</v>
      </c>
      <c r="J50" s="44" t="s">
        <v>1063</v>
      </c>
      <c r="K50" s="43">
        <v>0</v>
      </c>
    </row>
    <row r="51" spans="1:11" ht="13.9" x14ac:dyDescent="0.25">
      <c r="A51" s="43">
        <v>2000</v>
      </c>
      <c r="B51" s="36" t="s">
        <v>24</v>
      </c>
      <c r="C51" s="36">
        <v>17</v>
      </c>
      <c r="D51" s="38" t="s">
        <v>551</v>
      </c>
      <c r="E51" s="65">
        <v>0</v>
      </c>
      <c r="F51" s="44" t="s">
        <v>1244</v>
      </c>
      <c r="G51" s="43">
        <v>0</v>
      </c>
      <c r="H51" s="44" t="s">
        <v>736</v>
      </c>
      <c r="I51" s="43">
        <v>0</v>
      </c>
      <c r="J51" s="44" t="s">
        <v>1063</v>
      </c>
      <c r="K51" s="43">
        <v>0</v>
      </c>
    </row>
    <row r="52" spans="1:11" ht="13.9" x14ac:dyDescent="0.25">
      <c r="A52" s="43">
        <v>2000</v>
      </c>
      <c r="B52" s="36" t="s">
        <v>24</v>
      </c>
      <c r="C52" s="36">
        <v>18</v>
      </c>
      <c r="D52" s="38" t="s">
        <v>491</v>
      </c>
      <c r="E52" s="65">
        <v>0</v>
      </c>
      <c r="F52" s="44" t="s">
        <v>1232</v>
      </c>
      <c r="G52" s="43">
        <v>0</v>
      </c>
      <c r="H52" s="44" t="s">
        <v>1060</v>
      </c>
      <c r="I52" s="43">
        <v>0</v>
      </c>
      <c r="J52" s="44" t="s">
        <v>736</v>
      </c>
      <c r="K52" s="43">
        <v>0</v>
      </c>
    </row>
    <row r="53" spans="1:11" ht="13.9" x14ac:dyDescent="0.25">
      <c r="A53" s="43">
        <v>2000</v>
      </c>
      <c r="B53" s="36" t="s">
        <v>24</v>
      </c>
      <c r="C53" s="36">
        <v>19</v>
      </c>
      <c r="D53" s="38" t="s">
        <v>436</v>
      </c>
      <c r="E53" s="65">
        <v>0</v>
      </c>
      <c r="F53" s="44" t="s">
        <v>1254</v>
      </c>
      <c r="G53" s="43">
        <v>0</v>
      </c>
      <c r="H53" s="44" t="s">
        <v>1410</v>
      </c>
      <c r="I53" s="43">
        <v>0</v>
      </c>
      <c r="J53" s="44" t="s">
        <v>736</v>
      </c>
      <c r="K53" s="43">
        <v>0</v>
      </c>
    </row>
    <row r="54" spans="1:11" ht="13.9" x14ac:dyDescent="0.25">
      <c r="A54" s="43">
        <v>2000</v>
      </c>
      <c r="B54" s="36" t="s">
        <v>24</v>
      </c>
      <c r="C54" s="36">
        <v>20</v>
      </c>
      <c r="D54" s="38" t="s">
        <v>492</v>
      </c>
      <c r="E54" s="65">
        <v>0</v>
      </c>
      <c r="F54" s="44" t="s">
        <v>1255</v>
      </c>
      <c r="G54" s="43">
        <v>0</v>
      </c>
      <c r="H54" s="44" t="s">
        <v>1410</v>
      </c>
      <c r="I54" s="43">
        <v>0</v>
      </c>
      <c r="J54" s="44" t="s">
        <v>736</v>
      </c>
      <c r="K54" s="43">
        <v>0</v>
      </c>
    </row>
    <row r="55" spans="1:11" ht="13.9" x14ac:dyDescent="0.25">
      <c r="A55" s="43">
        <v>2000</v>
      </c>
      <c r="B55" s="36" t="s">
        <v>24</v>
      </c>
      <c r="C55" s="36">
        <v>21</v>
      </c>
      <c r="D55" s="38" t="s">
        <v>492</v>
      </c>
      <c r="E55" s="65">
        <v>0</v>
      </c>
      <c r="F55" s="44" t="s">
        <v>1255</v>
      </c>
      <c r="G55" s="43">
        <v>0</v>
      </c>
      <c r="H55" s="44" t="s">
        <v>1410</v>
      </c>
      <c r="I55" s="43">
        <v>0</v>
      </c>
      <c r="J55" s="44" t="s">
        <v>736</v>
      </c>
      <c r="K55" s="43">
        <v>0</v>
      </c>
    </row>
    <row r="56" spans="1:11" ht="13.9" x14ac:dyDescent="0.25">
      <c r="A56" s="43">
        <v>2000</v>
      </c>
      <c r="B56" s="36" t="s">
        <v>24</v>
      </c>
      <c r="C56" s="36">
        <v>22</v>
      </c>
      <c r="D56" s="38" t="s">
        <v>492</v>
      </c>
      <c r="E56" s="65">
        <v>0</v>
      </c>
      <c r="F56" s="44" t="s">
        <v>1255</v>
      </c>
      <c r="G56" s="43">
        <v>0</v>
      </c>
      <c r="H56" s="44" t="s">
        <v>1410</v>
      </c>
      <c r="I56" s="43">
        <v>0</v>
      </c>
      <c r="J56" s="44" t="s">
        <v>736</v>
      </c>
      <c r="K56" s="43">
        <v>0</v>
      </c>
    </row>
    <row r="57" spans="1:11" ht="13.9" x14ac:dyDescent="0.25">
      <c r="A57" s="43">
        <v>2000</v>
      </c>
      <c r="B57" s="36" t="s">
        <v>24</v>
      </c>
      <c r="C57" s="36">
        <v>23</v>
      </c>
      <c r="D57" s="38" t="s">
        <v>436</v>
      </c>
      <c r="E57" s="65">
        <v>0</v>
      </c>
      <c r="F57" s="44" t="s">
        <v>1254</v>
      </c>
      <c r="G57" s="43">
        <v>0</v>
      </c>
      <c r="H57" s="44" t="s">
        <v>765</v>
      </c>
      <c r="I57" s="43">
        <v>0</v>
      </c>
      <c r="J57" s="44" t="s">
        <v>765</v>
      </c>
      <c r="K57" s="43">
        <v>0</v>
      </c>
    </row>
    <row r="58" spans="1:11" ht="13.9" x14ac:dyDescent="0.25">
      <c r="A58" s="43">
        <v>2000</v>
      </c>
      <c r="B58" s="36" t="s">
        <v>24</v>
      </c>
      <c r="C58" s="36">
        <v>24</v>
      </c>
      <c r="D58" s="38" t="s">
        <v>551</v>
      </c>
      <c r="E58" s="65">
        <v>0</v>
      </c>
      <c r="F58" s="44" t="s">
        <v>1244</v>
      </c>
      <c r="G58" s="43">
        <v>0</v>
      </c>
      <c r="H58" s="44" t="s">
        <v>765</v>
      </c>
      <c r="I58" s="43">
        <v>0</v>
      </c>
      <c r="J58" s="44" t="s">
        <v>765</v>
      </c>
      <c r="K58" s="43">
        <v>0</v>
      </c>
    </row>
    <row r="59" spans="1:11" ht="13.9" x14ac:dyDescent="0.25">
      <c r="A59" s="43">
        <v>2000</v>
      </c>
      <c r="B59" s="36" t="s">
        <v>24</v>
      </c>
      <c r="C59" s="36">
        <v>25</v>
      </c>
      <c r="D59" s="38" t="s">
        <v>360</v>
      </c>
      <c r="E59" s="65">
        <v>0</v>
      </c>
      <c r="F59" s="44" t="s">
        <v>1239</v>
      </c>
      <c r="G59" s="43">
        <v>0</v>
      </c>
      <c r="H59" s="44" t="s">
        <v>736</v>
      </c>
      <c r="I59" s="43">
        <v>0</v>
      </c>
      <c r="J59" s="44" t="s">
        <v>765</v>
      </c>
      <c r="K59" s="43">
        <v>0</v>
      </c>
    </row>
    <row r="60" spans="1:11" ht="13.9" x14ac:dyDescent="0.25">
      <c r="A60" s="43">
        <v>2000</v>
      </c>
      <c r="B60" s="36" t="s">
        <v>24</v>
      </c>
      <c r="C60" s="36">
        <v>26</v>
      </c>
      <c r="D60" s="38" t="s">
        <v>542</v>
      </c>
      <c r="E60" s="65">
        <v>0</v>
      </c>
      <c r="F60" s="44" t="s">
        <v>1234</v>
      </c>
      <c r="G60" s="43">
        <v>0</v>
      </c>
      <c r="H60" s="44" t="s">
        <v>736</v>
      </c>
      <c r="I60" s="43">
        <v>0</v>
      </c>
      <c r="J60" s="44" t="s">
        <v>765</v>
      </c>
      <c r="K60" s="43">
        <v>0</v>
      </c>
    </row>
    <row r="61" spans="1:11" ht="13.9" x14ac:dyDescent="0.25">
      <c r="A61" s="43">
        <v>2000</v>
      </c>
      <c r="B61" s="36" t="s">
        <v>24</v>
      </c>
      <c r="C61" s="36">
        <v>27</v>
      </c>
      <c r="D61" s="38" t="s">
        <v>357</v>
      </c>
      <c r="E61" s="65">
        <v>0</v>
      </c>
      <c r="F61" s="44" t="s">
        <v>1407</v>
      </c>
      <c r="G61" s="43">
        <v>0</v>
      </c>
      <c r="H61" s="44" t="s">
        <v>736</v>
      </c>
      <c r="I61" s="43">
        <v>0</v>
      </c>
      <c r="J61" s="44" t="s">
        <v>765</v>
      </c>
      <c r="K61" s="43">
        <v>0</v>
      </c>
    </row>
    <row r="62" spans="1:11" ht="13.9" x14ac:dyDescent="0.25">
      <c r="A62" s="43">
        <v>2000</v>
      </c>
      <c r="B62" s="36" t="s">
        <v>24</v>
      </c>
      <c r="C62" s="36">
        <v>28</v>
      </c>
      <c r="D62" s="38" t="s">
        <v>356</v>
      </c>
      <c r="E62" s="65">
        <v>0</v>
      </c>
      <c r="F62" s="44" t="s">
        <v>1404</v>
      </c>
      <c r="G62" s="43">
        <v>0</v>
      </c>
      <c r="H62" s="44" t="s">
        <v>736</v>
      </c>
      <c r="I62" s="43">
        <v>0</v>
      </c>
      <c r="J62" s="44" t="s">
        <v>766</v>
      </c>
      <c r="K62" s="43">
        <v>0</v>
      </c>
    </row>
    <row r="63" spans="1:11" ht="13.9" x14ac:dyDescent="0.25">
      <c r="A63" s="43">
        <v>2000</v>
      </c>
      <c r="B63" s="36" t="s">
        <v>24</v>
      </c>
      <c r="C63" s="36">
        <v>29</v>
      </c>
      <c r="D63" s="44"/>
      <c r="E63" s="44"/>
      <c r="F63" s="44"/>
      <c r="G63" s="44"/>
      <c r="H63" s="44"/>
      <c r="I63" s="44"/>
      <c r="J63" s="44"/>
      <c r="K63" s="44"/>
    </row>
    <row r="64" spans="1:11" ht="13.9" x14ac:dyDescent="0.25">
      <c r="A64" s="43">
        <v>2000</v>
      </c>
      <c r="B64" s="36" t="s">
        <v>25</v>
      </c>
      <c r="C64" s="36">
        <v>1</v>
      </c>
      <c r="D64" s="38" t="s">
        <v>344</v>
      </c>
      <c r="E64" s="40">
        <v>0</v>
      </c>
      <c r="F64" s="44" t="s">
        <v>1412</v>
      </c>
      <c r="G64" s="43">
        <v>0</v>
      </c>
      <c r="H64" s="44" t="s">
        <v>1272</v>
      </c>
      <c r="I64" s="43">
        <v>0</v>
      </c>
      <c r="J64" s="44" t="s">
        <v>736</v>
      </c>
      <c r="K64" s="43">
        <v>0</v>
      </c>
    </row>
    <row r="65" spans="1:11" ht="13.9" x14ac:dyDescent="0.25">
      <c r="A65" s="43">
        <v>2000</v>
      </c>
      <c r="B65" s="36" t="s">
        <v>25</v>
      </c>
      <c r="C65" s="36">
        <v>2</v>
      </c>
      <c r="D65" s="38" t="s">
        <v>344</v>
      </c>
      <c r="E65" s="40">
        <v>0</v>
      </c>
      <c r="F65" s="44" t="s">
        <v>1412</v>
      </c>
      <c r="G65" s="43">
        <v>0</v>
      </c>
      <c r="H65" s="44" t="s">
        <v>1248</v>
      </c>
      <c r="I65" s="43">
        <v>0</v>
      </c>
      <c r="J65" s="44" t="s">
        <v>765</v>
      </c>
      <c r="K65" s="43">
        <v>0</v>
      </c>
    </row>
    <row r="66" spans="1:11" ht="13.9" x14ac:dyDescent="0.25">
      <c r="A66" s="43">
        <v>2000</v>
      </c>
      <c r="B66" s="36" t="s">
        <v>25</v>
      </c>
      <c r="C66" s="36">
        <v>3</v>
      </c>
      <c r="D66" s="38" t="s">
        <v>488</v>
      </c>
      <c r="E66" s="40">
        <v>0</v>
      </c>
      <c r="F66" s="44" t="s">
        <v>1405</v>
      </c>
      <c r="G66" s="43">
        <v>0</v>
      </c>
      <c r="H66" s="44" t="s">
        <v>1248</v>
      </c>
      <c r="I66" s="43">
        <v>0</v>
      </c>
      <c r="J66" s="44" t="s">
        <v>765</v>
      </c>
      <c r="K66" s="43">
        <v>0</v>
      </c>
    </row>
    <row r="67" spans="1:11" ht="13.9" x14ac:dyDescent="0.25">
      <c r="A67" s="43">
        <v>2000</v>
      </c>
      <c r="B67" s="36" t="s">
        <v>25</v>
      </c>
      <c r="C67" s="36">
        <v>4</v>
      </c>
      <c r="D67" s="38" t="s">
        <v>356</v>
      </c>
      <c r="E67" s="40">
        <v>0</v>
      </c>
      <c r="F67" s="44" t="s">
        <v>1404</v>
      </c>
      <c r="G67" s="43">
        <v>0</v>
      </c>
      <c r="H67" s="44" t="s">
        <v>1248</v>
      </c>
      <c r="I67" s="43">
        <v>0</v>
      </c>
      <c r="J67" s="44" t="s">
        <v>1248</v>
      </c>
      <c r="K67" s="43">
        <v>0</v>
      </c>
    </row>
    <row r="68" spans="1:11" ht="13.9" x14ac:dyDescent="0.25">
      <c r="A68" s="43">
        <v>2000</v>
      </c>
      <c r="B68" s="36" t="s">
        <v>25</v>
      </c>
      <c r="C68" s="36">
        <v>5</v>
      </c>
      <c r="D68" s="38" t="s">
        <v>357</v>
      </c>
      <c r="E68" s="40">
        <v>0</v>
      </c>
      <c r="F68" s="44" t="s">
        <v>1407</v>
      </c>
      <c r="G68" s="43">
        <v>0</v>
      </c>
      <c r="H68" s="44" t="s">
        <v>1248</v>
      </c>
      <c r="I68" s="43">
        <v>0</v>
      </c>
      <c r="J68" s="44" t="s">
        <v>1248</v>
      </c>
      <c r="K68" s="43">
        <v>0</v>
      </c>
    </row>
    <row r="69" spans="1:11" ht="13.9" x14ac:dyDescent="0.25">
      <c r="A69" s="43">
        <v>2000</v>
      </c>
      <c r="B69" s="36" t="s">
        <v>25</v>
      </c>
      <c r="C69" s="36">
        <v>6</v>
      </c>
      <c r="D69" s="38" t="s">
        <v>358</v>
      </c>
      <c r="E69" s="40">
        <v>0</v>
      </c>
      <c r="F69" s="44" t="s">
        <v>1235</v>
      </c>
      <c r="G69" s="43">
        <v>0</v>
      </c>
      <c r="H69" s="44" t="s">
        <v>1248</v>
      </c>
      <c r="I69" s="43">
        <v>0</v>
      </c>
      <c r="J69" s="44" t="s">
        <v>1248</v>
      </c>
      <c r="K69" s="43">
        <v>0</v>
      </c>
    </row>
    <row r="70" spans="1:11" ht="13.9" x14ac:dyDescent="0.25">
      <c r="A70" s="43">
        <v>2000</v>
      </c>
      <c r="B70" s="36" t="s">
        <v>25</v>
      </c>
      <c r="C70" s="36">
        <v>7</v>
      </c>
      <c r="D70" s="38" t="s">
        <v>542</v>
      </c>
      <c r="E70" s="40">
        <v>0</v>
      </c>
      <c r="F70" s="44" t="s">
        <v>1234</v>
      </c>
      <c r="G70" s="43">
        <v>0</v>
      </c>
      <c r="H70" s="44" t="s">
        <v>1249</v>
      </c>
      <c r="I70" s="43">
        <v>0</v>
      </c>
      <c r="J70" s="44" t="s">
        <v>1249</v>
      </c>
      <c r="K70" s="43">
        <v>0</v>
      </c>
    </row>
    <row r="71" spans="1:11" ht="13.9" x14ac:dyDescent="0.25">
      <c r="A71" s="43">
        <v>2000</v>
      </c>
      <c r="B71" s="36" t="s">
        <v>25</v>
      </c>
      <c r="C71" s="36">
        <v>8</v>
      </c>
      <c r="D71" s="38" t="s">
        <v>360</v>
      </c>
      <c r="E71" s="40">
        <v>0</v>
      </c>
      <c r="F71" s="44" t="s">
        <v>1239</v>
      </c>
      <c r="G71" s="43">
        <v>0</v>
      </c>
      <c r="H71" s="44" t="s">
        <v>736</v>
      </c>
      <c r="I71" s="43">
        <v>0</v>
      </c>
      <c r="J71" s="44" t="s">
        <v>1249</v>
      </c>
      <c r="K71" s="43">
        <v>0</v>
      </c>
    </row>
    <row r="72" spans="1:11" ht="13.9" x14ac:dyDescent="0.25">
      <c r="A72" s="43">
        <v>2000</v>
      </c>
      <c r="B72" s="36" t="s">
        <v>25</v>
      </c>
      <c r="C72" s="36">
        <v>9</v>
      </c>
      <c r="D72" s="38" t="s">
        <v>360</v>
      </c>
      <c r="E72" s="40">
        <v>0</v>
      </c>
      <c r="F72" s="44" t="s">
        <v>1239</v>
      </c>
      <c r="G72" s="43">
        <v>0</v>
      </c>
      <c r="H72" s="44" t="s">
        <v>736</v>
      </c>
      <c r="I72" s="43">
        <v>0</v>
      </c>
      <c r="J72" s="44" t="s">
        <v>736</v>
      </c>
      <c r="K72" s="43">
        <v>0</v>
      </c>
    </row>
    <row r="73" spans="1:11" ht="13.9" x14ac:dyDescent="0.25">
      <c r="A73" s="43">
        <v>2000</v>
      </c>
      <c r="B73" s="36" t="s">
        <v>25</v>
      </c>
      <c r="C73" s="36">
        <v>10</v>
      </c>
      <c r="D73" s="38" t="s">
        <v>360</v>
      </c>
      <c r="E73" s="40">
        <v>0</v>
      </c>
      <c r="F73" s="44" t="s">
        <v>1239</v>
      </c>
      <c r="G73" s="43">
        <v>0</v>
      </c>
      <c r="H73" s="44" t="s">
        <v>736</v>
      </c>
      <c r="I73" s="43">
        <v>0</v>
      </c>
      <c r="J73" s="44" t="s">
        <v>736</v>
      </c>
      <c r="K73" s="43">
        <v>0</v>
      </c>
    </row>
    <row r="74" spans="1:11" ht="13.9" x14ac:dyDescent="0.25">
      <c r="A74" s="43">
        <v>2000</v>
      </c>
      <c r="B74" s="36" t="s">
        <v>25</v>
      </c>
      <c r="C74" s="36">
        <v>11</v>
      </c>
      <c r="D74" s="38" t="s">
        <v>360</v>
      </c>
      <c r="E74" s="40">
        <v>0</v>
      </c>
      <c r="F74" s="44" t="s">
        <v>1239</v>
      </c>
      <c r="G74" s="43">
        <v>0</v>
      </c>
      <c r="H74" s="44" t="s">
        <v>736</v>
      </c>
      <c r="I74" s="43">
        <v>0</v>
      </c>
      <c r="J74" s="44" t="s">
        <v>736</v>
      </c>
      <c r="K74" s="43">
        <v>0</v>
      </c>
    </row>
    <row r="75" spans="1:11" ht="13.9" x14ac:dyDescent="0.25">
      <c r="A75" s="43">
        <v>2000</v>
      </c>
      <c r="B75" s="36" t="s">
        <v>25</v>
      </c>
      <c r="C75" s="36">
        <v>12</v>
      </c>
      <c r="D75" s="38" t="s">
        <v>360</v>
      </c>
      <c r="E75" s="40">
        <v>0</v>
      </c>
      <c r="F75" s="44" t="s">
        <v>1239</v>
      </c>
      <c r="G75" s="43">
        <v>0</v>
      </c>
      <c r="H75" s="44" t="s">
        <v>736</v>
      </c>
      <c r="I75" s="43">
        <v>0</v>
      </c>
      <c r="J75" s="44" t="s">
        <v>736</v>
      </c>
      <c r="K75" s="43">
        <v>0</v>
      </c>
    </row>
    <row r="76" spans="1:11" ht="13.9" x14ac:dyDescent="0.25">
      <c r="A76" s="43">
        <v>2000</v>
      </c>
      <c r="B76" s="36" t="s">
        <v>25</v>
      </c>
      <c r="C76" s="36">
        <v>13</v>
      </c>
      <c r="D76" s="38" t="s">
        <v>360</v>
      </c>
      <c r="E76" s="40">
        <v>0</v>
      </c>
      <c r="F76" s="44" t="s">
        <v>1239</v>
      </c>
      <c r="G76" s="43">
        <v>0</v>
      </c>
      <c r="H76" s="44" t="s">
        <v>824</v>
      </c>
      <c r="I76" s="43">
        <v>0</v>
      </c>
      <c r="J76" s="44" t="s">
        <v>1249</v>
      </c>
      <c r="K76" s="43">
        <v>0</v>
      </c>
    </row>
    <row r="77" spans="1:11" ht="13.9" x14ac:dyDescent="0.25">
      <c r="A77" s="43">
        <v>2000</v>
      </c>
      <c r="B77" s="36" t="s">
        <v>25</v>
      </c>
      <c r="C77" s="36">
        <v>14</v>
      </c>
      <c r="D77" s="38" t="s">
        <v>361</v>
      </c>
      <c r="E77" s="40">
        <v>0</v>
      </c>
      <c r="F77" s="44" t="s">
        <v>1233</v>
      </c>
      <c r="G77" s="43">
        <v>0</v>
      </c>
      <c r="H77" s="44" t="s">
        <v>1272</v>
      </c>
      <c r="I77" s="43">
        <v>0</v>
      </c>
      <c r="J77" s="44" t="s">
        <v>1248</v>
      </c>
      <c r="K77" s="43">
        <v>0</v>
      </c>
    </row>
    <row r="78" spans="1:11" ht="13.9" x14ac:dyDescent="0.25">
      <c r="A78" s="43">
        <v>2000</v>
      </c>
      <c r="B78" s="36" t="s">
        <v>25</v>
      </c>
      <c r="C78" s="62">
        <v>15</v>
      </c>
      <c r="D78" s="38" t="s">
        <v>343</v>
      </c>
      <c r="E78" s="40">
        <v>0</v>
      </c>
      <c r="F78" s="44" t="s">
        <v>1242</v>
      </c>
      <c r="G78" s="43">
        <v>0</v>
      </c>
      <c r="H78" s="44" t="s">
        <v>1272</v>
      </c>
      <c r="I78" s="43">
        <v>0</v>
      </c>
      <c r="J78" s="44" t="s">
        <v>1248</v>
      </c>
      <c r="K78" s="43">
        <v>0</v>
      </c>
    </row>
    <row r="79" spans="1:11" ht="13.9" x14ac:dyDescent="0.25">
      <c r="A79" s="43">
        <v>2000</v>
      </c>
      <c r="B79" s="36" t="s">
        <v>25</v>
      </c>
      <c r="C79" s="36">
        <v>16</v>
      </c>
      <c r="D79" s="38" t="s">
        <v>363</v>
      </c>
      <c r="E79" s="40">
        <v>0</v>
      </c>
      <c r="F79" s="44" t="s">
        <v>1243</v>
      </c>
      <c r="G79" s="43">
        <v>0</v>
      </c>
      <c r="H79" s="44" t="s">
        <v>1272</v>
      </c>
      <c r="I79" s="43">
        <v>0</v>
      </c>
      <c r="J79" s="44" t="s">
        <v>1248</v>
      </c>
      <c r="K79" s="43">
        <v>0</v>
      </c>
    </row>
    <row r="80" spans="1:11" ht="13.9" x14ac:dyDescent="0.25">
      <c r="A80" s="43">
        <v>2000</v>
      </c>
      <c r="B80" s="36" t="s">
        <v>25</v>
      </c>
      <c r="C80" s="36">
        <v>17</v>
      </c>
      <c r="D80" s="38" t="s">
        <v>491</v>
      </c>
      <c r="E80" s="40">
        <v>0</v>
      </c>
      <c r="F80" s="44" t="s">
        <v>1232</v>
      </c>
      <c r="G80" s="43">
        <v>0</v>
      </c>
      <c r="H80" s="44" t="s">
        <v>1272</v>
      </c>
      <c r="I80" s="43">
        <v>0</v>
      </c>
      <c r="J80" s="44" t="s">
        <v>1248</v>
      </c>
      <c r="K80" s="43">
        <v>0</v>
      </c>
    </row>
    <row r="81" spans="1:11" ht="13.9" x14ac:dyDescent="0.25">
      <c r="A81" s="43">
        <v>2000</v>
      </c>
      <c r="B81" s="36" t="s">
        <v>25</v>
      </c>
      <c r="C81" s="36">
        <v>18</v>
      </c>
      <c r="D81" s="38" t="s">
        <v>436</v>
      </c>
      <c r="E81" s="40">
        <v>0</v>
      </c>
      <c r="F81" s="44" t="s">
        <v>1254</v>
      </c>
      <c r="G81" s="43">
        <v>0</v>
      </c>
      <c r="H81" s="44" t="s">
        <v>1249</v>
      </c>
      <c r="I81" s="43">
        <v>0</v>
      </c>
      <c r="J81" s="44" t="s">
        <v>1249</v>
      </c>
      <c r="K81" s="43">
        <v>0</v>
      </c>
    </row>
    <row r="82" spans="1:11" ht="13.9" x14ac:dyDescent="0.25">
      <c r="A82" s="43">
        <v>2000</v>
      </c>
      <c r="B82" s="36" t="s">
        <v>25</v>
      </c>
      <c r="C82" s="36">
        <v>19</v>
      </c>
      <c r="D82" s="38" t="s">
        <v>492</v>
      </c>
      <c r="E82" s="40">
        <v>0</v>
      </c>
      <c r="F82" s="44" t="s">
        <v>1255</v>
      </c>
      <c r="G82" s="43">
        <v>0</v>
      </c>
      <c r="H82" s="44" t="s">
        <v>765</v>
      </c>
      <c r="I82" s="43">
        <v>0</v>
      </c>
      <c r="J82" s="44" t="s">
        <v>765</v>
      </c>
      <c r="K82" s="43">
        <v>0</v>
      </c>
    </row>
    <row r="83" spans="1:11" ht="13.9" x14ac:dyDescent="0.25">
      <c r="A83" s="43">
        <v>2000</v>
      </c>
      <c r="B83" s="36" t="s">
        <v>25</v>
      </c>
      <c r="C83" s="36">
        <v>20</v>
      </c>
      <c r="D83" s="38" t="s">
        <v>493</v>
      </c>
      <c r="E83" s="40">
        <v>0</v>
      </c>
      <c r="F83" s="42" t="s">
        <v>1256</v>
      </c>
      <c r="G83" s="43">
        <v>0</v>
      </c>
      <c r="H83" s="44" t="s">
        <v>765</v>
      </c>
      <c r="I83" s="43">
        <v>0</v>
      </c>
      <c r="J83" s="44" t="s">
        <v>775</v>
      </c>
      <c r="K83" s="43">
        <v>0</v>
      </c>
    </row>
    <row r="84" spans="1:11" ht="13.9" x14ac:dyDescent="0.25">
      <c r="A84" s="43">
        <v>2000</v>
      </c>
      <c r="B84" s="36" t="s">
        <v>25</v>
      </c>
      <c r="C84" s="36">
        <v>21</v>
      </c>
      <c r="D84" s="38" t="s">
        <v>494</v>
      </c>
      <c r="E84" s="40">
        <v>0</v>
      </c>
      <c r="F84" s="42" t="s">
        <v>1257</v>
      </c>
      <c r="G84" s="43">
        <v>0</v>
      </c>
      <c r="H84" s="44" t="s">
        <v>736</v>
      </c>
      <c r="I84" s="43">
        <v>0</v>
      </c>
      <c r="J84" s="44" t="s">
        <v>775</v>
      </c>
      <c r="K84" s="43">
        <v>0</v>
      </c>
    </row>
    <row r="85" spans="1:11" ht="13.9" x14ac:dyDescent="0.25">
      <c r="A85" s="43">
        <v>2000</v>
      </c>
      <c r="B85" s="36" t="s">
        <v>25</v>
      </c>
      <c r="C85" s="36">
        <v>22</v>
      </c>
      <c r="D85" s="38" t="s">
        <v>495</v>
      </c>
      <c r="E85" s="40">
        <v>0</v>
      </c>
      <c r="F85" s="73" t="s">
        <v>1231</v>
      </c>
      <c r="G85" s="43">
        <v>0</v>
      </c>
      <c r="H85" s="44" t="s">
        <v>736</v>
      </c>
      <c r="I85" s="43">
        <v>0</v>
      </c>
      <c r="J85" s="44" t="s">
        <v>775</v>
      </c>
      <c r="K85" s="43">
        <v>0</v>
      </c>
    </row>
    <row r="86" spans="1:11" ht="13.9" x14ac:dyDescent="0.25">
      <c r="A86" s="43">
        <v>2000</v>
      </c>
      <c r="B86" s="36" t="s">
        <v>25</v>
      </c>
      <c r="C86" s="36">
        <v>23</v>
      </c>
      <c r="D86" s="38" t="s">
        <v>340</v>
      </c>
      <c r="E86" s="40">
        <v>0</v>
      </c>
      <c r="F86" s="73" t="s">
        <v>1259</v>
      </c>
      <c r="G86" s="43">
        <v>0</v>
      </c>
      <c r="H86" s="44" t="s">
        <v>765</v>
      </c>
      <c r="I86" s="43">
        <v>0</v>
      </c>
      <c r="J86" s="44" t="s">
        <v>765</v>
      </c>
      <c r="K86" s="43">
        <v>0</v>
      </c>
    </row>
    <row r="87" spans="1:11" ht="13.9" x14ac:dyDescent="0.25">
      <c r="A87" s="43">
        <v>2000</v>
      </c>
      <c r="B87" s="36" t="s">
        <v>25</v>
      </c>
      <c r="C87" s="36">
        <v>24</v>
      </c>
      <c r="D87" s="38" t="s">
        <v>1411</v>
      </c>
      <c r="E87" s="40">
        <v>0</v>
      </c>
      <c r="F87" s="73" t="s">
        <v>980</v>
      </c>
      <c r="G87" s="43">
        <v>0</v>
      </c>
      <c r="H87" s="44" t="s">
        <v>767</v>
      </c>
      <c r="I87" s="43">
        <v>0</v>
      </c>
      <c r="J87" s="44" t="s">
        <v>775</v>
      </c>
      <c r="K87" s="43">
        <v>0</v>
      </c>
    </row>
    <row r="88" spans="1:11" ht="13.9" x14ac:dyDescent="0.25">
      <c r="A88" s="43">
        <v>2000</v>
      </c>
      <c r="B88" s="36" t="s">
        <v>25</v>
      </c>
      <c r="C88" s="36">
        <v>25</v>
      </c>
      <c r="D88" s="38" t="s">
        <v>338</v>
      </c>
      <c r="E88" s="40">
        <v>0</v>
      </c>
      <c r="F88" s="73" t="s">
        <v>1229</v>
      </c>
      <c r="G88" s="43">
        <v>0</v>
      </c>
      <c r="H88" s="44" t="s">
        <v>775</v>
      </c>
      <c r="I88" s="43">
        <v>0</v>
      </c>
      <c r="J88" s="44" t="s">
        <v>775</v>
      </c>
      <c r="K88" s="43">
        <v>0</v>
      </c>
    </row>
    <row r="89" spans="1:11" ht="13.9" x14ac:dyDescent="0.25">
      <c r="A89" s="43">
        <v>2000</v>
      </c>
      <c r="B89" s="36" t="s">
        <v>25</v>
      </c>
      <c r="C89" s="36">
        <v>26</v>
      </c>
      <c r="D89" s="38" t="s">
        <v>514</v>
      </c>
      <c r="E89" s="40">
        <v>0</v>
      </c>
      <c r="F89" s="73" t="s">
        <v>979</v>
      </c>
      <c r="G89" s="43">
        <v>0</v>
      </c>
      <c r="H89" s="44" t="s">
        <v>775</v>
      </c>
      <c r="I89" s="43">
        <v>0</v>
      </c>
      <c r="J89" s="44" t="s">
        <v>767</v>
      </c>
      <c r="K89" s="43">
        <v>0</v>
      </c>
    </row>
    <row r="90" spans="1:11" ht="13.9" x14ac:dyDescent="0.25">
      <c r="A90" s="43">
        <v>2000</v>
      </c>
      <c r="B90" s="36" t="s">
        <v>25</v>
      </c>
      <c r="C90" s="36">
        <v>27</v>
      </c>
      <c r="D90" s="38" t="s">
        <v>498</v>
      </c>
      <c r="E90" s="40">
        <v>0</v>
      </c>
      <c r="F90" s="73" t="s">
        <v>1228</v>
      </c>
      <c r="G90" s="43">
        <v>0</v>
      </c>
      <c r="H90" s="44" t="s">
        <v>765</v>
      </c>
      <c r="I90" s="43">
        <v>0</v>
      </c>
      <c r="J90" s="44" t="s">
        <v>736</v>
      </c>
      <c r="K90" s="43">
        <v>0</v>
      </c>
    </row>
    <row r="91" spans="1:11" ht="13.9" x14ac:dyDescent="0.25">
      <c r="A91" s="43">
        <v>2000</v>
      </c>
      <c r="B91" s="36" t="s">
        <v>25</v>
      </c>
      <c r="C91" s="36">
        <v>28</v>
      </c>
      <c r="D91" s="38" t="s">
        <v>499</v>
      </c>
      <c r="E91" s="40">
        <v>0</v>
      </c>
      <c r="F91" s="73" t="s">
        <v>1403</v>
      </c>
      <c r="G91" s="43">
        <v>0</v>
      </c>
      <c r="H91" s="44" t="s">
        <v>765</v>
      </c>
      <c r="I91" s="43">
        <v>0</v>
      </c>
      <c r="J91" s="44" t="s">
        <v>736</v>
      </c>
      <c r="K91" s="43">
        <v>0</v>
      </c>
    </row>
    <row r="92" spans="1:11" ht="13.9" x14ac:dyDescent="0.25">
      <c r="A92" s="43">
        <v>2000</v>
      </c>
      <c r="B92" s="36" t="s">
        <v>25</v>
      </c>
      <c r="C92" s="36">
        <v>29</v>
      </c>
      <c r="D92" s="38" t="s">
        <v>499</v>
      </c>
      <c r="E92" s="40">
        <v>0</v>
      </c>
      <c r="F92" s="42" t="s">
        <v>1403</v>
      </c>
      <c r="G92" s="43">
        <v>0</v>
      </c>
      <c r="H92" s="44" t="s">
        <v>765</v>
      </c>
      <c r="I92" s="43">
        <v>0</v>
      </c>
      <c r="J92" s="44" t="s">
        <v>736</v>
      </c>
      <c r="K92" s="43">
        <v>0</v>
      </c>
    </row>
    <row r="93" spans="1:11" ht="13.9" x14ac:dyDescent="0.25">
      <c r="A93" s="43">
        <v>2000</v>
      </c>
      <c r="B93" s="36" t="s">
        <v>25</v>
      </c>
      <c r="C93" s="36">
        <v>30</v>
      </c>
      <c r="D93" s="38" t="s">
        <v>517</v>
      </c>
      <c r="E93" s="40">
        <v>0</v>
      </c>
      <c r="F93" s="42" t="s">
        <v>1413</v>
      </c>
      <c r="G93" s="43">
        <v>0</v>
      </c>
      <c r="H93" s="44" t="s">
        <v>736</v>
      </c>
      <c r="I93" s="43">
        <v>0</v>
      </c>
      <c r="J93" s="44" t="s">
        <v>736</v>
      </c>
      <c r="K93" s="43">
        <v>0</v>
      </c>
    </row>
    <row r="94" spans="1:11" ht="13.9" x14ac:dyDescent="0.25">
      <c r="A94" s="43">
        <v>2000</v>
      </c>
      <c r="B94" s="36" t="s">
        <v>25</v>
      </c>
      <c r="C94" s="36">
        <v>31</v>
      </c>
      <c r="D94" s="38" t="s">
        <v>517</v>
      </c>
      <c r="E94" s="40">
        <v>0</v>
      </c>
      <c r="F94" s="42" t="s">
        <v>1413</v>
      </c>
      <c r="G94" s="43">
        <v>0</v>
      </c>
      <c r="H94" s="44" t="s">
        <v>736</v>
      </c>
      <c r="I94" s="43">
        <v>0</v>
      </c>
      <c r="J94" s="44" t="s">
        <v>736</v>
      </c>
      <c r="K94" s="43">
        <v>0</v>
      </c>
    </row>
    <row r="95" spans="1:11" ht="13.9" x14ac:dyDescent="0.25">
      <c r="A95" s="43">
        <v>2000</v>
      </c>
      <c r="B95" s="36" t="s">
        <v>26</v>
      </c>
      <c r="C95" s="36">
        <v>1</v>
      </c>
      <c r="D95" s="38" t="s">
        <v>517</v>
      </c>
      <c r="E95" s="40">
        <v>0</v>
      </c>
      <c r="F95" s="44" t="s">
        <v>1413</v>
      </c>
      <c r="G95" s="43">
        <v>0</v>
      </c>
      <c r="H95" s="44" t="s">
        <v>736</v>
      </c>
      <c r="I95" s="43">
        <v>0</v>
      </c>
      <c r="J95" s="44" t="s">
        <v>775</v>
      </c>
      <c r="K95" s="43">
        <v>0</v>
      </c>
    </row>
    <row r="96" spans="1:11" ht="13.9" x14ac:dyDescent="0.25">
      <c r="A96" s="43">
        <v>2000</v>
      </c>
      <c r="B96" s="36" t="s">
        <v>26</v>
      </c>
      <c r="C96" s="36">
        <v>2</v>
      </c>
      <c r="D96" s="38" t="s">
        <v>336</v>
      </c>
      <c r="E96" s="40">
        <v>0</v>
      </c>
      <c r="F96" s="44" t="s">
        <v>1227</v>
      </c>
      <c r="G96" s="43">
        <v>0</v>
      </c>
      <c r="H96" s="44" t="s">
        <v>775</v>
      </c>
      <c r="I96" s="43">
        <v>0</v>
      </c>
      <c r="J96" s="44" t="s">
        <v>775</v>
      </c>
      <c r="K96" s="43">
        <v>0</v>
      </c>
    </row>
    <row r="97" spans="1:11" ht="13.9" x14ac:dyDescent="0.25">
      <c r="A97" s="43">
        <v>2000</v>
      </c>
      <c r="B97" s="36" t="s">
        <v>26</v>
      </c>
      <c r="C97" s="36">
        <v>3</v>
      </c>
      <c r="D97" s="38" t="s">
        <v>500</v>
      </c>
      <c r="E97" s="40">
        <v>0</v>
      </c>
      <c r="F97" s="44" t="s">
        <v>1263</v>
      </c>
      <c r="G97" s="43">
        <v>0</v>
      </c>
      <c r="H97" s="44" t="s">
        <v>775</v>
      </c>
      <c r="I97" s="43">
        <v>0</v>
      </c>
      <c r="J97" s="44" t="s">
        <v>775</v>
      </c>
      <c r="K97" s="43">
        <v>0</v>
      </c>
    </row>
    <row r="98" spans="1:11" ht="13.9" x14ac:dyDescent="0.25">
      <c r="A98" s="43">
        <v>2000</v>
      </c>
      <c r="B98" s="36" t="s">
        <v>26</v>
      </c>
      <c r="C98" s="36">
        <v>4</v>
      </c>
      <c r="D98" s="38" t="s">
        <v>501</v>
      </c>
      <c r="E98" s="40">
        <v>0</v>
      </c>
      <c r="F98" s="44" t="s">
        <v>1264</v>
      </c>
      <c r="G98" s="43">
        <v>0</v>
      </c>
      <c r="H98" s="44" t="s">
        <v>1417</v>
      </c>
      <c r="I98" s="43">
        <v>0</v>
      </c>
      <c r="J98" s="44" t="s">
        <v>775</v>
      </c>
      <c r="K98" s="43">
        <v>0</v>
      </c>
    </row>
    <row r="99" spans="1:11" ht="13.9" x14ac:dyDescent="0.25">
      <c r="A99" s="43">
        <v>2000</v>
      </c>
      <c r="B99" s="36" t="s">
        <v>26</v>
      </c>
      <c r="C99" s="36">
        <v>5</v>
      </c>
      <c r="D99" s="38" t="s">
        <v>435</v>
      </c>
      <c r="E99" s="40">
        <v>0</v>
      </c>
      <c r="F99" s="44" t="s">
        <v>839</v>
      </c>
      <c r="G99" s="43">
        <v>0</v>
      </c>
      <c r="H99" s="44" t="s">
        <v>1417</v>
      </c>
      <c r="I99" s="43">
        <v>0</v>
      </c>
      <c r="J99" s="44" t="s">
        <v>775</v>
      </c>
      <c r="K99" s="43">
        <v>0</v>
      </c>
    </row>
    <row r="100" spans="1:11" ht="13.9" x14ac:dyDescent="0.25">
      <c r="A100" s="43">
        <v>2000</v>
      </c>
      <c r="B100" s="36" t="s">
        <v>26</v>
      </c>
      <c r="C100" s="36">
        <v>6</v>
      </c>
      <c r="D100" s="38" t="s">
        <v>513</v>
      </c>
      <c r="E100" s="40">
        <v>0</v>
      </c>
      <c r="F100" s="44" t="s">
        <v>1266</v>
      </c>
      <c r="G100" s="43">
        <v>0</v>
      </c>
      <c r="H100" s="44" t="s">
        <v>1417</v>
      </c>
      <c r="I100" s="43">
        <v>0</v>
      </c>
      <c r="J100" s="44" t="s">
        <v>765</v>
      </c>
      <c r="K100" s="43">
        <v>0</v>
      </c>
    </row>
    <row r="101" spans="1:11" ht="13.9" x14ac:dyDescent="0.25">
      <c r="A101" s="43">
        <v>2000</v>
      </c>
      <c r="B101" s="36" t="s">
        <v>26</v>
      </c>
      <c r="C101" s="36">
        <v>7</v>
      </c>
      <c r="D101" s="38" t="s">
        <v>502</v>
      </c>
      <c r="E101" s="40">
        <v>0</v>
      </c>
      <c r="F101" s="44" t="s">
        <v>1226</v>
      </c>
      <c r="G101" s="43">
        <v>0</v>
      </c>
      <c r="H101" s="44" t="s">
        <v>1417</v>
      </c>
      <c r="I101" s="43">
        <v>0</v>
      </c>
      <c r="J101" s="44" t="s">
        <v>1247</v>
      </c>
      <c r="K101" s="43">
        <v>0</v>
      </c>
    </row>
    <row r="102" spans="1:11" ht="13.9" x14ac:dyDescent="0.25">
      <c r="A102" s="43">
        <v>2000</v>
      </c>
      <c r="B102" s="36" t="s">
        <v>26</v>
      </c>
      <c r="C102" s="36">
        <v>8</v>
      </c>
      <c r="D102" s="38" t="s">
        <v>518</v>
      </c>
      <c r="E102" s="40">
        <v>0</v>
      </c>
      <c r="F102" s="44" t="s">
        <v>1005</v>
      </c>
      <c r="G102" s="43">
        <v>0</v>
      </c>
      <c r="H102" s="44" t="s">
        <v>1417</v>
      </c>
      <c r="I102" s="43">
        <v>0</v>
      </c>
      <c r="J102" s="44" t="s">
        <v>1247</v>
      </c>
      <c r="K102" s="43">
        <v>0</v>
      </c>
    </row>
    <row r="103" spans="1:11" ht="13.9" x14ac:dyDescent="0.25">
      <c r="A103" s="43">
        <v>2000</v>
      </c>
      <c r="B103" s="36" t="s">
        <v>26</v>
      </c>
      <c r="C103" s="36">
        <v>9</v>
      </c>
      <c r="D103" s="38" t="s">
        <v>519</v>
      </c>
      <c r="E103" s="40">
        <v>0</v>
      </c>
      <c r="F103" s="44" t="s">
        <v>1006</v>
      </c>
      <c r="G103" s="43">
        <v>0</v>
      </c>
      <c r="H103" s="44" t="s">
        <v>1417</v>
      </c>
      <c r="I103" s="43">
        <v>0</v>
      </c>
      <c r="J103" s="44" t="s">
        <v>1247</v>
      </c>
      <c r="K103" s="43">
        <v>0</v>
      </c>
    </row>
    <row r="104" spans="1:11" ht="13.9" x14ac:dyDescent="0.25">
      <c r="A104" s="43">
        <v>2000</v>
      </c>
      <c r="B104" s="36" t="s">
        <v>26</v>
      </c>
      <c r="C104" s="36">
        <v>10</v>
      </c>
      <c r="D104" s="38" t="s">
        <v>316</v>
      </c>
      <c r="E104" s="40">
        <v>0</v>
      </c>
      <c r="F104" s="44" t="s">
        <v>1268</v>
      </c>
      <c r="G104" s="43">
        <v>0</v>
      </c>
      <c r="H104" s="44" t="s">
        <v>1417</v>
      </c>
      <c r="I104" s="43">
        <v>0</v>
      </c>
      <c r="J104" s="44" t="s">
        <v>1247</v>
      </c>
      <c r="K104" s="43">
        <v>0</v>
      </c>
    </row>
    <row r="105" spans="1:11" ht="13.9" x14ac:dyDescent="0.25">
      <c r="A105" s="43">
        <v>2000</v>
      </c>
      <c r="B105" s="36" t="s">
        <v>26</v>
      </c>
      <c r="C105" s="36">
        <v>11</v>
      </c>
      <c r="D105" s="38" t="s">
        <v>503</v>
      </c>
      <c r="E105" s="40">
        <v>0</v>
      </c>
      <c r="F105" s="44" t="s">
        <v>1225</v>
      </c>
      <c r="G105" s="43">
        <v>0</v>
      </c>
      <c r="H105" s="44" t="s">
        <v>736</v>
      </c>
      <c r="I105" s="43">
        <v>0</v>
      </c>
      <c r="J105" s="44" t="s">
        <v>1417</v>
      </c>
      <c r="K105" s="43">
        <v>0</v>
      </c>
    </row>
    <row r="106" spans="1:11" ht="13.9" x14ac:dyDescent="0.25">
      <c r="A106" s="43">
        <v>2000</v>
      </c>
      <c r="B106" s="36" t="s">
        <v>26</v>
      </c>
      <c r="C106" s="36">
        <v>12</v>
      </c>
      <c r="D106" s="38" t="s">
        <v>503</v>
      </c>
      <c r="E106" s="40">
        <v>0</v>
      </c>
      <c r="F106" s="44" t="s">
        <v>1225</v>
      </c>
      <c r="G106" s="43">
        <v>0</v>
      </c>
      <c r="H106" s="44" t="s">
        <v>736</v>
      </c>
      <c r="I106" s="43">
        <v>0</v>
      </c>
      <c r="J106" s="44" t="s">
        <v>765</v>
      </c>
      <c r="K106" s="43">
        <v>0</v>
      </c>
    </row>
    <row r="107" spans="1:11" ht="13.9" x14ac:dyDescent="0.25">
      <c r="A107" s="43">
        <v>2000</v>
      </c>
      <c r="B107" s="36" t="s">
        <v>26</v>
      </c>
      <c r="C107" s="36">
        <v>13</v>
      </c>
      <c r="D107" s="38" t="s">
        <v>380</v>
      </c>
      <c r="E107" s="40">
        <v>0</v>
      </c>
      <c r="F107" s="44" t="s">
        <v>1274</v>
      </c>
      <c r="G107" s="43">
        <v>0</v>
      </c>
      <c r="H107" s="44" t="s">
        <v>736</v>
      </c>
      <c r="I107" s="43">
        <v>0</v>
      </c>
      <c r="J107" s="44" t="s">
        <v>765</v>
      </c>
      <c r="K107" s="43">
        <v>0</v>
      </c>
    </row>
    <row r="108" spans="1:11" ht="13.9" x14ac:dyDescent="0.25">
      <c r="A108" s="43">
        <v>2000</v>
      </c>
      <c r="B108" s="36" t="s">
        <v>26</v>
      </c>
      <c r="C108" s="36">
        <v>14</v>
      </c>
      <c r="D108" s="38" t="s">
        <v>522</v>
      </c>
      <c r="E108" s="40">
        <v>0</v>
      </c>
      <c r="F108" s="44" t="s">
        <v>846</v>
      </c>
      <c r="G108" s="43">
        <v>0</v>
      </c>
      <c r="H108" s="44" t="s">
        <v>765</v>
      </c>
      <c r="I108" s="43">
        <v>0</v>
      </c>
      <c r="J108" s="44" t="s">
        <v>765</v>
      </c>
      <c r="K108" s="43">
        <v>0</v>
      </c>
    </row>
    <row r="109" spans="1:11" ht="13.9" x14ac:dyDescent="0.25">
      <c r="A109" s="43">
        <v>2000</v>
      </c>
      <c r="B109" s="36" t="s">
        <v>26</v>
      </c>
      <c r="C109" s="36">
        <v>15</v>
      </c>
      <c r="D109" s="38" t="s">
        <v>504</v>
      </c>
      <c r="E109" s="40">
        <v>0</v>
      </c>
      <c r="F109" s="44" t="s">
        <v>1224</v>
      </c>
      <c r="G109" s="43">
        <v>0</v>
      </c>
      <c r="H109" s="44" t="s">
        <v>765</v>
      </c>
      <c r="I109" s="43">
        <v>0</v>
      </c>
      <c r="J109" s="44" t="s">
        <v>765</v>
      </c>
      <c r="K109" s="43">
        <v>0</v>
      </c>
    </row>
    <row r="110" spans="1:11" ht="13.9" x14ac:dyDescent="0.25">
      <c r="A110" s="43">
        <v>2000</v>
      </c>
      <c r="B110" s="36" t="s">
        <v>26</v>
      </c>
      <c r="C110" s="36">
        <v>16</v>
      </c>
      <c r="D110" s="38" t="s">
        <v>523</v>
      </c>
      <c r="E110" s="40">
        <v>0</v>
      </c>
      <c r="F110" s="44" t="s">
        <v>1414</v>
      </c>
      <c r="G110" s="43">
        <v>0</v>
      </c>
      <c r="H110" s="44" t="s">
        <v>775</v>
      </c>
      <c r="I110" s="43">
        <v>0</v>
      </c>
      <c r="J110" s="44" t="s">
        <v>775</v>
      </c>
      <c r="K110" s="43">
        <v>0</v>
      </c>
    </row>
    <row r="111" spans="1:11" ht="13.9" x14ac:dyDescent="0.25">
      <c r="A111" s="43">
        <v>2000</v>
      </c>
      <c r="B111" s="36" t="s">
        <v>26</v>
      </c>
      <c r="C111" s="36">
        <v>17</v>
      </c>
      <c r="D111" s="38" t="s">
        <v>333</v>
      </c>
      <c r="E111" s="40">
        <v>0</v>
      </c>
      <c r="F111" s="44" t="s">
        <v>1415</v>
      </c>
      <c r="G111" s="43">
        <v>0</v>
      </c>
      <c r="H111" s="44" t="s">
        <v>775</v>
      </c>
      <c r="I111" s="43">
        <v>0</v>
      </c>
      <c r="J111" s="44" t="s">
        <v>775</v>
      </c>
      <c r="K111" s="43">
        <v>0</v>
      </c>
    </row>
    <row r="112" spans="1:11" ht="13.9" x14ac:dyDescent="0.25">
      <c r="A112" s="43">
        <v>2000</v>
      </c>
      <c r="B112" s="36" t="s">
        <v>26</v>
      </c>
      <c r="C112" s="36">
        <v>18</v>
      </c>
      <c r="D112" s="38" t="s">
        <v>384</v>
      </c>
      <c r="E112" s="40">
        <v>0</v>
      </c>
      <c r="F112" s="44" t="s">
        <v>1402</v>
      </c>
      <c r="G112" s="43">
        <v>0</v>
      </c>
      <c r="H112" s="44" t="s">
        <v>775</v>
      </c>
      <c r="I112" s="43">
        <v>0</v>
      </c>
      <c r="J112" s="44" t="s">
        <v>775</v>
      </c>
      <c r="K112" s="43">
        <v>0</v>
      </c>
    </row>
    <row r="113" spans="1:11" ht="13.9" x14ac:dyDescent="0.25">
      <c r="A113" s="43">
        <v>2000</v>
      </c>
      <c r="B113" s="36" t="s">
        <v>26</v>
      </c>
      <c r="C113" s="36">
        <v>19</v>
      </c>
      <c r="D113" s="38" t="s">
        <v>524</v>
      </c>
      <c r="E113" s="40">
        <v>0</v>
      </c>
      <c r="F113" s="44" t="s">
        <v>859</v>
      </c>
      <c r="G113" s="43">
        <v>0</v>
      </c>
      <c r="H113" s="44" t="s">
        <v>775</v>
      </c>
      <c r="I113" s="43">
        <v>0</v>
      </c>
      <c r="J113" s="44" t="s">
        <v>775</v>
      </c>
      <c r="K113" s="43">
        <v>0</v>
      </c>
    </row>
    <row r="114" spans="1:11" ht="13.9" x14ac:dyDescent="0.25">
      <c r="A114" s="43">
        <v>2000</v>
      </c>
      <c r="B114" s="36" t="s">
        <v>26</v>
      </c>
      <c r="C114" s="36">
        <v>20</v>
      </c>
      <c r="D114" s="38" t="s">
        <v>507</v>
      </c>
      <c r="E114" s="40">
        <v>0</v>
      </c>
      <c r="F114" s="42" t="s">
        <v>1277</v>
      </c>
      <c r="G114" s="43">
        <v>0</v>
      </c>
      <c r="H114" s="44" t="s">
        <v>775</v>
      </c>
      <c r="I114" s="43">
        <v>0</v>
      </c>
      <c r="J114" s="44" t="s">
        <v>775</v>
      </c>
      <c r="K114" s="43">
        <v>0</v>
      </c>
    </row>
    <row r="115" spans="1:11" ht="13.9" x14ac:dyDescent="0.25">
      <c r="A115" s="43">
        <v>2000</v>
      </c>
      <c r="B115" s="36" t="s">
        <v>26</v>
      </c>
      <c r="C115" s="36">
        <v>21</v>
      </c>
      <c r="D115" s="38" t="s">
        <v>525</v>
      </c>
      <c r="E115" s="40">
        <v>0</v>
      </c>
      <c r="F115" s="42" t="s">
        <v>1279</v>
      </c>
      <c r="G115" s="43">
        <v>0</v>
      </c>
      <c r="H115" s="44" t="s">
        <v>775</v>
      </c>
      <c r="I115" s="43">
        <v>0</v>
      </c>
      <c r="J115" s="44" t="s">
        <v>775</v>
      </c>
      <c r="K115" s="43">
        <v>0</v>
      </c>
    </row>
    <row r="116" spans="1:11" ht="13.9" x14ac:dyDescent="0.25">
      <c r="A116" s="43">
        <v>2000</v>
      </c>
      <c r="B116" s="36" t="s">
        <v>26</v>
      </c>
      <c r="C116" s="36">
        <v>22</v>
      </c>
      <c r="D116" s="38" t="s">
        <v>526</v>
      </c>
      <c r="E116" s="40">
        <v>0</v>
      </c>
      <c r="F116" s="73" t="s">
        <v>1281</v>
      </c>
      <c r="G116" s="43">
        <v>0</v>
      </c>
      <c r="H116" s="44" t="s">
        <v>775</v>
      </c>
      <c r="I116" s="43">
        <v>0</v>
      </c>
      <c r="J116" s="44" t="s">
        <v>775</v>
      </c>
      <c r="K116" s="43">
        <v>0</v>
      </c>
    </row>
    <row r="117" spans="1:11" ht="13.9" x14ac:dyDescent="0.25">
      <c r="A117" s="43">
        <v>2000</v>
      </c>
      <c r="B117" s="36" t="s">
        <v>26</v>
      </c>
      <c r="C117" s="36">
        <v>23</v>
      </c>
      <c r="D117" s="38" t="s">
        <v>332</v>
      </c>
      <c r="E117" s="40">
        <v>0</v>
      </c>
      <c r="F117" s="73" t="s">
        <v>1283</v>
      </c>
      <c r="G117" s="43">
        <v>0</v>
      </c>
      <c r="H117" s="44" t="s">
        <v>736</v>
      </c>
      <c r="I117" s="43">
        <v>0</v>
      </c>
      <c r="J117" s="44" t="s">
        <v>775</v>
      </c>
      <c r="K117" s="43">
        <v>0</v>
      </c>
    </row>
    <row r="118" spans="1:11" ht="13.9" x14ac:dyDescent="0.25">
      <c r="A118" s="43">
        <v>2000</v>
      </c>
      <c r="B118" s="36" t="s">
        <v>26</v>
      </c>
      <c r="C118" s="36">
        <v>24</v>
      </c>
      <c r="D118" s="38" t="s">
        <v>391</v>
      </c>
      <c r="E118" s="40">
        <v>0</v>
      </c>
      <c r="F118" s="73" t="s">
        <v>12</v>
      </c>
      <c r="G118" s="43">
        <v>0</v>
      </c>
      <c r="H118" s="44" t="s">
        <v>736</v>
      </c>
      <c r="I118" s="43">
        <v>0</v>
      </c>
      <c r="J118" s="44" t="s">
        <v>775</v>
      </c>
      <c r="K118" s="43">
        <v>0</v>
      </c>
    </row>
    <row r="119" spans="1:11" ht="13.9" x14ac:dyDescent="0.25">
      <c r="A119" s="43">
        <v>2000</v>
      </c>
      <c r="B119" s="36" t="s">
        <v>26</v>
      </c>
      <c r="C119" s="36">
        <v>25</v>
      </c>
      <c r="D119" s="38" t="s">
        <v>17</v>
      </c>
      <c r="E119" s="40">
        <v>0</v>
      </c>
      <c r="F119" s="73" t="s">
        <v>1284</v>
      </c>
      <c r="G119" s="43">
        <v>0</v>
      </c>
      <c r="H119" s="44" t="s">
        <v>736</v>
      </c>
      <c r="I119" s="43">
        <v>0</v>
      </c>
      <c r="J119" s="44" t="s">
        <v>775</v>
      </c>
      <c r="K119" s="43">
        <v>0</v>
      </c>
    </row>
    <row r="120" spans="1:11" ht="13.9" x14ac:dyDescent="0.25">
      <c r="A120" s="43">
        <v>2000</v>
      </c>
      <c r="B120" s="36" t="s">
        <v>26</v>
      </c>
      <c r="C120" s="36">
        <v>26</v>
      </c>
      <c r="D120" s="38" t="s">
        <v>20</v>
      </c>
      <c r="E120" s="40">
        <v>0</v>
      </c>
      <c r="F120" s="73" t="s">
        <v>1416</v>
      </c>
      <c r="G120" s="43">
        <v>0</v>
      </c>
      <c r="H120" s="44" t="s">
        <v>775</v>
      </c>
      <c r="I120" s="43">
        <v>0</v>
      </c>
      <c r="J120" s="44" t="s">
        <v>775</v>
      </c>
      <c r="K120" s="43">
        <v>0</v>
      </c>
    </row>
    <row r="121" spans="1:11" ht="13.9" x14ac:dyDescent="0.25">
      <c r="A121" s="43">
        <v>2000</v>
      </c>
      <c r="B121" s="36" t="s">
        <v>26</v>
      </c>
      <c r="C121" s="36">
        <v>27</v>
      </c>
      <c r="D121" s="38" t="s">
        <v>36</v>
      </c>
      <c r="E121" s="40">
        <v>0</v>
      </c>
      <c r="F121" s="73" t="s">
        <v>10</v>
      </c>
      <c r="G121" s="43">
        <v>0</v>
      </c>
      <c r="H121" s="44" t="s">
        <v>775</v>
      </c>
      <c r="I121" s="43">
        <v>0</v>
      </c>
      <c r="J121" s="44" t="s">
        <v>775</v>
      </c>
      <c r="K121" s="43">
        <v>0</v>
      </c>
    </row>
    <row r="122" spans="1:11" ht="13.9" x14ac:dyDescent="0.25">
      <c r="A122" s="43">
        <v>2000</v>
      </c>
      <c r="B122" s="36" t="s">
        <v>26</v>
      </c>
      <c r="C122" s="36">
        <v>28</v>
      </c>
      <c r="D122" s="38" t="s">
        <v>9</v>
      </c>
      <c r="E122" s="40">
        <v>0</v>
      </c>
      <c r="F122" s="73" t="s">
        <v>1288</v>
      </c>
      <c r="G122" s="43">
        <v>0</v>
      </c>
      <c r="H122" s="44" t="s">
        <v>775</v>
      </c>
      <c r="I122" s="43">
        <v>0</v>
      </c>
      <c r="J122" s="44" t="s">
        <v>775</v>
      </c>
      <c r="K122" s="43">
        <v>0</v>
      </c>
    </row>
    <row r="123" spans="1:11" ht="13.9" x14ac:dyDescent="0.25">
      <c r="A123" s="43">
        <v>2000</v>
      </c>
      <c r="B123" s="36" t="s">
        <v>26</v>
      </c>
      <c r="C123" s="36">
        <v>29</v>
      </c>
      <c r="D123" s="38" t="s">
        <v>395</v>
      </c>
      <c r="E123" s="40">
        <v>0</v>
      </c>
      <c r="F123" s="42" t="s">
        <v>1296</v>
      </c>
      <c r="G123" s="43">
        <v>0</v>
      </c>
      <c r="H123" s="44" t="s">
        <v>775</v>
      </c>
      <c r="I123" s="43">
        <v>0</v>
      </c>
      <c r="J123" s="44" t="s">
        <v>775</v>
      </c>
      <c r="K123" s="43">
        <v>0</v>
      </c>
    </row>
    <row r="124" spans="1:11" ht="13.9" x14ac:dyDescent="0.25">
      <c r="A124" s="43">
        <v>2000</v>
      </c>
      <c r="B124" s="36" t="s">
        <v>26</v>
      </c>
      <c r="C124" s="36">
        <v>30</v>
      </c>
      <c r="D124" s="38" t="s">
        <v>51</v>
      </c>
      <c r="E124" s="40">
        <v>0</v>
      </c>
      <c r="F124" s="42" t="s">
        <v>1297</v>
      </c>
      <c r="G124" s="43">
        <v>0</v>
      </c>
      <c r="H124" s="44" t="s">
        <v>775</v>
      </c>
      <c r="I124" s="43">
        <v>0</v>
      </c>
      <c r="J124" s="44" t="s">
        <v>775</v>
      </c>
      <c r="K124" s="43">
        <v>0</v>
      </c>
    </row>
    <row r="125" spans="1:11" ht="13.9" x14ac:dyDescent="0.25">
      <c r="A125" s="43">
        <v>2000</v>
      </c>
      <c r="B125" s="36" t="s">
        <v>27</v>
      </c>
      <c r="C125" s="36">
        <v>1</v>
      </c>
      <c r="D125" s="42" t="s">
        <v>7</v>
      </c>
      <c r="E125" s="40">
        <v>0</v>
      </c>
      <c r="F125" s="44" t="s">
        <v>1420</v>
      </c>
      <c r="G125" s="43">
        <v>0</v>
      </c>
      <c r="H125" s="44" t="s">
        <v>775</v>
      </c>
      <c r="I125" s="43">
        <v>0</v>
      </c>
      <c r="J125" s="44" t="s">
        <v>775</v>
      </c>
      <c r="K125" s="43">
        <v>0</v>
      </c>
    </row>
    <row r="126" spans="1:11" ht="13.9" x14ac:dyDescent="0.25">
      <c r="A126" s="43">
        <v>2000</v>
      </c>
      <c r="B126" s="36" t="s">
        <v>27</v>
      </c>
      <c r="C126" s="36">
        <v>2</v>
      </c>
      <c r="D126" s="42" t="s">
        <v>56</v>
      </c>
      <c r="E126" s="40">
        <v>0</v>
      </c>
      <c r="F126" s="44" t="s">
        <v>1298</v>
      </c>
      <c r="G126" s="43">
        <v>0</v>
      </c>
      <c r="H126" s="44" t="s">
        <v>736</v>
      </c>
      <c r="I126" s="43">
        <v>0</v>
      </c>
      <c r="J126" s="44" t="s">
        <v>736</v>
      </c>
      <c r="K126" s="43">
        <v>0</v>
      </c>
    </row>
    <row r="127" spans="1:11" ht="13.9" x14ac:dyDescent="0.25">
      <c r="A127" s="43">
        <v>2000</v>
      </c>
      <c r="B127" s="36" t="s">
        <v>27</v>
      </c>
      <c r="C127" s="36">
        <v>3</v>
      </c>
      <c r="D127" s="42" t="s">
        <v>56</v>
      </c>
      <c r="E127" s="40">
        <v>0</v>
      </c>
      <c r="F127" s="44" t="s">
        <v>1298</v>
      </c>
      <c r="G127" s="43">
        <v>0</v>
      </c>
      <c r="H127" s="44" t="s">
        <v>736</v>
      </c>
      <c r="I127" s="43">
        <v>0</v>
      </c>
      <c r="J127" s="44" t="s">
        <v>736</v>
      </c>
      <c r="K127" s="43">
        <v>0</v>
      </c>
    </row>
    <row r="128" spans="1:11" ht="13.9" x14ac:dyDescent="0.25">
      <c r="A128" s="43">
        <v>2000</v>
      </c>
      <c r="B128" s="36" t="s">
        <v>27</v>
      </c>
      <c r="C128" s="36">
        <v>4</v>
      </c>
      <c r="D128" s="42" t="s">
        <v>56</v>
      </c>
      <c r="E128" s="40">
        <v>0</v>
      </c>
      <c r="F128" s="44" t="s">
        <v>1298</v>
      </c>
      <c r="G128" s="43">
        <v>0</v>
      </c>
      <c r="H128" s="44" t="s">
        <v>736</v>
      </c>
      <c r="I128" s="43">
        <v>0</v>
      </c>
      <c r="J128" s="44" t="s">
        <v>736</v>
      </c>
      <c r="K128" s="43">
        <v>0</v>
      </c>
    </row>
    <row r="129" spans="1:11" ht="13.9" x14ac:dyDescent="0.25">
      <c r="A129" s="43">
        <v>2000</v>
      </c>
      <c r="B129" s="36" t="s">
        <v>27</v>
      </c>
      <c r="C129" s="36">
        <v>5</v>
      </c>
      <c r="D129" s="42" t="s">
        <v>56</v>
      </c>
      <c r="E129" s="40">
        <v>0</v>
      </c>
      <c r="F129" s="44" t="s">
        <v>1298</v>
      </c>
      <c r="G129" s="43">
        <v>0</v>
      </c>
      <c r="H129" s="44" t="s">
        <v>736</v>
      </c>
      <c r="I129" s="43">
        <v>0</v>
      </c>
      <c r="J129" s="44" t="s">
        <v>736</v>
      </c>
      <c r="K129" s="43">
        <v>0</v>
      </c>
    </row>
    <row r="130" spans="1:11" ht="13.9" x14ac:dyDescent="0.25">
      <c r="A130" s="43">
        <v>2000</v>
      </c>
      <c r="B130" s="36" t="s">
        <v>27</v>
      </c>
      <c r="C130" s="36">
        <v>6</v>
      </c>
      <c r="D130" s="42" t="s">
        <v>1418</v>
      </c>
      <c r="E130" s="40">
        <v>0</v>
      </c>
      <c r="F130" s="44" t="s">
        <v>1421</v>
      </c>
      <c r="G130" s="43">
        <v>0</v>
      </c>
      <c r="H130" s="44" t="s">
        <v>736</v>
      </c>
      <c r="I130" s="43">
        <v>0</v>
      </c>
      <c r="J130" s="44" t="s">
        <v>736</v>
      </c>
      <c r="K130" s="43">
        <v>0</v>
      </c>
    </row>
    <row r="131" spans="1:11" ht="13.9" x14ac:dyDescent="0.25">
      <c r="A131" s="43">
        <v>2000</v>
      </c>
      <c r="B131" s="36" t="s">
        <v>27</v>
      </c>
      <c r="C131" s="36">
        <v>7</v>
      </c>
      <c r="D131" s="42" t="s">
        <v>1418</v>
      </c>
      <c r="E131" s="40">
        <v>0</v>
      </c>
      <c r="F131" s="44" t="s">
        <v>1421</v>
      </c>
      <c r="G131" s="43">
        <v>0</v>
      </c>
      <c r="H131" s="44" t="s">
        <v>736</v>
      </c>
      <c r="I131" s="43">
        <v>0</v>
      </c>
      <c r="J131" s="44" t="s">
        <v>736</v>
      </c>
      <c r="K131" s="43">
        <v>0</v>
      </c>
    </row>
    <row r="132" spans="1:11" ht="13.9" x14ac:dyDescent="0.25">
      <c r="A132" s="43">
        <v>2000</v>
      </c>
      <c r="B132" s="36" t="s">
        <v>27</v>
      </c>
      <c r="C132" s="36">
        <v>8</v>
      </c>
      <c r="D132" s="42" t="s">
        <v>1419</v>
      </c>
      <c r="E132" s="40">
        <v>0</v>
      </c>
      <c r="F132" s="44" t="s">
        <v>1422</v>
      </c>
      <c r="G132" s="43">
        <v>0</v>
      </c>
      <c r="H132" s="44" t="s">
        <v>736</v>
      </c>
      <c r="I132" s="43">
        <v>0</v>
      </c>
      <c r="J132" s="44" t="s">
        <v>736</v>
      </c>
      <c r="K132" s="43">
        <v>0</v>
      </c>
    </row>
    <row r="133" spans="1:11" ht="13.9" x14ac:dyDescent="0.25">
      <c r="A133" s="43">
        <v>2000</v>
      </c>
      <c r="B133" s="36" t="s">
        <v>27</v>
      </c>
      <c r="C133" s="36">
        <v>9</v>
      </c>
      <c r="D133" s="42" t="s">
        <v>1419</v>
      </c>
      <c r="E133" s="40">
        <v>0</v>
      </c>
      <c r="F133" s="44" t="s">
        <v>1422</v>
      </c>
      <c r="G133" s="43">
        <v>0</v>
      </c>
      <c r="H133" s="44" t="s">
        <v>736</v>
      </c>
      <c r="I133" s="43">
        <v>0</v>
      </c>
      <c r="J133" s="44" t="s">
        <v>736</v>
      </c>
      <c r="K133" s="43">
        <v>0</v>
      </c>
    </row>
    <row r="134" spans="1:11" ht="13.9" x14ac:dyDescent="0.25">
      <c r="A134" s="43">
        <v>2000</v>
      </c>
      <c r="B134" s="36" t="s">
        <v>27</v>
      </c>
      <c r="C134" s="36">
        <v>10</v>
      </c>
      <c r="D134" s="42" t="s">
        <v>60</v>
      </c>
      <c r="E134" s="40">
        <v>0</v>
      </c>
      <c r="F134" s="44" t="s">
        <v>1299</v>
      </c>
      <c r="G134" s="43">
        <v>0</v>
      </c>
      <c r="H134" s="44" t="s">
        <v>736</v>
      </c>
      <c r="I134" s="43">
        <v>0</v>
      </c>
      <c r="J134" s="44" t="s">
        <v>736</v>
      </c>
      <c r="K134" s="43">
        <v>0</v>
      </c>
    </row>
    <row r="135" spans="1:11" ht="13.9" x14ac:dyDescent="0.25">
      <c r="A135" s="43">
        <v>2000</v>
      </c>
      <c r="B135" s="36" t="s">
        <v>27</v>
      </c>
      <c r="C135" s="36">
        <v>11</v>
      </c>
      <c r="D135" s="42" t="s">
        <v>60</v>
      </c>
      <c r="E135" s="40">
        <v>0</v>
      </c>
      <c r="F135" s="44" t="s">
        <v>1299</v>
      </c>
      <c r="G135" s="43">
        <v>0</v>
      </c>
      <c r="H135" s="44" t="s">
        <v>765</v>
      </c>
      <c r="I135" s="43">
        <v>0</v>
      </c>
      <c r="J135" s="44" t="s">
        <v>771</v>
      </c>
      <c r="K135" s="43">
        <v>0</v>
      </c>
    </row>
    <row r="136" spans="1:11" ht="13.9" x14ac:dyDescent="0.25">
      <c r="A136" s="43">
        <v>2000</v>
      </c>
      <c r="B136" s="36" t="s">
        <v>27</v>
      </c>
      <c r="C136" s="36">
        <v>12</v>
      </c>
      <c r="D136" s="42" t="s">
        <v>64</v>
      </c>
      <c r="E136" s="40">
        <v>0</v>
      </c>
      <c r="F136" s="44" t="s">
        <v>1043</v>
      </c>
      <c r="G136" s="43">
        <v>0</v>
      </c>
      <c r="H136" s="44" t="s">
        <v>765</v>
      </c>
      <c r="I136" s="43">
        <v>0</v>
      </c>
      <c r="J136" s="44" t="s">
        <v>771</v>
      </c>
      <c r="K136" s="43">
        <v>0</v>
      </c>
    </row>
    <row r="137" spans="1:11" ht="13.9" x14ac:dyDescent="0.25">
      <c r="A137" s="43">
        <v>2000</v>
      </c>
      <c r="B137" s="36" t="s">
        <v>27</v>
      </c>
      <c r="C137" s="36">
        <v>13</v>
      </c>
      <c r="D137" s="42" t="s">
        <v>72</v>
      </c>
      <c r="E137" s="40">
        <v>0</v>
      </c>
      <c r="F137" s="44" t="s">
        <v>1423</v>
      </c>
      <c r="G137" s="43">
        <v>0</v>
      </c>
      <c r="H137" s="44" t="s">
        <v>765</v>
      </c>
      <c r="I137" s="43">
        <v>0</v>
      </c>
      <c r="J137" s="44" t="s">
        <v>771</v>
      </c>
      <c r="K137" s="43">
        <v>0</v>
      </c>
    </row>
    <row r="138" spans="1:11" ht="13.9" x14ac:dyDescent="0.25">
      <c r="A138" s="43">
        <v>2000</v>
      </c>
      <c r="B138" s="36" t="s">
        <v>27</v>
      </c>
      <c r="C138" s="36">
        <v>14</v>
      </c>
      <c r="D138" s="42" t="s">
        <v>80</v>
      </c>
      <c r="E138" s="40">
        <v>0</v>
      </c>
      <c r="F138" s="44" t="s">
        <v>1303</v>
      </c>
      <c r="G138" s="43">
        <v>0</v>
      </c>
      <c r="H138" s="44" t="s">
        <v>765</v>
      </c>
      <c r="I138" s="43">
        <v>0</v>
      </c>
      <c r="J138" s="44" t="s">
        <v>771</v>
      </c>
      <c r="K138" s="43">
        <v>0</v>
      </c>
    </row>
    <row r="139" spans="1:11" ht="13.9" x14ac:dyDescent="0.25">
      <c r="A139" s="43">
        <v>2000</v>
      </c>
      <c r="B139" s="36" t="s">
        <v>27</v>
      </c>
      <c r="C139" s="36">
        <v>15</v>
      </c>
      <c r="D139" s="42" t="s">
        <v>82</v>
      </c>
      <c r="E139" s="40">
        <v>0</v>
      </c>
      <c r="F139" s="44" t="s">
        <v>1307</v>
      </c>
      <c r="G139" s="43">
        <v>0</v>
      </c>
      <c r="H139" s="44" t="s">
        <v>765</v>
      </c>
      <c r="I139" s="43">
        <v>0</v>
      </c>
      <c r="J139" s="44" t="s">
        <v>771</v>
      </c>
      <c r="K139" s="43">
        <v>0</v>
      </c>
    </row>
    <row r="140" spans="1:11" ht="13.9" x14ac:dyDescent="0.25">
      <c r="A140" s="43">
        <v>2000</v>
      </c>
      <c r="B140" s="36" t="s">
        <v>27</v>
      </c>
      <c r="C140" s="36">
        <v>16</v>
      </c>
      <c r="D140" s="42" t="s">
        <v>82</v>
      </c>
      <c r="E140" s="40">
        <v>0</v>
      </c>
      <c r="F140" s="44" t="s">
        <v>1307</v>
      </c>
      <c r="G140" s="43">
        <v>0</v>
      </c>
      <c r="H140" s="44" t="s">
        <v>736</v>
      </c>
      <c r="I140" s="43">
        <v>0</v>
      </c>
      <c r="J140" s="44" t="s">
        <v>736</v>
      </c>
      <c r="K140" s="43">
        <v>0</v>
      </c>
    </row>
    <row r="141" spans="1:11" ht="13.9" x14ac:dyDescent="0.25">
      <c r="A141" s="43">
        <v>2000</v>
      </c>
      <c r="B141" s="36" t="s">
        <v>27</v>
      </c>
      <c r="C141" s="36">
        <v>17</v>
      </c>
      <c r="D141" s="42" t="s">
        <v>1294</v>
      </c>
      <c r="E141" s="40">
        <v>0</v>
      </c>
      <c r="F141" s="44" t="s">
        <v>1308</v>
      </c>
      <c r="G141" s="43">
        <v>0</v>
      </c>
      <c r="H141" s="44" t="s">
        <v>736</v>
      </c>
      <c r="I141" s="43">
        <v>0</v>
      </c>
      <c r="J141" s="44" t="s">
        <v>736</v>
      </c>
      <c r="K141" s="43">
        <v>0</v>
      </c>
    </row>
    <row r="142" spans="1:11" ht="13.9" x14ac:dyDescent="0.25">
      <c r="A142" s="43">
        <v>2000</v>
      </c>
      <c r="B142" s="36" t="s">
        <v>27</v>
      </c>
      <c r="C142" s="36">
        <v>18</v>
      </c>
      <c r="D142" s="42" t="s">
        <v>1294</v>
      </c>
      <c r="E142" s="40">
        <v>0</v>
      </c>
      <c r="F142" s="44" t="s">
        <v>1308</v>
      </c>
      <c r="G142" s="43">
        <v>0</v>
      </c>
      <c r="H142" s="44" t="s">
        <v>736</v>
      </c>
      <c r="I142" s="43">
        <v>0</v>
      </c>
      <c r="J142" s="44" t="s">
        <v>736</v>
      </c>
      <c r="K142" s="43">
        <v>0</v>
      </c>
    </row>
    <row r="143" spans="1:11" ht="13.9" x14ac:dyDescent="0.25">
      <c r="A143" s="43">
        <v>2000</v>
      </c>
      <c r="B143" s="36" t="s">
        <v>27</v>
      </c>
      <c r="C143" s="36">
        <v>19</v>
      </c>
      <c r="D143" s="42" t="s">
        <v>326</v>
      </c>
      <c r="E143" s="40">
        <v>0</v>
      </c>
      <c r="F143" s="44" t="s">
        <v>1309</v>
      </c>
      <c r="G143" s="43">
        <v>0</v>
      </c>
      <c r="H143" s="44" t="s">
        <v>736</v>
      </c>
      <c r="I143" s="43">
        <v>0</v>
      </c>
      <c r="J143" s="44" t="s">
        <v>736</v>
      </c>
      <c r="K143" s="43">
        <v>0</v>
      </c>
    </row>
    <row r="144" spans="1:11" ht="13.9" x14ac:dyDescent="0.25">
      <c r="A144" s="43">
        <v>2000</v>
      </c>
      <c r="B144" s="36" t="s">
        <v>27</v>
      </c>
      <c r="C144" s="36">
        <v>20</v>
      </c>
      <c r="D144" s="42" t="s">
        <v>326</v>
      </c>
      <c r="E144" s="40">
        <v>0</v>
      </c>
      <c r="F144" s="44" t="s">
        <v>1309</v>
      </c>
      <c r="G144" s="43">
        <v>0</v>
      </c>
      <c r="H144" s="44" t="s">
        <v>736</v>
      </c>
      <c r="I144" s="43">
        <v>0</v>
      </c>
      <c r="J144" s="44" t="s">
        <v>736</v>
      </c>
      <c r="K144" s="43">
        <v>0</v>
      </c>
    </row>
    <row r="145" spans="1:11" ht="13.9" x14ac:dyDescent="0.25">
      <c r="A145" s="43">
        <v>2000</v>
      </c>
      <c r="B145" s="36" t="s">
        <v>27</v>
      </c>
      <c r="C145" s="36">
        <v>21</v>
      </c>
      <c r="D145" s="42" t="s">
        <v>326</v>
      </c>
      <c r="E145" s="40">
        <v>0</v>
      </c>
      <c r="F145" s="42" t="s">
        <v>1309</v>
      </c>
      <c r="G145" s="43">
        <v>0</v>
      </c>
      <c r="H145" s="44" t="s">
        <v>736</v>
      </c>
      <c r="I145" s="43">
        <v>0</v>
      </c>
      <c r="J145" s="44" t="s">
        <v>736</v>
      </c>
      <c r="K145" s="43">
        <v>0</v>
      </c>
    </row>
    <row r="146" spans="1:11" ht="13.9" x14ac:dyDescent="0.25">
      <c r="A146" s="43">
        <v>2000</v>
      </c>
      <c r="B146" s="36" t="s">
        <v>27</v>
      </c>
      <c r="C146" s="36">
        <v>22</v>
      </c>
      <c r="D146" s="42" t="s">
        <v>326</v>
      </c>
      <c r="E146" s="40">
        <v>0</v>
      </c>
      <c r="F146" s="42" t="s">
        <v>1309</v>
      </c>
      <c r="G146" s="43">
        <v>0</v>
      </c>
      <c r="H146" s="44" t="s">
        <v>736</v>
      </c>
      <c r="I146" s="43">
        <v>0</v>
      </c>
      <c r="J146" s="44" t="s">
        <v>736</v>
      </c>
      <c r="K146" s="43">
        <v>0</v>
      </c>
    </row>
    <row r="147" spans="1:11" ht="13.9" x14ac:dyDescent="0.25">
      <c r="A147" s="43">
        <v>2000</v>
      </c>
      <c r="B147" s="36" t="s">
        <v>27</v>
      </c>
      <c r="C147" s="36">
        <v>23</v>
      </c>
      <c r="D147" s="42" t="s">
        <v>326</v>
      </c>
      <c r="E147" s="40">
        <v>0</v>
      </c>
      <c r="F147" s="42" t="s">
        <v>1309</v>
      </c>
      <c r="G147" s="43">
        <v>0</v>
      </c>
      <c r="H147" s="44" t="s">
        <v>736</v>
      </c>
      <c r="I147" s="43">
        <v>0</v>
      </c>
      <c r="J147" s="44" t="s">
        <v>736</v>
      </c>
      <c r="K147" s="43">
        <v>0</v>
      </c>
    </row>
    <row r="148" spans="1:11" ht="13.9" x14ac:dyDescent="0.25">
      <c r="A148" s="43">
        <v>2000</v>
      </c>
      <c r="B148" s="36" t="s">
        <v>27</v>
      </c>
      <c r="C148" s="36">
        <v>24</v>
      </c>
      <c r="D148" s="42" t="s">
        <v>403</v>
      </c>
      <c r="E148" s="40">
        <v>0</v>
      </c>
      <c r="F148" s="44" t="s">
        <v>1311</v>
      </c>
      <c r="G148" s="43">
        <v>0</v>
      </c>
      <c r="H148" s="44" t="s">
        <v>736</v>
      </c>
      <c r="I148" s="43">
        <v>0</v>
      </c>
      <c r="J148" s="44" t="s">
        <v>775</v>
      </c>
      <c r="K148" s="43">
        <v>0</v>
      </c>
    </row>
    <row r="149" spans="1:11" ht="13.9" x14ac:dyDescent="0.25">
      <c r="A149" s="43">
        <v>2000</v>
      </c>
      <c r="B149" s="36" t="s">
        <v>27</v>
      </c>
      <c r="C149" s="36">
        <v>25</v>
      </c>
      <c r="D149" s="42" t="s">
        <v>86</v>
      </c>
      <c r="E149" s="40">
        <v>0</v>
      </c>
      <c r="F149" s="44" t="s">
        <v>909</v>
      </c>
      <c r="G149" s="43">
        <v>0</v>
      </c>
      <c r="H149" s="44" t="s">
        <v>736</v>
      </c>
      <c r="I149" s="43">
        <v>0</v>
      </c>
      <c r="J149" s="44" t="s">
        <v>775</v>
      </c>
      <c r="K149" s="43">
        <v>0</v>
      </c>
    </row>
    <row r="150" spans="1:11" ht="13.9" x14ac:dyDescent="0.25">
      <c r="A150" s="43">
        <v>2000</v>
      </c>
      <c r="B150" s="36" t="s">
        <v>27</v>
      </c>
      <c r="C150" s="36">
        <v>26</v>
      </c>
      <c r="D150" s="42" t="s">
        <v>88</v>
      </c>
      <c r="E150" s="40">
        <v>0</v>
      </c>
      <c r="F150" s="42" t="s">
        <v>1424</v>
      </c>
      <c r="G150" s="43">
        <v>0</v>
      </c>
      <c r="H150" s="44" t="s">
        <v>736</v>
      </c>
      <c r="I150" s="43">
        <v>0</v>
      </c>
      <c r="J150" s="44" t="s">
        <v>775</v>
      </c>
      <c r="K150" s="43">
        <v>0</v>
      </c>
    </row>
    <row r="151" spans="1:11" ht="13.9" x14ac:dyDescent="0.25">
      <c r="A151" s="43">
        <v>2000</v>
      </c>
      <c r="B151" s="36" t="s">
        <v>27</v>
      </c>
      <c r="C151" s="36">
        <v>27</v>
      </c>
      <c r="D151" s="42" t="s">
        <v>92</v>
      </c>
      <c r="E151" s="40">
        <v>0</v>
      </c>
      <c r="F151" s="42" t="s">
        <v>1394</v>
      </c>
      <c r="G151" s="43">
        <v>0</v>
      </c>
      <c r="H151" s="44" t="s">
        <v>736</v>
      </c>
      <c r="I151" s="43">
        <v>0</v>
      </c>
      <c r="J151" s="44" t="s">
        <v>775</v>
      </c>
      <c r="K151" s="43">
        <v>0</v>
      </c>
    </row>
    <row r="152" spans="1:11" ht="13.9" x14ac:dyDescent="0.25">
      <c r="A152" s="43">
        <v>2000</v>
      </c>
      <c r="B152" s="36" t="s">
        <v>27</v>
      </c>
      <c r="C152" s="36">
        <v>28</v>
      </c>
      <c r="D152" s="42" t="s">
        <v>94</v>
      </c>
      <c r="E152" s="40">
        <v>0</v>
      </c>
      <c r="F152" s="42" t="s">
        <v>101</v>
      </c>
      <c r="G152" s="43">
        <v>0</v>
      </c>
      <c r="H152" s="44" t="s">
        <v>736</v>
      </c>
      <c r="I152" s="43">
        <v>0</v>
      </c>
      <c r="J152" s="44" t="s">
        <v>775</v>
      </c>
      <c r="K152" s="43">
        <v>0</v>
      </c>
    </row>
    <row r="153" spans="1:11" ht="13.9" x14ac:dyDescent="0.25">
      <c r="A153" s="43">
        <v>2000</v>
      </c>
      <c r="B153" s="36" t="s">
        <v>27</v>
      </c>
      <c r="C153" s="36">
        <v>29</v>
      </c>
      <c r="D153" s="42" t="s">
        <v>96</v>
      </c>
      <c r="E153" s="40">
        <v>0</v>
      </c>
      <c r="F153" s="42" t="s">
        <v>103</v>
      </c>
      <c r="G153" s="43">
        <v>0</v>
      </c>
      <c r="H153" s="44" t="s">
        <v>736</v>
      </c>
      <c r="I153" s="43">
        <v>0</v>
      </c>
      <c r="J153" s="44" t="s">
        <v>775</v>
      </c>
      <c r="K153" s="43">
        <v>0</v>
      </c>
    </row>
    <row r="154" spans="1:11" ht="13.9" x14ac:dyDescent="0.25">
      <c r="A154" s="43">
        <v>2000</v>
      </c>
      <c r="B154" s="36" t="s">
        <v>27</v>
      </c>
      <c r="C154" s="36">
        <v>30</v>
      </c>
      <c r="D154" s="42" t="s">
        <v>98</v>
      </c>
      <c r="E154" s="40">
        <v>0</v>
      </c>
      <c r="F154" s="42" t="s">
        <v>113</v>
      </c>
      <c r="G154" s="43">
        <v>0</v>
      </c>
      <c r="H154" s="44" t="s">
        <v>736</v>
      </c>
      <c r="I154" s="43">
        <v>0</v>
      </c>
      <c r="J154" s="44" t="s">
        <v>775</v>
      </c>
      <c r="K154" s="43">
        <v>0</v>
      </c>
    </row>
    <row r="155" spans="1:11" ht="13.9" x14ac:dyDescent="0.25">
      <c r="A155" s="43">
        <v>2000</v>
      </c>
      <c r="B155" s="36" t="s">
        <v>27</v>
      </c>
      <c r="C155" s="36">
        <v>31</v>
      </c>
      <c r="D155" s="42"/>
      <c r="E155" s="42"/>
      <c r="F155" s="44"/>
      <c r="G155" s="44"/>
      <c r="H155" s="44"/>
      <c r="I155" s="44"/>
      <c r="J155" s="44"/>
      <c r="K155" s="44"/>
    </row>
    <row r="156" spans="1:11" ht="13.9" x14ac:dyDescent="0.25">
      <c r="A156" s="43">
        <v>2000</v>
      </c>
      <c r="B156" s="36" t="s">
        <v>28</v>
      </c>
      <c r="C156" s="36">
        <v>1</v>
      </c>
      <c r="D156" s="42" t="s">
        <v>98</v>
      </c>
      <c r="E156" s="65">
        <v>0</v>
      </c>
      <c r="F156" s="44" t="s">
        <v>113</v>
      </c>
      <c r="G156" s="44" t="s">
        <v>736</v>
      </c>
      <c r="H156" s="44" t="s">
        <v>736</v>
      </c>
      <c r="I156" s="44" t="s">
        <v>736</v>
      </c>
      <c r="J156" s="44" t="s">
        <v>736</v>
      </c>
      <c r="K156" s="44" t="s">
        <v>736</v>
      </c>
    </row>
    <row r="157" spans="1:11" ht="13.9" x14ac:dyDescent="0.25">
      <c r="A157" s="43">
        <v>2000</v>
      </c>
      <c r="B157" s="36" t="s">
        <v>28</v>
      </c>
      <c r="C157" s="36">
        <v>2</v>
      </c>
      <c r="D157" s="42" t="s">
        <v>98</v>
      </c>
      <c r="E157" s="65">
        <v>0</v>
      </c>
      <c r="F157" s="44" t="s">
        <v>113</v>
      </c>
      <c r="G157" s="43">
        <v>0</v>
      </c>
      <c r="H157" s="43">
        <v>0</v>
      </c>
      <c r="I157" s="43">
        <v>0</v>
      </c>
      <c r="J157" s="43">
        <v>0</v>
      </c>
      <c r="K157" s="43">
        <v>0</v>
      </c>
    </row>
    <row r="158" spans="1:11" ht="13.9" x14ac:dyDescent="0.25">
      <c r="A158" s="43">
        <v>2000</v>
      </c>
      <c r="B158" s="36" t="s">
        <v>28</v>
      </c>
      <c r="C158" s="36">
        <v>3</v>
      </c>
      <c r="D158" s="42" t="s">
        <v>98</v>
      </c>
      <c r="E158" s="65">
        <v>0</v>
      </c>
      <c r="F158" s="44" t="s">
        <v>113</v>
      </c>
      <c r="G158" s="43">
        <v>0</v>
      </c>
      <c r="H158" s="43">
        <v>0</v>
      </c>
      <c r="I158" s="43">
        <v>0</v>
      </c>
      <c r="J158" s="43">
        <v>0</v>
      </c>
      <c r="K158" s="43">
        <v>0</v>
      </c>
    </row>
    <row r="159" spans="1:11" ht="13.9" x14ac:dyDescent="0.25">
      <c r="A159" s="43">
        <v>2000</v>
      </c>
      <c r="B159" s="36" t="s">
        <v>28</v>
      </c>
      <c r="C159" s="36">
        <v>4</v>
      </c>
      <c r="D159" s="42" t="s">
        <v>98</v>
      </c>
      <c r="E159" s="65">
        <v>0</v>
      </c>
      <c r="F159" s="44" t="s">
        <v>113</v>
      </c>
      <c r="G159" s="43">
        <v>0</v>
      </c>
      <c r="H159" s="43">
        <v>0</v>
      </c>
      <c r="I159" s="43">
        <v>0</v>
      </c>
      <c r="J159" s="43">
        <v>0</v>
      </c>
      <c r="K159" s="43">
        <v>0</v>
      </c>
    </row>
    <row r="160" spans="1:11" ht="13.9" x14ac:dyDescent="0.25">
      <c r="A160" s="43">
        <v>2000</v>
      </c>
      <c r="B160" s="36" t="s">
        <v>28</v>
      </c>
      <c r="C160" s="36">
        <v>5</v>
      </c>
      <c r="D160" s="42" t="s">
        <v>98</v>
      </c>
      <c r="E160" s="65">
        <v>0</v>
      </c>
      <c r="F160" s="44" t="s">
        <v>113</v>
      </c>
      <c r="G160" s="43">
        <v>0</v>
      </c>
      <c r="H160" s="43">
        <v>0</v>
      </c>
      <c r="I160" s="43">
        <v>0</v>
      </c>
      <c r="J160" s="43">
        <v>0</v>
      </c>
      <c r="K160" s="43">
        <v>0</v>
      </c>
    </row>
    <row r="161" spans="1:11" ht="13.9" x14ac:dyDescent="0.25">
      <c r="A161" s="43">
        <v>2000</v>
      </c>
      <c r="B161" s="36" t="s">
        <v>28</v>
      </c>
      <c r="C161" s="36">
        <v>6</v>
      </c>
      <c r="D161" s="42" t="s">
        <v>511</v>
      </c>
      <c r="E161" s="65">
        <v>0</v>
      </c>
      <c r="F161" s="44" t="s">
        <v>4</v>
      </c>
      <c r="G161" s="43">
        <v>0</v>
      </c>
      <c r="H161" s="43">
        <v>0</v>
      </c>
      <c r="I161" s="43">
        <v>0</v>
      </c>
      <c r="J161" s="43">
        <v>0</v>
      </c>
      <c r="K161" s="43">
        <v>0</v>
      </c>
    </row>
    <row r="162" spans="1:11" ht="13.9" x14ac:dyDescent="0.25">
      <c r="A162" s="43">
        <v>2000</v>
      </c>
      <c r="B162" s="36" t="s">
        <v>28</v>
      </c>
      <c r="C162" s="36">
        <v>7</v>
      </c>
      <c r="D162" s="42" t="s">
        <v>511</v>
      </c>
      <c r="E162" s="65">
        <v>0</v>
      </c>
      <c r="F162" s="44" t="s">
        <v>4</v>
      </c>
      <c r="G162" s="43">
        <v>0</v>
      </c>
      <c r="H162" s="43">
        <v>0</v>
      </c>
      <c r="I162" s="43">
        <v>0</v>
      </c>
      <c r="J162" s="43">
        <v>0</v>
      </c>
      <c r="K162" s="43">
        <v>0</v>
      </c>
    </row>
    <row r="163" spans="1:11" ht="13.9" x14ac:dyDescent="0.25">
      <c r="A163" s="43">
        <v>2000</v>
      </c>
      <c r="B163" s="36" t="s">
        <v>28</v>
      </c>
      <c r="C163" s="36">
        <v>8</v>
      </c>
      <c r="D163" s="42" t="s">
        <v>1322</v>
      </c>
      <c r="E163" s="65">
        <v>0</v>
      </c>
      <c r="F163" s="44" t="s">
        <v>1339</v>
      </c>
      <c r="G163" s="43">
        <v>0</v>
      </c>
      <c r="H163" s="43">
        <v>0</v>
      </c>
      <c r="I163" s="43">
        <v>0</v>
      </c>
      <c r="J163" s="43">
        <v>0</v>
      </c>
      <c r="K163" s="43">
        <v>0</v>
      </c>
    </row>
    <row r="164" spans="1:11" ht="13.9" x14ac:dyDescent="0.25">
      <c r="A164" s="43">
        <v>2000</v>
      </c>
      <c r="B164" s="36" t="s">
        <v>28</v>
      </c>
      <c r="C164" s="36">
        <v>9</v>
      </c>
      <c r="D164" s="42" t="s">
        <v>1322</v>
      </c>
      <c r="E164" s="65">
        <v>0</v>
      </c>
      <c r="F164" s="44" t="s">
        <v>1339</v>
      </c>
      <c r="G164" s="43">
        <v>0</v>
      </c>
      <c r="H164" s="43">
        <v>0</v>
      </c>
      <c r="I164" s="43">
        <v>0</v>
      </c>
      <c r="J164" s="43">
        <v>0</v>
      </c>
      <c r="K164" s="43">
        <v>0</v>
      </c>
    </row>
    <row r="165" spans="1:11" ht="13.9" x14ac:dyDescent="0.25">
      <c r="A165" s="43">
        <v>2000</v>
      </c>
      <c r="B165" s="36" t="s">
        <v>28</v>
      </c>
      <c r="C165" s="36">
        <v>10</v>
      </c>
      <c r="D165" s="42" t="s">
        <v>100</v>
      </c>
      <c r="E165" s="65">
        <v>0</v>
      </c>
      <c r="F165" s="44" t="s">
        <v>2</v>
      </c>
      <c r="G165" s="43">
        <v>0</v>
      </c>
      <c r="H165" s="43">
        <v>0</v>
      </c>
      <c r="I165" s="43">
        <v>0</v>
      </c>
      <c r="J165" s="43">
        <v>0</v>
      </c>
      <c r="K165" s="43">
        <v>0</v>
      </c>
    </row>
    <row r="166" spans="1:11" ht="13.9" x14ac:dyDescent="0.25">
      <c r="A166" s="43">
        <v>2000</v>
      </c>
      <c r="B166" s="36" t="s">
        <v>28</v>
      </c>
      <c r="C166" s="36">
        <v>11</v>
      </c>
      <c r="D166" s="42" t="s">
        <v>100</v>
      </c>
      <c r="E166" s="65">
        <v>0</v>
      </c>
      <c r="F166" s="44" t="s">
        <v>2</v>
      </c>
      <c r="G166" s="43">
        <v>0</v>
      </c>
      <c r="H166" s="43">
        <v>0</v>
      </c>
      <c r="I166" s="43">
        <v>0</v>
      </c>
      <c r="J166" s="43">
        <v>0</v>
      </c>
      <c r="K166" s="43">
        <v>0</v>
      </c>
    </row>
    <row r="167" spans="1:11" ht="13.9" x14ac:dyDescent="0.25">
      <c r="A167" s="43">
        <v>2000</v>
      </c>
      <c r="B167" s="36" t="s">
        <v>28</v>
      </c>
      <c r="C167" s="36">
        <v>12</v>
      </c>
      <c r="D167" s="42" t="s">
        <v>1323</v>
      </c>
      <c r="E167" s="65">
        <v>0</v>
      </c>
      <c r="F167" s="42" t="s">
        <v>1340</v>
      </c>
      <c r="G167" s="43">
        <v>0</v>
      </c>
      <c r="H167" s="43">
        <v>0</v>
      </c>
      <c r="I167" s="43">
        <v>0</v>
      </c>
      <c r="J167" s="43">
        <v>0</v>
      </c>
      <c r="K167" s="43">
        <v>0</v>
      </c>
    </row>
    <row r="168" spans="1:11" ht="13.9" x14ac:dyDescent="0.25">
      <c r="A168" s="43">
        <v>2000</v>
      </c>
      <c r="B168" s="36" t="s">
        <v>28</v>
      </c>
      <c r="C168" s="36">
        <v>13</v>
      </c>
      <c r="D168" s="42" t="s">
        <v>1323</v>
      </c>
      <c r="E168" s="65">
        <v>0</v>
      </c>
      <c r="F168" s="42" t="s">
        <v>1340</v>
      </c>
      <c r="G168" s="43">
        <v>0</v>
      </c>
      <c r="H168" s="43">
        <v>0</v>
      </c>
      <c r="I168" s="43">
        <v>0</v>
      </c>
      <c r="J168" s="43">
        <v>0</v>
      </c>
      <c r="K168" s="43">
        <v>0</v>
      </c>
    </row>
    <row r="169" spans="1:11" ht="13.9" x14ac:dyDescent="0.25">
      <c r="A169" s="43">
        <v>2000</v>
      </c>
      <c r="B169" s="36" t="s">
        <v>28</v>
      </c>
      <c r="C169" s="36">
        <v>14</v>
      </c>
      <c r="D169" s="42" t="s">
        <v>1323</v>
      </c>
      <c r="E169" s="65">
        <v>0</v>
      </c>
      <c r="F169" s="44" t="s">
        <v>1340</v>
      </c>
      <c r="G169" s="43">
        <v>0</v>
      </c>
      <c r="H169" s="43">
        <v>0</v>
      </c>
      <c r="I169" s="43">
        <v>0</v>
      </c>
      <c r="J169" s="43">
        <v>0</v>
      </c>
      <c r="K169" s="43">
        <v>0</v>
      </c>
    </row>
    <row r="170" spans="1:11" ht="13.9" x14ac:dyDescent="0.25">
      <c r="A170" s="43">
        <v>2000</v>
      </c>
      <c r="B170" s="36" t="s">
        <v>28</v>
      </c>
      <c r="C170" s="36">
        <v>15</v>
      </c>
      <c r="D170" s="42" t="s">
        <v>102</v>
      </c>
      <c r="E170" s="65">
        <v>0</v>
      </c>
      <c r="F170" s="44" t="s">
        <v>105</v>
      </c>
      <c r="G170" s="43">
        <v>0</v>
      </c>
      <c r="H170" s="43">
        <v>0</v>
      </c>
      <c r="I170" s="43">
        <v>0</v>
      </c>
      <c r="J170" s="43">
        <v>0</v>
      </c>
      <c r="K170" s="43">
        <v>0</v>
      </c>
    </row>
    <row r="171" spans="1:11" ht="13.9" x14ac:dyDescent="0.25">
      <c r="A171" s="43">
        <v>2000</v>
      </c>
      <c r="B171" s="36" t="s">
        <v>28</v>
      </c>
      <c r="C171" s="36">
        <v>16</v>
      </c>
      <c r="D171" s="42" t="s">
        <v>102</v>
      </c>
      <c r="E171" s="65">
        <v>0</v>
      </c>
      <c r="F171" s="44" t="s">
        <v>105</v>
      </c>
      <c r="G171" s="43">
        <v>0</v>
      </c>
      <c r="H171" s="43">
        <v>0</v>
      </c>
      <c r="I171" s="43">
        <v>0</v>
      </c>
      <c r="J171" s="43">
        <v>0</v>
      </c>
      <c r="K171" s="43">
        <v>0</v>
      </c>
    </row>
    <row r="172" spans="1:11" ht="13.9" x14ac:dyDescent="0.25">
      <c r="A172" s="43">
        <v>2000</v>
      </c>
      <c r="B172" s="36" t="s">
        <v>28</v>
      </c>
      <c r="C172" s="36">
        <v>17</v>
      </c>
      <c r="D172" s="42" t="s">
        <v>112</v>
      </c>
      <c r="E172" s="65">
        <v>0</v>
      </c>
      <c r="F172" s="44" t="s">
        <v>1342</v>
      </c>
      <c r="G172" s="43">
        <v>0</v>
      </c>
      <c r="H172" s="43">
        <v>0</v>
      </c>
      <c r="I172" s="43">
        <v>0</v>
      </c>
      <c r="J172" s="43">
        <v>0</v>
      </c>
      <c r="K172" s="43">
        <v>0</v>
      </c>
    </row>
    <row r="173" spans="1:11" ht="13.9" x14ac:dyDescent="0.25">
      <c r="A173" s="43">
        <v>2000</v>
      </c>
      <c r="B173" s="36" t="s">
        <v>28</v>
      </c>
      <c r="C173" s="36">
        <v>18</v>
      </c>
      <c r="D173" s="42" t="s">
        <v>1325</v>
      </c>
      <c r="E173" s="65">
        <v>0</v>
      </c>
      <c r="F173" s="44" t="s">
        <v>1343</v>
      </c>
      <c r="G173" s="43">
        <v>0</v>
      </c>
      <c r="H173" s="43">
        <v>0</v>
      </c>
      <c r="I173" s="43">
        <v>0</v>
      </c>
      <c r="J173" s="43">
        <v>0</v>
      </c>
      <c r="K173" s="43">
        <v>0</v>
      </c>
    </row>
    <row r="174" spans="1:11" ht="13.9" x14ac:dyDescent="0.25">
      <c r="A174" s="43">
        <v>2000</v>
      </c>
      <c r="B174" s="36" t="s">
        <v>28</v>
      </c>
      <c r="C174" s="36">
        <v>19</v>
      </c>
      <c r="D174" s="42" t="s">
        <v>1325</v>
      </c>
      <c r="E174" s="65">
        <v>0</v>
      </c>
      <c r="F174" s="42" t="s">
        <v>1343</v>
      </c>
      <c r="G174" s="43">
        <v>0</v>
      </c>
      <c r="H174" s="43">
        <v>0</v>
      </c>
      <c r="I174" s="43">
        <v>0</v>
      </c>
      <c r="J174" s="43">
        <v>0</v>
      </c>
      <c r="K174" s="43">
        <v>0</v>
      </c>
    </row>
    <row r="175" spans="1:11" ht="13.9" x14ac:dyDescent="0.25">
      <c r="A175" s="43">
        <v>2000</v>
      </c>
      <c r="B175" s="36" t="s">
        <v>28</v>
      </c>
      <c r="C175" s="36">
        <v>20</v>
      </c>
      <c r="D175" s="42" t="s">
        <v>1325</v>
      </c>
      <c r="E175" s="65">
        <v>0</v>
      </c>
      <c r="F175" s="42" t="s">
        <v>1343</v>
      </c>
      <c r="G175" s="43">
        <v>0</v>
      </c>
      <c r="H175" s="43">
        <v>0</v>
      </c>
      <c r="I175" s="43">
        <v>0</v>
      </c>
      <c r="J175" s="43">
        <v>0</v>
      </c>
      <c r="K175" s="43">
        <v>0</v>
      </c>
    </row>
    <row r="176" spans="1:11" ht="13.9" x14ac:dyDescent="0.25">
      <c r="A176" s="43">
        <v>2000</v>
      </c>
      <c r="B176" s="36" t="s">
        <v>28</v>
      </c>
      <c r="C176" s="36">
        <v>21</v>
      </c>
      <c r="D176" s="42" t="s">
        <v>3</v>
      </c>
      <c r="E176" s="65">
        <v>0</v>
      </c>
      <c r="F176" s="44" t="s">
        <v>1346</v>
      </c>
      <c r="G176" s="43">
        <v>0</v>
      </c>
      <c r="H176" s="43">
        <v>0</v>
      </c>
      <c r="I176" s="43">
        <v>0</v>
      </c>
      <c r="J176" s="43">
        <v>0</v>
      </c>
      <c r="K176" s="43">
        <v>0</v>
      </c>
    </row>
    <row r="177" spans="1:11" ht="13.9" x14ac:dyDescent="0.25">
      <c r="A177" s="43">
        <v>2000</v>
      </c>
      <c r="B177" s="36" t="s">
        <v>28</v>
      </c>
      <c r="C177" s="36">
        <v>22</v>
      </c>
      <c r="D177" s="42" t="s">
        <v>3</v>
      </c>
      <c r="E177" s="65">
        <v>0</v>
      </c>
      <c r="F177" s="44" t="s">
        <v>1346</v>
      </c>
      <c r="G177" s="43">
        <v>0</v>
      </c>
      <c r="H177" s="43">
        <v>0</v>
      </c>
      <c r="I177" s="43">
        <v>0</v>
      </c>
      <c r="J177" s="43">
        <v>0</v>
      </c>
      <c r="K177" s="43">
        <v>0</v>
      </c>
    </row>
    <row r="178" spans="1:11" ht="13.9" x14ac:dyDescent="0.25">
      <c r="A178" s="43">
        <v>2000</v>
      </c>
      <c r="B178" s="36" t="s">
        <v>28</v>
      </c>
      <c r="C178" s="36">
        <v>23</v>
      </c>
      <c r="D178" s="42" t="s">
        <v>3</v>
      </c>
      <c r="E178" s="65">
        <v>0</v>
      </c>
      <c r="F178" s="44" t="s">
        <v>1346</v>
      </c>
      <c r="G178" s="43">
        <v>0</v>
      </c>
      <c r="H178" s="43">
        <v>0</v>
      </c>
      <c r="I178" s="43">
        <v>0</v>
      </c>
      <c r="J178" s="43">
        <v>0</v>
      </c>
      <c r="K178" s="43">
        <v>0</v>
      </c>
    </row>
    <row r="179" spans="1:11" ht="13.9" x14ac:dyDescent="0.25">
      <c r="A179" s="43">
        <v>2000</v>
      </c>
      <c r="B179" s="36" t="s">
        <v>28</v>
      </c>
      <c r="C179" s="36">
        <v>24</v>
      </c>
      <c r="D179" s="42" t="s">
        <v>3</v>
      </c>
      <c r="E179" s="65">
        <v>0</v>
      </c>
      <c r="F179" s="44" t="s">
        <v>1346</v>
      </c>
      <c r="G179" s="43">
        <v>0</v>
      </c>
      <c r="H179" s="43">
        <v>0</v>
      </c>
      <c r="I179" s="43">
        <v>0</v>
      </c>
      <c r="J179" s="43">
        <v>0</v>
      </c>
      <c r="K179" s="43">
        <v>0</v>
      </c>
    </row>
    <row r="180" spans="1:11" ht="13.9" x14ac:dyDescent="0.25">
      <c r="A180" s="43">
        <v>2000</v>
      </c>
      <c r="B180" s="36" t="s">
        <v>28</v>
      </c>
      <c r="C180" s="36">
        <v>25</v>
      </c>
      <c r="D180" s="42" t="s">
        <v>3</v>
      </c>
      <c r="E180" s="65">
        <v>0</v>
      </c>
      <c r="F180" s="42" t="s">
        <v>1346</v>
      </c>
      <c r="G180" s="43">
        <v>0</v>
      </c>
      <c r="H180" s="43">
        <v>0</v>
      </c>
      <c r="I180" s="43">
        <v>0</v>
      </c>
      <c r="J180" s="43">
        <v>0</v>
      </c>
      <c r="K180" s="43">
        <v>0</v>
      </c>
    </row>
    <row r="181" spans="1:11" ht="13.9" x14ac:dyDescent="0.25">
      <c r="A181" s="43">
        <v>2000</v>
      </c>
      <c r="B181" s="36" t="s">
        <v>28</v>
      </c>
      <c r="C181" s="36">
        <v>26</v>
      </c>
      <c r="D181" s="42" t="s">
        <v>3</v>
      </c>
      <c r="E181" s="65">
        <v>0</v>
      </c>
      <c r="F181" s="42" t="s">
        <v>1346</v>
      </c>
      <c r="G181" s="43">
        <v>0</v>
      </c>
      <c r="H181" s="43">
        <v>0</v>
      </c>
      <c r="I181" s="43">
        <v>0</v>
      </c>
      <c r="J181" s="43">
        <v>0</v>
      </c>
      <c r="K181" s="43">
        <v>0</v>
      </c>
    </row>
    <row r="182" spans="1:11" ht="13.9" x14ac:dyDescent="0.25">
      <c r="A182" s="43">
        <v>2000</v>
      </c>
      <c r="B182" s="36" t="s">
        <v>28</v>
      </c>
      <c r="C182" s="36">
        <v>27</v>
      </c>
      <c r="D182" s="42" t="s">
        <v>1</v>
      </c>
      <c r="E182" s="65">
        <v>0</v>
      </c>
      <c r="F182" s="42" t="s">
        <v>1347</v>
      </c>
      <c r="G182" s="43">
        <v>0</v>
      </c>
      <c r="H182" s="43">
        <v>0</v>
      </c>
      <c r="I182" s="43">
        <v>0</v>
      </c>
      <c r="J182" s="43">
        <v>0</v>
      </c>
      <c r="K182" s="43">
        <v>0</v>
      </c>
    </row>
    <row r="183" spans="1:11" ht="13.9" x14ac:dyDescent="0.25">
      <c r="A183" s="43">
        <v>2000</v>
      </c>
      <c r="B183" s="36" t="s">
        <v>28</v>
      </c>
      <c r="C183" s="36">
        <v>28</v>
      </c>
      <c r="D183" s="42" t="s">
        <v>1327</v>
      </c>
      <c r="E183" s="65">
        <v>0</v>
      </c>
      <c r="F183" s="42" t="s">
        <v>1347</v>
      </c>
      <c r="G183" s="43">
        <v>0</v>
      </c>
      <c r="H183" s="43">
        <v>0</v>
      </c>
      <c r="I183" s="43">
        <v>0</v>
      </c>
      <c r="J183" s="43">
        <v>0</v>
      </c>
      <c r="K183" s="43">
        <v>0</v>
      </c>
    </row>
    <row r="184" spans="1:11" ht="13.9" x14ac:dyDescent="0.25">
      <c r="A184" s="43">
        <v>2000</v>
      </c>
      <c r="B184" s="36" t="s">
        <v>28</v>
      </c>
      <c r="C184" s="36">
        <v>29</v>
      </c>
      <c r="D184" s="42" t="s">
        <v>1327</v>
      </c>
      <c r="E184" s="65">
        <v>0</v>
      </c>
      <c r="F184" s="42" t="s">
        <v>1347</v>
      </c>
      <c r="G184" s="43">
        <v>0</v>
      </c>
      <c r="H184" s="43">
        <v>0</v>
      </c>
      <c r="I184" s="43">
        <v>0</v>
      </c>
      <c r="J184" s="43">
        <v>0</v>
      </c>
      <c r="K184" s="43">
        <v>0</v>
      </c>
    </row>
    <row r="185" spans="1:11" ht="13.9" x14ac:dyDescent="0.25">
      <c r="A185" s="43">
        <v>2000</v>
      </c>
      <c r="B185" s="36" t="s">
        <v>28</v>
      </c>
      <c r="C185" s="36">
        <v>30</v>
      </c>
      <c r="D185" s="42" t="s">
        <v>1327</v>
      </c>
      <c r="E185" s="65">
        <v>0</v>
      </c>
      <c r="F185" s="42" t="s">
        <v>1347</v>
      </c>
      <c r="G185" s="43">
        <v>0</v>
      </c>
      <c r="H185" s="43">
        <v>0</v>
      </c>
      <c r="I185" s="43">
        <v>0</v>
      </c>
      <c r="J185" s="43">
        <v>0</v>
      </c>
      <c r="K185" s="43">
        <v>0</v>
      </c>
    </row>
    <row r="186" spans="1:11" ht="13.9" x14ac:dyDescent="0.25">
      <c r="A186" s="43">
        <v>2000</v>
      </c>
      <c r="B186" s="36" t="s">
        <v>29</v>
      </c>
      <c r="C186" s="36">
        <v>1</v>
      </c>
      <c r="D186" s="42" t="s">
        <v>1327</v>
      </c>
      <c r="E186" s="65">
        <v>0</v>
      </c>
      <c r="F186" s="42" t="s">
        <v>1347</v>
      </c>
      <c r="G186" s="43">
        <v>0</v>
      </c>
      <c r="H186" s="43">
        <v>0</v>
      </c>
      <c r="I186" s="43">
        <v>0</v>
      </c>
      <c r="J186" s="43">
        <v>0</v>
      </c>
      <c r="K186" s="43">
        <v>0</v>
      </c>
    </row>
    <row r="187" spans="1:11" ht="13.9" x14ac:dyDescent="0.25">
      <c r="A187" s="43">
        <v>2000</v>
      </c>
      <c r="B187" s="36" t="s">
        <v>29</v>
      </c>
      <c r="C187" s="36">
        <v>2</v>
      </c>
      <c r="D187" s="42" t="s">
        <v>1327</v>
      </c>
      <c r="E187" s="65">
        <v>0</v>
      </c>
      <c r="F187" s="42" t="s">
        <v>1347</v>
      </c>
      <c r="G187" s="43">
        <v>0</v>
      </c>
      <c r="H187" s="43">
        <v>0</v>
      </c>
      <c r="I187" s="43">
        <v>0</v>
      </c>
      <c r="J187" s="43">
        <v>0</v>
      </c>
      <c r="K187" s="43">
        <v>0</v>
      </c>
    </row>
    <row r="188" spans="1:11" ht="13.9" x14ac:dyDescent="0.25">
      <c r="A188" s="43">
        <v>2000</v>
      </c>
      <c r="B188" s="36" t="s">
        <v>29</v>
      </c>
      <c r="C188" s="36">
        <v>3</v>
      </c>
      <c r="D188" s="42" t="s">
        <v>1327</v>
      </c>
      <c r="E188" s="65">
        <v>0</v>
      </c>
      <c r="F188" s="42" t="s">
        <v>1347</v>
      </c>
      <c r="G188" s="43">
        <v>0</v>
      </c>
      <c r="H188" s="43">
        <v>0</v>
      </c>
      <c r="I188" s="43">
        <v>0</v>
      </c>
      <c r="J188" s="43">
        <v>0</v>
      </c>
      <c r="K188" s="43">
        <v>0</v>
      </c>
    </row>
    <row r="189" spans="1:11" ht="13.9" x14ac:dyDescent="0.25">
      <c r="A189" s="43">
        <v>2000</v>
      </c>
      <c r="B189" s="36" t="s">
        <v>29</v>
      </c>
      <c r="C189" s="36">
        <v>4</v>
      </c>
      <c r="D189" s="42" t="s">
        <v>106</v>
      </c>
      <c r="E189" s="65">
        <v>0</v>
      </c>
      <c r="F189" s="42" t="s">
        <v>109</v>
      </c>
      <c r="G189" s="43">
        <v>0</v>
      </c>
      <c r="H189" s="43">
        <v>0</v>
      </c>
      <c r="I189" s="43">
        <v>0</v>
      </c>
      <c r="J189" s="43">
        <v>0</v>
      </c>
      <c r="K189" s="43">
        <v>0</v>
      </c>
    </row>
    <row r="190" spans="1:11" ht="13.9" x14ac:dyDescent="0.25">
      <c r="A190" s="43">
        <v>2000</v>
      </c>
      <c r="B190" s="36" t="s">
        <v>29</v>
      </c>
      <c r="C190" s="36">
        <v>5</v>
      </c>
      <c r="D190" s="42" t="s">
        <v>106</v>
      </c>
      <c r="E190" s="65">
        <v>0</v>
      </c>
      <c r="F190" s="42" t="s">
        <v>109</v>
      </c>
      <c r="G190" s="43">
        <v>0</v>
      </c>
      <c r="H190" s="43">
        <v>0</v>
      </c>
      <c r="I190" s="43">
        <v>0</v>
      </c>
      <c r="J190" s="43">
        <v>0</v>
      </c>
      <c r="K190" s="43">
        <v>0</v>
      </c>
    </row>
    <row r="191" spans="1:11" ht="13.9" x14ac:dyDescent="0.25">
      <c r="A191" s="43">
        <v>2000</v>
      </c>
      <c r="B191" s="36" t="s">
        <v>29</v>
      </c>
      <c r="C191" s="36">
        <v>6</v>
      </c>
      <c r="D191" s="42" t="s">
        <v>106</v>
      </c>
      <c r="E191" s="65">
        <v>0</v>
      </c>
      <c r="F191" s="42" t="s">
        <v>109</v>
      </c>
      <c r="G191" s="43">
        <v>0</v>
      </c>
      <c r="H191" s="43">
        <v>0</v>
      </c>
      <c r="I191" s="43">
        <v>0</v>
      </c>
      <c r="J191" s="43">
        <v>0</v>
      </c>
      <c r="K191" s="43">
        <v>0</v>
      </c>
    </row>
    <row r="192" spans="1:11" ht="13.9" x14ac:dyDescent="0.25">
      <c r="A192" s="43">
        <v>2000</v>
      </c>
      <c r="B192" s="36" t="s">
        <v>29</v>
      </c>
      <c r="C192" s="36">
        <v>7</v>
      </c>
      <c r="D192" s="42" t="s">
        <v>106</v>
      </c>
      <c r="E192" s="65">
        <v>0</v>
      </c>
      <c r="F192" s="42" t="s">
        <v>109</v>
      </c>
      <c r="G192" s="43">
        <v>0</v>
      </c>
      <c r="H192" s="43">
        <v>0</v>
      </c>
      <c r="I192" s="43">
        <v>0</v>
      </c>
      <c r="J192" s="43">
        <v>0</v>
      </c>
      <c r="K192" s="43">
        <v>0</v>
      </c>
    </row>
    <row r="193" spans="1:11" ht="13.9" x14ac:dyDescent="0.25">
      <c r="A193" s="43">
        <v>2000</v>
      </c>
      <c r="B193" s="36" t="s">
        <v>29</v>
      </c>
      <c r="C193" s="36">
        <v>8</v>
      </c>
      <c r="D193" s="42" t="s">
        <v>1329</v>
      </c>
      <c r="E193" s="65">
        <v>0</v>
      </c>
      <c r="F193" s="42" t="s">
        <v>1348</v>
      </c>
      <c r="G193" s="43">
        <v>0</v>
      </c>
      <c r="H193" s="43">
        <v>0</v>
      </c>
      <c r="I193" s="43">
        <v>0</v>
      </c>
      <c r="J193" s="43">
        <v>0</v>
      </c>
      <c r="K193" s="43">
        <v>0</v>
      </c>
    </row>
    <row r="194" spans="1:11" ht="13.9" x14ac:dyDescent="0.25">
      <c r="A194" s="43">
        <v>2000</v>
      </c>
      <c r="B194" s="36" t="s">
        <v>29</v>
      </c>
      <c r="C194" s="36">
        <v>9</v>
      </c>
      <c r="D194" s="42" t="s">
        <v>1329</v>
      </c>
      <c r="E194" s="65">
        <v>0</v>
      </c>
      <c r="F194" s="42" t="s">
        <v>1348</v>
      </c>
      <c r="G194" s="43">
        <v>0</v>
      </c>
      <c r="H194" s="43">
        <v>0</v>
      </c>
      <c r="I194" s="43">
        <v>0</v>
      </c>
      <c r="J194" s="43">
        <v>0</v>
      </c>
      <c r="K194" s="43">
        <v>0</v>
      </c>
    </row>
    <row r="195" spans="1:11" ht="13.9" x14ac:dyDescent="0.25">
      <c r="A195" s="43">
        <v>2000</v>
      </c>
      <c r="B195" s="36" t="s">
        <v>29</v>
      </c>
      <c r="C195" s="36">
        <v>10</v>
      </c>
      <c r="D195" s="42" t="s">
        <v>110</v>
      </c>
      <c r="E195" s="65">
        <v>0</v>
      </c>
      <c r="F195" s="42" t="s">
        <v>119</v>
      </c>
      <c r="G195" s="43">
        <v>0</v>
      </c>
      <c r="H195" s="43">
        <v>0</v>
      </c>
      <c r="I195" s="43">
        <v>0</v>
      </c>
      <c r="J195" s="43">
        <v>0</v>
      </c>
      <c r="K195" s="43">
        <v>0</v>
      </c>
    </row>
    <row r="196" spans="1:11" ht="13.9" x14ac:dyDescent="0.25">
      <c r="A196" s="43">
        <v>2000</v>
      </c>
      <c r="B196" s="36" t="s">
        <v>29</v>
      </c>
      <c r="C196" s="36">
        <v>11</v>
      </c>
      <c r="D196" s="42" t="s">
        <v>110</v>
      </c>
      <c r="E196" s="65">
        <v>0</v>
      </c>
      <c r="F196" s="42" t="s">
        <v>119</v>
      </c>
      <c r="G196" s="43">
        <v>0</v>
      </c>
      <c r="H196" s="43">
        <v>0</v>
      </c>
      <c r="I196" s="43">
        <v>0</v>
      </c>
      <c r="J196" s="43">
        <v>0</v>
      </c>
      <c r="K196" s="43">
        <v>0</v>
      </c>
    </row>
    <row r="197" spans="1:11" ht="13.9" x14ac:dyDescent="0.25">
      <c r="A197" s="43">
        <v>2000</v>
      </c>
      <c r="B197" s="36" t="s">
        <v>29</v>
      </c>
      <c r="C197" s="36">
        <v>12</v>
      </c>
      <c r="D197" s="42" t="s">
        <v>1219</v>
      </c>
      <c r="E197" s="65">
        <v>0</v>
      </c>
      <c r="F197" s="42" t="s">
        <v>1220</v>
      </c>
      <c r="G197" s="43">
        <v>0</v>
      </c>
      <c r="H197" s="43">
        <v>0</v>
      </c>
      <c r="I197" s="43">
        <v>0</v>
      </c>
      <c r="J197" s="43">
        <v>0</v>
      </c>
      <c r="K197" s="43">
        <v>0</v>
      </c>
    </row>
    <row r="198" spans="1:11" ht="13.9" x14ac:dyDescent="0.25">
      <c r="A198" s="43">
        <v>2000</v>
      </c>
      <c r="B198" s="36" t="s">
        <v>29</v>
      </c>
      <c r="C198" s="36">
        <v>13</v>
      </c>
      <c r="D198" s="42" t="s">
        <v>1219</v>
      </c>
      <c r="E198" s="65">
        <v>0</v>
      </c>
      <c r="F198" s="42" t="s">
        <v>1220</v>
      </c>
      <c r="G198" s="43">
        <v>0</v>
      </c>
      <c r="H198" s="43">
        <v>0</v>
      </c>
      <c r="I198" s="43">
        <v>0</v>
      </c>
      <c r="J198" s="43">
        <v>0</v>
      </c>
      <c r="K198" s="43">
        <v>0</v>
      </c>
    </row>
    <row r="199" spans="1:11" ht="13.9" x14ac:dyDescent="0.25">
      <c r="A199" s="43">
        <v>2000</v>
      </c>
      <c r="B199" s="36" t="s">
        <v>29</v>
      </c>
      <c r="C199" s="36">
        <v>14</v>
      </c>
      <c r="D199" s="42" t="s">
        <v>1219</v>
      </c>
      <c r="E199" s="65">
        <v>0</v>
      </c>
      <c r="F199" s="42" t="s">
        <v>1220</v>
      </c>
      <c r="G199" s="43">
        <v>0</v>
      </c>
      <c r="H199" s="43">
        <v>0</v>
      </c>
      <c r="I199" s="43">
        <v>0</v>
      </c>
      <c r="J199" s="43">
        <v>0</v>
      </c>
      <c r="K199" s="43">
        <v>0</v>
      </c>
    </row>
    <row r="200" spans="1:11" ht="13.9" x14ac:dyDescent="0.25">
      <c r="A200" s="43">
        <v>2000</v>
      </c>
      <c r="B200" s="36" t="s">
        <v>29</v>
      </c>
      <c r="C200" s="36">
        <v>15</v>
      </c>
      <c r="D200" s="42" t="s">
        <v>108</v>
      </c>
      <c r="E200" s="65">
        <v>0</v>
      </c>
      <c r="F200" s="42" t="s">
        <v>121</v>
      </c>
      <c r="G200" s="43">
        <v>0</v>
      </c>
      <c r="H200" s="43">
        <v>0</v>
      </c>
      <c r="I200" s="43">
        <v>0</v>
      </c>
      <c r="J200" s="43">
        <v>0</v>
      </c>
      <c r="K200" s="43">
        <v>0</v>
      </c>
    </row>
    <row r="201" spans="1:11" ht="13.9" x14ac:dyDescent="0.25">
      <c r="A201" s="43">
        <v>2000</v>
      </c>
      <c r="B201" s="36" t="s">
        <v>29</v>
      </c>
      <c r="C201" s="36">
        <v>16</v>
      </c>
      <c r="D201" s="42" t="s">
        <v>108</v>
      </c>
      <c r="E201" s="65">
        <v>0</v>
      </c>
      <c r="F201" s="44" t="s">
        <v>121</v>
      </c>
      <c r="G201" s="43">
        <v>0</v>
      </c>
      <c r="H201" s="43">
        <v>0</v>
      </c>
      <c r="I201" s="43">
        <v>0</v>
      </c>
      <c r="J201" s="43">
        <v>0</v>
      </c>
      <c r="K201" s="43">
        <v>0</v>
      </c>
    </row>
    <row r="202" spans="1:11" ht="13.9" x14ac:dyDescent="0.25">
      <c r="A202" s="43">
        <v>2000</v>
      </c>
      <c r="B202" s="36" t="s">
        <v>29</v>
      </c>
      <c r="C202" s="36">
        <v>17</v>
      </c>
      <c r="D202" s="42" t="s">
        <v>118</v>
      </c>
      <c r="E202" s="65">
        <v>0</v>
      </c>
      <c r="F202" s="44" t="s">
        <v>1350</v>
      </c>
      <c r="G202" s="43">
        <v>0</v>
      </c>
      <c r="H202" s="43">
        <v>0</v>
      </c>
      <c r="I202" s="43">
        <v>0</v>
      </c>
      <c r="J202" s="43">
        <v>0</v>
      </c>
      <c r="K202" s="43">
        <v>0</v>
      </c>
    </row>
    <row r="203" spans="1:11" ht="13.9" x14ac:dyDescent="0.25">
      <c r="A203" s="43">
        <v>2000</v>
      </c>
      <c r="B203" s="36" t="s">
        <v>29</v>
      </c>
      <c r="C203" s="36">
        <v>18</v>
      </c>
      <c r="D203" s="42" t="s">
        <v>192</v>
      </c>
      <c r="E203" s="65">
        <v>0</v>
      </c>
      <c r="F203" s="42" t="s">
        <v>1351</v>
      </c>
      <c r="G203" s="43">
        <v>0</v>
      </c>
      <c r="H203" s="43">
        <v>0</v>
      </c>
      <c r="I203" s="43">
        <v>0</v>
      </c>
      <c r="J203" s="43">
        <v>0</v>
      </c>
      <c r="K203" s="43">
        <v>0</v>
      </c>
    </row>
    <row r="204" spans="1:11" ht="13.9" x14ac:dyDescent="0.25">
      <c r="A204" s="43">
        <v>2000</v>
      </c>
      <c r="B204" s="36" t="s">
        <v>29</v>
      </c>
      <c r="C204" s="36">
        <v>19</v>
      </c>
      <c r="D204" s="42" t="s">
        <v>192</v>
      </c>
      <c r="E204" s="65">
        <v>0</v>
      </c>
      <c r="F204" s="42" t="s">
        <v>1351</v>
      </c>
      <c r="G204" s="43">
        <v>0</v>
      </c>
      <c r="H204" s="43">
        <v>0</v>
      </c>
      <c r="I204" s="43">
        <v>0</v>
      </c>
      <c r="J204" s="43">
        <v>0</v>
      </c>
      <c r="K204" s="43">
        <v>0</v>
      </c>
    </row>
    <row r="205" spans="1:11" ht="13.9" x14ac:dyDescent="0.25">
      <c r="A205" s="43">
        <v>2000</v>
      </c>
      <c r="B205" s="36" t="s">
        <v>29</v>
      </c>
      <c r="C205" s="36">
        <v>20</v>
      </c>
      <c r="D205" s="42" t="s">
        <v>194</v>
      </c>
      <c r="E205" s="65">
        <v>0</v>
      </c>
      <c r="F205" s="42" t="s">
        <v>1352</v>
      </c>
      <c r="G205" s="43">
        <v>0</v>
      </c>
      <c r="H205" s="43">
        <v>0</v>
      </c>
      <c r="I205" s="43">
        <v>0</v>
      </c>
      <c r="J205" s="43">
        <v>0</v>
      </c>
      <c r="K205" s="43">
        <v>0</v>
      </c>
    </row>
    <row r="206" spans="1:11" ht="13.9" x14ac:dyDescent="0.25">
      <c r="A206" s="43">
        <v>2000</v>
      </c>
      <c r="B206" s="36" t="s">
        <v>29</v>
      </c>
      <c r="C206" s="36">
        <v>21</v>
      </c>
      <c r="D206" s="42" t="s">
        <v>194</v>
      </c>
      <c r="E206" s="65">
        <v>0</v>
      </c>
      <c r="F206" s="42" t="s">
        <v>1352</v>
      </c>
      <c r="G206" s="43">
        <v>0</v>
      </c>
      <c r="H206" s="43">
        <v>0</v>
      </c>
      <c r="I206" s="43">
        <v>0</v>
      </c>
      <c r="J206" s="43">
        <v>0</v>
      </c>
      <c r="K206" s="43">
        <v>0</v>
      </c>
    </row>
    <row r="207" spans="1:11" ht="13.9" x14ac:dyDescent="0.25">
      <c r="A207" s="43">
        <v>2000</v>
      </c>
      <c r="B207" s="36" t="s">
        <v>29</v>
      </c>
      <c r="C207" s="36">
        <v>22</v>
      </c>
      <c r="D207" s="42" t="s">
        <v>194</v>
      </c>
      <c r="E207" s="65">
        <v>0</v>
      </c>
      <c r="F207" s="42" t="s">
        <v>1352</v>
      </c>
      <c r="G207" s="43">
        <v>0</v>
      </c>
      <c r="H207" s="43">
        <v>0</v>
      </c>
      <c r="I207" s="43">
        <v>0</v>
      </c>
      <c r="J207" s="43">
        <v>0</v>
      </c>
      <c r="K207" s="43">
        <v>0</v>
      </c>
    </row>
    <row r="208" spans="1:11" ht="13.9" x14ac:dyDescent="0.25">
      <c r="A208" s="43">
        <v>2000</v>
      </c>
      <c r="B208" s="36" t="s">
        <v>29</v>
      </c>
      <c r="C208" s="36">
        <v>23</v>
      </c>
      <c r="D208" s="42" t="s">
        <v>422</v>
      </c>
      <c r="E208" s="65">
        <v>0</v>
      </c>
      <c r="F208" s="42" t="s">
        <v>1353</v>
      </c>
      <c r="G208" s="43">
        <v>0</v>
      </c>
      <c r="H208" s="43">
        <v>0</v>
      </c>
      <c r="I208" s="43">
        <v>0</v>
      </c>
      <c r="J208" s="43">
        <v>0</v>
      </c>
      <c r="K208" s="43">
        <v>0</v>
      </c>
    </row>
    <row r="209" spans="1:11" ht="13.9" x14ac:dyDescent="0.25">
      <c r="A209" s="43">
        <v>2000</v>
      </c>
      <c r="B209" s="36" t="s">
        <v>29</v>
      </c>
      <c r="C209" s="36">
        <v>24</v>
      </c>
      <c r="D209" s="42" t="s">
        <v>422</v>
      </c>
      <c r="E209" s="65">
        <v>0</v>
      </c>
      <c r="F209" s="42" t="s">
        <v>1353</v>
      </c>
      <c r="G209" s="43">
        <v>0</v>
      </c>
      <c r="H209" s="43">
        <v>0</v>
      </c>
      <c r="I209" s="43">
        <v>0</v>
      </c>
      <c r="J209" s="43">
        <v>0</v>
      </c>
      <c r="K209" s="43">
        <v>0</v>
      </c>
    </row>
    <row r="210" spans="1:11" ht="13.9" x14ac:dyDescent="0.25">
      <c r="A210" s="43">
        <v>2000</v>
      </c>
      <c r="B210" s="36" t="s">
        <v>29</v>
      </c>
      <c r="C210" s="36">
        <v>25</v>
      </c>
      <c r="D210" s="42" t="s">
        <v>422</v>
      </c>
      <c r="E210" s="65">
        <v>0</v>
      </c>
      <c r="F210" s="42" t="s">
        <v>1353</v>
      </c>
      <c r="G210" s="43">
        <v>0</v>
      </c>
      <c r="H210" s="43">
        <v>0</v>
      </c>
      <c r="I210" s="43">
        <v>0</v>
      </c>
      <c r="J210" s="43">
        <v>0</v>
      </c>
      <c r="K210" s="43">
        <v>0</v>
      </c>
    </row>
    <row r="211" spans="1:11" ht="13.9" x14ac:dyDescent="0.25">
      <c r="A211" s="43">
        <v>2000</v>
      </c>
      <c r="B211" s="36" t="s">
        <v>29</v>
      </c>
      <c r="C211" s="36">
        <v>26</v>
      </c>
      <c r="D211" s="42" t="s">
        <v>422</v>
      </c>
      <c r="E211" s="65">
        <v>0</v>
      </c>
      <c r="F211" s="42" t="s">
        <v>1353</v>
      </c>
      <c r="G211" s="43">
        <v>0</v>
      </c>
      <c r="H211" s="43">
        <v>0</v>
      </c>
      <c r="I211" s="43">
        <v>0</v>
      </c>
      <c r="J211" s="43">
        <v>0</v>
      </c>
      <c r="K211" s="43">
        <v>0</v>
      </c>
    </row>
    <row r="212" spans="1:11" ht="13.9" x14ac:dyDescent="0.25">
      <c r="A212" s="43">
        <v>2000</v>
      </c>
      <c r="B212" s="36" t="s">
        <v>29</v>
      </c>
      <c r="C212" s="36">
        <v>27</v>
      </c>
      <c r="D212" s="42" t="s">
        <v>201</v>
      </c>
      <c r="E212" s="65">
        <v>0</v>
      </c>
      <c r="F212" s="42" t="s">
        <v>1354</v>
      </c>
      <c r="G212" s="43">
        <v>0</v>
      </c>
      <c r="H212" s="43">
        <v>0</v>
      </c>
      <c r="I212" s="43">
        <v>0</v>
      </c>
      <c r="J212" s="43">
        <v>0</v>
      </c>
      <c r="K212" s="43">
        <v>0</v>
      </c>
    </row>
    <row r="213" spans="1:11" ht="13.9" x14ac:dyDescent="0.25">
      <c r="A213" s="43">
        <v>2000</v>
      </c>
      <c r="B213" s="36" t="s">
        <v>29</v>
      </c>
      <c r="C213" s="36">
        <v>28</v>
      </c>
      <c r="D213" s="42" t="s">
        <v>201</v>
      </c>
      <c r="E213" s="65">
        <v>0</v>
      </c>
      <c r="F213" s="42" t="s">
        <v>1354</v>
      </c>
      <c r="G213" s="43">
        <v>0</v>
      </c>
      <c r="H213" s="43">
        <v>0</v>
      </c>
      <c r="I213" s="43">
        <v>0</v>
      </c>
      <c r="J213" s="43">
        <v>0</v>
      </c>
      <c r="K213" s="43">
        <v>0</v>
      </c>
    </row>
    <row r="214" spans="1:11" ht="13.9" x14ac:dyDescent="0.25">
      <c r="A214" s="43">
        <v>2000</v>
      </c>
      <c r="B214" s="36" t="s">
        <v>29</v>
      </c>
      <c r="C214" s="36">
        <v>29</v>
      </c>
      <c r="D214" s="42" t="s">
        <v>201</v>
      </c>
      <c r="E214" s="65">
        <v>0</v>
      </c>
      <c r="F214" s="42" t="s">
        <v>1354</v>
      </c>
      <c r="G214" s="43">
        <v>0</v>
      </c>
      <c r="H214" s="43">
        <v>0</v>
      </c>
      <c r="I214" s="43">
        <v>0</v>
      </c>
      <c r="J214" s="43">
        <v>0</v>
      </c>
      <c r="K214" s="43">
        <v>0</v>
      </c>
    </row>
    <row r="215" spans="1:11" ht="13.9" x14ac:dyDescent="0.25">
      <c r="A215" s="43">
        <v>2000</v>
      </c>
      <c r="B215" s="36" t="s">
        <v>29</v>
      </c>
      <c r="C215" s="36">
        <v>30</v>
      </c>
      <c r="D215" s="42" t="s">
        <v>177</v>
      </c>
      <c r="E215" s="65">
        <v>0</v>
      </c>
      <c r="F215" s="42" t="s">
        <v>1355</v>
      </c>
      <c r="G215" s="43">
        <v>0</v>
      </c>
      <c r="H215" s="43">
        <v>0</v>
      </c>
      <c r="I215" s="43">
        <v>0</v>
      </c>
      <c r="J215" s="43">
        <v>0</v>
      </c>
      <c r="K215" s="43">
        <v>0</v>
      </c>
    </row>
    <row r="216" spans="1:11" ht="13.9" x14ac:dyDescent="0.25">
      <c r="A216" s="43">
        <v>2000</v>
      </c>
      <c r="B216" s="36" t="s">
        <v>29</v>
      </c>
      <c r="C216" s="36">
        <v>31</v>
      </c>
      <c r="D216" s="42" t="s">
        <v>177</v>
      </c>
      <c r="E216" s="65">
        <v>0</v>
      </c>
      <c r="F216" s="42" t="s">
        <v>1355</v>
      </c>
      <c r="G216" s="43">
        <v>0</v>
      </c>
      <c r="H216" s="43">
        <v>0</v>
      </c>
      <c r="I216" s="43">
        <v>0</v>
      </c>
      <c r="J216" s="43">
        <v>0</v>
      </c>
      <c r="K216" s="43">
        <v>0</v>
      </c>
    </row>
    <row r="217" spans="1:11" ht="13.9" x14ac:dyDescent="0.25">
      <c r="A217" s="43">
        <v>2000</v>
      </c>
      <c r="B217" s="36" t="s">
        <v>30</v>
      </c>
      <c r="C217" s="36">
        <v>1</v>
      </c>
      <c r="D217" s="42" t="s">
        <v>1425</v>
      </c>
      <c r="E217" s="65">
        <v>0</v>
      </c>
      <c r="F217" s="44" t="s">
        <v>1427</v>
      </c>
      <c r="G217" s="43">
        <v>0</v>
      </c>
      <c r="H217" s="43">
        <v>0</v>
      </c>
      <c r="I217" s="43">
        <v>0</v>
      </c>
      <c r="J217" s="43">
        <v>0</v>
      </c>
      <c r="K217" s="43">
        <v>0</v>
      </c>
    </row>
    <row r="218" spans="1:11" ht="13.9" x14ac:dyDescent="0.25">
      <c r="A218" s="43">
        <v>2000</v>
      </c>
      <c r="B218" s="36" t="s">
        <v>30</v>
      </c>
      <c r="C218" s="36">
        <v>2</v>
      </c>
      <c r="D218" s="42" t="s">
        <v>1425</v>
      </c>
      <c r="E218" s="65">
        <v>0</v>
      </c>
      <c r="F218" s="44" t="s">
        <v>1427</v>
      </c>
      <c r="G218" s="43">
        <v>0</v>
      </c>
      <c r="H218" s="43">
        <v>0</v>
      </c>
      <c r="I218" s="43">
        <v>0</v>
      </c>
      <c r="J218" s="43">
        <v>0</v>
      </c>
      <c r="K218" s="43">
        <v>0</v>
      </c>
    </row>
    <row r="219" spans="1:11" ht="13.9" x14ac:dyDescent="0.25">
      <c r="A219" s="43">
        <v>2000</v>
      </c>
      <c r="B219" s="36" t="s">
        <v>30</v>
      </c>
      <c r="C219" s="36">
        <v>3</v>
      </c>
      <c r="D219" s="42" t="s">
        <v>1425</v>
      </c>
      <c r="E219" s="65">
        <v>0</v>
      </c>
      <c r="F219" s="44" t="s">
        <v>1427</v>
      </c>
      <c r="G219" s="43">
        <v>0</v>
      </c>
      <c r="H219" s="43">
        <v>0</v>
      </c>
      <c r="I219" s="43">
        <v>0</v>
      </c>
      <c r="J219" s="43">
        <v>0</v>
      </c>
      <c r="K219" s="43">
        <v>0</v>
      </c>
    </row>
    <row r="220" spans="1:11" ht="13.9" x14ac:dyDescent="0.25">
      <c r="A220" s="43">
        <v>2000</v>
      </c>
      <c r="B220" s="36" t="s">
        <v>30</v>
      </c>
      <c r="C220" s="36">
        <v>4</v>
      </c>
      <c r="D220" s="42" t="s">
        <v>1426</v>
      </c>
      <c r="E220" s="65">
        <v>0</v>
      </c>
      <c r="F220" s="44" t="s">
        <v>200</v>
      </c>
      <c r="G220" s="43">
        <v>0</v>
      </c>
      <c r="H220" s="43">
        <v>0</v>
      </c>
      <c r="I220" s="43">
        <v>0</v>
      </c>
      <c r="J220" s="43">
        <v>0</v>
      </c>
      <c r="K220" s="43">
        <v>0</v>
      </c>
    </row>
    <row r="221" spans="1:11" ht="13.9" x14ac:dyDescent="0.25">
      <c r="A221" s="43">
        <v>2000</v>
      </c>
      <c r="B221" s="36" t="s">
        <v>30</v>
      </c>
      <c r="C221" s="36">
        <v>5</v>
      </c>
      <c r="D221" s="42" t="s">
        <v>422</v>
      </c>
      <c r="E221" s="65">
        <v>0</v>
      </c>
      <c r="F221" s="44" t="s">
        <v>1353</v>
      </c>
      <c r="G221" s="43">
        <v>0</v>
      </c>
      <c r="H221" s="43">
        <v>0</v>
      </c>
      <c r="I221" s="43">
        <v>0</v>
      </c>
      <c r="J221" s="43">
        <v>0</v>
      </c>
      <c r="K221" s="43">
        <v>0</v>
      </c>
    </row>
    <row r="222" spans="1:11" ht="13.9" x14ac:dyDescent="0.25">
      <c r="A222" s="43">
        <v>2000</v>
      </c>
      <c r="B222" s="36" t="s">
        <v>30</v>
      </c>
      <c r="C222" s="36">
        <v>6</v>
      </c>
      <c r="D222" s="42" t="s">
        <v>422</v>
      </c>
      <c r="E222" s="65">
        <v>0</v>
      </c>
      <c r="F222" s="44" t="s">
        <v>1353</v>
      </c>
      <c r="G222" s="43">
        <v>0</v>
      </c>
      <c r="H222" s="43">
        <v>0</v>
      </c>
      <c r="I222" s="43">
        <v>0</v>
      </c>
      <c r="J222" s="43">
        <v>0</v>
      </c>
      <c r="K222" s="43">
        <v>0</v>
      </c>
    </row>
    <row r="223" spans="1:11" ht="13.9" x14ac:dyDescent="0.25">
      <c r="A223" s="43">
        <v>2000</v>
      </c>
      <c r="B223" s="36" t="s">
        <v>30</v>
      </c>
      <c r="C223" s="36">
        <v>7</v>
      </c>
      <c r="D223" s="42" t="s">
        <v>422</v>
      </c>
      <c r="E223" s="65">
        <v>0</v>
      </c>
      <c r="F223" s="44" t="s">
        <v>1353</v>
      </c>
      <c r="G223" s="43">
        <v>0</v>
      </c>
      <c r="H223" s="43">
        <v>0</v>
      </c>
      <c r="I223" s="43">
        <v>0</v>
      </c>
      <c r="J223" s="43">
        <v>0</v>
      </c>
      <c r="K223" s="43">
        <v>0</v>
      </c>
    </row>
    <row r="224" spans="1:11" ht="13.9" x14ac:dyDescent="0.25">
      <c r="A224" s="43">
        <v>2000</v>
      </c>
      <c r="B224" s="36" t="s">
        <v>30</v>
      </c>
      <c r="C224" s="36">
        <v>8</v>
      </c>
      <c r="D224" s="42" t="s">
        <v>422</v>
      </c>
      <c r="E224" s="65">
        <v>0</v>
      </c>
      <c r="F224" s="44" t="s">
        <v>1353</v>
      </c>
      <c r="G224" s="43">
        <v>0</v>
      </c>
      <c r="H224" s="43">
        <v>0</v>
      </c>
      <c r="I224" s="43">
        <v>0</v>
      </c>
      <c r="J224" s="43">
        <v>0</v>
      </c>
      <c r="K224" s="43">
        <v>0</v>
      </c>
    </row>
    <row r="225" spans="1:11" ht="13.9" x14ac:dyDescent="0.25">
      <c r="A225" s="43">
        <v>2000</v>
      </c>
      <c r="B225" s="36" t="s">
        <v>30</v>
      </c>
      <c r="C225" s="36">
        <v>9</v>
      </c>
      <c r="D225" s="42" t="s">
        <v>201</v>
      </c>
      <c r="E225" s="65">
        <v>0</v>
      </c>
      <c r="F225" s="44" t="s">
        <v>1354</v>
      </c>
      <c r="G225" s="43">
        <v>0</v>
      </c>
      <c r="H225" s="43">
        <v>0</v>
      </c>
      <c r="I225" s="43">
        <v>0</v>
      </c>
      <c r="J225" s="43">
        <v>0</v>
      </c>
      <c r="K225" s="43">
        <v>0</v>
      </c>
    </row>
    <row r="226" spans="1:11" ht="13.9" x14ac:dyDescent="0.25">
      <c r="A226" s="43">
        <v>2000</v>
      </c>
      <c r="B226" s="36" t="s">
        <v>30</v>
      </c>
      <c r="C226" s="36">
        <v>10</v>
      </c>
      <c r="D226" s="42" t="s">
        <v>201</v>
      </c>
      <c r="E226" s="65">
        <v>0</v>
      </c>
      <c r="F226" s="44" t="s">
        <v>1354</v>
      </c>
      <c r="G226" s="43">
        <v>0</v>
      </c>
      <c r="H226" s="43">
        <v>0</v>
      </c>
      <c r="I226" s="43">
        <v>0</v>
      </c>
      <c r="J226" s="43">
        <v>0</v>
      </c>
      <c r="K226" s="43">
        <v>0</v>
      </c>
    </row>
    <row r="227" spans="1:11" ht="13.9" x14ac:dyDescent="0.25">
      <c r="A227" s="43">
        <v>2000</v>
      </c>
      <c r="B227" s="36" t="s">
        <v>30</v>
      </c>
      <c r="C227" s="36">
        <v>11</v>
      </c>
      <c r="D227" s="42" t="s">
        <v>201</v>
      </c>
      <c r="E227" s="65">
        <v>0</v>
      </c>
      <c r="F227" s="44" t="s">
        <v>1354</v>
      </c>
      <c r="G227" s="43">
        <v>0</v>
      </c>
      <c r="H227" s="43">
        <v>0</v>
      </c>
      <c r="I227" s="43">
        <v>0</v>
      </c>
      <c r="J227" s="43">
        <v>0</v>
      </c>
      <c r="K227" s="43">
        <v>0</v>
      </c>
    </row>
    <row r="228" spans="1:11" ht="13.9" x14ac:dyDescent="0.25">
      <c r="A228" s="43">
        <v>2000</v>
      </c>
      <c r="B228" s="36" t="s">
        <v>30</v>
      </c>
      <c r="C228" s="36">
        <v>12</v>
      </c>
      <c r="D228" s="42" t="s">
        <v>177</v>
      </c>
      <c r="E228" s="65">
        <v>0</v>
      </c>
      <c r="F228" s="44" t="s">
        <v>1355</v>
      </c>
      <c r="G228" s="43">
        <v>0</v>
      </c>
      <c r="H228" s="43">
        <v>0</v>
      </c>
      <c r="I228" s="43">
        <v>0</v>
      </c>
      <c r="J228" s="43">
        <v>0</v>
      </c>
      <c r="K228" s="43">
        <v>0</v>
      </c>
    </row>
    <row r="229" spans="1:11" ht="13.9" x14ac:dyDescent="0.25">
      <c r="A229" s="43">
        <v>2000</v>
      </c>
      <c r="B229" s="36" t="s">
        <v>30</v>
      </c>
      <c r="C229" s="36">
        <v>13</v>
      </c>
      <c r="D229" s="42" t="s">
        <v>177</v>
      </c>
      <c r="E229" s="65">
        <v>0</v>
      </c>
      <c r="F229" s="44" t="s">
        <v>1355</v>
      </c>
      <c r="G229" s="43">
        <v>0</v>
      </c>
      <c r="H229" s="43">
        <v>0</v>
      </c>
      <c r="I229" s="43">
        <v>0</v>
      </c>
      <c r="J229" s="43">
        <v>0</v>
      </c>
      <c r="K229" s="43">
        <v>0</v>
      </c>
    </row>
    <row r="230" spans="1:11" ht="13.9" x14ac:dyDescent="0.25">
      <c r="A230" s="43">
        <v>2000</v>
      </c>
      <c r="B230" s="36" t="s">
        <v>30</v>
      </c>
      <c r="C230" s="36">
        <v>14</v>
      </c>
      <c r="D230" s="42" t="s">
        <v>177</v>
      </c>
      <c r="E230" s="65">
        <v>0</v>
      </c>
      <c r="F230" s="44" t="s">
        <v>1355</v>
      </c>
      <c r="G230" s="43">
        <v>0</v>
      </c>
      <c r="H230" s="43">
        <v>0</v>
      </c>
      <c r="I230" s="43">
        <v>0</v>
      </c>
      <c r="J230" s="43">
        <v>0</v>
      </c>
      <c r="K230" s="43">
        <v>0</v>
      </c>
    </row>
    <row r="231" spans="1:11" ht="13.9" x14ac:dyDescent="0.25">
      <c r="A231" s="43">
        <v>2000</v>
      </c>
      <c r="B231" s="36" t="s">
        <v>30</v>
      </c>
      <c r="C231" s="36">
        <v>15</v>
      </c>
      <c r="D231" s="42" t="s">
        <v>177</v>
      </c>
      <c r="E231" s="65">
        <v>0</v>
      </c>
      <c r="F231" s="44" t="s">
        <v>1355</v>
      </c>
      <c r="G231" s="43">
        <v>0</v>
      </c>
      <c r="H231" s="43">
        <v>0</v>
      </c>
      <c r="I231" s="43">
        <v>0</v>
      </c>
      <c r="J231" s="43">
        <v>0</v>
      </c>
      <c r="K231" s="43">
        <v>0</v>
      </c>
    </row>
    <row r="232" spans="1:11" ht="13.9" x14ac:dyDescent="0.25">
      <c r="A232" s="43">
        <v>2000</v>
      </c>
      <c r="B232" s="36" t="s">
        <v>30</v>
      </c>
      <c r="C232" s="36">
        <v>16</v>
      </c>
      <c r="D232" s="42" t="s">
        <v>208</v>
      </c>
      <c r="E232" s="65">
        <v>0</v>
      </c>
      <c r="F232" s="44" t="s">
        <v>1356</v>
      </c>
      <c r="G232" s="43">
        <v>0</v>
      </c>
      <c r="H232" s="43">
        <v>0</v>
      </c>
      <c r="I232" s="43">
        <v>0</v>
      </c>
      <c r="J232" s="43">
        <v>0</v>
      </c>
      <c r="K232" s="43">
        <v>0</v>
      </c>
    </row>
    <row r="233" spans="1:11" ht="13.9" x14ac:dyDescent="0.25">
      <c r="A233" s="43">
        <v>2000</v>
      </c>
      <c r="B233" s="36" t="s">
        <v>30</v>
      </c>
      <c r="C233" s="36">
        <v>17</v>
      </c>
      <c r="D233" s="42" t="s">
        <v>208</v>
      </c>
      <c r="E233" s="65">
        <v>0</v>
      </c>
      <c r="F233" s="44" t="s">
        <v>1356</v>
      </c>
      <c r="G233" s="43">
        <v>0</v>
      </c>
      <c r="H233" s="43">
        <v>0</v>
      </c>
      <c r="I233" s="43">
        <v>0</v>
      </c>
      <c r="J233" s="43">
        <v>0</v>
      </c>
      <c r="K233" s="43">
        <v>0</v>
      </c>
    </row>
    <row r="234" spans="1:11" ht="13.9" x14ac:dyDescent="0.25">
      <c r="A234" s="43">
        <v>2000</v>
      </c>
      <c r="B234" s="36" t="s">
        <v>30</v>
      </c>
      <c r="C234" s="36">
        <v>18</v>
      </c>
      <c r="D234" s="42" t="s">
        <v>208</v>
      </c>
      <c r="E234" s="65">
        <v>0</v>
      </c>
      <c r="F234" s="44" t="s">
        <v>1356</v>
      </c>
      <c r="G234" s="43">
        <v>0</v>
      </c>
      <c r="H234" s="43">
        <v>0</v>
      </c>
      <c r="I234" s="43">
        <v>0</v>
      </c>
      <c r="J234" s="43">
        <v>0</v>
      </c>
      <c r="K234" s="43">
        <v>0</v>
      </c>
    </row>
    <row r="235" spans="1:11" ht="13.9" x14ac:dyDescent="0.25">
      <c r="A235" s="43">
        <v>2000</v>
      </c>
      <c r="B235" s="36" t="s">
        <v>30</v>
      </c>
      <c r="C235" s="36">
        <v>19</v>
      </c>
      <c r="D235" s="42" t="s">
        <v>212</v>
      </c>
      <c r="E235" s="65">
        <v>0</v>
      </c>
      <c r="F235" s="44" t="s">
        <v>1357</v>
      </c>
      <c r="G235" s="43">
        <v>0</v>
      </c>
      <c r="H235" s="43">
        <v>0</v>
      </c>
      <c r="I235" s="43">
        <v>0</v>
      </c>
      <c r="J235" s="43">
        <v>0</v>
      </c>
      <c r="K235" s="43">
        <v>0</v>
      </c>
    </row>
    <row r="236" spans="1:11" ht="13.9" x14ac:dyDescent="0.25">
      <c r="A236" s="43">
        <v>2000</v>
      </c>
      <c r="B236" s="36" t="s">
        <v>30</v>
      </c>
      <c r="C236" s="36">
        <v>20</v>
      </c>
      <c r="D236" s="42" t="s">
        <v>212</v>
      </c>
      <c r="E236" s="65">
        <v>0</v>
      </c>
      <c r="F236" s="44" t="s">
        <v>1357</v>
      </c>
      <c r="G236" s="43">
        <v>0</v>
      </c>
      <c r="H236" s="43">
        <v>0</v>
      </c>
      <c r="I236" s="43">
        <v>0</v>
      </c>
      <c r="J236" s="43">
        <v>0</v>
      </c>
      <c r="K236" s="43">
        <v>0</v>
      </c>
    </row>
    <row r="237" spans="1:11" ht="13.9" x14ac:dyDescent="0.25">
      <c r="A237" s="43">
        <v>2000</v>
      </c>
      <c r="B237" s="36" t="s">
        <v>30</v>
      </c>
      <c r="C237" s="36">
        <v>21</v>
      </c>
      <c r="D237" s="42" t="s">
        <v>212</v>
      </c>
      <c r="E237" s="65">
        <v>0</v>
      </c>
      <c r="F237" s="44" t="s">
        <v>1357</v>
      </c>
      <c r="G237" s="43">
        <v>0</v>
      </c>
      <c r="H237" s="43">
        <v>0</v>
      </c>
      <c r="I237" s="43">
        <v>0</v>
      </c>
      <c r="J237" s="43">
        <v>0</v>
      </c>
      <c r="K237" s="43">
        <v>0</v>
      </c>
    </row>
    <row r="238" spans="1:11" ht="13.9" x14ac:dyDescent="0.25">
      <c r="A238" s="43">
        <v>2000</v>
      </c>
      <c r="B238" s="36" t="s">
        <v>30</v>
      </c>
      <c r="C238" s="36">
        <v>22</v>
      </c>
      <c r="D238" s="42" t="s">
        <v>212</v>
      </c>
      <c r="E238" s="65">
        <v>0</v>
      </c>
      <c r="F238" s="44" t="s">
        <v>1357</v>
      </c>
      <c r="G238" s="43">
        <v>0</v>
      </c>
      <c r="H238" s="43">
        <v>0</v>
      </c>
      <c r="I238" s="43">
        <v>0</v>
      </c>
      <c r="J238" s="43">
        <v>0</v>
      </c>
      <c r="K238" s="43">
        <v>0</v>
      </c>
    </row>
    <row r="239" spans="1:11" ht="13.9" x14ac:dyDescent="0.25">
      <c r="A239" s="43">
        <v>2000</v>
      </c>
      <c r="B239" s="36" t="s">
        <v>30</v>
      </c>
      <c r="C239" s="36">
        <v>23</v>
      </c>
      <c r="D239" s="42" t="s">
        <v>175</v>
      </c>
      <c r="E239" s="65">
        <v>0</v>
      </c>
      <c r="F239" s="44" t="s">
        <v>172</v>
      </c>
      <c r="G239" s="43">
        <v>0</v>
      </c>
      <c r="H239" s="43">
        <v>0</v>
      </c>
      <c r="I239" s="43">
        <v>0</v>
      </c>
      <c r="J239" s="43">
        <v>0</v>
      </c>
      <c r="K239" s="43">
        <v>0</v>
      </c>
    </row>
    <row r="240" spans="1:11" ht="13.9" x14ac:dyDescent="0.25">
      <c r="A240" s="43">
        <v>2000</v>
      </c>
      <c r="B240" s="36" t="s">
        <v>30</v>
      </c>
      <c r="C240" s="36">
        <v>24</v>
      </c>
      <c r="D240" s="42" t="s">
        <v>175</v>
      </c>
      <c r="E240" s="65">
        <v>0</v>
      </c>
      <c r="F240" s="44" t="s">
        <v>172</v>
      </c>
      <c r="G240" s="43">
        <v>0</v>
      </c>
      <c r="H240" s="43">
        <v>0</v>
      </c>
      <c r="I240" s="43">
        <v>0</v>
      </c>
      <c r="J240" s="43">
        <v>0</v>
      </c>
      <c r="K240" s="43">
        <v>0</v>
      </c>
    </row>
    <row r="241" spans="1:11" ht="13.9" x14ac:dyDescent="0.25">
      <c r="A241" s="43">
        <v>2000</v>
      </c>
      <c r="B241" s="36" t="s">
        <v>30</v>
      </c>
      <c r="C241" s="36">
        <v>25</v>
      </c>
      <c r="D241" s="42" t="s">
        <v>175</v>
      </c>
      <c r="E241" s="65">
        <v>0</v>
      </c>
      <c r="F241" s="44" t="s">
        <v>172</v>
      </c>
      <c r="G241" s="43">
        <v>0</v>
      </c>
      <c r="H241" s="43">
        <v>0</v>
      </c>
      <c r="I241" s="43">
        <v>0</v>
      </c>
      <c r="J241" s="43">
        <v>0</v>
      </c>
      <c r="K241" s="43">
        <v>0</v>
      </c>
    </row>
    <row r="242" spans="1:11" ht="13.9" x14ac:dyDescent="0.25">
      <c r="A242" s="43">
        <v>2000</v>
      </c>
      <c r="B242" s="36" t="s">
        <v>30</v>
      </c>
      <c r="C242" s="36">
        <v>26</v>
      </c>
      <c r="D242" s="42" t="s">
        <v>175</v>
      </c>
      <c r="E242" s="65">
        <v>0</v>
      </c>
      <c r="F242" s="44" t="s">
        <v>172</v>
      </c>
      <c r="G242" s="43">
        <v>0</v>
      </c>
      <c r="H242" s="43">
        <v>0</v>
      </c>
      <c r="I242" s="43">
        <v>0</v>
      </c>
      <c r="J242" s="43">
        <v>0</v>
      </c>
      <c r="K242" s="43">
        <v>0</v>
      </c>
    </row>
    <row r="243" spans="1:11" ht="13.9" x14ac:dyDescent="0.25">
      <c r="A243" s="43">
        <v>2000</v>
      </c>
      <c r="B243" s="36" t="s">
        <v>30</v>
      </c>
      <c r="C243" s="36">
        <v>27</v>
      </c>
      <c r="D243" s="42" t="s">
        <v>175</v>
      </c>
      <c r="E243" s="65">
        <v>0</v>
      </c>
      <c r="F243" s="44" t="s">
        <v>172</v>
      </c>
      <c r="G243" s="43">
        <v>0</v>
      </c>
      <c r="H243" s="43">
        <v>0</v>
      </c>
      <c r="I243" s="43">
        <v>0</v>
      </c>
      <c r="J243" s="43">
        <v>0</v>
      </c>
      <c r="K243" s="43">
        <v>0</v>
      </c>
    </row>
    <row r="244" spans="1:11" ht="13.9" x14ac:dyDescent="0.25">
      <c r="A244" s="43">
        <v>2000</v>
      </c>
      <c r="B244" s="36" t="s">
        <v>30</v>
      </c>
      <c r="C244" s="36">
        <v>28</v>
      </c>
      <c r="D244" s="42" t="s">
        <v>171</v>
      </c>
      <c r="E244" s="65">
        <v>0</v>
      </c>
      <c r="F244" s="44" t="s">
        <v>1358</v>
      </c>
      <c r="G244" s="43">
        <v>0</v>
      </c>
      <c r="H244" s="43">
        <v>0</v>
      </c>
      <c r="I244" s="43">
        <v>0</v>
      </c>
      <c r="J244" s="43">
        <v>0</v>
      </c>
      <c r="K244" s="43">
        <v>0</v>
      </c>
    </row>
    <row r="245" spans="1:11" ht="13.9" x14ac:dyDescent="0.25">
      <c r="A245" s="43">
        <v>2000</v>
      </c>
      <c r="B245" s="36" t="s">
        <v>30</v>
      </c>
      <c r="C245" s="36">
        <v>29</v>
      </c>
      <c r="D245" s="42" t="s">
        <v>171</v>
      </c>
      <c r="E245" s="65">
        <v>0</v>
      </c>
      <c r="F245" s="44" t="s">
        <v>1358</v>
      </c>
      <c r="G245" s="43">
        <v>0</v>
      </c>
      <c r="H245" s="43">
        <v>0</v>
      </c>
      <c r="I245" s="43">
        <v>0</v>
      </c>
      <c r="J245" s="43">
        <v>0</v>
      </c>
      <c r="K245" s="43">
        <v>0</v>
      </c>
    </row>
    <row r="246" spans="1:11" ht="13.9" x14ac:dyDescent="0.25">
      <c r="A246" s="43">
        <v>2000</v>
      </c>
      <c r="B246" s="36" t="s">
        <v>30</v>
      </c>
      <c r="C246" s="36">
        <v>30</v>
      </c>
      <c r="D246" s="42" t="s">
        <v>171</v>
      </c>
      <c r="E246" s="65">
        <v>0</v>
      </c>
      <c r="F246" s="44" t="s">
        <v>1358</v>
      </c>
      <c r="G246" s="43">
        <v>0</v>
      </c>
      <c r="H246" s="43">
        <v>0</v>
      </c>
      <c r="I246" s="43">
        <v>0</v>
      </c>
      <c r="J246" s="43">
        <v>0</v>
      </c>
      <c r="K246" s="43">
        <v>0</v>
      </c>
    </row>
    <row r="247" spans="1:11" ht="13.9" x14ac:dyDescent="0.25">
      <c r="A247" s="43">
        <v>2000</v>
      </c>
      <c r="B247" s="36" t="s">
        <v>30</v>
      </c>
      <c r="C247" s="36">
        <v>31</v>
      </c>
      <c r="D247" s="42" t="s">
        <v>171</v>
      </c>
      <c r="E247" s="65">
        <v>0</v>
      </c>
      <c r="F247" s="44" t="s">
        <v>1358</v>
      </c>
      <c r="G247" s="43">
        <v>0</v>
      </c>
      <c r="H247" s="43">
        <v>0</v>
      </c>
      <c r="I247" s="43">
        <v>0</v>
      </c>
      <c r="J247" s="43">
        <v>0</v>
      </c>
      <c r="K247" s="43">
        <v>0</v>
      </c>
    </row>
    <row r="248" spans="1:11" ht="13.9" x14ac:dyDescent="0.25">
      <c r="A248" s="43">
        <v>2000</v>
      </c>
      <c r="B248" s="36" t="s">
        <v>31</v>
      </c>
      <c r="C248" s="36">
        <v>1</v>
      </c>
      <c r="D248" s="42" t="s">
        <v>171</v>
      </c>
      <c r="E248" s="65">
        <v>0</v>
      </c>
      <c r="F248" s="44" t="s">
        <v>1358</v>
      </c>
      <c r="G248" s="43">
        <v>0</v>
      </c>
      <c r="H248" s="43">
        <v>0</v>
      </c>
      <c r="I248" s="43">
        <v>0</v>
      </c>
      <c r="J248" s="43">
        <v>0</v>
      </c>
      <c r="K248" s="43">
        <v>0</v>
      </c>
    </row>
    <row r="249" spans="1:11" ht="13.9" x14ac:dyDescent="0.25">
      <c r="A249" s="43">
        <v>2000</v>
      </c>
      <c r="B249" s="36" t="s">
        <v>31</v>
      </c>
      <c r="C249" s="36">
        <v>2</v>
      </c>
      <c r="D249" s="42" t="s">
        <v>171</v>
      </c>
      <c r="E249" s="65">
        <v>0</v>
      </c>
      <c r="F249" s="44" t="s">
        <v>1358</v>
      </c>
      <c r="G249" s="43">
        <v>0</v>
      </c>
      <c r="H249" s="43">
        <v>0</v>
      </c>
      <c r="I249" s="43">
        <v>0</v>
      </c>
      <c r="J249" s="43">
        <v>0</v>
      </c>
      <c r="K249" s="43">
        <v>0</v>
      </c>
    </row>
    <row r="250" spans="1:11" ht="13.9" x14ac:dyDescent="0.25">
      <c r="A250" s="43">
        <v>2000</v>
      </c>
      <c r="B250" s="36" t="s">
        <v>31</v>
      </c>
      <c r="C250" s="36">
        <v>3</v>
      </c>
      <c r="D250" s="42" t="s">
        <v>221</v>
      </c>
      <c r="E250" s="65">
        <v>0</v>
      </c>
      <c r="F250" s="44" t="s">
        <v>1358</v>
      </c>
      <c r="G250" s="43">
        <v>0</v>
      </c>
      <c r="H250" s="43">
        <v>0</v>
      </c>
      <c r="I250" s="43">
        <v>0</v>
      </c>
      <c r="J250" s="43">
        <v>0</v>
      </c>
      <c r="K250" s="43">
        <v>0</v>
      </c>
    </row>
    <row r="251" spans="1:11" ht="13.9" x14ac:dyDescent="0.25">
      <c r="A251" s="43">
        <v>2000</v>
      </c>
      <c r="B251" s="36" t="s">
        <v>31</v>
      </c>
      <c r="C251" s="36">
        <v>4</v>
      </c>
      <c r="D251" s="42" t="s">
        <v>221</v>
      </c>
      <c r="E251" s="65">
        <v>0</v>
      </c>
      <c r="F251" s="44" t="s">
        <v>1359</v>
      </c>
      <c r="G251" s="43">
        <v>0</v>
      </c>
      <c r="H251" s="43">
        <v>0</v>
      </c>
      <c r="I251" s="43">
        <v>0</v>
      </c>
      <c r="J251" s="43">
        <v>0</v>
      </c>
      <c r="K251" s="43">
        <v>0</v>
      </c>
    </row>
    <row r="252" spans="1:11" ht="13.9" x14ac:dyDescent="0.25">
      <c r="A252" s="43">
        <v>2000</v>
      </c>
      <c r="B252" s="36" t="s">
        <v>31</v>
      </c>
      <c r="C252" s="36">
        <v>5</v>
      </c>
      <c r="D252" s="42" t="s">
        <v>221</v>
      </c>
      <c r="E252" s="65">
        <v>0</v>
      </c>
      <c r="F252" s="44" t="s">
        <v>1359</v>
      </c>
      <c r="G252" s="43">
        <v>0</v>
      </c>
      <c r="H252" s="43">
        <v>0</v>
      </c>
      <c r="I252" s="43">
        <v>0</v>
      </c>
      <c r="J252" s="43">
        <v>0</v>
      </c>
      <c r="K252" s="43">
        <v>0</v>
      </c>
    </row>
    <row r="253" spans="1:11" ht="13.9" x14ac:dyDescent="0.25">
      <c r="A253" s="43">
        <v>2000</v>
      </c>
      <c r="B253" s="36" t="s">
        <v>31</v>
      </c>
      <c r="C253" s="36">
        <v>6</v>
      </c>
      <c r="D253" s="42" t="s">
        <v>221</v>
      </c>
      <c r="E253" s="65">
        <v>0</v>
      </c>
      <c r="F253" s="44" t="s">
        <v>1359</v>
      </c>
      <c r="G253" s="43">
        <v>0</v>
      </c>
      <c r="H253" s="43">
        <v>0</v>
      </c>
      <c r="I253" s="43">
        <v>0</v>
      </c>
      <c r="J253" s="43">
        <v>0</v>
      </c>
      <c r="K253" s="43">
        <v>0</v>
      </c>
    </row>
    <row r="254" spans="1:11" ht="13.9" x14ac:dyDescent="0.25">
      <c r="A254" s="43">
        <v>2000</v>
      </c>
      <c r="B254" s="36" t="s">
        <v>31</v>
      </c>
      <c r="C254" s="36">
        <v>7</v>
      </c>
      <c r="D254" s="42" t="s">
        <v>169</v>
      </c>
      <c r="E254" s="65">
        <v>0</v>
      </c>
      <c r="F254" s="44" t="s">
        <v>1359</v>
      </c>
      <c r="G254" s="43">
        <v>0</v>
      </c>
      <c r="H254" s="43">
        <v>0</v>
      </c>
      <c r="I254" s="43">
        <v>0</v>
      </c>
      <c r="J254" s="43">
        <v>0</v>
      </c>
      <c r="K254" s="43">
        <v>0</v>
      </c>
    </row>
    <row r="255" spans="1:11" ht="13.9" x14ac:dyDescent="0.25">
      <c r="A255" s="43">
        <v>2000</v>
      </c>
      <c r="B255" s="36" t="s">
        <v>31</v>
      </c>
      <c r="C255" s="36">
        <v>8</v>
      </c>
      <c r="D255" s="42" t="s">
        <v>169</v>
      </c>
      <c r="E255" s="65">
        <v>0</v>
      </c>
      <c r="F255" s="44" t="s">
        <v>1359</v>
      </c>
      <c r="G255" s="43">
        <v>0</v>
      </c>
      <c r="H255" s="43">
        <v>0</v>
      </c>
      <c r="I255" s="43">
        <v>0</v>
      </c>
      <c r="J255" s="43">
        <v>0</v>
      </c>
      <c r="K255" s="43">
        <v>0</v>
      </c>
    </row>
    <row r="256" spans="1:11" ht="13.9" x14ac:dyDescent="0.25">
      <c r="A256" s="43">
        <v>2000</v>
      </c>
      <c r="B256" s="36" t="s">
        <v>31</v>
      </c>
      <c r="C256" s="36">
        <v>9</v>
      </c>
      <c r="D256" s="42" t="s">
        <v>169</v>
      </c>
      <c r="E256" s="65">
        <v>0</v>
      </c>
      <c r="F256" s="44" t="s">
        <v>1360</v>
      </c>
      <c r="G256" s="43">
        <v>0</v>
      </c>
      <c r="H256" s="43">
        <v>0</v>
      </c>
      <c r="I256" s="43">
        <v>0</v>
      </c>
      <c r="J256" s="43">
        <v>0</v>
      </c>
      <c r="K256" s="43">
        <v>0</v>
      </c>
    </row>
    <row r="257" spans="1:11" ht="13.9" x14ac:dyDescent="0.25">
      <c r="A257" s="43">
        <v>2000</v>
      </c>
      <c r="B257" s="36" t="s">
        <v>31</v>
      </c>
      <c r="C257" s="36">
        <v>10</v>
      </c>
      <c r="D257" s="42" t="s">
        <v>169</v>
      </c>
      <c r="E257" s="65">
        <v>0</v>
      </c>
      <c r="F257" s="44" t="s">
        <v>1360</v>
      </c>
      <c r="G257" s="43">
        <v>0</v>
      </c>
      <c r="H257" s="43">
        <v>0</v>
      </c>
      <c r="I257" s="43">
        <v>0</v>
      </c>
      <c r="J257" s="43">
        <v>0</v>
      </c>
      <c r="K257" s="43">
        <v>0</v>
      </c>
    </row>
    <row r="258" spans="1:11" ht="13.9" x14ac:dyDescent="0.25">
      <c r="A258" s="43">
        <v>2000</v>
      </c>
      <c r="B258" s="36" t="s">
        <v>31</v>
      </c>
      <c r="C258" s="36">
        <v>11</v>
      </c>
      <c r="D258" s="42" t="s">
        <v>169</v>
      </c>
      <c r="E258" s="65">
        <v>0</v>
      </c>
      <c r="F258" s="44" t="s">
        <v>1360</v>
      </c>
      <c r="G258" s="43">
        <v>0</v>
      </c>
      <c r="H258" s="43">
        <v>0</v>
      </c>
      <c r="I258" s="43">
        <v>0</v>
      </c>
      <c r="J258" s="43">
        <v>0</v>
      </c>
      <c r="K258" s="43">
        <v>0</v>
      </c>
    </row>
    <row r="259" spans="1:11" ht="13.9" x14ac:dyDescent="0.25">
      <c r="A259" s="43">
        <v>2000</v>
      </c>
      <c r="B259" s="36" t="s">
        <v>31</v>
      </c>
      <c r="C259" s="36">
        <v>12</v>
      </c>
      <c r="D259" s="42" t="s">
        <v>165</v>
      </c>
      <c r="E259" s="65">
        <v>0</v>
      </c>
      <c r="F259" s="44" t="s">
        <v>1360</v>
      </c>
      <c r="G259" s="43">
        <v>0</v>
      </c>
      <c r="H259" s="43">
        <v>0</v>
      </c>
      <c r="I259" s="43">
        <v>0</v>
      </c>
      <c r="J259" s="43">
        <v>0</v>
      </c>
      <c r="K259" s="43">
        <v>0</v>
      </c>
    </row>
    <row r="260" spans="1:11" ht="13.9" x14ac:dyDescent="0.25">
      <c r="A260" s="43">
        <v>2000</v>
      </c>
      <c r="B260" s="36" t="s">
        <v>31</v>
      </c>
      <c r="C260" s="36">
        <v>13</v>
      </c>
      <c r="D260" s="42" t="s">
        <v>165</v>
      </c>
      <c r="E260" s="65">
        <v>0</v>
      </c>
      <c r="F260" s="44" t="s">
        <v>1361</v>
      </c>
      <c r="G260" s="43">
        <v>0</v>
      </c>
      <c r="H260" s="43">
        <v>0</v>
      </c>
      <c r="I260" s="43">
        <v>0</v>
      </c>
      <c r="J260" s="43">
        <v>0</v>
      </c>
      <c r="K260" s="43">
        <v>0</v>
      </c>
    </row>
    <row r="261" spans="1:11" ht="13.9" x14ac:dyDescent="0.25">
      <c r="A261" s="43">
        <v>2000</v>
      </c>
      <c r="B261" s="36" t="s">
        <v>31</v>
      </c>
      <c r="C261" s="36">
        <v>14</v>
      </c>
      <c r="D261" s="42" t="s">
        <v>165</v>
      </c>
      <c r="E261" s="65">
        <v>0</v>
      </c>
      <c r="F261" s="44" t="s">
        <v>1361</v>
      </c>
      <c r="G261" s="43">
        <v>0</v>
      </c>
      <c r="H261" s="43">
        <v>0</v>
      </c>
      <c r="I261" s="43">
        <v>0</v>
      </c>
      <c r="J261" s="43">
        <v>0</v>
      </c>
      <c r="K261" s="43">
        <v>0</v>
      </c>
    </row>
    <row r="262" spans="1:11" ht="13.9" x14ac:dyDescent="0.25">
      <c r="A262" s="43">
        <v>2000</v>
      </c>
      <c r="B262" s="36" t="s">
        <v>31</v>
      </c>
      <c r="C262" s="36">
        <v>15</v>
      </c>
      <c r="D262" s="42" t="s">
        <v>165</v>
      </c>
      <c r="E262" s="65">
        <v>0</v>
      </c>
      <c r="F262" s="44" t="s">
        <v>1361</v>
      </c>
      <c r="G262" s="43">
        <v>0</v>
      </c>
      <c r="H262" s="43">
        <v>0</v>
      </c>
      <c r="I262" s="43">
        <v>0</v>
      </c>
      <c r="J262" s="43">
        <v>0</v>
      </c>
      <c r="K262" s="43">
        <v>0</v>
      </c>
    </row>
    <row r="263" spans="1:11" ht="13.9" x14ac:dyDescent="0.25">
      <c r="A263" s="43">
        <v>2000</v>
      </c>
      <c r="B263" s="36" t="s">
        <v>31</v>
      </c>
      <c r="C263" s="36">
        <v>16</v>
      </c>
      <c r="D263" s="42" t="s">
        <v>227</v>
      </c>
      <c r="E263" s="65">
        <v>0</v>
      </c>
      <c r="F263" s="44" t="s">
        <v>1361</v>
      </c>
      <c r="G263" s="43">
        <v>0</v>
      </c>
      <c r="H263" s="43">
        <v>0</v>
      </c>
      <c r="I263" s="43">
        <v>0</v>
      </c>
      <c r="J263" s="43">
        <v>0</v>
      </c>
      <c r="K263" s="43">
        <v>0</v>
      </c>
    </row>
    <row r="264" spans="1:11" ht="13.9" x14ac:dyDescent="0.25">
      <c r="A264" s="43">
        <v>2000</v>
      </c>
      <c r="B264" s="36" t="s">
        <v>31</v>
      </c>
      <c r="C264" s="36">
        <v>17</v>
      </c>
      <c r="D264" s="42" t="s">
        <v>227</v>
      </c>
      <c r="E264" s="65">
        <v>0</v>
      </c>
      <c r="F264" s="44" t="s">
        <v>164</v>
      </c>
      <c r="G264" s="43">
        <v>0</v>
      </c>
      <c r="H264" s="43">
        <v>0</v>
      </c>
      <c r="I264" s="43">
        <v>0</v>
      </c>
      <c r="J264" s="43">
        <v>0</v>
      </c>
      <c r="K264" s="43">
        <v>0</v>
      </c>
    </row>
    <row r="265" spans="1:11" ht="13.9" x14ac:dyDescent="0.25">
      <c r="A265" s="43">
        <v>2000</v>
      </c>
      <c r="B265" s="36" t="s">
        <v>31</v>
      </c>
      <c r="C265" s="36">
        <v>18</v>
      </c>
      <c r="D265" s="42" t="s">
        <v>227</v>
      </c>
      <c r="E265" s="65">
        <v>0</v>
      </c>
      <c r="F265" s="44" t="s">
        <v>164</v>
      </c>
      <c r="G265" s="43">
        <v>0</v>
      </c>
      <c r="H265" s="43">
        <v>0</v>
      </c>
      <c r="I265" s="43">
        <v>0</v>
      </c>
      <c r="J265" s="43">
        <v>0</v>
      </c>
      <c r="K265" s="43">
        <v>0</v>
      </c>
    </row>
    <row r="266" spans="1:11" ht="13.9" x14ac:dyDescent="0.25">
      <c r="A266" s="43">
        <v>2000</v>
      </c>
      <c r="B266" s="36" t="s">
        <v>31</v>
      </c>
      <c r="C266" s="36">
        <v>19</v>
      </c>
      <c r="D266" s="42" t="s">
        <v>236</v>
      </c>
      <c r="E266" s="65">
        <v>0</v>
      </c>
      <c r="F266" s="44" t="s">
        <v>164</v>
      </c>
      <c r="G266" s="43">
        <v>0</v>
      </c>
      <c r="H266" s="43">
        <v>0</v>
      </c>
      <c r="I266" s="43">
        <v>0</v>
      </c>
      <c r="J266" s="43">
        <v>0</v>
      </c>
      <c r="K266" s="43">
        <v>0</v>
      </c>
    </row>
    <row r="267" spans="1:11" ht="13.9" x14ac:dyDescent="0.25">
      <c r="A267" s="43">
        <v>2000</v>
      </c>
      <c r="B267" s="36" t="s">
        <v>31</v>
      </c>
      <c r="C267" s="36">
        <v>20</v>
      </c>
      <c r="D267" s="42" t="s">
        <v>236</v>
      </c>
      <c r="E267" s="65">
        <v>0</v>
      </c>
      <c r="F267" s="44" t="s">
        <v>1365</v>
      </c>
      <c r="G267" s="43">
        <v>0</v>
      </c>
      <c r="H267" s="43">
        <v>0</v>
      </c>
      <c r="I267" s="43">
        <v>0</v>
      </c>
      <c r="J267" s="43">
        <v>0</v>
      </c>
      <c r="K267" s="43">
        <v>0</v>
      </c>
    </row>
    <row r="268" spans="1:11" ht="13.9" x14ac:dyDescent="0.25">
      <c r="A268" s="43">
        <v>2000</v>
      </c>
      <c r="B268" s="36" t="s">
        <v>31</v>
      </c>
      <c r="C268" s="36">
        <v>21</v>
      </c>
      <c r="D268" s="42" t="s">
        <v>236</v>
      </c>
      <c r="E268" s="65">
        <v>0</v>
      </c>
      <c r="F268" s="44" t="s">
        <v>1365</v>
      </c>
      <c r="G268" s="43">
        <v>0</v>
      </c>
      <c r="H268" s="43">
        <v>0</v>
      </c>
      <c r="I268" s="43">
        <v>0</v>
      </c>
      <c r="J268" s="43">
        <v>0</v>
      </c>
      <c r="K268" s="43">
        <v>0</v>
      </c>
    </row>
    <row r="269" spans="1:11" ht="13.9" x14ac:dyDescent="0.25">
      <c r="A269" s="43">
        <v>2000</v>
      </c>
      <c r="B269" s="36" t="s">
        <v>31</v>
      </c>
      <c r="C269" s="36">
        <v>22</v>
      </c>
      <c r="D269" s="42" t="s">
        <v>161</v>
      </c>
      <c r="E269" s="65">
        <v>0</v>
      </c>
      <c r="F269" s="44" t="s">
        <v>1364</v>
      </c>
      <c r="G269" s="43">
        <v>0</v>
      </c>
      <c r="H269" s="43">
        <v>0</v>
      </c>
      <c r="I269" s="43">
        <v>0</v>
      </c>
      <c r="J269" s="43">
        <v>0</v>
      </c>
      <c r="K269" s="43">
        <v>0</v>
      </c>
    </row>
    <row r="270" spans="1:11" ht="13.9" x14ac:dyDescent="0.25">
      <c r="A270" s="43">
        <v>2000</v>
      </c>
      <c r="B270" s="36" t="s">
        <v>31</v>
      </c>
      <c r="C270" s="36">
        <v>23</v>
      </c>
      <c r="D270" s="42" t="s">
        <v>161</v>
      </c>
      <c r="E270" s="65">
        <v>0</v>
      </c>
      <c r="F270" s="44" t="s">
        <v>1364</v>
      </c>
      <c r="G270" s="43">
        <v>0</v>
      </c>
      <c r="H270" s="43">
        <v>0</v>
      </c>
      <c r="I270" s="43">
        <v>0</v>
      </c>
      <c r="J270" s="43">
        <v>0</v>
      </c>
      <c r="K270" s="43">
        <v>0</v>
      </c>
    </row>
    <row r="271" spans="1:11" ht="13.9" x14ac:dyDescent="0.25">
      <c r="A271" s="43">
        <v>2000</v>
      </c>
      <c r="B271" s="36" t="s">
        <v>31</v>
      </c>
      <c r="C271" s="36">
        <v>24</v>
      </c>
      <c r="D271" s="42" t="s">
        <v>161</v>
      </c>
      <c r="E271" s="65">
        <v>0</v>
      </c>
      <c r="F271" s="44" t="s">
        <v>1364</v>
      </c>
      <c r="G271" s="43">
        <v>0</v>
      </c>
      <c r="H271" s="43">
        <v>0</v>
      </c>
      <c r="I271" s="43">
        <v>0</v>
      </c>
      <c r="J271" s="43">
        <v>0</v>
      </c>
      <c r="K271" s="43">
        <v>0</v>
      </c>
    </row>
    <row r="272" spans="1:11" ht="13.9" x14ac:dyDescent="0.25">
      <c r="A272" s="43">
        <v>2000</v>
      </c>
      <c r="B272" s="36" t="s">
        <v>31</v>
      </c>
      <c r="C272" s="36">
        <v>25</v>
      </c>
      <c r="D272" s="42" t="s">
        <v>165</v>
      </c>
      <c r="E272" s="65">
        <v>0</v>
      </c>
      <c r="F272" s="44" t="s">
        <v>1360</v>
      </c>
      <c r="G272" s="43">
        <v>0</v>
      </c>
      <c r="H272" s="43">
        <v>0</v>
      </c>
      <c r="I272" s="43">
        <v>0</v>
      </c>
      <c r="J272" s="43">
        <v>0</v>
      </c>
      <c r="K272" s="43">
        <v>0</v>
      </c>
    </row>
    <row r="273" spans="1:11" ht="13.9" x14ac:dyDescent="0.25">
      <c r="A273" s="43">
        <v>2000</v>
      </c>
      <c r="B273" s="36" t="s">
        <v>31</v>
      </c>
      <c r="C273" s="36">
        <v>26</v>
      </c>
      <c r="D273" s="42" t="s">
        <v>169</v>
      </c>
      <c r="E273" s="65">
        <v>0</v>
      </c>
      <c r="F273" s="44" t="s">
        <v>1360</v>
      </c>
      <c r="G273" s="43">
        <v>0</v>
      </c>
      <c r="H273" s="43">
        <v>0</v>
      </c>
      <c r="I273" s="43">
        <v>0</v>
      </c>
      <c r="J273" s="43">
        <v>0</v>
      </c>
      <c r="K273" s="43">
        <v>0</v>
      </c>
    </row>
    <row r="274" spans="1:11" ht="13.9" x14ac:dyDescent="0.25">
      <c r="A274" s="43">
        <v>2000</v>
      </c>
      <c r="B274" s="36" t="s">
        <v>31</v>
      </c>
      <c r="C274" s="36">
        <v>27</v>
      </c>
      <c r="D274" s="42" t="s">
        <v>169</v>
      </c>
      <c r="E274" s="65">
        <v>0</v>
      </c>
      <c r="F274" s="44" t="s">
        <v>1360</v>
      </c>
      <c r="G274" s="43">
        <v>0</v>
      </c>
      <c r="H274" s="43">
        <v>0</v>
      </c>
      <c r="I274" s="43">
        <v>0</v>
      </c>
      <c r="J274" s="43">
        <v>0</v>
      </c>
      <c r="K274" s="43">
        <v>0</v>
      </c>
    </row>
    <row r="275" spans="1:11" ht="13.9" x14ac:dyDescent="0.25">
      <c r="A275" s="43">
        <v>2000</v>
      </c>
      <c r="B275" s="36" t="s">
        <v>31</v>
      </c>
      <c r="C275" s="36">
        <v>28</v>
      </c>
      <c r="D275" s="42" t="s">
        <v>169</v>
      </c>
      <c r="E275" s="65">
        <v>0</v>
      </c>
      <c r="F275" s="44" t="s">
        <v>1360</v>
      </c>
      <c r="G275" s="43">
        <v>0</v>
      </c>
      <c r="H275" s="43">
        <v>0</v>
      </c>
      <c r="I275" s="43">
        <v>0</v>
      </c>
      <c r="J275" s="43">
        <v>0</v>
      </c>
      <c r="K275" s="43">
        <v>0</v>
      </c>
    </row>
    <row r="276" spans="1:11" ht="13.9" x14ac:dyDescent="0.25">
      <c r="A276" s="43">
        <v>2000</v>
      </c>
      <c r="B276" s="36" t="s">
        <v>31</v>
      </c>
      <c r="C276" s="36">
        <v>29</v>
      </c>
      <c r="D276" s="42" t="s">
        <v>169</v>
      </c>
      <c r="E276" s="65">
        <v>0</v>
      </c>
      <c r="F276" s="44" t="s">
        <v>1360</v>
      </c>
      <c r="G276" s="43">
        <v>0</v>
      </c>
      <c r="H276" s="43">
        <v>0</v>
      </c>
      <c r="I276" s="43">
        <v>0</v>
      </c>
      <c r="J276" s="43">
        <v>0</v>
      </c>
      <c r="K276" s="43">
        <v>0</v>
      </c>
    </row>
    <row r="277" spans="1:11" ht="13.9" x14ac:dyDescent="0.25">
      <c r="A277" s="43">
        <v>2000</v>
      </c>
      <c r="B277" s="36" t="s">
        <v>31</v>
      </c>
      <c r="C277" s="36">
        <v>30</v>
      </c>
      <c r="D277" s="42" t="s">
        <v>169</v>
      </c>
      <c r="E277" s="65">
        <v>0</v>
      </c>
      <c r="F277" s="44" t="s">
        <v>1360</v>
      </c>
      <c r="G277" s="43">
        <v>0</v>
      </c>
      <c r="H277" s="43">
        <v>0</v>
      </c>
      <c r="I277" s="43">
        <v>0</v>
      </c>
      <c r="J277" s="43">
        <v>0</v>
      </c>
      <c r="K277" s="43">
        <v>0</v>
      </c>
    </row>
    <row r="278" spans="1:11" ht="13.9" x14ac:dyDescent="0.25">
      <c r="A278" s="43">
        <v>2000</v>
      </c>
      <c r="B278" s="36" t="s">
        <v>1750</v>
      </c>
      <c r="C278" s="36">
        <v>1</v>
      </c>
      <c r="D278" s="42" t="s">
        <v>169</v>
      </c>
      <c r="E278" s="65">
        <v>0</v>
      </c>
      <c r="F278" s="44" t="s">
        <v>1360</v>
      </c>
      <c r="G278" s="43">
        <v>0</v>
      </c>
      <c r="H278" s="43">
        <v>0</v>
      </c>
      <c r="I278" s="43">
        <v>0</v>
      </c>
      <c r="J278" s="43">
        <v>0</v>
      </c>
      <c r="K278" s="43">
        <v>0</v>
      </c>
    </row>
    <row r="279" spans="1:11" ht="13.9" x14ac:dyDescent="0.25">
      <c r="A279" s="43">
        <v>2000</v>
      </c>
      <c r="B279" s="36" t="s">
        <v>1750</v>
      </c>
      <c r="C279" s="36">
        <v>2</v>
      </c>
      <c r="D279" s="42" t="s">
        <v>169</v>
      </c>
      <c r="E279" s="65">
        <v>0</v>
      </c>
      <c r="F279" s="44" t="s">
        <v>1360</v>
      </c>
      <c r="G279" s="43">
        <v>0</v>
      </c>
      <c r="H279" s="43">
        <v>0</v>
      </c>
      <c r="I279" s="43">
        <v>0</v>
      </c>
      <c r="J279" s="43">
        <v>0</v>
      </c>
      <c r="K279" s="43">
        <v>0</v>
      </c>
    </row>
    <row r="280" spans="1:11" ht="13.9" x14ac:dyDescent="0.25">
      <c r="A280" s="43">
        <v>2000</v>
      </c>
      <c r="B280" s="36" t="s">
        <v>1750</v>
      </c>
      <c r="C280" s="36">
        <v>3</v>
      </c>
      <c r="D280" s="42" t="s">
        <v>169</v>
      </c>
      <c r="E280" s="65">
        <v>0</v>
      </c>
      <c r="F280" s="44" t="s">
        <v>1360</v>
      </c>
      <c r="G280" s="43">
        <v>0</v>
      </c>
      <c r="H280" s="43">
        <v>0</v>
      </c>
      <c r="I280" s="43">
        <v>0</v>
      </c>
      <c r="J280" s="43">
        <v>0</v>
      </c>
      <c r="K280" s="43">
        <v>0</v>
      </c>
    </row>
    <row r="281" spans="1:11" ht="13.9" x14ac:dyDescent="0.25">
      <c r="A281" s="43">
        <v>2000</v>
      </c>
      <c r="B281" s="36" t="s">
        <v>1750</v>
      </c>
      <c r="C281" s="36">
        <v>4</v>
      </c>
      <c r="D281" s="42" t="s">
        <v>169</v>
      </c>
      <c r="E281" s="65">
        <v>0</v>
      </c>
      <c r="F281" s="44" t="s">
        <v>1360</v>
      </c>
      <c r="G281" s="43">
        <v>0</v>
      </c>
      <c r="H281" s="43">
        <v>0</v>
      </c>
      <c r="I281" s="43">
        <v>0</v>
      </c>
      <c r="J281" s="43">
        <v>0</v>
      </c>
      <c r="K281" s="43">
        <v>0</v>
      </c>
    </row>
    <row r="282" spans="1:11" ht="13.9" x14ac:dyDescent="0.25">
      <c r="A282" s="43">
        <v>2000</v>
      </c>
      <c r="B282" s="36" t="s">
        <v>1750</v>
      </c>
      <c r="C282" s="36">
        <v>5</v>
      </c>
      <c r="D282" s="42" t="s">
        <v>171</v>
      </c>
      <c r="E282" s="65">
        <v>0</v>
      </c>
      <c r="F282" s="44" t="s">
        <v>1358</v>
      </c>
      <c r="G282" s="43">
        <v>0</v>
      </c>
      <c r="H282" s="43">
        <v>0</v>
      </c>
      <c r="I282" s="43">
        <v>0</v>
      </c>
      <c r="J282" s="43">
        <v>0</v>
      </c>
      <c r="K282" s="43">
        <v>0</v>
      </c>
    </row>
    <row r="283" spans="1:11" ht="13.9" x14ac:dyDescent="0.25">
      <c r="A283" s="43">
        <v>2000</v>
      </c>
      <c r="B283" s="36" t="s">
        <v>1750</v>
      </c>
      <c r="C283" s="36">
        <v>6</v>
      </c>
      <c r="D283" s="42" t="s">
        <v>175</v>
      </c>
      <c r="E283" s="65">
        <v>0</v>
      </c>
      <c r="F283" s="44" t="s">
        <v>172</v>
      </c>
      <c r="G283" s="43">
        <v>0</v>
      </c>
      <c r="H283" s="43">
        <v>0</v>
      </c>
      <c r="I283" s="43">
        <v>0</v>
      </c>
      <c r="J283" s="43">
        <v>0</v>
      </c>
      <c r="K283" s="43">
        <v>0</v>
      </c>
    </row>
    <row r="284" spans="1:11" ht="13.9" x14ac:dyDescent="0.25">
      <c r="A284" s="43">
        <v>2000</v>
      </c>
      <c r="B284" s="36" t="s">
        <v>1750</v>
      </c>
      <c r="C284" s="36">
        <v>7</v>
      </c>
      <c r="D284" s="42" t="s">
        <v>212</v>
      </c>
      <c r="E284" s="65">
        <v>0</v>
      </c>
      <c r="F284" s="44" t="s">
        <v>1357</v>
      </c>
      <c r="G284" s="43">
        <v>0</v>
      </c>
      <c r="H284" s="43">
        <v>0</v>
      </c>
      <c r="I284" s="43">
        <v>0</v>
      </c>
      <c r="J284" s="43">
        <v>0</v>
      </c>
      <c r="K284" s="43">
        <v>0</v>
      </c>
    </row>
    <row r="285" spans="1:11" ht="13.9" x14ac:dyDescent="0.25">
      <c r="A285" s="43">
        <v>2000</v>
      </c>
      <c r="B285" s="36" t="s">
        <v>1750</v>
      </c>
      <c r="C285" s="36">
        <v>8</v>
      </c>
      <c r="D285" s="42" t="s">
        <v>208</v>
      </c>
      <c r="E285" s="65">
        <v>0</v>
      </c>
      <c r="F285" s="44" t="s">
        <v>1356</v>
      </c>
      <c r="G285" s="43">
        <v>0</v>
      </c>
      <c r="H285" s="43">
        <v>0</v>
      </c>
      <c r="I285" s="43">
        <v>0</v>
      </c>
      <c r="J285" s="43">
        <v>0</v>
      </c>
      <c r="K285" s="43">
        <v>0</v>
      </c>
    </row>
    <row r="286" spans="1:11" ht="13.9" x14ac:dyDescent="0.25">
      <c r="A286" s="43">
        <v>2000</v>
      </c>
      <c r="B286" s="36" t="s">
        <v>1750</v>
      </c>
      <c r="C286" s="36">
        <v>9</v>
      </c>
      <c r="D286" s="42" t="s">
        <v>177</v>
      </c>
      <c r="E286" s="65">
        <v>0</v>
      </c>
      <c r="F286" s="44" t="s">
        <v>1355</v>
      </c>
      <c r="G286" s="43">
        <v>0</v>
      </c>
      <c r="H286" s="43">
        <v>0</v>
      </c>
      <c r="I286" s="43">
        <v>0</v>
      </c>
      <c r="J286" s="43">
        <v>0</v>
      </c>
      <c r="K286" s="43">
        <v>0</v>
      </c>
    </row>
    <row r="287" spans="1:11" ht="13.9" x14ac:dyDescent="0.25">
      <c r="A287" s="43">
        <v>2000</v>
      </c>
      <c r="B287" s="36" t="s">
        <v>1750</v>
      </c>
      <c r="C287" s="36">
        <v>10</v>
      </c>
      <c r="D287" s="42" t="s">
        <v>177</v>
      </c>
      <c r="E287" s="65">
        <v>0</v>
      </c>
      <c r="F287" s="44" t="s">
        <v>1355</v>
      </c>
      <c r="G287" s="43">
        <v>0</v>
      </c>
      <c r="H287" s="43">
        <v>0</v>
      </c>
      <c r="I287" s="43">
        <v>0</v>
      </c>
      <c r="J287" s="43">
        <v>0</v>
      </c>
      <c r="K287" s="43">
        <v>0</v>
      </c>
    </row>
    <row r="288" spans="1:11" ht="13.9" x14ac:dyDescent="0.25">
      <c r="A288" s="43">
        <v>2000</v>
      </c>
      <c r="B288" s="36" t="s">
        <v>1750</v>
      </c>
      <c r="C288" s="36">
        <v>11</v>
      </c>
      <c r="D288" s="42" t="s">
        <v>177</v>
      </c>
      <c r="E288" s="65">
        <v>0</v>
      </c>
      <c r="F288" s="44" t="s">
        <v>1355</v>
      </c>
      <c r="G288" s="43">
        <v>0</v>
      </c>
      <c r="H288" s="43">
        <v>0</v>
      </c>
      <c r="I288" s="43">
        <v>0</v>
      </c>
      <c r="J288" s="43">
        <v>0</v>
      </c>
      <c r="K288" s="43">
        <v>0</v>
      </c>
    </row>
    <row r="289" spans="1:11" ht="13.9" x14ac:dyDescent="0.25">
      <c r="A289" s="43">
        <v>2000</v>
      </c>
      <c r="B289" s="36" t="s">
        <v>1750</v>
      </c>
      <c r="C289" s="36">
        <v>12</v>
      </c>
      <c r="D289" s="42" t="s">
        <v>177</v>
      </c>
      <c r="E289" s="65">
        <v>0</v>
      </c>
      <c r="F289" s="44" t="s">
        <v>1355</v>
      </c>
      <c r="G289" s="43">
        <v>0</v>
      </c>
      <c r="H289" s="43">
        <v>0</v>
      </c>
      <c r="I289" s="43">
        <v>0</v>
      </c>
      <c r="J289" s="43">
        <v>0</v>
      </c>
      <c r="K289" s="43">
        <v>0</v>
      </c>
    </row>
    <row r="290" spans="1:11" ht="13.9" x14ac:dyDescent="0.25">
      <c r="A290" s="43">
        <v>2000</v>
      </c>
      <c r="B290" s="36" t="s">
        <v>1750</v>
      </c>
      <c r="C290" s="36">
        <v>13</v>
      </c>
      <c r="D290" s="42" t="s">
        <v>177</v>
      </c>
      <c r="E290" s="65">
        <v>0</v>
      </c>
      <c r="F290" s="44" t="s">
        <v>1355</v>
      </c>
      <c r="G290" s="43">
        <v>0</v>
      </c>
      <c r="H290" s="43">
        <v>0</v>
      </c>
      <c r="I290" s="43">
        <v>0</v>
      </c>
      <c r="J290" s="43">
        <v>0</v>
      </c>
      <c r="K290" s="43">
        <v>0</v>
      </c>
    </row>
    <row r="291" spans="1:11" ht="13.9" x14ac:dyDescent="0.25">
      <c r="A291" s="43">
        <v>2000</v>
      </c>
      <c r="B291" s="36" t="s">
        <v>1750</v>
      </c>
      <c r="C291" s="36">
        <v>14</v>
      </c>
      <c r="D291" s="42" t="s">
        <v>177</v>
      </c>
      <c r="E291" s="65">
        <v>0</v>
      </c>
      <c r="F291" s="44" t="s">
        <v>1355</v>
      </c>
      <c r="G291" s="43">
        <v>0</v>
      </c>
      <c r="H291" s="43">
        <v>0</v>
      </c>
      <c r="I291" s="43">
        <v>0</v>
      </c>
      <c r="J291" s="43">
        <v>0</v>
      </c>
      <c r="K291" s="43">
        <v>0</v>
      </c>
    </row>
    <row r="292" spans="1:11" ht="13.9" x14ac:dyDescent="0.25">
      <c r="A292" s="43">
        <v>2000</v>
      </c>
      <c r="B292" s="36" t="s">
        <v>1750</v>
      </c>
      <c r="C292" s="36">
        <v>15</v>
      </c>
      <c r="D292" s="42" t="s">
        <v>177</v>
      </c>
      <c r="E292" s="65">
        <v>0</v>
      </c>
      <c r="F292" s="44" t="s">
        <v>1355</v>
      </c>
      <c r="G292" s="43">
        <v>0</v>
      </c>
      <c r="H292" s="43">
        <v>0</v>
      </c>
      <c r="I292" s="43">
        <v>0</v>
      </c>
      <c r="J292" s="43">
        <v>0</v>
      </c>
      <c r="K292" s="43">
        <v>0</v>
      </c>
    </row>
    <row r="293" spans="1:11" ht="13.9" x14ac:dyDescent="0.25">
      <c r="A293" s="43">
        <v>2000</v>
      </c>
      <c r="B293" s="36" t="s">
        <v>1750</v>
      </c>
      <c r="C293" s="36">
        <v>16</v>
      </c>
      <c r="D293" s="42" t="s">
        <v>177</v>
      </c>
      <c r="E293" s="65">
        <v>0</v>
      </c>
      <c r="F293" s="44" t="s">
        <v>1355</v>
      </c>
      <c r="G293" s="43">
        <v>0</v>
      </c>
      <c r="H293" s="43">
        <v>0</v>
      </c>
      <c r="I293" s="43">
        <v>0</v>
      </c>
      <c r="J293" s="43">
        <v>0</v>
      </c>
      <c r="K293" s="43">
        <v>0</v>
      </c>
    </row>
    <row r="294" spans="1:11" ht="13.9" x14ac:dyDescent="0.25">
      <c r="A294" s="43">
        <v>2000</v>
      </c>
      <c r="B294" s="36" t="s">
        <v>1750</v>
      </c>
      <c r="C294" s="36">
        <v>17</v>
      </c>
      <c r="D294" s="42" t="s">
        <v>1431</v>
      </c>
      <c r="E294" s="65">
        <v>0</v>
      </c>
      <c r="F294" s="44" t="s">
        <v>1432</v>
      </c>
      <c r="G294" s="43">
        <v>0</v>
      </c>
      <c r="H294" s="43">
        <v>0</v>
      </c>
      <c r="I294" s="43">
        <v>0</v>
      </c>
      <c r="J294" s="43">
        <v>0</v>
      </c>
      <c r="K294" s="43">
        <v>0</v>
      </c>
    </row>
    <row r="295" spans="1:11" ht="13.9" x14ac:dyDescent="0.25">
      <c r="A295" s="43">
        <v>2000</v>
      </c>
      <c r="B295" s="36" t="s">
        <v>1750</v>
      </c>
      <c r="C295" s="36">
        <v>18</v>
      </c>
      <c r="D295" s="42" t="s">
        <v>1431</v>
      </c>
      <c r="E295" s="65">
        <v>0</v>
      </c>
      <c r="F295" s="44" t="s">
        <v>1432</v>
      </c>
      <c r="G295" s="43">
        <v>0</v>
      </c>
      <c r="H295" s="43">
        <v>0</v>
      </c>
      <c r="I295" s="43">
        <v>0</v>
      </c>
      <c r="J295" s="43">
        <v>0</v>
      </c>
      <c r="K295" s="43">
        <v>0</v>
      </c>
    </row>
    <row r="296" spans="1:11" ht="13.9" x14ac:dyDescent="0.25">
      <c r="A296" s="43">
        <v>2000</v>
      </c>
      <c r="B296" s="36" t="s">
        <v>1750</v>
      </c>
      <c r="C296" s="36">
        <v>19</v>
      </c>
      <c r="D296" s="42" t="s">
        <v>208</v>
      </c>
      <c r="E296" s="65">
        <v>0</v>
      </c>
      <c r="F296" s="44" t="s">
        <v>1432</v>
      </c>
      <c r="G296" s="43">
        <v>0</v>
      </c>
      <c r="H296" s="43">
        <v>0</v>
      </c>
      <c r="I296" s="43">
        <v>0</v>
      </c>
      <c r="J296" s="43">
        <v>0</v>
      </c>
      <c r="K296" s="43">
        <v>0</v>
      </c>
    </row>
    <row r="297" spans="1:11" ht="13.9" x14ac:dyDescent="0.25">
      <c r="A297" s="43">
        <v>2000</v>
      </c>
      <c r="B297" s="36" t="s">
        <v>1750</v>
      </c>
      <c r="C297" s="36">
        <v>20</v>
      </c>
      <c r="D297" s="42" t="s">
        <v>208</v>
      </c>
      <c r="E297" s="65">
        <v>0</v>
      </c>
      <c r="F297" s="44" t="s">
        <v>1432</v>
      </c>
      <c r="G297" s="43">
        <v>0</v>
      </c>
      <c r="H297" s="43">
        <v>0</v>
      </c>
      <c r="I297" s="43">
        <v>0</v>
      </c>
      <c r="J297" s="43">
        <v>0</v>
      </c>
      <c r="K297" s="43">
        <v>0</v>
      </c>
    </row>
    <row r="298" spans="1:11" ht="13.9" x14ac:dyDescent="0.25">
      <c r="A298" s="43">
        <v>2000</v>
      </c>
      <c r="B298" s="36" t="s">
        <v>1750</v>
      </c>
      <c r="C298" s="36">
        <v>21</v>
      </c>
      <c r="D298" s="42" t="s">
        <v>208</v>
      </c>
      <c r="E298" s="65">
        <v>0</v>
      </c>
      <c r="F298" s="44" t="s">
        <v>1356</v>
      </c>
      <c r="G298" s="43">
        <v>0</v>
      </c>
      <c r="H298" s="43">
        <v>0</v>
      </c>
      <c r="I298" s="43">
        <v>0</v>
      </c>
      <c r="J298" s="43">
        <v>0</v>
      </c>
      <c r="K298" s="43">
        <v>0</v>
      </c>
    </row>
    <row r="299" spans="1:11" ht="13.9" x14ac:dyDescent="0.25">
      <c r="A299" s="43">
        <v>2000</v>
      </c>
      <c r="B299" s="36" t="s">
        <v>1750</v>
      </c>
      <c r="C299" s="36">
        <v>22</v>
      </c>
      <c r="D299" s="42" t="s">
        <v>208</v>
      </c>
      <c r="E299" s="65">
        <v>0</v>
      </c>
      <c r="F299" s="44" t="s">
        <v>1356</v>
      </c>
      <c r="G299" s="43">
        <v>0</v>
      </c>
      <c r="H299" s="43">
        <v>0</v>
      </c>
      <c r="I299" s="43">
        <v>0</v>
      </c>
      <c r="J299" s="43">
        <v>0</v>
      </c>
      <c r="K299" s="43">
        <v>0</v>
      </c>
    </row>
    <row r="300" spans="1:11" ht="13.9" x14ac:dyDescent="0.25">
      <c r="A300" s="43">
        <v>2000</v>
      </c>
      <c r="B300" s="36" t="s">
        <v>1750</v>
      </c>
      <c r="C300" s="36">
        <v>23</v>
      </c>
      <c r="D300" s="42" t="s">
        <v>208</v>
      </c>
      <c r="E300" s="65">
        <v>0</v>
      </c>
      <c r="F300" s="44" t="s">
        <v>1356</v>
      </c>
      <c r="G300" s="43">
        <v>0</v>
      </c>
      <c r="H300" s="43">
        <v>0</v>
      </c>
      <c r="I300" s="43">
        <v>0</v>
      </c>
      <c r="J300" s="43">
        <v>0</v>
      </c>
      <c r="K300" s="43">
        <v>0</v>
      </c>
    </row>
    <row r="301" spans="1:11" ht="13.9" x14ac:dyDescent="0.25">
      <c r="A301" s="43">
        <v>2000</v>
      </c>
      <c r="B301" s="36" t="s">
        <v>1750</v>
      </c>
      <c r="C301" s="36">
        <v>24</v>
      </c>
      <c r="D301" s="42" t="s">
        <v>208</v>
      </c>
      <c r="E301" s="65">
        <v>0</v>
      </c>
      <c r="F301" s="44" t="s">
        <v>1356</v>
      </c>
      <c r="G301" s="43">
        <v>0</v>
      </c>
      <c r="H301" s="43">
        <v>0</v>
      </c>
      <c r="I301" s="43">
        <v>0</v>
      </c>
      <c r="J301" s="43">
        <v>0</v>
      </c>
      <c r="K301" s="43">
        <v>0</v>
      </c>
    </row>
    <row r="302" spans="1:11" ht="13.9" x14ac:dyDescent="0.25">
      <c r="A302" s="43">
        <v>2000</v>
      </c>
      <c r="B302" s="36" t="s">
        <v>1750</v>
      </c>
      <c r="C302" s="36">
        <v>25</v>
      </c>
      <c r="D302" s="42" t="s">
        <v>212</v>
      </c>
      <c r="E302" s="65">
        <v>0</v>
      </c>
      <c r="F302" s="44" t="s">
        <v>1357</v>
      </c>
      <c r="G302" s="43">
        <v>0</v>
      </c>
      <c r="H302" s="43">
        <v>0</v>
      </c>
      <c r="I302" s="43">
        <v>0</v>
      </c>
      <c r="J302" s="43">
        <v>0</v>
      </c>
      <c r="K302" s="43">
        <v>0</v>
      </c>
    </row>
    <row r="303" spans="1:11" ht="13.9" x14ac:dyDescent="0.25">
      <c r="A303" s="43">
        <v>2000</v>
      </c>
      <c r="B303" s="36" t="s">
        <v>1750</v>
      </c>
      <c r="C303" s="36">
        <v>26</v>
      </c>
      <c r="D303" s="42" t="s">
        <v>212</v>
      </c>
      <c r="E303" s="65">
        <v>0</v>
      </c>
      <c r="F303" s="42" t="s">
        <v>1357</v>
      </c>
      <c r="G303" s="43">
        <v>0</v>
      </c>
      <c r="H303" s="43">
        <v>0</v>
      </c>
      <c r="I303" s="43">
        <v>0</v>
      </c>
      <c r="J303" s="43">
        <v>0</v>
      </c>
      <c r="K303" s="43">
        <v>0</v>
      </c>
    </row>
    <row r="304" spans="1:11" ht="13.9" x14ac:dyDescent="0.25">
      <c r="A304" s="43">
        <v>2000</v>
      </c>
      <c r="B304" s="36" t="s">
        <v>1750</v>
      </c>
      <c r="C304" s="36">
        <v>27</v>
      </c>
      <c r="D304" s="42" t="s">
        <v>212</v>
      </c>
      <c r="E304" s="65">
        <v>0</v>
      </c>
      <c r="F304" s="42" t="s">
        <v>1357</v>
      </c>
      <c r="G304" s="43">
        <v>0</v>
      </c>
      <c r="H304" s="43">
        <v>0</v>
      </c>
      <c r="I304" s="43">
        <v>0</v>
      </c>
      <c r="J304" s="43">
        <v>0</v>
      </c>
      <c r="K304" s="43">
        <v>0</v>
      </c>
    </row>
    <row r="305" spans="1:11" ht="13.9" x14ac:dyDescent="0.25">
      <c r="A305" s="43">
        <v>2000</v>
      </c>
      <c r="B305" s="36" t="s">
        <v>1750</v>
      </c>
      <c r="C305" s="36">
        <v>28</v>
      </c>
      <c r="D305" s="42" t="s">
        <v>175</v>
      </c>
      <c r="E305" s="65">
        <v>0</v>
      </c>
      <c r="F305" s="42" t="s">
        <v>172</v>
      </c>
      <c r="G305" s="43">
        <v>0</v>
      </c>
      <c r="H305" s="43">
        <v>0</v>
      </c>
      <c r="I305" s="43">
        <v>0</v>
      </c>
      <c r="J305" s="43">
        <v>0</v>
      </c>
      <c r="K305" s="43">
        <v>0</v>
      </c>
    </row>
    <row r="306" spans="1:11" ht="13.9" x14ac:dyDescent="0.25">
      <c r="A306" s="43">
        <v>2000</v>
      </c>
      <c r="B306" s="36" t="s">
        <v>1750</v>
      </c>
      <c r="C306" s="36">
        <v>29</v>
      </c>
      <c r="D306" s="42" t="s">
        <v>175</v>
      </c>
      <c r="E306" s="65">
        <v>0</v>
      </c>
      <c r="F306" s="42" t="s">
        <v>172</v>
      </c>
      <c r="G306" s="43">
        <v>0</v>
      </c>
      <c r="H306" s="43">
        <v>0</v>
      </c>
      <c r="I306" s="43">
        <v>0</v>
      </c>
      <c r="J306" s="43">
        <v>0</v>
      </c>
      <c r="K306" s="43">
        <v>0</v>
      </c>
    </row>
    <row r="307" spans="1:11" ht="13.9" x14ac:dyDescent="0.25">
      <c r="A307" s="43">
        <v>2000</v>
      </c>
      <c r="B307" s="36" t="s">
        <v>1750</v>
      </c>
      <c r="C307" s="36">
        <v>30</v>
      </c>
      <c r="D307" s="42" t="s">
        <v>175</v>
      </c>
      <c r="E307" s="65">
        <v>0</v>
      </c>
      <c r="F307" s="42" t="s">
        <v>172</v>
      </c>
      <c r="G307" s="43">
        <v>0</v>
      </c>
      <c r="H307" s="43">
        <v>0</v>
      </c>
      <c r="I307" s="43">
        <v>0</v>
      </c>
      <c r="J307" s="43">
        <v>0</v>
      </c>
      <c r="K307" s="43">
        <v>0</v>
      </c>
    </row>
    <row r="308" spans="1:11" ht="13.9" x14ac:dyDescent="0.25">
      <c r="A308" s="43">
        <v>2000</v>
      </c>
      <c r="B308" s="36" t="s">
        <v>1750</v>
      </c>
      <c r="C308" s="36">
        <v>31</v>
      </c>
      <c r="D308" s="42" t="s">
        <v>171</v>
      </c>
      <c r="E308" s="65">
        <v>0</v>
      </c>
      <c r="F308" s="42" t="s">
        <v>1358</v>
      </c>
      <c r="G308" s="43">
        <v>0</v>
      </c>
      <c r="H308" s="43">
        <v>0</v>
      </c>
      <c r="I308" s="43">
        <v>0</v>
      </c>
      <c r="J308" s="43">
        <v>0</v>
      </c>
      <c r="K308" s="43">
        <v>0</v>
      </c>
    </row>
    <row r="309" spans="1:11" ht="13.9" x14ac:dyDescent="0.25">
      <c r="A309" s="43">
        <v>2000</v>
      </c>
      <c r="B309" s="36" t="s">
        <v>32</v>
      </c>
      <c r="C309" s="36">
        <v>1</v>
      </c>
      <c r="D309" s="38" t="s">
        <v>171</v>
      </c>
      <c r="E309" s="65">
        <v>0</v>
      </c>
      <c r="F309" s="44" t="s">
        <v>1358</v>
      </c>
      <c r="G309" s="43">
        <v>0</v>
      </c>
      <c r="H309" s="43">
        <v>0</v>
      </c>
      <c r="I309" s="43">
        <v>0</v>
      </c>
      <c r="J309" s="43">
        <v>0</v>
      </c>
      <c r="K309" s="43">
        <v>0</v>
      </c>
    </row>
    <row r="310" spans="1:11" ht="13.9" x14ac:dyDescent="0.25">
      <c r="A310" s="43">
        <v>2000</v>
      </c>
      <c r="B310" s="36" t="s">
        <v>32</v>
      </c>
      <c r="C310" s="36">
        <v>2</v>
      </c>
      <c r="D310" s="38" t="s">
        <v>212</v>
      </c>
      <c r="E310" s="65">
        <v>0</v>
      </c>
      <c r="F310" s="44" t="s">
        <v>172</v>
      </c>
      <c r="G310" s="43">
        <v>0</v>
      </c>
      <c r="H310" s="43">
        <v>0</v>
      </c>
      <c r="I310" s="43">
        <v>0</v>
      </c>
      <c r="J310" s="43">
        <v>0</v>
      </c>
      <c r="K310" s="43">
        <v>0</v>
      </c>
    </row>
    <row r="311" spans="1:11" ht="13.9" x14ac:dyDescent="0.25">
      <c r="A311" s="43">
        <v>2000</v>
      </c>
      <c r="B311" s="36" t="s">
        <v>32</v>
      </c>
      <c r="C311" s="36">
        <v>3</v>
      </c>
      <c r="D311" s="38" t="s">
        <v>212</v>
      </c>
      <c r="E311" s="65">
        <v>0</v>
      </c>
      <c r="F311" s="44" t="s">
        <v>172</v>
      </c>
      <c r="G311" s="43">
        <v>0</v>
      </c>
      <c r="H311" s="43">
        <v>0</v>
      </c>
      <c r="I311" s="43">
        <v>0</v>
      </c>
      <c r="J311" s="43">
        <v>0</v>
      </c>
      <c r="K311" s="43">
        <v>0</v>
      </c>
    </row>
    <row r="312" spans="1:11" ht="13.9" x14ac:dyDescent="0.25">
      <c r="A312" s="43">
        <v>2000</v>
      </c>
      <c r="B312" s="36" t="s">
        <v>32</v>
      </c>
      <c r="C312" s="36">
        <v>4</v>
      </c>
      <c r="D312" s="38" t="s">
        <v>208</v>
      </c>
      <c r="E312" s="65">
        <v>0</v>
      </c>
      <c r="F312" s="44" t="s">
        <v>1356</v>
      </c>
      <c r="G312" s="43">
        <v>0</v>
      </c>
      <c r="H312" s="43">
        <v>0</v>
      </c>
      <c r="I312" s="43">
        <v>0</v>
      </c>
      <c r="J312" s="43">
        <v>0</v>
      </c>
      <c r="K312" s="43">
        <v>0</v>
      </c>
    </row>
    <row r="313" spans="1:11" ht="13.9" x14ac:dyDescent="0.25">
      <c r="A313" s="43">
        <v>2000</v>
      </c>
      <c r="B313" s="36" t="s">
        <v>32</v>
      </c>
      <c r="C313" s="36">
        <v>5</v>
      </c>
      <c r="D313" s="38" t="s">
        <v>177</v>
      </c>
      <c r="E313" s="65">
        <v>0</v>
      </c>
      <c r="F313" s="44" t="s">
        <v>1355</v>
      </c>
      <c r="G313" s="43">
        <v>0</v>
      </c>
      <c r="H313" s="43">
        <v>0</v>
      </c>
      <c r="I313" s="43">
        <v>0</v>
      </c>
      <c r="J313" s="43">
        <v>0</v>
      </c>
      <c r="K313" s="43">
        <v>0</v>
      </c>
    </row>
    <row r="314" spans="1:11" ht="13.9" x14ac:dyDescent="0.25">
      <c r="A314" s="43">
        <v>2000</v>
      </c>
      <c r="B314" s="36" t="s">
        <v>32</v>
      </c>
      <c r="C314" s="36">
        <v>6</v>
      </c>
      <c r="D314" s="38" t="s">
        <v>201</v>
      </c>
      <c r="E314" s="65">
        <v>0</v>
      </c>
      <c r="F314" s="42" t="s">
        <v>1354</v>
      </c>
      <c r="G314" s="43">
        <v>0</v>
      </c>
      <c r="H314" s="43">
        <v>0</v>
      </c>
      <c r="I314" s="43">
        <v>0</v>
      </c>
      <c r="J314" s="43">
        <v>0</v>
      </c>
      <c r="K314" s="43">
        <v>0</v>
      </c>
    </row>
    <row r="315" spans="1:11" ht="13.9" x14ac:dyDescent="0.25">
      <c r="A315" s="43">
        <v>2000</v>
      </c>
      <c r="B315" s="36" t="s">
        <v>32</v>
      </c>
      <c r="C315" s="36">
        <v>7</v>
      </c>
      <c r="D315" s="38" t="s">
        <v>201</v>
      </c>
      <c r="E315" s="65">
        <v>0</v>
      </c>
      <c r="F315" s="42" t="s">
        <v>1354</v>
      </c>
      <c r="G315" s="43">
        <v>0</v>
      </c>
      <c r="H315" s="43">
        <v>0</v>
      </c>
      <c r="I315" s="43">
        <v>0</v>
      </c>
      <c r="J315" s="43">
        <v>0</v>
      </c>
      <c r="K315" s="43">
        <v>0</v>
      </c>
    </row>
    <row r="316" spans="1:11" ht="13.9" x14ac:dyDescent="0.25">
      <c r="A316" s="43">
        <v>2000</v>
      </c>
      <c r="B316" s="36" t="s">
        <v>32</v>
      </c>
      <c r="C316" s="36">
        <v>8</v>
      </c>
      <c r="D316" s="38" t="s">
        <v>201</v>
      </c>
      <c r="E316" s="65">
        <v>0</v>
      </c>
      <c r="F316" s="42" t="s">
        <v>1354</v>
      </c>
      <c r="G316" s="43">
        <v>0</v>
      </c>
      <c r="H316" s="43">
        <v>0</v>
      </c>
      <c r="I316" s="43">
        <v>0</v>
      </c>
      <c r="J316" s="43">
        <v>0</v>
      </c>
      <c r="K316" s="43">
        <v>0</v>
      </c>
    </row>
    <row r="317" spans="1:11" ht="13.9" x14ac:dyDescent="0.25">
      <c r="A317" s="43">
        <v>2000</v>
      </c>
      <c r="B317" s="36" t="s">
        <v>32</v>
      </c>
      <c r="C317" s="36">
        <v>9</v>
      </c>
      <c r="D317" s="38" t="s">
        <v>201</v>
      </c>
      <c r="E317" s="65">
        <v>0</v>
      </c>
      <c r="F317" s="42" t="s">
        <v>1354</v>
      </c>
      <c r="G317" s="43">
        <v>0</v>
      </c>
      <c r="H317" s="43">
        <v>0</v>
      </c>
      <c r="I317" s="43">
        <v>0</v>
      </c>
      <c r="J317" s="43">
        <v>0</v>
      </c>
      <c r="K317" s="43">
        <v>0</v>
      </c>
    </row>
    <row r="318" spans="1:11" ht="13.9" x14ac:dyDescent="0.25">
      <c r="A318" s="43">
        <v>2000</v>
      </c>
      <c r="B318" s="36" t="s">
        <v>32</v>
      </c>
      <c r="C318" s="36">
        <v>10</v>
      </c>
      <c r="D318" s="38" t="s">
        <v>201</v>
      </c>
      <c r="E318" s="65">
        <v>0</v>
      </c>
      <c r="F318" s="42" t="s">
        <v>1354</v>
      </c>
      <c r="G318" s="43">
        <v>0</v>
      </c>
      <c r="H318" s="43">
        <v>0</v>
      </c>
      <c r="I318" s="43">
        <v>0</v>
      </c>
      <c r="J318" s="43">
        <v>0</v>
      </c>
      <c r="K318" s="43">
        <v>0</v>
      </c>
    </row>
    <row r="319" spans="1:11" ht="13.9" x14ac:dyDescent="0.25">
      <c r="A319" s="43">
        <v>2000</v>
      </c>
      <c r="B319" s="36" t="s">
        <v>32</v>
      </c>
      <c r="C319" s="36">
        <v>11</v>
      </c>
      <c r="D319" s="38" t="s">
        <v>201</v>
      </c>
      <c r="E319" s="65">
        <v>0</v>
      </c>
      <c r="F319" s="42" t="s">
        <v>1354</v>
      </c>
      <c r="G319" s="43">
        <v>0</v>
      </c>
      <c r="H319" s="43">
        <v>0</v>
      </c>
      <c r="I319" s="43">
        <v>0</v>
      </c>
      <c r="J319" s="43">
        <v>0</v>
      </c>
      <c r="K319" s="43">
        <v>0</v>
      </c>
    </row>
    <row r="320" spans="1:11" ht="13.9" x14ac:dyDescent="0.25">
      <c r="A320" s="43">
        <v>2000</v>
      </c>
      <c r="B320" s="36" t="s">
        <v>32</v>
      </c>
      <c r="C320" s="36">
        <v>12</v>
      </c>
      <c r="D320" s="38" t="s">
        <v>201</v>
      </c>
      <c r="E320" s="65">
        <v>0</v>
      </c>
      <c r="F320" s="42" t="s">
        <v>1354</v>
      </c>
      <c r="G320" s="43">
        <v>0</v>
      </c>
      <c r="H320" s="43">
        <v>0</v>
      </c>
      <c r="I320" s="43">
        <v>0</v>
      </c>
      <c r="J320" s="43">
        <v>0</v>
      </c>
      <c r="K320" s="43">
        <v>0</v>
      </c>
    </row>
    <row r="321" spans="1:11" ht="13.9" x14ac:dyDescent="0.25">
      <c r="A321" s="43">
        <v>2000</v>
      </c>
      <c r="B321" s="36" t="s">
        <v>32</v>
      </c>
      <c r="C321" s="36">
        <v>13</v>
      </c>
      <c r="D321" s="38" t="s">
        <v>201</v>
      </c>
      <c r="E321" s="65">
        <v>0</v>
      </c>
      <c r="F321" s="42" t="s">
        <v>1354</v>
      </c>
      <c r="G321" s="43">
        <v>0</v>
      </c>
      <c r="H321" s="43">
        <v>0</v>
      </c>
      <c r="I321" s="43">
        <v>0</v>
      </c>
      <c r="J321" s="43">
        <v>0</v>
      </c>
      <c r="K321" s="43">
        <v>0</v>
      </c>
    </row>
    <row r="322" spans="1:11" ht="13.9" x14ac:dyDescent="0.25">
      <c r="A322" s="43">
        <v>2000</v>
      </c>
      <c r="B322" s="36" t="s">
        <v>32</v>
      </c>
      <c r="C322" s="36">
        <v>14</v>
      </c>
      <c r="D322" s="38" t="s">
        <v>177</v>
      </c>
      <c r="E322" s="65">
        <v>0</v>
      </c>
      <c r="F322" s="42" t="s">
        <v>1355</v>
      </c>
      <c r="G322" s="43">
        <v>0</v>
      </c>
      <c r="H322" s="43">
        <v>0</v>
      </c>
      <c r="I322" s="43">
        <v>0</v>
      </c>
      <c r="J322" s="43">
        <v>0</v>
      </c>
      <c r="K322" s="43">
        <v>0</v>
      </c>
    </row>
    <row r="323" spans="1:11" ht="13.9" x14ac:dyDescent="0.25">
      <c r="A323" s="43">
        <v>2000</v>
      </c>
      <c r="B323" s="36" t="s">
        <v>32</v>
      </c>
      <c r="C323" s="36">
        <v>15</v>
      </c>
      <c r="D323" s="38" t="s">
        <v>208</v>
      </c>
      <c r="E323" s="65">
        <v>0</v>
      </c>
      <c r="F323" s="42" t="s">
        <v>1355</v>
      </c>
      <c r="G323" s="43">
        <v>0</v>
      </c>
      <c r="H323" s="43">
        <v>0</v>
      </c>
      <c r="I323" s="43">
        <v>0</v>
      </c>
      <c r="J323" s="43">
        <v>0</v>
      </c>
      <c r="K323" s="43">
        <v>0</v>
      </c>
    </row>
    <row r="324" spans="1:11" ht="13.9" x14ac:dyDescent="0.25">
      <c r="A324" s="43">
        <v>2000</v>
      </c>
      <c r="B324" s="36" t="s">
        <v>32</v>
      </c>
      <c r="C324" s="36">
        <v>16</v>
      </c>
      <c r="D324" s="38" t="s">
        <v>208</v>
      </c>
      <c r="E324" s="65">
        <v>0</v>
      </c>
      <c r="F324" s="44" t="s">
        <v>1356</v>
      </c>
      <c r="G324" s="43">
        <v>0</v>
      </c>
      <c r="H324" s="43">
        <v>0</v>
      </c>
      <c r="I324" s="43">
        <v>0</v>
      </c>
      <c r="J324" s="43">
        <v>0</v>
      </c>
      <c r="K324" s="43">
        <v>0</v>
      </c>
    </row>
    <row r="325" spans="1:11" ht="13.9" x14ac:dyDescent="0.25">
      <c r="A325" s="43">
        <v>2000</v>
      </c>
      <c r="B325" s="36" t="s">
        <v>32</v>
      </c>
      <c r="C325" s="36">
        <v>17</v>
      </c>
      <c r="D325" s="38" t="s">
        <v>208</v>
      </c>
      <c r="E325" s="65">
        <v>0</v>
      </c>
      <c r="F325" s="38" t="s">
        <v>1356</v>
      </c>
      <c r="G325" s="43">
        <v>0</v>
      </c>
      <c r="H325" s="43">
        <v>0</v>
      </c>
      <c r="I325" s="43">
        <v>0</v>
      </c>
      <c r="J325" s="43">
        <v>0</v>
      </c>
      <c r="K325" s="43">
        <v>0</v>
      </c>
    </row>
    <row r="326" spans="1:11" ht="13.9" x14ac:dyDescent="0.25">
      <c r="A326" s="43">
        <v>2000</v>
      </c>
      <c r="B326" s="36" t="s">
        <v>32</v>
      </c>
      <c r="C326" s="36">
        <v>18</v>
      </c>
      <c r="D326" s="38" t="s">
        <v>177</v>
      </c>
      <c r="E326" s="65">
        <v>0</v>
      </c>
      <c r="F326" s="38" t="s">
        <v>1355</v>
      </c>
      <c r="G326" s="43">
        <v>0</v>
      </c>
      <c r="H326" s="43">
        <v>0</v>
      </c>
      <c r="I326" s="43">
        <v>0</v>
      </c>
      <c r="J326" s="43">
        <v>0</v>
      </c>
      <c r="K326" s="43">
        <v>0</v>
      </c>
    </row>
    <row r="327" spans="1:11" ht="13.9" x14ac:dyDescent="0.25">
      <c r="A327" s="43">
        <v>2000</v>
      </c>
      <c r="B327" s="36" t="s">
        <v>32</v>
      </c>
      <c r="C327" s="36">
        <v>19</v>
      </c>
      <c r="D327" s="38" t="s">
        <v>511</v>
      </c>
      <c r="E327" s="65">
        <v>0</v>
      </c>
      <c r="F327" s="38" t="s">
        <v>4</v>
      </c>
      <c r="G327" s="43">
        <v>0</v>
      </c>
      <c r="H327" s="43">
        <v>0</v>
      </c>
      <c r="I327" s="43">
        <v>0</v>
      </c>
      <c r="J327" s="43">
        <v>0</v>
      </c>
      <c r="K327" s="43">
        <v>0</v>
      </c>
    </row>
    <row r="328" spans="1:11" ht="13.9" x14ac:dyDescent="0.25">
      <c r="A328" s="43">
        <v>2000</v>
      </c>
      <c r="B328" s="36" t="s">
        <v>32</v>
      </c>
      <c r="C328" s="36">
        <v>20</v>
      </c>
      <c r="D328" s="38" t="s">
        <v>86</v>
      </c>
      <c r="E328" s="65">
        <v>0</v>
      </c>
      <c r="F328" s="38" t="s">
        <v>909</v>
      </c>
      <c r="G328" s="43">
        <v>0</v>
      </c>
      <c r="H328" s="43">
        <v>0</v>
      </c>
      <c r="I328" s="43">
        <v>0</v>
      </c>
      <c r="J328" s="43">
        <v>0</v>
      </c>
      <c r="K328" s="43">
        <v>0</v>
      </c>
    </row>
    <row r="329" spans="1:11" ht="13.9" x14ac:dyDescent="0.25">
      <c r="A329" s="43">
        <v>2000</v>
      </c>
      <c r="B329" s="36" t="s">
        <v>32</v>
      </c>
      <c r="C329" s="36">
        <v>21</v>
      </c>
      <c r="D329" s="38" t="s">
        <v>326</v>
      </c>
      <c r="E329" s="65">
        <v>0</v>
      </c>
      <c r="F329" s="38" t="s">
        <v>1309</v>
      </c>
      <c r="G329" s="43">
        <v>0</v>
      </c>
      <c r="H329" s="43">
        <v>0</v>
      </c>
      <c r="I329" s="43">
        <v>0</v>
      </c>
      <c r="J329" s="43">
        <v>0</v>
      </c>
      <c r="K329" s="43">
        <v>0</v>
      </c>
    </row>
    <row r="330" spans="1:11" ht="13.9" x14ac:dyDescent="0.25">
      <c r="A330" s="43">
        <v>2000</v>
      </c>
      <c r="B330" s="36" t="s">
        <v>32</v>
      </c>
      <c r="C330" s="36">
        <v>22</v>
      </c>
      <c r="D330" s="38" t="s">
        <v>82</v>
      </c>
      <c r="E330" s="65">
        <v>0</v>
      </c>
      <c r="F330" s="44" t="s">
        <v>1307</v>
      </c>
      <c r="G330" s="43">
        <v>0</v>
      </c>
      <c r="H330" s="43">
        <v>0</v>
      </c>
      <c r="I330" s="43">
        <v>0</v>
      </c>
      <c r="J330" s="43">
        <v>0</v>
      </c>
      <c r="K330" s="43">
        <v>0</v>
      </c>
    </row>
    <row r="331" spans="1:11" ht="13.9" x14ac:dyDescent="0.25">
      <c r="A331" s="43">
        <v>2000</v>
      </c>
      <c r="B331" s="36" t="s">
        <v>32</v>
      </c>
      <c r="C331" s="36">
        <v>23</v>
      </c>
      <c r="D331" s="38" t="s">
        <v>5</v>
      </c>
      <c r="E331" s="65">
        <v>0</v>
      </c>
      <c r="F331" s="44" t="s">
        <v>1305</v>
      </c>
      <c r="G331" s="43">
        <v>0</v>
      </c>
      <c r="H331" s="43">
        <v>0</v>
      </c>
      <c r="I331" s="43">
        <v>0</v>
      </c>
      <c r="J331" s="43">
        <v>0</v>
      </c>
      <c r="K331" s="43">
        <v>0</v>
      </c>
    </row>
    <row r="332" spans="1:11" ht="13.9" x14ac:dyDescent="0.25">
      <c r="A332" s="43">
        <v>2000</v>
      </c>
      <c r="B332" s="36" t="s">
        <v>32</v>
      </c>
      <c r="C332" s="36">
        <v>24</v>
      </c>
      <c r="D332" s="38" t="s">
        <v>68</v>
      </c>
      <c r="E332" s="65">
        <v>0</v>
      </c>
      <c r="F332" s="38" t="s">
        <v>1300</v>
      </c>
      <c r="G332" s="43">
        <v>0</v>
      </c>
      <c r="H332" s="43">
        <v>0</v>
      </c>
      <c r="I332" s="43">
        <v>0</v>
      </c>
      <c r="J332" s="43">
        <v>0</v>
      </c>
      <c r="K332" s="43">
        <v>0</v>
      </c>
    </row>
    <row r="333" spans="1:11" ht="13.9" x14ac:dyDescent="0.25">
      <c r="A333" s="43">
        <v>2000</v>
      </c>
      <c r="B333" s="36" t="s">
        <v>32</v>
      </c>
      <c r="C333" s="36">
        <v>25</v>
      </c>
      <c r="D333" s="38" t="s">
        <v>62</v>
      </c>
      <c r="E333" s="65">
        <v>0</v>
      </c>
      <c r="F333" s="38" t="s">
        <v>1396</v>
      </c>
      <c r="G333" s="43">
        <v>0</v>
      </c>
      <c r="H333" s="43">
        <v>0</v>
      </c>
      <c r="I333" s="43">
        <v>0</v>
      </c>
      <c r="J333" s="43">
        <v>0</v>
      </c>
      <c r="K333" s="43">
        <v>0</v>
      </c>
    </row>
    <row r="334" spans="1:11" ht="13.9" x14ac:dyDescent="0.25">
      <c r="A334" s="43">
        <v>2000</v>
      </c>
      <c r="B334" s="36" t="s">
        <v>32</v>
      </c>
      <c r="C334" s="36">
        <v>26</v>
      </c>
      <c r="D334" s="38" t="s">
        <v>60</v>
      </c>
      <c r="E334" s="65">
        <v>0</v>
      </c>
      <c r="F334" s="38" t="s">
        <v>1299</v>
      </c>
      <c r="G334" s="43">
        <v>0</v>
      </c>
      <c r="H334" s="43">
        <v>0</v>
      </c>
      <c r="I334" s="43">
        <v>0</v>
      </c>
      <c r="J334" s="43">
        <v>0</v>
      </c>
      <c r="K334" s="43">
        <v>0</v>
      </c>
    </row>
    <row r="335" spans="1:11" ht="13.9" x14ac:dyDescent="0.25">
      <c r="A335" s="43">
        <v>2000</v>
      </c>
      <c r="B335" s="36" t="s">
        <v>32</v>
      </c>
      <c r="C335" s="36">
        <v>27</v>
      </c>
      <c r="D335" s="38" t="s">
        <v>58</v>
      </c>
      <c r="E335" s="65">
        <v>0</v>
      </c>
      <c r="F335" s="38" t="s">
        <v>1430</v>
      </c>
      <c r="G335" s="43">
        <v>0</v>
      </c>
      <c r="H335" s="43">
        <v>0</v>
      </c>
      <c r="I335" s="43">
        <v>0</v>
      </c>
      <c r="J335" s="43">
        <v>0</v>
      </c>
      <c r="K335" s="43">
        <v>0</v>
      </c>
    </row>
    <row r="336" spans="1:11" ht="13.9" x14ac:dyDescent="0.25">
      <c r="A336" s="43">
        <v>2000</v>
      </c>
      <c r="B336" s="36" t="s">
        <v>32</v>
      </c>
      <c r="C336" s="36">
        <v>28</v>
      </c>
      <c r="D336" s="38" t="s">
        <v>56</v>
      </c>
      <c r="E336" s="65">
        <v>0</v>
      </c>
      <c r="F336" s="38" t="s">
        <v>1298</v>
      </c>
      <c r="G336" s="43">
        <v>0</v>
      </c>
      <c r="H336" s="43">
        <v>0</v>
      </c>
      <c r="I336" s="43">
        <v>0</v>
      </c>
      <c r="J336" s="43">
        <v>0</v>
      </c>
      <c r="K336" s="43">
        <v>0</v>
      </c>
    </row>
    <row r="337" spans="1:11" ht="13.9" x14ac:dyDescent="0.25">
      <c r="A337" s="43">
        <v>2000</v>
      </c>
      <c r="B337" s="36" t="s">
        <v>32</v>
      </c>
      <c r="C337" s="36">
        <v>29</v>
      </c>
      <c r="D337" s="38" t="s">
        <v>56</v>
      </c>
      <c r="E337" s="65">
        <v>0</v>
      </c>
      <c r="F337" s="38" t="s">
        <v>1298</v>
      </c>
      <c r="G337" s="43">
        <v>0</v>
      </c>
      <c r="H337" s="43">
        <v>0</v>
      </c>
      <c r="I337" s="43">
        <v>0</v>
      </c>
      <c r="J337" s="43">
        <v>0</v>
      </c>
      <c r="K337" s="43">
        <v>0</v>
      </c>
    </row>
    <row r="338" spans="1:11" ht="13.9" x14ac:dyDescent="0.25">
      <c r="A338" s="43">
        <v>2000</v>
      </c>
      <c r="B338" s="36" t="s">
        <v>32</v>
      </c>
      <c r="C338" s="36">
        <v>30</v>
      </c>
      <c r="D338" s="38" t="s">
        <v>736</v>
      </c>
      <c r="E338" s="65">
        <v>0</v>
      </c>
      <c r="F338" s="38" t="s">
        <v>736</v>
      </c>
      <c r="G338" s="43">
        <v>0</v>
      </c>
      <c r="H338" s="43">
        <v>0</v>
      </c>
      <c r="I338" s="43">
        <v>0</v>
      </c>
      <c r="J338" s="43">
        <v>0</v>
      </c>
      <c r="K338" s="43">
        <v>0</v>
      </c>
    </row>
    <row r="339" spans="1:11" ht="13.9" x14ac:dyDescent="0.25">
      <c r="A339" s="43">
        <v>2000</v>
      </c>
      <c r="B339" s="36" t="s">
        <v>33</v>
      </c>
      <c r="C339" s="36">
        <v>1</v>
      </c>
      <c r="D339" s="42" t="s">
        <v>56</v>
      </c>
      <c r="E339" s="65">
        <v>0</v>
      </c>
      <c r="F339" s="44" t="s">
        <v>1298</v>
      </c>
      <c r="G339" s="43">
        <v>0</v>
      </c>
      <c r="H339" s="43">
        <v>0</v>
      </c>
      <c r="I339" s="43">
        <v>0</v>
      </c>
      <c r="J339" s="43">
        <v>0</v>
      </c>
      <c r="K339" s="43">
        <v>0</v>
      </c>
    </row>
    <row r="340" spans="1:11" ht="13.9" x14ac:dyDescent="0.25">
      <c r="A340" s="43">
        <v>2000</v>
      </c>
      <c r="B340" s="36" t="s">
        <v>33</v>
      </c>
      <c r="C340" s="36">
        <v>2</v>
      </c>
      <c r="D340" s="42" t="s">
        <v>56</v>
      </c>
      <c r="E340" s="65">
        <v>0</v>
      </c>
      <c r="F340" s="44" t="s">
        <v>1298</v>
      </c>
      <c r="G340" s="43">
        <v>0</v>
      </c>
      <c r="H340" s="43">
        <v>0</v>
      </c>
      <c r="I340" s="43">
        <v>0</v>
      </c>
      <c r="J340" s="43">
        <v>0</v>
      </c>
      <c r="K340" s="43">
        <v>0</v>
      </c>
    </row>
    <row r="341" spans="1:11" ht="13.9" x14ac:dyDescent="0.25">
      <c r="A341" s="43">
        <v>2000</v>
      </c>
      <c r="B341" s="36" t="s">
        <v>33</v>
      </c>
      <c r="C341" s="36">
        <v>3</v>
      </c>
      <c r="D341" s="42" t="s">
        <v>56</v>
      </c>
      <c r="E341" s="65">
        <v>0</v>
      </c>
      <c r="F341" s="44" t="s">
        <v>1298</v>
      </c>
      <c r="G341" s="43">
        <v>0</v>
      </c>
      <c r="H341" s="43">
        <v>0</v>
      </c>
      <c r="I341" s="43">
        <v>0</v>
      </c>
      <c r="J341" s="43">
        <v>0</v>
      </c>
      <c r="K341" s="43">
        <v>0</v>
      </c>
    </row>
    <row r="342" spans="1:11" ht="13.9" x14ac:dyDescent="0.25">
      <c r="A342" s="43">
        <v>2000</v>
      </c>
      <c r="B342" s="36" t="s">
        <v>33</v>
      </c>
      <c r="C342" s="36">
        <v>4</v>
      </c>
      <c r="D342" s="42" t="s">
        <v>56</v>
      </c>
      <c r="E342" s="65">
        <v>0</v>
      </c>
      <c r="F342" s="44" t="s">
        <v>1298</v>
      </c>
      <c r="G342" s="43">
        <v>0</v>
      </c>
      <c r="H342" s="43">
        <v>0</v>
      </c>
      <c r="I342" s="43">
        <v>0</v>
      </c>
      <c r="J342" s="43">
        <v>0</v>
      </c>
      <c r="K342" s="43">
        <v>0</v>
      </c>
    </row>
    <row r="343" spans="1:11" ht="13.9" x14ac:dyDescent="0.25">
      <c r="A343" s="43">
        <v>2000</v>
      </c>
      <c r="B343" s="36" t="s">
        <v>33</v>
      </c>
      <c r="C343" s="36">
        <v>5</v>
      </c>
      <c r="D343" s="42" t="s">
        <v>58</v>
      </c>
      <c r="E343" s="65">
        <v>0</v>
      </c>
      <c r="F343" s="44" t="s">
        <v>1430</v>
      </c>
      <c r="G343" s="43">
        <v>0</v>
      </c>
      <c r="H343" s="43">
        <v>0</v>
      </c>
      <c r="I343" s="43">
        <v>0</v>
      </c>
      <c r="J343" s="43">
        <v>0</v>
      </c>
      <c r="K343" s="43">
        <v>0</v>
      </c>
    </row>
    <row r="344" spans="1:11" ht="13.9" x14ac:dyDescent="0.25">
      <c r="A344" s="43">
        <v>2000</v>
      </c>
      <c r="B344" s="36" t="s">
        <v>33</v>
      </c>
      <c r="C344" s="36">
        <v>6</v>
      </c>
      <c r="D344" s="42" t="s">
        <v>58</v>
      </c>
      <c r="E344" s="65">
        <v>0</v>
      </c>
      <c r="F344" s="44" t="s">
        <v>1430</v>
      </c>
      <c r="G344" s="43">
        <v>0</v>
      </c>
      <c r="H344" s="43">
        <v>0</v>
      </c>
      <c r="I344" s="43">
        <v>0</v>
      </c>
      <c r="J344" s="43">
        <v>0</v>
      </c>
      <c r="K344" s="43">
        <v>0</v>
      </c>
    </row>
    <row r="345" spans="1:11" ht="13.9" x14ac:dyDescent="0.25">
      <c r="A345" s="43">
        <v>2000</v>
      </c>
      <c r="B345" s="36" t="s">
        <v>33</v>
      </c>
      <c r="C345" s="36">
        <v>7</v>
      </c>
      <c r="D345" s="42" t="s">
        <v>58</v>
      </c>
      <c r="E345" s="65">
        <v>0</v>
      </c>
      <c r="F345" s="44" t="s">
        <v>1430</v>
      </c>
      <c r="G345" s="43">
        <v>0</v>
      </c>
      <c r="H345" s="43">
        <v>0</v>
      </c>
      <c r="I345" s="43">
        <v>0</v>
      </c>
      <c r="J345" s="43">
        <v>0</v>
      </c>
      <c r="K345" s="43">
        <v>0</v>
      </c>
    </row>
    <row r="346" spans="1:11" ht="13.9" x14ac:dyDescent="0.25">
      <c r="A346" s="43">
        <v>2000</v>
      </c>
      <c r="B346" s="36" t="s">
        <v>33</v>
      </c>
      <c r="C346" s="36">
        <v>8</v>
      </c>
      <c r="D346" s="42" t="s">
        <v>58</v>
      </c>
      <c r="E346" s="65">
        <v>0</v>
      </c>
      <c r="F346" s="44" t="s">
        <v>1430</v>
      </c>
      <c r="G346" s="43">
        <v>0</v>
      </c>
      <c r="H346" s="43">
        <v>0</v>
      </c>
      <c r="I346" s="43">
        <v>0</v>
      </c>
      <c r="J346" s="43">
        <v>0</v>
      </c>
      <c r="K346" s="43">
        <v>0</v>
      </c>
    </row>
    <row r="347" spans="1:11" ht="13.9" x14ac:dyDescent="0.25">
      <c r="A347" s="43">
        <v>2000</v>
      </c>
      <c r="B347" s="36" t="s">
        <v>33</v>
      </c>
      <c r="C347" s="36">
        <v>9</v>
      </c>
      <c r="D347" s="42" t="s">
        <v>58</v>
      </c>
      <c r="E347" s="65">
        <v>0</v>
      </c>
      <c r="F347" s="44" t="s">
        <v>1430</v>
      </c>
      <c r="G347" s="43">
        <v>0</v>
      </c>
      <c r="H347" s="43">
        <v>0</v>
      </c>
      <c r="I347" s="43">
        <v>0</v>
      </c>
      <c r="J347" s="43">
        <v>0</v>
      </c>
      <c r="K347" s="43">
        <v>0</v>
      </c>
    </row>
    <row r="348" spans="1:11" ht="13.9" x14ac:dyDescent="0.25">
      <c r="A348" s="43">
        <v>2000</v>
      </c>
      <c r="B348" s="36" t="s">
        <v>33</v>
      </c>
      <c r="C348" s="36">
        <v>10</v>
      </c>
      <c r="D348" s="42" t="s">
        <v>58</v>
      </c>
      <c r="E348" s="65">
        <v>0</v>
      </c>
      <c r="F348" s="44" t="s">
        <v>1430</v>
      </c>
      <c r="G348" s="43">
        <v>0</v>
      </c>
      <c r="H348" s="43">
        <v>0</v>
      </c>
      <c r="I348" s="43">
        <v>0</v>
      </c>
      <c r="J348" s="43">
        <v>0</v>
      </c>
      <c r="K348" s="43">
        <v>0</v>
      </c>
    </row>
    <row r="349" spans="1:11" ht="13.9" x14ac:dyDescent="0.25">
      <c r="A349" s="43">
        <v>2000</v>
      </c>
      <c r="B349" s="36" t="s">
        <v>33</v>
      </c>
      <c r="C349" s="36">
        <v>11</v>
      </c>
      <c r="D349" s="42" t="s">
        <v>58</v>
      </c>
      <c r="E349" s="65">
        <v>0</v>
      </c>
      <c r="F349" s="44" t="s">
        <v>1430</v>
      </c>
      <c r="G349" s="43">
        <v>0</v>
      </c>
      <c r="H349" s="43">
        <v>0</v>
      </c>
      <c r="I349" s="43">
        <v>0</v>
      </c>
      <c r="J349" s="43">
        <v>0</v>
      </c>
      <c r="K349" s="43">
        <v>0</v>
      </c>
    </row>
    <row r="350" spans="1:11" ht="13.9" x14ac:dyDescent="0.25">
      <c r="A350" s="43">
        <v>2000</v>
      </c>
      <c r="B350" s="36" t="s">
        <v>33</v>
      </c>
      <c r="C350" s="36">
        <v>12</v>
      </c>
      <c r="D350" s="42" t="s">
        <v>60</v>
      </c>
      <c r="E350" s="65">
        <v>0</v>
      </c>
      <c r="F350" s="44" t="s">
        <v>1299</v>
      </c>
      <c r="G350" s="43">
        <v>0</v>
      </c>
      <c r="H350" s="36">
        <v>15</v>
      </c>
      <c r="I350" s="43">
        <v>0</v>
      </c>
      <c r="J350" s="43">
        <v>15</v>
      </c>
      <c r="K350" s="43">
        <v>0</v>
      </c>
    </row>
    <row r="351" spans="1:11" ht="13.9" x14ac:dyDescent="0.25">
      <c r="A351" s="43">
        <v>2000</v>
      </c>
      <c r="B351" s="36" t="s">
        <v>33</v>
      </c>
      <c r="C351" s="36">
        <v>13</v>
      </c>
      <c r="D351" s="42" t="s">
        <v>62</v>
      </c>
      <c r="E351" s="65">
        <v>0</v>
      </c>
      <c r="F351" s="44" t="s">
        <v>1396</v>
      </c>
      <c r="G351" s="43">
        <v>0</v>
      </c>
      <c r="H351" s="36">
        <v>12</v>
      </c>
      <c r="I351" s="43">
        <v>0</v>
      </c>
      <c r="J351" s="43">
        <v>15</v>
      </c>
      <c r="K351" s="43">
        <v>0</v>
      </c>
    </row>
    <row r="352" spans="1:11" ht="13.9" x14ac:dyDescent="0.25">
      <c r="A352" s="43">
        <v>2000</v>
      </c>
      <c r="B352" s="36" t="s">
        <v>33</v>
      </c>
      <c r="C352" s="36">
        <v>14</v>
      </c>
      <c r="D352" s="42" t="s">
        <v>62</v>
      </c>
      <c r="E352" s="65">
        <v>0</v>
      </c>
      <c r="F352" s="44" t="s">
        <v>1396</v>
      </c>
      <c r="G352" s="43">
        <v>0</v>
      </c>
      <c r="H352" s="36">
        <v>12</v>
      </c>
      <c r="I352" s="43">
        <v>0</v>
      </c>
      <c r="J352" s="43">
        <v>15</v>
      </c>
      <c r="K352" s="43">
        <v>0</v>
      </c>
    </row>
    <row r="353" spans="1:11" ht="13.9" x14ac:dyDescent="0.25">
      <c r="A353" s="43">
        <v>2000</v>
      </c>
      <c r="B353" s="36" t="s">
        <v>33</v>
      </c>
      <c r="C353" s="36">
        <v>15</v>
      </c>
      <c r="D353" s="42" t="s">
        <v>64</v>
      </c>
      <c r="E353" s="65">
        <v>0</v>
      </c>
      <c r="F353" s="44" t="s">
        <v>1043</v>
      </c>
      <c r="G353" s="43">
        <v>0</v>
      </c>
      <c r="H353" s="36">
        <v>0</v>
      </c>
      <c r="I353" s="43">
        <v>0</v>
      </c>
      <c r="J353" s="43">
        <v>0</v>
      </c>
      <c r="K353" s="43">
        <v>0</v>
      </c>
    </row>
    <row r="354" spans="1:11" ht="13.9" x14ac:dyDescent="0.25">
      <c r="A354" s="43">
        <v>2000</v>
      </c>
      <c r="B354" s="36" t="s">
        <v>33</v>
      </c>
      <c r="C354" s="36">
        <v>16</v>
      </c>
      <c r="D354" s="42" t="s">
        <v>72</v>
      </c>
      <c r="E354" s="65">
        <v>0</v>
      </c>
      <c r="F354" s="44" t="s">
        <v>1423</v>
      </c>
      <c r="G354" s="43">
        <v>0</v>
      </c>
      <c r="H354" s="36">
        <v>0</v>
      </c>
      <c r="I354" s="43">
        <v>0</v>
      </c>
      <c r="J354" s="43">
        <v>0</v>
      </c>
      <c r="K354" s="43">
        <v>0</v>
      </c>
    </row>
    <row r="355" spans="1:11" ht="13.9" x14ac:dyDescent="0.25">
      <c r="A355" s="43">
        <v>2000</v>
      </c>
      <c r="B355" s="36" t="s">
        <v>33</v>
      </c>
      <c r="C355" s="36">
        <v>17</v>
      </c>
      <c r="D355" s="42" t="s">
        <v>72</v>
      </c>
      <c r="E355" s="65">
        <v>0</v>
      </c>
      <c r="F355" s="44" t="s">
        <v>1423</v>
      </c>
      <c r="G355" s="43">
        <v>0</v>
      </c>
      <c r="H355" s="36">
        <v>0</v>
      </c>
      <c r="I355" s="43">
        <v>0</v>
      </c>
      <c r="J355" s="43">
        <v>0</v>
      </c>
      <c r="K355" s="43">
        <v>0</v>
      </c>
    </row>
    <row r="356" spans="1:11" ht="13.9" x14ac:dyDescent="0.25">
      <c r="A356" s="43">
        <v>2000</v>
      </c>
      <c r="B356" s="36" t="s">
        <v>33</v>
      </c>
      <c r="C356" s="36">
        <v>18</v>
      </c>
      <c r="D356" s="42" t="s">
        <v>72</v>
      </c>
      <c r="E356" s="65">
        <v>0</v>
      </c>
      <c r="F356" s="44" t="s">
        <v>1423</v>
      </c>
      <c r="G356" s="43">
        <v>0</v>
      </c>
      <c r="H356" s="36">
        <v>0</v>
      </c>
      <c r="I356" s="43">
        <v>0</v>
      </c>
      <c r="J356" s="43">
        <v>0</v>
      </c>
      <c r="K356" s="43">
        <v>0</v>
      </c>
    </row>
    <row r="357" spans="1:11" ht="13.9" x14ac:dyDescent="0.25">
      <c r="A357" s="43">
        <v>2000</v>
      </c>
      <c r="B357" s="36" t="s">
        <v>33</v>
      </c>
      <c r="C357" s="36">
        <v>19</v>
      </c>
      <c r="D357" s="42" t="s">
        <v>72</v>
      </c>
      <c r="E357" s="65">
        <v>0</v>
      </c>
      <c r="F357" s="44" t="s">
        <v>1423</v>
      </c>
      <c r="G357" s="43">
        <v>0</v>
      </c>
      <c r="H357" s="36">
        <v>0</v>
      </c>
      <c r="I357" s="43">
        <v>0</v>
      </c>
      <c r="J357" s="43">
        <v>0</v>
      </c>
      <c r="K357" s="43">
        <v>0</v>
      </c>
    </row>
    <row r="358" spans="1:11" ht="13.9" x14ac:dyDescent="0.25">
      <c r="A358" s="43">
        <v>2000</v>
      </c>
      <c r="B358" s="36" t="s">
        <v>33</v>
      </c>
      <c r="C358" s="36">
        <v>20</v>
      </c>
      <c r="D358" s="42" t="s">
        <v>72</v>
      </c>
      <c r="E358" s="65">
        <v>0</v>
      </c>
      <c r="F358" s="44" t="s">
        <v>1423</v>
      </c>
      <c r="G358" s="43">
        <v>0</v>
      </c>
      <c r="H358" s="36">
        <v>0</v>
      </c>
      <c r="I358" s="43">
        <v>0</v>
      </c>
      <c r="J358" s="43">
        <v>0</v>
      </c>
      <c r="K358" s="43">
        <v>0</v>
      </c>
    </row>
    <row r="359" spans="1:11" ht="13.9" x14ac:dyDescent="0.25">
      <c r="A359" s="43">
        <v>2000</v>
      </c>
      <c r="B359" s="36" t="s">
        <v>33</v>
      </c>
      <c r="C359" s="36">
        <v>21</v>
      </c>
      <c r="D359" s="42" t="s">
        <v>72</v>
      </c>
      <c r="E359" s="65">
        <v>0</v>
      </c>
      <c r="F359" s="44" t="s">
        <v>1423</v>
      </c>
      <c r="G359" s="43">
        <v>0</v>
      </c>
      <c r="H359" s="36">
        <v>0</v>
      </c>
      <c r="I359" s="43">
        <v>0</v>
      </c>
      <c r="J359" s="43">
        <v>0</v>
      </c>
      <c r="K359" s="43">
        <v>0</v>
      </c>
    </row>
    <row r="360" spans="1:11" ht="13.9" x14ac:dyDescent="0.25">
      <c r="A360" s="43">
        <v>2000</v>
      </c>
      <c r="B360" s="36" t="s">
        <v>33</v>
      </c>
      <c r="C360" s="36">
        <v>22</v>
      </c>
      <c r="D360" s="42" t="s">
        <v>76</v>
      </c>
      <c r="E360" s="65">
        <v>0</v>
      </c>
      <c r="F360" s="44" t="s">
        <v>1433</v>
      </c>
      <c r="G360" s="43">
        <v>0</v>
      </c>
      <c r="H360" s="36">
        <v>0</v>
      </c>
      <c r="I360" s="43">
        <v>0</v>
      </c>
      <c r="J360" s="43">
        <v>0</v>
      </c>
      <c r="K360" s="43">
        <v>0</v>
      </c>
    </row>
    <row r="361" spans="1:11" ht="13.9" x14ac:dyDescent="0.25">
      <c r="A361" s="43">
        <v>2000</v>
      </c>
      <c r="B361" s="36" t="s">
        <v>33</v>
      </c>
      <c r="C361" s="36">
        <v>23</v>
      </c>
      <c r="D361" s="42" t="s">
        <v>76</v>
      </c>
      <c r="E361" s="65">
        <v>0</v>
      </c>
      <c r="F361" s="44" t="s">
        <v>1433</v>
      </c>
      <c r="G361" s="43">
        <v>0</v>
      </c>
      <c r="H361" s="36">
        <v>0</v>
      </c>
      <c r="I361" s="43">
        <v>0</v>
      </c>
      <c r="J361" s="43">
        <v>0</v>
      </c>
      <c r="K361" s="43">
        <v>0</v>
      </c>
    </row>
    <row r="362" spans="1:11" ht="13.9" x14ac:dyDescent="0.25">
      <c r="A362" s="43">
        <v>2000</v>
      </c>
      <c r="B362" s="36" t="s">
        <v>33</v>
      </c>
      <c r="C362" s="36">
        <v>24</v>
      </c>
      <c r="D362" s="42" t="s">
        <v>64</v>
      </c>
      <c r="E362" s="65">
        <v>0</v>
      </c>
      <c r="F362" s="44" t="s">
        <v>1043</v>
      </c>
      <c r="G362" s="43">
        <v>0</v>
      </c>
      <c r="H362" s="36">
        <v>0</v>
      </c>
      <c r="I362" s="43">
        <v>0</v>
      </c>
      <c r="J362" s="43">
        <v>0</v>
      </c>
      <c r="K362" s="43">
        <v>0</v>
      </c>
    </row>
    <row r="363" spans="1:11" ht="13.9" x14ac:dyDescent="0.25">
      <c r="A363" s="43">
        <v>2000</v>
      </c>
      <c r="B363" s="36" t="s">
        <v>33</v>
      </c>
      <c r="C363" s="36">
        <v>25</v>
      </c>
      <c r="D363" s="42" t="s">
        <v>62</v>
      </c>
      <c r="E363" s="65">
        <v>0</v>
      </c>
      <c r="F363" s="44" t="s">
        <v>1396</v>
      </c>
      <c r="G363" s="43">
        <v>0</v>
      </c>
      <c r="H363" s="36">
        <v>0</v>
      </c>
      <c r="I363" s="43">
        <v>0</v>
      </c>
      <c r="J363" s="43">
        <v>0</v>
      </c>
      <c r="K363" s="43">
        <v>0</v>
      </c>
    </row>
    <row r="364" spans="1:11" ht="13.9" x14ac:dyDescent="0.25">
      <c r="A364" s="43">
        <v>2000</v>
      </c>
      <c r="B364" s="36" t="s">
        <v>33</v>
      </c>
      <c r="C364" s="36">
        <v>26</v>
      </c>
      <c r="D364" s="42" t="s">
        <v>58</v>
      </c>
      <c r="E364" s="65">
        <v>0</v>
      </c>
      <c r="F364" s="44" t="s">
        <v>1430</v>
      </c>
      <c r="G364" s="43">
        <v>0</v>
      </c>
      <c r="H364" s="36">
        <v>0</v>
      </c>
      <c r="I364" s="43">
        <v>0</v>
      </c>
      <c r="J364" s="43">
        <v>0</v>
      </c>
      <c r="K364" s="43">
        <v>0</v>
      </c>
    </row>
    <row r="365" spans="1:11" ht="13.9" x14ac:dyDescent="0.25">
      <c r="A365" s="43">
        <v>2000</v>
      </c>
      <c r="B365" s="36" t="s">
        <v>33</v>
      </c>
      <c r="C365" s="36">
        <v>27</v>
      </c>
      <c r="D365" s="42" t="s">
        <v>504</v>
      </c>
      <c r="E365" s="65">
        <v>0</v>
      </c>
      <c r="F365" s="44" t="s">
        <v>1224</v>
      </c>
      <c r="G365" s="43">
        <v>0</v>
      </c>
      <c r="H365" s="36">
        <v>0</v>
      </c>
      <c r="I365" s="43">
        <v>0</v>
      </c>
      <c r="J365" s="43">
        <v>0</v>
      </c>
      <c r="K365" s="43">
        <v>0</v>
      </c>
    </row>
    <row r="366" spans="1:11" ht="13.9" x14ac:dyDescent="0.25">
      <c r="A366" s="43">
        <v>2000</v>
      </c>
      <c r="B366" s="36" t="s">
        <v>33</v>
      </c>
      <c r="C366" s="36">
        <v>28</v>
      </c>
      <c r="D366" s="42" t="s">
        <v>335</v>
      </c>
      <c r="E366" s="65">
        <v>0</v>
      </c>
      <c r="F366" s="42" t="s">
        <v>1265</v>
      </c>
      <c r="G366" s="43">
        <v>0</v>
      </c>
      <c r="H366" s="36">
        <v>0</v>
      </c>
      <c r="I366" s="43">
        <v>0</v>
      </c>
      <c r="J366" s="43">
        <v>0</v>
      </c>
      <c r="K366" s="43">
        <v>0</v>
      </c>
    </row>
    <row r="367" spans="1:11" ht="13.9" x14ac:dyDescent="0.25">
      <c r="A367" s="43">
        <v>2000</v>
      </c>
      <c r="B367" s="36" t="s">
        <v>33</v>
      </c>
      <c r="C367" s="36">
        <v>29</v>
      </c>
      <c r="D367" s="42" t="s">
        <v>493</v>
      </c>
      <c r="E367" s="65">
        <v>0</v>
      </c>
      <c r="F367" s="42" t="s">
        <v>1413</v>
      </c>
      <c r="G367" s="43">
        <v>0</v>
      </c>
      <c r="H367" s="36">
        <v>0</v>
      </c>
      <c r="I367" s="43">
        <v>0</v>
      </c>
      <c r="J367" s="43">
        <v>0</v>
      </c>
      <c r="K367" s="43">
        <v>0</v>
      </c>
    </row>
    <row r="368" spans="1:11" ht="13.9" x14ac:dyDescent="0.25">
      <c r="A368" s="43">
        <v>2000</v>
      </c>
      <c r="B368" s="36" t="s">
        <v>33</v>
      </c>
      <c r="C368" s="36">
        <v>30</v>
      </c>
      <c r="D368" s="42" t="s">
        <v>736</v>
      </c>
      <c r="E368" s="65">
        <v>0</v>
      </c>
      <c r="F368" s="42" t="s">
        <v>979</v>
      </c>
      <c r="G368" s="43">
        <v>0</v>
      </c>
      <c r="H368" s="36">
        <v>0</v>
      </c>
      <c r="I368" s="43">
        <v>0</v>
      </c>
      <c r="J368" s="43">
        <v>0</v>
      </c>
      <c r="K368" s="43">
        <v>0</v>
      </c>
    </row>
    <row r="369" spans="1:11" ht="13.9" x14ac:dyDescent="0.25">
      <c r="A369" s="43">
        <v>2000</v>
      </c>
      <c r="B369" s="36" t="s">
        <v>33</v>
      </c>
      <c r="C369" s="36">
        <v>31</v>
      </c>
      <c r="D369" s="42" t="s">
        <v>736</v>
      </c>
      <c r="E369" s="65">
        <v>0</v>
      </c>
      <c r="F369" s="42" t="s">
        <v>979</v>
      </c>
      <c r="G369" s="43">
        <v>0</v>
      </c>
      <c r="H369" s="36">
        <v>0</v>
      </c>
      <c r="I369" s="43">
        <v>0</v>
      </c>
      <c r="J369" s="43">
        <v>0</v>
      </c>
      <c r="K369" s="43">
        <v>0</v>
      </c>
    </row>
  </sheetData>
  <mergeCells count="8">
    <mergeCell ref="A1:K1"/>
    <mergeCell ref="H2:I2"/>
    <mergeCell ref="J2:K2"/>
    <mergeCell ref="B2:B3"/>
    <mergeCell ref="C2:C3"/>
    <mergeCell ref="A2:A3"/>
    <mergeCell ref="D2:E2"/>
    <mergeCell ref="F2:G2"/>
  </mergeCells>
  <pageMargins left="1" right="0.75" top="0.75" bottom="0.25" header="0.3" footer="0.3"/>
  <pageSetup paperSize="9" orientation="portrait" r:id="rId1"/>
  <ignoredErrors>
    <ignoredError sqref="F4:F34 H18:H34 J18:J34 J35:J62 H35:H62 F35:F62 F64:H94 J64:J94 F95:J124 F125:F154 H125:H154 J125:J154 G156:K156 F156:F185 F186:F192 F193:F216 F217:F247 F248:F277 F278:F308 D338 F309:F338 D368:D369 F339:F369" numberStoredAsText="1"/>
    <ignoredError sqref="D119 D103 D138 D154 D156:D160 D203:D204 D263:D265" twoDigitTextYea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370"/>
  <sheetViews>
    <sheetView workbookViewId="0">
      <selection activeCell="E2" sqref="E2:H2"/>
    </sheetView>
  </sheetViews>
  <sheetFormatPr defaultColWidth="9.140625" defaultRowHeight="15" x14ac:dyDescent="0.25"/>
  <cols>
    <col min="1" max="1" width="12.140625" style="27" customWidth="1"/>
    <col min="2" max="2" width="9.42578125" style="177" customWidth="1"/>
    <col min="3" max="3" width="10.28515625" style="177" customWidth="1"/>
    <col min="4" max="4" width="7.5703125" style="37" hidden="1" customWidth="1"/>
    <col min="5" max="5" width="9.5703125" style="177" customWidth="1"/>
    <col min="6" max="6" width="6.85546875" style="177" customWidth="1"/>
    <col min="7" max="7" width="9.5703125" style="177" customWidth="1"/>
    <col min="8" max="8" width="9.140625" style="177"/>
    <col min="9" max="16384" width="9.140625" style="14"/>
  </cols>
  <sheetData>
    <row r="1" spans="1:8" ht="27.75" customHeight="1" thickBot="1" x14ac:dyDescent="0.3">
      <c r="A1" s="422" t="s">
        <v>2683</v>
      </c>
      <c r="B1" s="422"/>
      <c r="C1" s="422"/>
      <c r="D1" s="422"/>
      <c r="E1" s="422"/>
      <c r="F1" s="422"/>
      <c r="G1" s="422"/>
      <c r="H1" s="422"/>
    </row>
    <row r="2" spans="1:8" ht="23.25" customHeight="1" x14ac:dyDescent="0.25">
      <c r="A2" s="425" t="s">
        <v>0</v>
      </c>
      <c r="B2" s="423" t="s">
        <v>2684</v>
      </c>
      <c r="C2" s="427" t="s">
        <v>2685</v>
      </c>
      <c r="D2" s="428"/>
      <c r="E2" s="431" t="s">
        <v>2686</v>
      </c>
      <c r="F2" s="432"/>
      <c r="G2" s="432"/>
      <c r="H2" s="433"/>
    </row>
    <row r="3" spans="1:8" ht="45.75" customHeight="1" thickBot="1" x14ac:dyDescent="0.3">
      <c r="A3" s="426"/>
      <c r="B3" s="424"/>
      <c r="C3" s="429"/>
      <c r="D3" s="430"/>
      <c r="E3" s="181" t="s">
        <v>2687</v>
      </c>
      <c r="F3" s="184" t="s">
        <v>735</v>
      </c>
      <c r="G3" s="181" t="s">
        <v>2688</v>
      </c>
      <c r="H3" s="183" t="s">
        <v>735</v>
      </c>
    </row>
    <row r="4" spans="1:8" ht="25.5" customHeight="1" x14ac:dyDescent="0.25">
      <c r="A4" s="120">
        <v>36892</v>
      </c>
      <c r="B4" s="174" t="s">
        <v>514</v>
      </c>
      <c r="C4" s="174" t="s">
        <v>979</v>
      </c>
      <c r="D4" s="160">
        <v>0</v>
      </c>
      <c r="E4" s="113">
        <v>0</v>
      </c>
      <c r="F4" s="113">
        <v>0</v>
      </c>
      <c r="G4" s="113">
        <v>0</v>
      </c>
      <c r="H4" s="114">
        <v>0</v>
      </c>
    </row>
    <row r="5" spans="1:8" ht="25.5" customHeight="1" x14ac:dyDescent="0.25">
      <c r="A5" s="95">
        <v>36893</v>
      </c>
      <c r="B5" s="116" t="s">
        <v>497</v>
      </c>
      <c r="C5" s="116" t="s">
        <v>978</v>
      </c>
      <c r="D5" s="165">
        <v>0</v>
      </c>
      <c r="E5" s="94">
        <v>0</v>
      </c>
      <c r="F5" s="94">
        <v>0</v>
      </c>
      <c r="G5" s="94">
        <v>0</v>
      </c>
      <c r="H5" s="115">
        <v>0</v>
      </c>
    </row>
    <row r="6" spans="1:8" ht="25.5" customHeight="1" x14ac:dyDescent="0.25">
      <c r="A6" s="95">
        <v>36894</v>
      </c>
      <c r="B6" s="116" t="s">
        <v>338</v>
      </c>
      <c r="C6" s="116" t="s">
        <v>1229</v>
      </c>
      <c r="D6" s="165">
        <v>0</v>
      </c>
      <c r="E6" s="94">
        <v>0</v>
      </c>
      <c r="F6" s="94">
        <v>0</v>
      </c>
      <c r="G6" s="94">
        <v>0</v>
      </c>
      <c r="H6" s="115">
        <v>0</v>
      </c>
    </row>
    <row r="7" spans="1:8" ht="25.5" customHeight="1" x14ac:dyDescent="0.25">
      <c r="A7" s="95">
        <v>36895</v>
      </c>
      <c r="B7" s="116" t="s">
        <v>338</v>
      </c>
      <c r="C7" s="116" t="s">
        <v>1229</v>
      </c>
      <c r="D7" s="165">
        <v>0</v>
      </c>
      <c r="E7" s="94">
        <v>0</v>
      </c>
      <c r="F7" s="94">
        <v>0</v>
      </c>
      <c r="G7" s="94">
        <v>0</v>
      </c>
      <c r="H7" s="115">
        <v>0</v>
      </c>
    </row>
    <row r="8" spans="1:8" ht="25.5" customHeight="1" x14ac:dyDescent="0.25">
      <c r="A8" s="95">
        <v>36896</v>
      </c>
      <c r="B8" s="116" t="s">
        <v>338</v>
      </c>
      <c r="C8" s="116" t="s">
        <v>1229</v>
      </c>
      <c r="D8" s="165">
        <v>0</v>
      </c>
      <c r="E8" s="94">
        <v>0</v>
      </c>
      <c r="F8" s="94">
        <v>0</v>
      </c>
      <c r="G8" s="94">
        <v>0</v>
      </c>
      <c r="H8" s="115">
        <v>0</v>
      </c>
    </row>
    <row r="9" spans="1:8" ht="25.5" customHeight="1" x14ac:dyDescent="0.25">
      <c r="A9" s="95">
        <v>36897</v>
      </c>
      <c r="B9" s="116" t="s">
        <v>338</v>
      </c>
      <c r="C9" s="116" t="s">
        <v>1229</v>
      </c>
      <c r="D9" s="165">
        <v>0</v>
      </c>
      <c r="E9" s="94">
        <v>0</v>
      </c>
      <c r="F9" s="94">
        <v>0</v>
      </c>
      <c r="G9" s="94">
        <v>0</v>
      </c>
      <c r="H9" s="115">
        <v>0</v>
      </c>
    </row>
    <row r="10" spans="1:8" ht="25.5" customHeight="1" x14ac:dyDescent="0.25">
      <c r="A10" s="95">
        <v>36898</v>
      </c>
      <c r="B10" s="116" t="s">
        <v>338</v>
      </c>
      <c r="C10" s="116" t="s">
        <v>1229</v>
      </c>
      <c r="D10" s="165">
        <v>0</v>
      </c>
      <c r="E10" s="94">
        <v>0</v>
      </c>
      <c r="F10" s="94">
        <v>0</v>
      </c>
      <c r="G10" s="94">
        <v>0</v>
      </c>
      <c r="H10" s="115">
        <v>0</v>
      </c>
    </row>
    <row r="11" spans="1:8" ht="25.5" customHeight="1" x14ac:dyDescent="0.25">
      <c r="A11" s="95">
        <v>36899</v>
      </c>
      <c r="B11" s="116" t="s">
        <v>338</v>
      </c>
      <c r="C11" s="116" t="s">
        <v>1229</v>
      </c>
      <c r="D11" s="165">
        <v>0</v>
      </c>
      <c r="E11" s="94">
        <v>0</v>
      </c>
      <c r="F11" s="94">
        <v>0</v>
      </c>
      <c r="G11" s="94">
        <v>0</v>
      </c>
      <c r="H11" s="115">
        <v>0</v>
      </c>
    </row>
    <row r="12" spans="1:8" ht="25.5" customHeight="1" x14ac:dyDescent="0.25">
      <c r="A12" s="95">
        <v>36900</v>
      </c>
      <c r="B12" s="116" t="s">
        <v>338</v>
      </c>
      <c r="C12" s="116" t="s">
        <v>1229</v>
      </c>
      <c r="D12" s="165">
        <v>0</v>
      </c>
      <c r="E12" s="94">
        <v>0</v>
      </c>
      <c r="F12" s="94">
        <v>0</v>
      </c>
      <c r="G12" s="94">
        <v>0</v>
      </c>
      <c r="H12" s="115">
        <v>0</v>
      </c>
    </row>
    <row r="13" spans="1:8" ht="25.5" customHeight="1" x14ac:dyDescent="0.25">
      <c r="A13" s="95">
        <v>36901</v>
      </c>
      <c r="B13" s="116" t="s">
        <v>338</v>
      </c>
      <c r="C13" s="116" t="s">
        <v>1229</v>
      </c>
      <c r="D13" s="165">
        <v>0</v>
      </c>
      <c r="E13" s="94">
        <v>0</v>
      </c>
      <c r="F13" s="94">
        <v>0</v>
      </c>
      <c r="G13" s="94">
        <v>0</v>
      </c>
      <c r="H13" s="115">
        <v>0</v>
      </c>
    </row>
    <row r="14" spans="1:8" ht="25.5" customHeight="1" x14ac:dyDescent="0.25">
      <c r="A14" s="95">
        <v>36902</v>
      </c>
      <c r="B14" s="116" t="s">
        <v>338</v>
      </c>
      <c r="C14" s="116" t="s">
        <v>1229</v>
      </c>
      <c r="D14" s="165">
        <v>0</v>
      </c>
      <c r="E14" s="94">
        <v>0</v>
      </c>
      <c r="F14" s="94">
        <v>0</v>
      </c>
      <c r="G14" s="94">
        <v>0</v>
      </c>
      <c r="H14" s="115">
        <v>0</v>
      </c>
    </row>
    <row r="15" spans="1:8" ht="25.5" customHeight="1" x14ac:dyDescent="0.25">
      <c r="A15" s="95">
        <v>36903</v>
      </c>
      <c r="B15" s="116" t="s">
        <v>342</v>
      </c>
      <c r="C15" s="116" t="s">
        <v>1260</v>
      </c>
      <c r="D15" s="165">
        <v>0</v>
      </c>
      <c r="E15" s="94">
        <v>0</v>
      </c>
      <c r="F15" s="94">
        <v>0</v>
      </c>
      <c r="G15" s="94">
        <v>0</v>
      </c>
      <c r="H15" s="115">
        <v>0</v>
      </c>
    </row>
    <row r="16" spans="1:8" ht="25.5" customHeight="1" x14ac:dyDescent="0.25">
      <c r="A16" s="95">
        <v>36904</v>
      </c>
      <c r="B16" s="116" t="s">
        <v>342</v>
      </c>
      <c r="C16" s="116" t="s">
        <v>1260</v>
      </c>
      <c r="D16" s="165">
        <v>0</v>
      </c>
      <c r="E16" s="94">
        <v>0</v>
      </c>
      <c r="F16" s="94">
        <v>0</v>
      </c>
      <c r="G16" s="94">
        <v>0</v>
      </c>
      <c r="H16" s="115">
        <v>0</v>
      </c>
    </row>
    <row r="17" spans="1:8" ht="25.5" customHeight="1" x14ac:dyDescent="0.25">
      <c r="A17" s="95">
        <v>36905</v>
      </c>
      <c r="B17" s="116" t="s">
        <v>342</v>
      </c>
      <c r="C17" s="116" t="s">
        <v>1260</v>
      </c>
      <c r="D17" s="165">
        <v>0</v>
      </c>
      <c r="E17" s="94">
        <v>0</v>
      </c>
      <c r="F17" s="94">
        <v>0</v>
      </c>
      <c r="G17" s="94">
        <v>0</v>
      </c>
      <c r="H17" s="115">
        <v>0</v>
      </c>
    </row>
    <row r="18" spans="1:8" ht="25.5" customHeight="1" x14ac:dyDescent="0.25">
      <c r="A18" s="95">
        <v>36906</v>
      </c>
      <c r="B18" s="116" t="s">
        <v>342</v>
      </c>
      <c r="C18" s="116" t="s">
        <v>1260</v>
      </c>
      <c r="D18" s="165">
        <v>0</v>
      </c>
      <c r="E18" s="94">
        <v>0</v>
      </c>
      <c r="F18" s="94">
        <v>0</v>
      </c>
      <c r="G18" s="94">
        <v>0</v>
      </c>
      <c r="H18" s="115">
        <v>0</v>
      </c>
    </row>
    <row r="19" spans="1:8" ht="25.5" customHeight="1" x14ac:dyDescent="0.25">
      <c r="A19" s="95">
        <v>36907</v>
      </c>
      <c r="B19" s="116" t="s">
        <v>342</v>
      </c>
      <c r="C19" s="116" t="s">
        <v>1260</v>
      </c>
      <c r="D19" s="165">
        <v>0</v>
      </c>
      <c r="E19" s="94">
        <v>0</v>
      </c>
      <c r="F19" s="94">
        <v>0</v>
      </c>
      <c r="G19" s="94">
        <v>0</v>
      </c>
      <c r="H19" s="115">
        <v>0</v>
      </c>
    </row>
    <row r="20" spans="1:8" ht="25.5" customHeight="1" x14ac:dyDescent="0.25">
      <c r="A20" s="95">
        <v>36908</v>
      </c>
      <c r="B20" s="116" t="s">
        <v>342</v>
      </c>
      <c r="C20" s="116" t="s">
        <v>1260</v>
      </c>
      <c r="D20" s="165">
        <v>0</v>
      </c>
      <c r="E20" s="94">
        <v>9</v>
      </c>
      <c r="F20" s="94">
        <v>0</v>
      </c>
      <c r="G20" s="94">
        <v>0</v>
      </c>
      <c r="H20" s="115">
        <v>0</v>
      </c>
    </row>
    <row r="21" spans="1:8" ht="25.5" customHeight="1" x14ac:dyDescent="0.25">
      <c r="A21" s="95">
        <v>36909</v>
      </c>
      <c r="B21" s="116" t="s">
        <v>1434</v>
      </c>
      <c r="C21" s="96" t="s">
        <v>1437</v>
      </c>
      <c r="D21" s="165">
        <v>0</v>
      </c>
      <c r="E21" s="94">
        <v>9</v>
      </c>
      <c r="F21" s="94">
        <v>0</v>
      </c>
      <c r="G21" s="94">
        <v>0</v>
      </c>
      <c r="H21" s="115">
        <v>0</v>
      </c>
    </row>
    <row r="22" spans="1:8" ht="25.5" customHeight="1" x14ac:dyDescent="0.25">
      <c r="A22" s="95">
        <v>36910</v>
      </c>
      <c r="B22" s="116" t="s">
        <v>338</v>
      </c>
      <c r="C22" s="116" t="s">
        <v>1229</v>
      </c>
      <c r="D22" s="165">
        <v>0</v>
      </c>
      <c r="E22" s="94">
        <v>9</v>
      </c>
      <c r="F22" s="94">
        <v>0</v>
      </c>
      <c r="G22" s="94">
        <v>0</v>
      </c>
      <c r="H22" s="115">
        <v>0</v>
      </c>
    </row>
    <row r="23" spans="1:8" ht="25.5" customHeight="1" x14ac:dyDescent="0.25">
      <c r="A23" s="95">
        <v>36911</v>
      </c>
      <c r="B23" s="116" t="s">
        <v>342</v>
      </c>
      <c r="C23" s="116" t="s">
        <v>1228</v>
      </c>
      <c r="D23" s="165">
        <v>0</v>
      </c>
      <c r="E23" s="94">
        <v>0</v>
      </c>
      <c r="F23" s="94">
        <v>0</v>
      </c>
      <c r="G23" s="94">
        <v>0</v>
      </c>
      <c r="H23" s="115">
        <v>0</v>
      </c>
    </row>
    <row r="24" spans="1:8" ht="25.5" customHeight="1" x14ac:dyDescent="0.25">
      <c r="A24" s="95">
        <v>36912</v>
      </c>
      <c r="B24" s="116" t="s">
        <v>339</v>
      </c>
      <c r="C24" s="116" t="s">
        <v>1230</v>
      </c>
      <c r="D24" s="165">
        <v>0</v>
      </c>
      <c r="E24" s="94">
        <v>0</v>
      </c>
      <c r="F24" s="94">
        <v>0</v>
      </c>
      <c r="G24" s="94">
        <v>0</v>
      </c>
      <c r="H24" s="115">
        <v>0</v>
      </c>
    </row>
    <row r="25" spans="1:8" ht="25.5" customHeight="1" x14ac:dyDescent="0.25">
      <c r="A25" s="95">
        <v>36913</v>
      </c>
      <c r="B25" s="116" t="s">
        <v>1435</v>
      </c>
      <c r="C25" s="96" t="s">
        <v>1438</v>
      </c>
      <c r="D25" s="165">
        <v>0</v>
      </c>
      <c r="E25" s="94">
        <v>0</v>
      </c>
      <c r="F25" s="94">
        <v>0</v>
      </c>
      <c r="G25" s="94">
        <v>0</v>
      </c>
      <c r="H25" s="115">
        <v>0</v>
      </c>
    </row>
    <row r="26" spans="1:8" ht="25.5" customHeight="1" x14ac:dyDescent="0.25">
      <c r="A26" s="95">
        <v>36914</v>
      </c>
      <c r="B26" s="116" t="s">
        <v>1436</v>
      </c>
      <c r="C26" s="96" t="s">
        <v>1439</v>
      </c>
      <c r="D26" s="165">
        <v>0</v>
      </c>
      <c r="E26" s="94">
        <v>0</v>
      </c>
      <c r="F26" s="94">
        <v>0</v>
      </c>
      <c r="G26" s="94">
        <v>0</v>
      </c>
      <c r="H26" s="115">
        <v>0</v>
      </c>
    </row>
    <row r="27" spans="1:8" ht="25.5" customHeight="1" x14ac:dyDescent="0.25">
      <c r="A27" s="95">
        <v>36915</v>
      </c>
      <c r="B27" s="116" t="s">
        <v>495</v>
      </c>
      <c r="C27" s="96" t="s">
        <v>1231</v>
      </c>
      <c r="D27" s="165">
        <v>0</v>
      </c>
      <c r="E27" s="94">
        <v>0</v>
      </c>
      <c r="F27" s="94">
        <v>0</v>
      </c>
      <c r="G27" s="94">
        <v>0</v>
      </c>
      <c r="H27" s="115">
        <v>0</v>
      </c>
    </row>
    <row r="28" spans="1:8" ht="25.5" customHeight="1" x14ac:dyDescent="0.25">
      <c r="A28" s="95">
        <v>36916</v>
      </c>
      <c r="B28" s="116" t="s">
        <v>493</v>
      </c>
      <c r="C28" s="96" t="s">
        <v>1256</v>
      </c>
      <c r="D28" s="165">
        <v>0</v>
      </c>
      <c r="E28" s="94">
        <v>0</v>
      </c>
      <c r="F28" s="94">
        <v>0</v>
      </c>
      <c r="G28" s="94">
        <v>0</v>
      </c>
      <c r="H28" s="115">
        <v>0</v>
      </c>
    </row>
    <row r="29" spans="1:8" ht="25.5" customHeight="1" x14ac:dyDescent="0.25">
      <c r="A29" s="95">
        <v>36917</v>
      </c>
      <c r="B29" s="116" t="s">
        <v>436</v>
      </c>
      <c r="C29" s="96" t="s">
        <v>1254</v>
      </c>
      <c r="D29" s="165">
        <v>0</v>
      </c>
      <c r="E29" s="94">
        <v>0</v>
      </c>
      <c r="F29" s="94">
        <v>0</v>
      </c>
      <c r="G29" s="94">
        <v>0</v>
      </c>
      <c r="H29" s="115">
        <v>0</v>
      </c>
    </row>
    <row r="30" spans="1:8" ht="25.5" customHeight="1" x14ac:dyDescent="0.25">
      <c r="A30" s="95">
        <v>36918</v>
      </c>
      <c r="B30" s="116" t="s">
        <v>436</v>
      </c>
      <c r="C30" s="96" t="s">
        <v>1254</v>
      </c>
      <c r="D30" s="165">
        <v>0</v>
      </c>
      <c r="E30" s="94">
        <v>0</v>
      </c>
      <c r="F30" s="94">
        <v>0</v>
      </c>
      <c r="G30" s="94">
        <v>0</v>
      </c>
      <c r="H30" s="115">
        <v>0</v>
      </c>
    </row>
    <row r="31" spans="1:8" ht="25.5" customHeight="1" x14ac:dyDescent="0.25">
      <c r="A31" s="95">
        <v>36919</v>
      </c>
      <c r="B31" s="116" t="s">
        <v>491</v>
      </c>
      <c r="C31" s="116" t="s">
        <v>1232</v>
      </c>
      <c r="D31" s="165">
        <v>0</v>
      </c>
      <c r="E31" s="94">
        <v>0</v>
      </c>
      <c r="F31" s="94">
        <v>0</v>
      </c>
      <c r="G31" s="94">
        <v>0</v>
      </c>
      <c r="H31" s="115">
        <v>0</v>
      </c>
    </row>
    <row r="32" spans="1:8" ht="25.5" customHeight="1" x14ac:dyDescent="0.25">
      <c r="A32" s="95">
        <v>36920</v>
      </c>
      <c r="B32" s="116" t="s">
        <v>491</v>
      </c>
      <c r="C32" s="116" t="s">
        <v>1232</v>
      </c>
      <c r="D32" s="165">
        <v>0</v>
      </c>
      <c r="E32" s="94">
        <v>0</v>
      </c>
      <c r="F32" s="94">
        <v>0</v>
      </c>
      <c r="G32" s="94">
        <v>0</v>
      </c>
      <c r="H32" s="115">
        <v>0</v>
      </c>
    </row>
    <row r="33" spans="1:8" ht="25.5" customHeight="1" x14ac:dyDescent="0.25">
      <c r="A33" s="95">
        <v>36921</v>
      </c>
      <c r="B33" s="116" t="s">
        <v>551</v>
      </c>
      <c r="C33" s="116" t="s">
        <v>1244</v>
      </c>
      <c r="D33" s="165">
        <v>0</v>
      </c>
      <c r="E33" s="94">
        <v>0</v>
      </c>
      <c r="F33" s="94">
        <v>0</v>
      </c>
      <c r="G33" s="94">
        <v>0</v>
      </c>
      <c r="H33" s="115">
        <v>0</v>
      </c>
    </row>
    <row r="34" spans="1:8" ht="25.5" customHeight="1" x14ac:dyDescent="0.25">
      <c r="A34" s="95">
        <v>36922</v>
      </c>
      <c r="B34" s="116" t="s">
        <v>551</v>
      </c>
      <c r="C34" s="116" t="s">
        <v>1243</v>
      </c>
      <c r="D34" s="165">
        <v>0</v>
      </c>
      <c r="E34" s="94">
        <v>0</v>
      </c>
      <c r="F34" s="94">
        <v>0</v>
      </c>
      <c r="G34" s="94">
        <v>0</v>
      </c>
      <c r="H34" s="115">
        <v>0</v>
      </c>
    </row>
    <row r="35" spans="1:8" ht="25.5" customHeight="1" x14ac:dyDescent="0.25">
      <c r="A35" s="95">
        <v>36923</v>
      </c>
      <c r="B35" s="178" t="s">
        <v>361</v>
      </c>
      <c r="C35" s="96" t="s">
        <v>1233</v>
      </c>
      <c r="D35" s="165">
        <v>0</v>
      </c>
      <c r="E35" s="94">
        <v>0</v>
      </c>
      <c r="F35" s="94">
        <v>0</v>
      </c>
      <c r="G35" s="94">
        <v>0</v>
      </c>
      <c r="H35" s="115">
        <v>0</v>
      </c>
    </row>
    <row r="36" spans="1:8" ht="25.5" customHeight="1" x14ac:dyDescent="0.25">
      <c r="A36" s="95">
        <v>36924</v>
      </c>
      <c r="B36" s="178" t="s">
        <v>360</v>
      </c>
      <c r="C36" s="96" t="s">
        <v>1239</v>
      </c>
      <c r="D36" s="165">
        <v>0</v>
      </c>
      <c r="E36" s="94">
        <v>0</v>
      </c>
      <c r="F36" s="94">
        <v>0</v>
      </c>
      <c r="G36" s="94">
        <v>0</v>
      </c>
      <c r="H36" s="115">
        <v>0</v>
      </c>
    </row>
    <row r="37" spans="1:8" ht="25.5" customHeight="1" x14ac:dyDescent="0.25">
      <c r="A37" s="95">
        <v>36925</v>
      </c>
      <c r="B37" s="178" t="s">
        <v>542</v>
      </c>
      <c r="C37" s="96" t="s">
        <v>1234</v>
      </c>
      <c r="D37" s="165">
        <v>0</v>
      </c>
      <c r="E37" s="94">
        <v>0</v>
      </c>
      <c r="F37" s="94">
        <v>0</v>
      </c>
      <c r="G37" s="94">
        <v>0</v>
      </c>
      <c r="H37" s="115">
        <v>0</v>
      </c>
    </row>
    <row r="38" spans="1:8" ht="25.5" customHeight="1" x14ac:dyDescent="0.25">
      <c r="A38" s="95">
        <v>36926</v>
      </c>
      <c r="B38" s="178" t="s">
        <v>358</v>
      </c>
      <c r="C38" s="96" t="s">
        <v>1235</v>
      </c>
      <c r="D38" s="165">
        <v>0</v>
      </c>
      <c r="E38" s="94">
        <v>0</v>
      </c>
      <c r="F38" s="94">
        <v>0</v>
      </c>
      <c r="G38" s="94">
        <v>0</v>
      </c>
      <c r="H38" s="115">
        <v>0</v>
      </c>
    </row>
    <row r="39" spans="1:8" ht="25.5" customHeight="1" x14ac:dyDescent="0.25">
      <c r="A39" s="95">
        <v>36927</v>
      </c>
      <c r="B39" s="178" t="s">
        <v>358</v>
      </c>
      <c r="C39" s="96" t="s">
        <v>1235</v>
      </c>
      <c r="D39" s="165">
        <v>0</v>
      </c>
      <c r="E39" s="94">
        <v>0</v>
      </c>
      <c r="F39" s="94">
        <v>0</v>
      </c>
      <c r="G39" s="94">
        <v>0</v>
      </c>
      <c r="H39" s="115">
        <v>0</v>
      </c>
    </row>
    <row r="40" spans="1:8" ht="25.5" customHeight="1" x14ac:dyDescent="0.25">
      <c r="A40" s="95">
        <v>36928</v>
      </c>
      <c r="B40" s="178" t="s">
        <v>358</v>
      </c>
      <c r="C40" s="96" t="s">
        <v>1235</v>
      </c>
      <c r="D40" s="165">
        <v>0</v>
      </c>
      <c r="E40" s="94">
        <v>0</v>
      </c>
      <c r="F40" s="94">
        <v>0</v>
      </c>
      <c r="G40" s="94">
        <v>0</v>
      </c>
      <c r="H40" s="115">
        <v>0</v>
      </c>
    </row>
    <row r="41" spans="1:8" ht="25.5" customHeight="1" x14ac:dyDescent="0.25">
      <c r="A41" s="95">
        <v>36929</v>
      </c>
      <c r="B41" s="179" t="s">
        <v>358</v>
      </c>
      <c r="C41" s="96" t="s">
        <v>1235</v>
      </c>
      <c r="D41" s="165">
        <v>0</v>
      </c>
      <c r="E41" s="94">
        <v>0</v>
      </c>
      <c r="F41" s="94">
        <v>0</v>
      </c>
      <c r="G41" s="94">
        <v>0</v>
      </c>
      <c r="H41" s="115">
        <v>0</v>
      </c>
    </row>
    <row r="42" spans="1:8" ht="25.5" customHeight="1" x14ac:dyDescent="0.25">
      <c r="A42" s="95">
        <v>36930</v>
      </c>
      <c r="B42" s="178" t="s">
        <v>357</v>
      </c>
      <c r="C42" s="96" t="s">
        <v>1407</v>
      </c>
      <c r="D42" s="165">
        <v>0</v>
      </c>
      <c r="E42" s="94">
        <v>0</v>
      </c>
      <c r="F42" s="94">
        <v>0</v>
      </c>
      <c r="G42" s="94">
        <v>0</v>
      </c>
      <c r="H42" s="115">
        <v>0</v>
      </c>
    </row>
    <row r="43" spans="1:8" ht="25.5" customHeight="1" x14ac:dyDescent="0.25">
      <c r="A43" s="95">
        <v>36931</v>
      </c>
      <c r="B43" s="178" t="s">
        <v>357</v>
      </c>
      <c r="C43" s="96" t="s">
        <v>1407</v>
      </c>
      <c r="D43" s="165">
        <v>0</v>
      </c>
      <c r="E43" s="94">
        <v>0</v>
      </c>
      <c r="F43" s="94">
        <v>0</v>
      </c>
      <c r="G43" s="94">
        <v>0</v>
      </c>
      <c r="H43" s="115">
        <v>0</v>
      </c>
    </row>
    <row r="44" spans="1:8" ht="25.5" customHeight="1" x14ac:dyDescent="0.25">
      <c r="A44" s="95">
        <v>36932</v>
      </c>
      <c r="B44" s="178" t="s">
        <v>357</v>
      </c>
      <c r="C44" s="96" t="s">
        <v>1407</v>
      </c>
      <c r="D44" s="165">
        <v>0</v>
      </c>
      <c r="E44" s="94">
        <v>0</v>
      </c>
      <c r="F44" s="94">
        <v>0</v>
      </c>
      <c r="G44" s="94">
        <v>0</v>
      </c>
      <c r="H44" s="115">
        <v>0</v>
      </c>
    </row>
    <row r="45" spans="1:8" ht="25.5" customHeight="1" x14ac:dyDescent="0.25">
      <c r="A45" s="95">
        <v>36933</v>
      </c>
      <c r="B45" s="178" t="s">
        <v>357</v>
      </c>
      <c r="C45" s="96" t="s">
        <v>1407</v>
      </c>
      <c r="D45" s="165">
        <v>0</v>
      </c>
      <c r="E45" s="94">
        <v>0</v>
      </c>
      <c r="F45" s="94">
        <v>0</v>
      </c>
      <c r="G45" s="94">
        <v>0</v>
      </c>
      <c r="H45" s="115">
        <v>0</v>
      </c>
    </row>
    <row r="46" spans="1:8" ht="25.5" customHeight="1" x14ac:dyDescent="0.25">
      <c r="A46" s="95">
        <v>36934</v>
      </c>
      <c r="B46" s="178" t="s">
        <v>357</v>
      </c>
      <c r="C46" s="96" t="s">
        <v>1407</v>
      </c>
      <c r="D46" s="165">
        <v>0</v>
      </c>
      <c r="E46" s="94">
        <v>0</v>
      </c>
      <c r="F46" s="94">
        <v>0</v>
      </c>
      <c r="G46" s="94">
        <v>0</v>
      </c>
      <c r="H46" s="115">
        <v>0</v>
      </c>
    </row>
    <row r="47" spans="1:8" ht="25.5" customHeight="1" x14ac:dyDescent="0.25">
      <c r="A47" s="95">
        <v>36935</v>
      </c>
      <c r="B47" s="178" t="s">
        <v>357</v>
      </c>
      <c r="C47" s="96" t="s">
        <v>1407</v>
      </c>
      <c r="D47" s="165">
        <v>0</v>
      </c>
      <c r="E47" s="94">
        <v>0</v>
      </c>
      <c r="F47" s="94">
        <v>0</v>
      </c>
      <c r="G47" s="94">
        <v>0</v>
      </c>
      <c r="H47" s="115">
        <v>0</v>
      </c>
    </row>
    <row r="48" spans="1:8" ht="25.5" customHeight="1" x14ac:dyDescent="0.25">
      <c r="A48" s="95">
        <v>36936</v>
      </c>
      <c r="B48" s="178" t="s">
        <v>1399</v>
      </c>
      <c r="C48" s="96" t="s">
        <v>1406</v>
      </c>
      <c r="D48" s="165">
        <v>0</v>
      </c>
      <c r="E48" s="94">
        <v>0</v>
      </c>
      <c r="F48" s="94">
        <v>0</v>
      </c>
      <c r="G48" s="94">
        <v>0</v>
      </c>
      <c r="H48" s="115">
        <v>0</v>
      </c>
    </row>
    <row r="49" spans="1:8" ht="25.5" customHeight="1" x14ac:dyDescent="0.25">
      <c r="A49" s="95">
        <v>36937</v>
      </c>
      <c r="B49" s="178" t="s">
        <v>1399</v>
      </c>
      <c r="C49" s="96" t="s">
        <v>1406</v>
      </c>
      <c r="D49" s="165">
        <v>0</v>
      </c>
      <c r="E49" s="94">
        <v>0</v>
      </c>
      <c r="F49" s="94">
        <v>0</v>
      </c>
      <c r="G49" s="94">
        <v>0</v>
      </c>
      <c r="H49" s="115">
        <v>0</v>
      </c>
    </row>
    <row r="50" spans="1:8" ht="25.5" customHeight="1" x14ac:dyDescent="0.25">
      <c r="A50" s="95">
        <v>36938</v>
      </c>
      <c r="B50" s="178" t="s">
        <v>1399</v>
      </c>
      <c r="C50" s="96" t="s">
        <v>1406</v>
      </c>
      <c r="D50" s="165">
        <v>0</v>
      </c>
      <c r="E50" s="94">
        <v>0</v>
      </c>
      <c r="F50" s="94">
        <v>0</v>
      </c>
      <c r="G50" s="94">
        <v>0</v>
      </c>
      <c r="H50" s="115">
        <v>0</v>
      </c>
    </row>
    <row r="51" spans="1:8" ht="25.5" customHeight="1" x14ac:dyDescent="0.25">
      <c r="A51" s="95">
        <v>36939</v>
      </c>
      <c r="B51" s="178" t="s">
        <v>1399</v>
      </c>
      <c r="C51" s="96" t="s">
        <v>1406</v>
      </c>
      <c r="D51" s="165">
        <v>0</v>
      </c>
      <c r="E51" s="94">
        <v>6</v>
      </c>
      <c r="F51" s="94">
        <v>0</v>
      </c>
      <c r="G51" s="94">
        <v>0</v>
      </c>
      <c r="H51" s="115">
        <v>0</v>
      </c>
    </row>
    <row r="52" spans="1:8" ht="25.5" customHeight="1" x14ac:dyDescent="0.25">
      <c r="A52" s="95">
        <v>36940</v>
      </c>
      <c r="B52" s="178" t="s">
        <v>1399</v>
      </c>
      <c r="C52" s="96" t="s">
        <v>1406</v>
      </c>
      <c r="D52" s="165">
        <v>0</v>
      </c>
      <c r="E52" s="94">
        <v>0</v>
      </c>
      <c r="F52" s="94">
        <v>0</v>
      </c>
      <c r="G52" s="94">
        <v>0</v>
      </c>
      <c r="H52" s="115">
        <v>0</v>
      </c>
    </row>
    <row r="53" spans="1:8" ht="25.5" customHeight="1" x14ac:dyDescent="0.25">
      <c r="A53" s="95">
        <v>36941</v>
      </c>
      <c r="B53" s="178" t="s">
        <v>1399</v>
      </c>
      <c r="C53" s="96" t="s">
        <v>1406</v>
      </c>
      <c r="D53" s="165">
        <v>0</v>
      </c>
      <c r="E53" s="94">
        <v>0</v>
      </c>
      <c r="F53" s="94">
        <v>0</v>
      </c>
      <c r="G53" s="94">
        <v>8</v>
      </c>
      <c r="H53" s="115">
        <v>0</v>
      </c>
    </row>
    <row r="54" spans="1:8" ht="25.5" customHeight="1" x14ac:dyDescent="0.25">
      <c r="A54" s="95">
        <v>36942</v>
      </c>
      <c r="B54" s="178" t="s">
        <v>358</v>
      </c>
      <c r="C54" s="96" t="s">
        <v>1235</v>
      </c>
      <c r="D54" s="165">
        <v>0</v>
      </c>
      <c r="E54" s="94">
        <v>0</v>
      </c>
      <c r="F54" s="94">
        <v>0</v>
      </c>
      <c r="G54" s="94">
        <v>0</v>
      </c>
      <c r="H54" s="115">
        <v>0</v>
      </c>
    </row>
    <row r="55" spans="1:8" ht="25.5" customHeight="1" x14ac:dyDescent="0.25">
      <c r="A55" s="95">
        <v>36943</v>
      </c>
      <c r="B55" s="178" t="s">
        <v>358</v>
      </c>
      <c r="C55" s="96" t="s">
        <v>1235</v>
      </c>
      <c r="D55" s="165">
        <v>0</v>
      </c>
      <c r="E55" s="94">
        <v>0</v>
      </c>
      <c r="F55" s="94">
        <v>0</v>
      </c>
      <c r="G55" s="94">
        <v>0</v>
      </c>
      <c r="H55" s="115">
        <v>0</v>
      </c>
    </row>
    <row r="56" spans="1:8" ht="25.5" customHeight="1" x14ac:dyDescent="0.25">
      <c r="A56" s="95">
        <v>36944</v>
      </c>
      <c r="B56" s="178" t="s">
        <v>358</v>
      </c>
      <c r="C56" s="96" t="s">
        <v>1235</v>
      </c>
      <c r="D56" s="165">
        <v>0</v>
      </c>
      <c r="E56" s="94">
        <v>0</v>
      </c>
      <c r="F56" s="94">
        <v>0</v>
      </c>
      <c r="G56" s="94">
        <v>0</v>
      </c>
      <c r="H56" s="115">
        <v>0</v>
      </c>
    </row>
    <row r="57" spans="1:8" ht="25.5" customHeight="1" x14ac:dyDescent="0.25">
      <c r="A57" s="95">
        <v>36945</v>
      </c>
      <c r="B57" s="178" t="s">
        <v>358</v>
      </c>
      <c r="C57" s="96" t="s">
        <v>1235</v>
      </c>
      <c r="D57" s="165">
        <v>0</v>
      </c>
      <c r="E57" s="94">
        <v>0</v>
      </c>
      <c r="F57" s="94">
        <v>0</v>
      </c>
      <c r="G57" s="94">
        <v>0</v>
      </c>
      <c r="H57" s="115">
        <v>0</v>
      </c>
    </row>
    <row r="58" spans="1:8" ht="25.5" customHeight="1" x14ac:dyDescent="0.25">
      <c r="A58" s="95">
        <v>36946</v>
      </c>
      <c r="B58" s="178" t="s">
        <v>358</v>
      </c>
      <c r="C58" s="96" t="s">
        <v>1235</v>
      </c>
      <c r="D58" s="165">
        <v>0</v>
      </c>
      <c r="E58" s="94">
        <v>0</v>
      </c>
      <c r="F58" s="94">
        <v>0</v>
      </c>
      <c r="G58" s="94">
        <v>0</v>
      </c>
      <c r="H58" s="115">
        <v>0</v>
      </c>
    </row>
    <row r="59" spans="1:8" ht="25.5" customHeight="1" x14ac:dyDescent="0.25">
      <c r="A59" s="95">
        <v>36947</v>
      </c>
      <c r="B59" s="178" t="s">
        <v>542</v>
      </c>
      <c r="C59" s="96" t="s">
        <v>1234</v>
      </c>
      <c r="D59" s="165">
        <v>0</v>
      </c>
      <c r="E59" s="94">
        <v>0</v>
      </c>
      <c r="F59" s="94">
        <v>0</v>
      </c>
      <c r="G59" s="94">
        <v>0</v>
      </c>
      <c r="H59" s="115">
        <v>0</v>
      </c>
    </row>
    <row r="60" spans="1:8" ht="25.5" customHeight="1" x14ac:dyDescent="0.25">
      <c r="A60" s="95">
        <v>36948</v>
      </c>
      <c r="B60" s="178" t="s">
        <v>542</v>
      </c>
      <c r="C60" s="96" t="s">
        <v>1234</v>
      </c>
      <c r="D60" s="165">
        <v>0</v>
      </c>
      <c r="E60" s="94">
        <v>0</v>
      </c>
      <c r="F60" s="94">
        <v>0</v>
      </c>
      <c r="G60" s="94">
        <v>0</v>
      </c>
      <c r="H60" s="115">
        <v>0</v>
      </c>
    </row>
    <row r="61" spans="1:8" ht="25.5" customHeight="1" x14ac:dyDescent="0.25">
      <c r="A61" s="95">
        <v>36949</v>
      </c>
      <c r="B61" s="178" t="s">
        <v>542</v>
      </c>
      <c r="C61" s="96" t="s">
        <v>1234</v>
      </c>
      <c r="D61" s="165">
        <v>0</v>
      </c>
      <c r="E61" s="94">
        <v>0</v>
      </c>
      <c r="F61" s="94">
        <v>0</v>
      </c>
      <c r="G61" s="94">
        <v>0</v>
      </c>
      <c r="H61" s="115">
        <v>0</v>
      </c>
    </row>
    <row r="62" spans="1:8" ht="25.5" customHeight="1" x14ac:dyDescent="0.25">
      <c r="A62" s="95">
        <v>36950</v>
      </c>
      <c r="B62" s="178" t="s">
        <v>542</v>
      </c>
      <c r="C62" s="96" t="s">
        <v>1234</v>
      </c>
      <c r="D62" s="165">
        <v>0</v>
      </c>
      <c r="E62" s="94">
        <v>0</v>
      </c>
      <c r="F62" s="94">
        <v>0</v>
      </c>
      <c r="G62" s="94">
        <v>0</v>
      </c>
      <c r="H62" s="115">
        <v>0</v>
      </c>
    </row>
    <row r="63" spans="1:8" ht="25.5" customHeight="1" x14ac:dyDescent="0.25">
      <c r="A63" s="95">
        <v>36951</v>
      </c>
      <c r="B63" s="96" t="s">
        <v>736</v>
      </c>
      <c r="C63" s="96" t="s">
        <v>736</v>
      </c>
      <c r="D63" s="165">
        <v>0</v>
      </c>
      <c r="E63" s="94">
        <v>0</v>
      </c>
      <c r="F63" s="94">
        <v>0</v>
      </c>
      <c r="G63" s="94">
        <v>0</v>
      </c>
      <c r="H63" s="115">
        <v>0</v>
      </c>
    </row>
    <row r="64" spans="1:8" ht="25.5" customHeight="1" x14ac:dyDescent="0.25">
      <c r="A64" s="95">
        <v>36952</v>
      </c>
      <c r="B64" s="96" t="s">
        <v>360</v>
      </c>
      <c r="C64" s="96" t="s">
        <v>1239</v>
      </c>
      <c r="D64" s="166">
        <v>0</v>
      </c>
      <c r="E64" s="96" t="s">
        <v>1247</v>
      </c>
      <c r="F64" s="96" t="s">
        <v>736</v>
      </c>
      <c r="G64" s="96" t="s">
        <v>736</v>
      </c>
      <c r="H64" s="186" t="s">
        <v>736</v>
      </c>
    </row>
    <row r="65" spans="1:8" ht="25.5" customHeight="1" x14ac:dyDescent="0.25">
      <c r="A65" s="95">
        <v>36953</v>
      </c>
      <c r="B65" s="96" t="s">
        <v>360</v>
      </c>
      <c r="C65" s="96" t="s">
        <v>1239</v>
      </c>
      <c r="D65" s="166">
        <v>0</v>
      </c>
      <c r="E65" s="96" t="s">
        <v>1247</v>
      </c>
      <c r="F65" s="94">
        <v>0</v>
      </c>
      <c r="G65" s="94">
        <v>0</v>
      </c>
      <c r="H65" s="115">
        <v>0</v>
      </c>
    </row>
    <row r="66" spans="1:8" ht="25.5" customHeight="1" x14ac:dyDescent="0.25">
      <c r="A66" s="95">
        <v>36954</v>
      </c>
      <c r="B66" s="96" t="s">
        <v>360</v>
      </c>
      <c r="C66" s="96" t="s">
        <v>1239</v>
      </c>
      <c r="D66" s="166">
        <v>0</v>
      </c>
      <c r="E66" s="96" t="s">
        <v>1247</v>
      </c>
      <c r="F66" s="94">
        <v>0</v>
      </c>
      <c r="G66" s="94">
        <v>0</v>
      </c>
      <c r="H66" s="115">
        <v>0</v>
      </c>
    </row>
    <row r="67" spans="1:8" ht="25.5" customHeight="1" x14ac:dyDescent="0.25">
      <c r="A67" s="95">
        <v>36955</v>
      </c>
      <c r="B67" s="96" t="s">
        <v>361</v>
      </c>
      <c r="C67" s="96" t="s">
        <v>1233</v>
      </c>
      <c r="D67" s="166">
        <v>0</v>
      </c>
      <c r="E67" s="96" t="s">
        <v>1247</v>
      </c>
      <c r="F67" s="94">
        <v>0</v>
      </c>
      <c r="G67" s="94">
        <v>0</v>
      </c>
      <c r="H67" s="115">
        <v>0</v>
      </c>
    </row>
    <row r="68" spans="1:8" ht="25.5" customHeight="1" x14ac:dyDescent="0.25">
      <c r="A68" s="95">
        <v>36956</v>
      </c>
      <c r="B68" s="96" t="s">
        <v>343</v>
      </c>
      <c r="C68" s="96" t="s">
        <v>1242</v>
      </c>
      <c r="D68" s="166">
        <v>0</v>
      </c>
      <c r="E68" s="96" t="s">
        <v>1247</v>
      </c>
      <c r="F68" s="94">
        <v>0</v>
      </c>
      <c r="G68" s="94">
        <v>0</v>
      </c>
      <c r="H68" s="115">
        <v>0</v>
      </c>
    </row>
    <row r="69" spans="1:8" ht="25.5" customHeight="1" x14ac:dyDescent="0.25">
      <c r="A69" s="95">
        <v>36957</v>
      </c>
      <c r="B69" s="96" t="s">
        <v>343</v>
      </c>
      <c r="C69" s="96" t="s">
        <v>1242</v>
      </c>
      <c r="D69" s="166">
        <v>0</v>
      </c>
      <c r="E69" s="96" t="s">
        <v>736</v>
      </c>
      <c r="F69" s="94">
        <v>0</v>
      </c>
      <c r="G69" s="94">
        <v>0</v>
      </c>
      <c r="H69" s="115">
        <v>0</v>
      </c>
    </row>
    <row r="70" spans="1:8" ht="25.5" customHeight="1" x14ac:dyDescent="0.25">
      <c r="A70" s="95">
        <v>36958</v>
      </c>
      <c r="B70" s="96" t="s">
        <v>343</v>
      </c>
      <c r="C70" s="96" t="s">
        <v>1242</v>
      </c>
      <c r="D70" s="166">
        <v>0</v>
      </c>
      <c r="E70" s="96" t="s">
        <v>736</v>
      </c>
      <c r="F70" s="94">
        <v>0</v>
      </c>
      <c r="G70" s="94">
        <v>0</v>
      </c>
      <c r="H70" s="115">
        <v>0</v>
      </c>
    </row>
    <row r="71" spans="1:8" ht="25.5" customHeight="1" x14ac:dyDescent="0.25">
      <c r="A71" s="95">
        <v>36959</v>
      </c>
      <c r="B71" s="96" t="s">
        <v>343</v>
      </c>
      <c r="C71" s="96" t="s">
        <v>1242</v>
      </c>
      <c r="D71" s="166">
        <v>0</v>
      </c>
      <c r="E71" s="96" t="s">
        <v>736</v>
      </c>
      <c r="F71" s="94">
        <v>0</v>
      </c>
      <c r="G71" s="94">
        <v>0</v>
      </c>
      <c r="H71" s="115">
        <v>0</v>
      </c>
    </row>
    <row r="72" spans="1:8" ht="25.5" customHeight="1" x14ac:dyDescent="0.25">
      <c r="A72" s="95">
        <v>36960</v>
      </c>
      <c r="B72" s="96" t="s">
        <v>343</v>
      </c>
      <c r="C72" s="96" t="s">
        <v>1242</v>
      </c>
      <c r="D72" s="166">
        <v>0</v>
      </c>
      <c r="E72" s="96" t="s">
        <v>736</v>
      </c>
      <c r="F72" s="94">
        <v>0</v>
      </c>
      <c r="G72" s="94">
        <v>0</v>
      </c>
      <c r="H72" s="115">
        <v>0</v>
      </c>
    </row>
    <row r="73" spans="1:8" ht="25.5" customHeight="1" x14ac:dyDescent="0.25">
      <c r="A73" s="95">
        <v>36961</v>
      </c>
      <c r="B73" s="96" t="s">
        <v>343</v>
      </c>
      <c r="C73" s="96" t="s">
        <v>1242</v>
      </c>
      <c r="D73" s="166">
        <v>0</v>
      </c>
      <c r="E73" s="96" t="s">
        <v>736</v>
      </c>
      <c r="F73" s="94">
        <v>0</v>
      </c>
      <c r="G73" s="94">
        <v>0</v>
      </c>
      <c r="H73" s="115">
        <v>0</v>
      </c>
    </row>
    <row r="74" spans="1:8" ht="25.5" customHeight="1" x14ac:dyDescent="0.25">
      <c r="A74" s="95">
        <v>36962</v>
      </c>
      <c r="B74" s="96" t="s">
        <v>363</v>
      </c>
      <c r="C74" s="96" t="s">
        <v>1243</v>
      </c>
      <c r="D74" s="166">
        <v>0</v>
      </c>
      <c r="E74" s="96" t="s">
        <v>736</v>
      </c>
      <c r="F74" s="94">
        <v>0</v>
      </c>
      <c r="G74" s="94">
        <v>0</v>
      </c>
      <c r="H74" s="115">
        <v>0</v>
      </c>
    </row>
    <row r="75" spans="1:8" ht="25.5" customHeight="1" x14ac:dyDescent="0.25">
      <c r="A75" s="95">
        <v>36963</v>
      </c>
      <c r="B75" s="96" t="s">
        <v>363</v>
      </c>
      <c r="C75" s="96" t="s">
        <v>1243</v>
      </c>
      <c r="D75" s="166">
        <v>0</v>
      </c>
      <c r="E75" s="96" t="s">
        <v>736</v>
      </c>
      <c r="F75" s="94">
        <v>0</v>
      </c>
      <c r="G75" s="94">
        <v>0</v>
      </c>
      <c r="H75" s="115">
        <v>0</v>
      </c>
    </row>
    <row r="76" spans="1:8" ht="25.5" customHeight="1" x14ac:dyDescent="0.25">
      <c r="A76" s="95">
        <v>36964</v>
      </c>
      <c r="B76" s="96" t="s">
        <v>363</v>
      </c>
      <c r="C76" s="96" t="s">
        <v>1243</v>
      </c>
      <c r="D76" s="166">
        <v>0</v>
      </c>
      <c r="E76" s="96" t="s">
        <v>736</v>
      </c>
      <c r="F76" s="94">
        <v>0</v>
      </c>
      <c r="G76" s="94">
        <v>0</v>
      </c>
      <c r="H76" s="115">
        <v>0</v>
      </c>
    </row>
    <row r="77" spans="1:8" ht="25.5" customHeight="1" x14ac:dyDescent="0.25">
      <c r="A77" s="95">
        <v>36965</v>
      </c>
      <c r="B77" s="96" t="s">
        <v>363</v>
      </c>
      <c r="C77" s="96" t="s">
        <v>1243</v>
      </c>
      <c r="D77" s="166">
        <v>0</v>
      </c>
      <c r="E77" s="96" t="s">
        <v>736</v>
      </c>
      <c r="F77" s="94">
        <v>0</v>
      </c>
      <c r="G77" s="94">
        <v>0</v>
      </c>
      <c r="H77" s="115">
        <v>0</v>
      </c>
    </row>
    <row r="78" spans="1:8" ht="25.5" customHeight="1" x14ac:dyDescent="0.25">
      <c r="A78" s="95">
        <v>36966</v>
      </c>
      <c r="B78" s="116" t="s">
        <v>363</v>
      </c>
      <c r="C78" s="96" t="s">
        <v>1243</v>
      </c>
      <c r="D78" s="166">
        <v>0</v>
      </c>
      <c r="E78" s="96" t="s">
        <v>1061</v>
      </c>
      <c r="F78" s="94">
        <v>0</v>
      </c>
      <c r="G78" s="94">
        <v>0</v>
      </c>
      <c r="H78" s="115">
        <v>0</v>
      </c>
    </row>
    <row r="79" spans="1:8" ht="25.5" customHeight="1" x14ac:dyDescent="0.25">
      <c r="A79" s="95">
        <v>36967</v>
      </c>
      <c r="B79" s="116" t="s">
        <v>551</v>
      </c>
      <c r="C79" s="96" t="s">
        <v>1244</v>
      </c>
      <c r="D79" s="166">
        <v>0</v>
      </c>
      <c r="E79" s="96" t="s">
        <v>1061</v>
      </c>
      <c r="F79" s="94">
        <v>0</v>
      </c>
      <c r="G79" s="94">
        <v>0</v>
      </c>
      <c r="H79" s="115">
        <v>0</v>
      </c>
    </row>
    <row r="80" spans="1:8" ht="25.5" customHeight="1" x14ac:dyDescent="0.25">
      <c r="A80" s="95">
        <v>36968</v>
      </c>
      <c r="B80" s="116" t="s">
        <v>551</v>
      </c>
      <c r="C80" s="96" t="s">
        <v>1244</v>
      </c>
      <c r="D80" s="166">
        <v>0</v>
      </c>
      <c r="E80" s="96" t="s">
        <v>1061</v>
      </c>
      <c r="F80" s="94">
        <v>0</v>
      </c>
      <c r="G80" s="94">
        <v>0</v>
      </c>
      <c r="H80" s="115">
        <v>0</v>
      </c>
    </row>
    <row r="81" spans="1:8" ht="25.5" customHeight="1" x14ac:dyDescent="0.25">
      <c r="A81" s="95">
        <v>36969</v>
      </c>
      <c r="B81" s="116" t="s">
        <v>491</v>
      </c>
      <c r="C81" s="96" t="s">
        <v>1232</v>
      </c>
      <c r="D81" s="166">
        <v>0</v>
      </c>
      <c r="E81" s="96" t="s">
        <v>1061</v>
      </c>
      <c r="F81" s="94">
        <v>0</v>
      </c>
      <c r="G81" s="94">
        <v>0</v>
      </c>
      <c r="H81" s="115">
        <v>0</v>
      </c>
    </row>
    <row r="82" spans="1:8" ht="25.5" customHeight="1" x14ac:dyDescent="0.25">
      <c r="A82" s="95">
        <v>36970</v>
      </c>
      <c r="B82" s="116" t="s">
        <v>436</v>
      </c>
      <c r="C82" s="96">
        <v>19500</v>
      </c>
      <c r="D82" s="166">
        <v>0</v>
      </c>
      <c r="E82" s="96" t="s">
        <v>736</v>
      </c>
      <c r="F82" s="94">
        <v>0</v>
      </c>
      <c r="G82" s="94">
        <v>0</v>
      </c>
      <c r="H82" s="115">
        <v>0</v>
      </c>
    </row>
    <row r="83" spans="1:8" ht="25.5" customHeight="1" x14ac:dyDescent="0.25">
      <c r="A83" s="95">
        <v>36971</v>
      </c>
      <c r="B83" s="116" t="s">
        <v>492</v>
      </c>
      <c r="C83" s="116" t="s">
        <v>1255</v>
      </c>
      <c r="D83" s="166">
        <v>0</v>
      </c>
      <c r="E83" s="96" t="s">
        <v>736</v>
      </c>
      <c r="F83" s="94">
        <v>0</v>
      </c>
      <c r="G83" s="94">
        <v>0</v>
      </c>
      <c r="H83" s="115">
        <v>0</v>
      </c>
    </row>
    <row r="84" spans="1:8" ht="25.5" customHeight="1" x14ac:dyDescent="0.25">
      <c r="A84" s="95">
        <v>36972</v>
      </c>
      <c r="B84" s="116" t="s">
        <v>494</v>
      </c>
      <c r="C84" s="116" t="s">
        <v>1257</v>
      </c>
      <c r="D84" s="166">
        <v>0</v>
      </c>
      <c r="E84" s="96" t="s">
        <v>736</v>
      </c>
      <c r="F84" s="94">
        <v>0</v>
      </c>
      <c r="G84" s="94">
        <v>0</v>
      </c>
      <c r="H84" s="115">
        <v>0</v>
      </c>
    </row>
    <row r="85" spans="1:8" ht="25.5" customHeight="1" x14ac:dyDescent="0.25">
      <c r="A85" s="95">
        <v>36973</v>
      </c>
      <c r="B85" s="116" t="s">
        <v>341</v>
      </c>
      <c r="C85" s="175" t="s">
        <v>1258</v>
      </c>
      <c r="D85" s="166">
        <v>0</v>
      </c>
      <c r="E85" s="96" t="s">
        <v>736</v>
      </c>
      <c r="F85" s="94">
        <v>0</v>
      </c>
      <c r="G85" s="94">
        <v>0</v>
      </c>
      <c r="H85" s="115">
        <v>0</v>
      </c>
    </row>
    <row r="86" spans="1:8" ht="25.5" customHeight="1" x14ac:dyDescent="0.25">
      <c r="A86" s="95">
        <v>36974</v>
      </c>
      <c r="B86" s="116" t="s">
        <v>340</v>
      </c>
      <c r="C86" s="175">
        <v>18000</v>
      </c>
      <c r="D86" s="166">
        <v>0</v>
      </c>
      <c r="E86" s="96" t="s">
        <v>736</v>
      </c>
      <c r="F86" s="94">
        <v>0</v>
      </c>
      <c r="G86" s="94">
        <v>0</v>
      </c>
      <c r="H86" s="115">
        <v>0</v>
      </c>
    </row>
    <row r="87" spans="1:8" ht="25.5" customHeight="1" x14ac:dyDescent="0.25">
      <c r="A87" s="95">
        <v>36975</v>
      </c>
      <c r="B87" s="116" t="s">
        <v>339</v>
      </c>
      <c r="C87" s="175">
        <v>17800</v>
      </c>
      <c r="D87" s="166">
        <v>0</v>
      </c>
      <c r="E87" s="96" t="s">
        <v>736</v>
      </c>
      <c r="F87" s="94">
        <v>0</v>
      </c>
      <c r="G87" s="94">
        <v>0</v>
      </c>
      <c r="H87" s="115">
        <v>0</v>
      </c>
    </row>
    <row r="88" spans="1:8" ht="25.5" customHeight="1" x14ac:dyDescent="0.25">
      <c r="A88" s="95">
        <v>36976</v>
      </c>
      <c r="B88" s="116" t="s">
        <v>342</v>
      </c>
      <c r="C88" s="175">
        <v>17600</v>
      </c>
      <c r="D88" s="166">
        <v>0</v>
      </c>
      <c r="E88" s="96" t="s">
        <v>736</v>
      </c>
      <c r="F88" s="94">
        <v>0</v>
      </c>
      <c r="G88" s="94">
        <v>0</v>
      </c>
      <c r="H88" s="115">
        <v>0</v>
      </c>
    </row>
    <row r="89" spans="1:8" ht="25.5" customHeight="1" x14ac:dyDescent="0.25">
      <c r="A89" s="95">
        <v>36977</v>
      </c>
      <c r="B89" s="116" t="s">
        <v>338</v>
      </c>
      <c r="C89" s="175">
        <v>17500</v>
      </c>
      <c r="D89" s="166">
        <v>0</v>
      </c>
      <c r="E89" s="96" t="s">
        <v>736</v>
      </c>
      <c r="F89" s="94">
        <v>0</v>
      </c>
      <c r="G89" s="94">
        <v>0</v>
      </c>
      <c r="H89" s="115">
        <v>0</v>
      </c>
    </row>
    <row r="90" spans="1:8" ht="25.5" customHeight="1" x14ac:dyDescent="0.25">
      <c r="A90" s="95">
        <v>36978</v>
      </c>
      <c r="B90" s="116" t="s">
        <v>497</v>
      </c>
      <c r="C90" s="175">
        <v>17400</v>
      </c>
      <c r="D90" s="166">
        <v>0</v>
      </c>
      <c r="E90" s="96" t="s">
        <v>736</v>
      </c>
      <c r="F90" s="94">
        <v>0</v>
      </c>
      <c r="G90" s="94">
        <v>0</v>
      </c>
      <c r="H90" s="115">
        <v>0</v>
      </c>
    </row>
    <row r="91" spans="1:8" ht="25.5" customHeight="1" x14ac:dyDescent="0.25">
      <c r="A91" s="95">
        <v>36979</v>
      </c>
      <c r="B91" s="116" t="s">
        <v>498</v>
      </c>
      <c r="C91" s="175">
        <v>17000</v>
      </c>
      <c r="D91" s="166">
        <v>0</v>
      </c>
      <c r="E91" s="96" t="s">
        <v>736</v>
      </c>
      <c r="F91" s="94">
        <v>0</v>
      </c>
      <c r="G91" s="94">
        <v>0</v>
      </c>
      <c r="H91" s="115">
        <v>0</v>
      </c>
    </row>
    <row r="92" spans="1:8" ht="25.5" customHeight="1" x14ac:dyDescent="0.25">
      <c r="A92" s="95">
        <v>36980</v>
      </c>
      <c r="B92" s="116" t="s">
        <v>493</v>
      </c>
      <c r="C92" s="116" t="s">
        <v>736</v>
      </c>
      <c r="D92" s="166">
        <v>0</v>
      </c>
      <c r="E92" s="96" t="s">
        <v>736</v>
      </c>
      <c r="F92" s="94">
        <v>0</v>
      </c>
      <c r="G92" s="94">
        <v>0</v>
      </c>
      <c r="H92" s="115">
        <v>0</v>
      </c>
    </row>
    <row r="93" spans="1:8" ht="25.5" customHeight="1" x14ac:dyDescent="0.25">
      <c r="A93" s="95">
        <v>36981</v>
      </c>
      <c r="B93" s="116" t="s">
        <v>494</v>
      </c>
      <c r="C93" s="116" t="s">
        <v>736</v>
      </c>
      <c r="D93" s="166">
        <v>0</v>
      </c>
      <c r="E93" s="96" t="s">
        <v>736</v>
      </c>
      <c r="F93" s="94">
        <v>0</v>
      </c>
      <c r="G93" s="94">
        <v>0</v>
      </c>
      <c r="H93" s="115">
        <v>0</v>
      </c>
    </row>
    <row r="94" spans="1:8" ht="25.5" customHeight="1" x14ac:dyDescent="0.25">
      <c r="A94" s="95">
        <v>36982</v>
      </c>
      <c r="B94" s="116" t="s">
        <v>335</v>
      </c>
      <c r="C94" s="116" t="s">
        <v>1265</v>
      </c>
      <c r="D94" s="166">
        <v>0</v>
      </c>
      <c r="E94" s="96" t="s">
        <v>736</v>
      </c>
      <c r="F94" s="94">
        <v>0</v>
      </c>
      <c r="G94" s="94">
        <v>0</v>
      </c>
      <c r="H94" s="115">
        <v>0</v>
      </c>
    </row>
    <row r="95" spans="1:8" ht="25.5" customHeight="1" x14ac:dyDescent="0.25">
      <c r="A95" s="95">
        <v>36983</v>
      </c>
      <c r="B95" s="116" t="s">
        <v>335</v>
      </c>
      <c r="C95" s="116" t="s">
        <v>1265</v>
      </c>
      <c r="D95" s="166">
        <v>0</v>
      </c>
      <c r="E95" s="96" t="s">
        <v>1061</v>
      </c>
      <c r="F95" s="94">
        <v>0</v>
      </c>
      <c r="G95" s="96" t="s">
        <v>1060</v>
      </c>
      <c r="H95" s="115">
        <v>0</v>
      </c>
    </row>
    <row r="96" spans="1:8" ht="25.5" customHeight="1" x14ac:dyDescent="0.25">
      <c r="A96" s="95">
        <v>36984</v>
      </c>
      <c r="B96" s="116" t="s">
        <v>435</v>
      </c>
      <c r="C96" s="116" t="s">
        <v>839</v>
      </c>
      <c r="D96" s="166">
        <v>0</v>
      </c>
      <c r="E96" s="96" t="s">
        <v>1061</v>
      </c>
      <c r="F96" s="94">
        <v>0</v>
      </c>
      <c r="G96" s="96" t="s">
        <v>1060</v>
      </c>
      <c r="H96" s="115">
        <v>0</v>
      </c>
    </row>
    <row r="97" spans="1:8" ht="25.5" customHeight="1" x14ac:dyDescent="0.25">
      <c r="A97" s="95">
        <v>36985</v>
      </c>
      <c r="B97" s="116" t="s">
        <v>513</v>
      </c>
      <c r="C97" s="116" t="s">
        <v>1266</v>
      </c>
      <c r="D97" s="166">
        <v>0</v>
      </c>
      <c r="E97" s="96" t="s">
        <v>1061</v>
      </c>
      <c r="F97" s="94">
        <v>0</v>
      </c>
      <c r="G97" s="96" t="s">
        <v>1060</v>
      </c>
      <c r="H97" s="115">
        <v>0</v>
      </c>
    </row>
    <row r="98" spans="1:8" ht="25.5" customHeight="1" x14ac:dyDescent="0.25">
      <c r="A98" s="95">
        <v>36986</v>
      </c>
      <c r="B98" s="116" t="s">
        <v>502</v>
      </c>
      <c r="C98" s="116" t="s">
        <v>1226</v>
      </c>
      <c r="D98" s="166">
        <v>0</v>
      </c>
      <c r="E98" s="96" t="s">
        <v>1061</v>
      </c>
      <c r="F98" s="94">
        <v>0</v>
      </c>
      <c r="G98" s="96" t="s">
        <v>1060</v>
      </c>
      <c r="H98" s="115">
        <v>0</v>
      </c>
    </row>
    <row r="99" spans="1:8" ht="25.5" customHeight="1" x14ac:dyDescent="0.25">
      <c r="A99" s="95">
        <v>36987</v>
      </c>
      <c r="B99" s="116" t="s">
        <v>518</v>
      </c>
      <c r="C99" s="96" t="s">
        <v>1005</v>
      </c>
      <c r="D99" s="166">
        <v>0</v>
      </c>
      <c r="E99" s="96" t="s">
        <v>1061</v>
      </c>
      <c r="F99" s="94">
        <v>0</v>
      </c>
      <c r="G99" s="96" t="s">
        <v>1060</v>
      </c>
      <c r="H99" s="115">
        <v>0</v>
      </c>
    </row>
    <row r="100" spans="1:8" ht="25.5" customHeight="1" x14ac:dyDescent="0.25">
      <c r="A100" s="95">
        <v>36988</v>
      </c>
      <c r="B100" s="116" t="s">
        <v>334</v>
      </c>
      <c r="C100" s="96">
        <v>15500</v>
      </c>
      <c r="D100" s="166">
        <v>0</v>
      </c>
      <c r="E100" s="96" t="s">
        <v>1061</v>
      </c>
      <c r="F100" s="94">
        <v>0</v>
      </c>
      <c r="G100" s="96" t="s">
        <v>1061</v>
      </c>
      <c r="H100" s="115">
        <v>0</v>
      </c>
    </row>
    <row r="101" spans="1:8" ht="25.5" customHeight="1" x14ac:dyDescent="0.25">
      <c r="A101" s="95">
        <v>36989</v>
      </c>
      <c r="B101" s="116" t="s">
        <v>519</v>
      </c>
      <c r="C101" s="96">
        <v>15400</v>
      </c>
      <c r="D101" s="166">
        <v>0</v>
      </c>
      <c r="E101" s="96" t="s">
        <v>1063</v>
      </c>
      <c r="F101" s="94">
        <v>0</v>
      </c>
      <c r="G101" s="96" t="s">
        <v>1061</v>
      </c>
      <c r="H101" s="115">
        <v>0</v>
      </c>
    </row>
    <row r="102" spans="1:8" ht="25.5" customHeight="1" x14ac:dyDescent="0.25">
      <c r="A102" s="95">
        <v>36990</v>
      </c>
      <c r="B102" s="116" t="s">
        <v>519</v>
      </c>
      <c r="C102" s="96">
        <v>15400</v>
      </c>
      <c r="D102" s="166">
        <v>0</v>
      </c>
      <c r="E102" s="96" t="s">
        <v>1063</v>
      </c>
      <c r="F102" s="94">
        <v>0</v>
      </c>
      <c r="G102" s="96" t="s">
        <v>1061</v>
      </c>
      <c r="H102" s="115">
        <v>0</v>
      </c>
    </row>
    <row r="103" spans="1:8" ht="25.5" customHeight="1" x14ac:dyDescent="0.25">
      <c r="A103" s="95">
        <v>36991</v>
      </c>
      <c r="B103" s="116" t="s">
        <v>316</v>
      </c>
      <c r="C103" s="96">
        <v>15200</v>
      </c>
      <c r="D103" s="166">
        <v>0</v>
      </c>
      <c r="E103" s="96" t="s">
        <v>1063</v>
      </c>
      <c r="F103" s="94">
        <v>0</v>
      </c>
      <c r="G103" s="96" t="s">
        <v>1061</v>
      </c>
      <c r="H103" s="115">
        <v>0</v>
      </c>
    </row>
    <row r="104" spans="1:8" ht="25.5" customHeight="1" x14ac:dyDescent="0.25">
      <c r="A104" s="95">
        <v>36992</v>
      </c>
      <c r="B104" s="116" t="s">
        <v>512</v>
      </c>
      <c r="C104" s="96">
        <v>15000</v>
      </c>
      <c r="D104" s="166">
        <v>0</v>
      </c>
      <c r="E104" s="96" t="s">
        <v>1061</v>
      </c>
      <c r="F104" s="94">
        <v>0</v>
      </c>
      <c r="G104" s="96" t="s">
        <v>1061</v>
      </c>
      <c r="H104" s="115">
        <v>0</v>
      </c>
    </row>
    <row r="105" spans="1:8" ht="25.5" customHeight="1" x14ac:dyDescent="0.25">
      <c r="A105" s="95">
        <v>36993</v>
      </c>
      <c r="B105" s="116" t="s">
        <v>512</v>
      </c>
      <c r="C105" s="116" t="s">
        <v>1269</v>
      </c>
      <c r="D105" s="166">
        <v>0</v>
      </c>
      <c r="E105" s="96" t="s">
        <v>1061</v>
      </c>
      <c r="F105" s="94">
        <v>0</v>
      </c>
      <c r="G105" s="96" t="s">
        <v>1061</v>
      </c>
      <c r="H105" s="115">
        <v>0</v>
      </c>
    </row>
    <row r="106" spans="1:8" ht="25.5" customHeight="1" x14ac:dyDescent="0.25">
      <c r="A106" s="95">
        <v>36994</v>
      </c>
      <c r="B106" s="116" t="s">
        <v>503</v>
      </c>
      <c r="C106" s="116" t="s">
        <v>1225</v>
      </c>
      <c r="D106" s="166">
        <v>0</v>
      </c>
      <c r="E106" s="96" t="s">
        <v>736</v>
      </c>
      <c r="F106" s="94">
        <v>0</v>
      </c>
      <c r="G106" s="96" t="s">
        <v>736</v>
      </c>
      <c r="H106" s="115">
        <v>0</v>
      </c>
    </row>
    <row r="107" spans="1:8" ht="25.5" customHeight="1" x14ac:dyDescent="0.25">
      <c r="A107" s="95">
        <v>36995</v>
      </c>
      <c r="B107" s="116" t="s">
        <v>503</v>
      </c>
      <c r="C107" s="116" t="s">
        <v>1225</v>
      </c>
      <c r="D107" s="166">
        <v>0</v>
      </c>
      <c r="E107" s="96" t="s">
        <v>736</v>
      </c>
      <c r="F107" s="94">
        <v>0</v>
      </c>
      <c r="G107" s="96" t="s">
        <v>736</v>
      </c>
      <c r="H107" s="115">
        <v>0</v>
      </c>
    </row>
    <row r="108" spans="1:8" ht="25.5" customHeight="1" x14ac:dyDescent="0.25">
      <c r="A108" s="95">
        <v>36996</v>
      </c>
      <c r="B108" s="116" t="s">
        <v>512</v>
      </c>
      <c r="C108" s="116" t="s">
        <v>1269</v>
      </c>
      <c r="D108" s="166">
        <v>0</v>
      </c>
      <c r="E108" s="96" t="s">
        <v>736</v>
      </c>
      <c r="F108" s="94">
        <v>0</v>
      </c>
      <c r="G108" s="96" t="s">
        <v>736</v>
      </c>
      <c r="H108" s="115">
        <v>0</v>
      </c>
    </row>
    <row r="109" spans="1:8" ht="25.5" customHeight="1" x14ac:dyDescent="0.25">
      <c r="A109" s="95">
        <v>36997</v>
      </c>
      <c r="B109" s="116" t="s">
        <v>519</v>
      </c>
      <c r="C109" s="116" t="s">
        <v>1006</v>
      </c>
      <c r="D109" s="166">
        <v>0</v>
      </c>
      <c r="E109" s="96" t="s">
        <v>736</v>
      </c>
      <c r="F109" s="94">
        <v>0</v>
      </c>
      <c r="G109" s="96" t="s">
        <v>736</v>
      </c>
      <c r="H109" s="115">
        <v>0</v>
      </c>
    </row>
    <row r="110" spans="1:8" ht="25.5" customHeight="1" x14ac:dyDescent="0.25">
      <c r="A110" s="95">
        <v>36998</v>
      </c>
      <c r="B110" s="116" t="s">
        <v>334</v>
      </c>
      <c r="C110" s="116" t="s">
        <v>843</v>
      </c>
      <c r="D110" s="166">
        <v>0</v>
      </c>
      <c r="E110" s="96" t="s">
        <v>736</v>
      </c>
      <c r="F110" s="94">
        <v>0</v>
      </c>
      <c r="G110" s="96" t="s">
        <v>736</v>
      </c>
      <c r="H110" s="115">
        <v>0</v>
      </c>
    </row>
    <row r="111" spans="1:8" ht="25.5" customHeight="1" x14ac:dyDescent="0.25">
      <c r="A111" s="95">
        <v>36999</v>
      </c>
      <c r="B111" s="116" t="s">
        <v>518</v>
      </c>
      <c r="C111" s="116" t="s">
        <v>1005</v>
      </c>
      <c r="D111" s="166">
        <v>0</v>
      </c>
      <c r="E111" s="96" t="s">
        <v>736</v>
      </c>
      <c r="F111" s="94">
        <v>0</v>
      </c>
      <c r="G111" s="96" t="s">
        <v>736</v>
      </c>
      <c r="H111" s="115">
        <v>0</v>
      </c>
    </row>
    <row r="112" spans="1:8" ht="25.5" customHeight="1" x14ac:dyDescent="0.25">
      <c r="A112" s="95">
        <v>37000</v>
      </c>
      <c r="B112" s="116" t="s">
        <v>518</v>
      </c>
      <c r="C112" s="116" t="s">
        <v>1005</v>
      </c>
      <c r="D112" s="166">
        <v>0</v>
      </c>
      <c r="E112" s="96" t="s">
        <v>1063</v>
      </c>
      <c r="F112" s="94">
        <v>0</v>
      </c>
      <c r="G112" s="96" t="s">
        <v>1061</v>
      </c>
      <c r="H112" s="115">
        <v>0</v>
      </c>
    </row>
    <row r="113" spans="1:8" ht="25.5" customHeight="1" x14ac:dyDescent="0.25">
      <c r="A113" s="95">
        <v>37001</v>
      </c>
      <c r="B113" s="116" t="s">
        <v>334</v>
      </c>
      <c r="C113" s="96">
        <v>15500</v>
      </c>
      <c r="D113" s="166">
        <v>0</v>
      </c>
      <c r="E113" s="96" t="s">
        <v>1063</v>
      </c>
      <c r="F113" s="94">
        <v>0</v>
      </c>
      <c r="G113" s="96" t="s">
        <v>1061</v>
      </c>
      <c r="H113" s="115">
        <v>0</v>
      </c>
    </row>
    <row r="114" spans="1:8" ht="25.5" customHeight="1" x14ac:dyDescent="0.25">
      <c r="A114" s="95">
        <v>37002</v>
      </c>
      <c r="B114" s="116" t="s">
        <v>334</v>
      </c>
      <c r="C114" s="96">
        <v>15500</v>
      </c>
      <c r="D114" s="166">
        <v>0</v>
      </c>
      <c r="E114" s="96" t="s">
        <v>736</v>
      </c>
      <c r="F114" s="94">
        <v>0</v>
      </c>
      <c r="G114" s="96" t="s">
        <v>1063</v>
      </c>
      <c r="H114" s="115">
        <v>0</v>
      </c>
    </row>
    <row r="115" spans="1:8" ht="25.5" customHeight="1" x14ac:dyDescent="0.25">
      <c r="A115" s="95">
        <v>37003</v>
      </c>
      <c r="B115" s="116" t="s">
        <v>334</v>
      </c>
      <c r="C115" s="96" t="s">
        <v>843</v>
      </c>
      <c r="D115" s="166">
        <v>0</v>
      </c>
      <c r="E115" s="96" t="s">
        <v>736</v>
      </c>
      <c r="F115" s="94">
        <v>0</v>
      </c>
      <c r="G115" s="96" t="s">
        <v>1063</v>
      </c>
      <c r="H115" s="115">
        <v>0</v>
      </c>
    </row>
    <row r="116" spans="1:8" ht="25.5" customHeight="1" x14ac:dyDescent="0.25">
      <c r="A116" s="95">
        <v>37004</v>
      </c>
      <c r="B116" s="116" t="s">
        <v>519</v>
      </c>
      <c r="C116" s="96">
        <v>15400</v>
      </c>
      <c r="D116" s="166">
        <v>0</v>
      </c>
      <c r="E116" s="96" t="s">
        <v>1063</v>
      </c>
      <c r="F116" s="94">
        <v>0</v>
      </c>
      <c r="G116" s="96" t="s">
        <v>1063</v>
      </c>
      <c r="H116" s="115">
        <v>0</v>
      </c>
    </row>
    <row r="117" spans="1:8" ht="25.5" customHeight="1" x14ac:dyDescent="0.25">
      <c r="A117" s="95">
        <v>37005</v>
      </c>
      <c r="B117" s="116" t="s">
        <v>519</v>
      </c>
      <c r="C117" s="96">
        <v>15400</v>
      </c>
      <c r="D117" s="166">
        <v>0</v>
      </c>
      <c r="E117" s="96" t="s">
        <v>1063</v>
      </c>
      <c r="F117" s="94">
        <v>0</v>
      </c>
      <c r="G117" s="96" t="s">
        <v>823</v>
      </c>
      <c r="H117" s="115">
        <v>0</v>
      </c>
    </row>
    <row r="118" spans="1:8" ht="25.5" customHeight="1" x14ac:dyDescent="0.25">
      <c r="A118" s="95">
        <v>37006</v>
      </c>
      <c r="B118" s="116" t="s">
        <v>316</v>
      </c>
      <c r="C118" s="116" t="s">
        <v>1268</v>
      </c>
      <c r="D118" s="166">
        <v>0</v>
      </c>
      <c r="E118" s="96" t="s">
        <v>1063</v>
      </c>
      <c r="F118" s="94">
        <v>0</v>
      </c>
      <c r="G118" s="96" t="s">
        <v>823</v>
      </c>
      <c r="H118" s="115">
        <v>0</v>
      </c>
    </row>
    <row r="119" spans="1:8" ht="25.5" customHeight="1" x14ac:dyDescent="0.25">
      <c r="A119" s="95">
        <v>37007</v>
      </c>
      <c r="B119" s="116" t="s">
        <v>512</v>
      </c>
      <c r="C119" s="116" t="s">
        <v>1269</v>
      </c>
      <c r="D119" s="166">
        <v>0</v>
      </c>
      <c r="E119" s="96" t="s">
        <v>736</v>
      </c>
      <c r="F119" s="94">
        <v>0</v>
      </c>
      <c r="G119" s="96" t="s">
        <v>736</v>
      </c>
      <c r="H119" s="115">
        <v>0</v>
      </c>
    </row>
    <row r="120" spans="1:8" ht="25.5" customHeight="1" x14ac:dyDescent="0.25">
      <c r="A120" s="95">
        <v>37008</v>
      </c>
      <c r="B120" s="116" t="s">
        <v>503</v>
      </c>
      <c r="C120" s="116" t="s">
        <v>1225</v>
      </c>
      <c r="D120" s="166">
        <v>0</v>
      </c>
      <c r="E120" s="96" t="s">
        <v>736</v>
      </c>
      <c r="F120" s="94">
        <v>0</v>
      </c>
      <c r="G120" s="96" t="s">
        <v>736</v>
      </c>
      <c r="H120" s="115">
        <v>0</v>
      </c>
    </row>
    <row r="121" spans="1:8" ht="25.5" customHeight="1" x14ac:dyDescent="0.25">
      <c r="A121" s="95">
        <v>37009</v>
      </c>
      <c r="B121" s="116" t="s">
        <v>512</v>
      </c>
      <c r="C121" s="116" t="s">
        <v>1269</v>
      </c>
      <c r="D121" s="166">
        <v>0</v>
      </c>
      <c r="E121" s="96" t="s">
        <v>736</v>
      </c>
      <c r="F121" s="94">
        <v>0</v>
      </c>
      <c r="G121" s="96" t="s">
        <v>736</v>
      </c>
      <c r="H121" s="115">
        <v>0</v>
      </c>
    </row>
    <row r="122" spans="1:8" ht="25.5" customHeight="1" x14ac:dyDescent="0.25">
      <c r="A122" s="95">
        <v>37010</v>
      </c>
      <c r="B122" s="116" t="s">
        <v>316</v>
      </c>
      <c r="C122" s="116" t="s">
        <v>1268</v>
      </c>
      <c r="D122" s="166">
        <v>0</v>
      </c>
      <c r="E122" s="96" t="s">
        <v>736</v>
      </c>
      <c r="F122" s="94">
        <v>0</v>
      </c>
      <c r="G122" s="96" t="s">
        <v>1061</v>
      </c>
      <c r="H122" s="115">
        <v>0</v>
      </c>
    </row>
    <row r="123" spans="1:8" ht="25.5" customHeight="1" x14ac:dyDescent="0.25">
      <c r="A123" s="95">
        <v>37011</v>
      </c>
      <c r="B123" s="116" t="s">
        <v>736</v>
      </c>
      <c r="C123" s="116" t="s">
        <v>843</v>
      </c>
      <c r="D123" s="166">
        <v>0</v>
      </c>
      <c r="E123" s="96" t="s">
        <v>736</v>
      </c>
      <c r="F123" s="94">
        <v>0</v>
      </c>
      <c r="G123" s="96" t="s">
        <v>736</v>
      </c>
      <c r="H123" s="115">
        <v>0</v>
      </c>
    </row>
    <row r="124" spans="1:8" ht="25.5" customHeight="1" x14ac:dyDescent="0.25">
      <c r="A124" s="95">
        <v>37012</v>
      </c>
      <c r="B124" s="116" t="s">
        <v>736</v>
      </c>
      <c r="C124" s="116" t="s">
        <v>1260</v>
      </c>
      <c r="D124" s="166">
        <v>0</v>
      </c>
      <c r="E124" s="96" t="s">
        <v>736</v>
      </c>
      <c r="F124" s="94">
        <v>0</v>
      </c>
      <c r="G124" s="96" t="s">
        <v>736</v>
      </c>
      <c r="H124" s="115">
        <v>0</v>
      </c>
    </row>
    <row r="125" spans="1:8" ht="25.5" customHeight="1" x14ac:dyDescent="0.25">
      <c r="A125" s="95">
        <v>37013</v>
      </c>
      <c r="B125" s="116" t="s">
        <v>339</v>
      </c>
      <c r="C125" s="116" t="s">
        <v>1260</v>
      </c>
      <c r="D125" s="166">
        <v>0</v>
      </c>
      <c r="E125" s="96" t="s">
        <v>736</v>
      </c>
      <c r="F125" s="94">
        <v>0</v>
      </c>
      <c r="G125" s="96" t="s">
        <v>736</v>
      </c>
      <c r="H125" s="115">
        <v>0</v>
      </c>
    </row>
    <row r="126" spans="1:8" ht="25.5" customHeight="1" x14ac:dyDescent="0.25">
      <c r="A126" s="95">
        <v>37014</v>
      </c>
      <c r="B126" s="116" t="s">
        <v>340</v>
      </c>
      <c r="C126" s="116" t="s">
        <v>1259</v>
      </c>
      <c r="D126" s="166">
        <v>0</v>
      </c>
      <c r="E126" s="96" t="s">
        <v>736</v>
      </c>
      <c r="F126" s="94">
        <v>0</v>
      </c>
      <c r="G126" s="96" t="s">
        <v>736</v>
      </c>
      <c r="H126" s="115">
        <v>0</v>
      </c>
    </row>
    <row r="127" spans="1:8" ht="25.5" customHeight="1" x14ac:dyDescent="0.25">
      <c r="A127" s="95">
        <v>37015</v>
      </c>
      <c r="B127" s="116" t="s">
        <v>340</v>
      </c>
      <c r="C127" s="116" t="s">
        <v>1259</v>
      </c>
      <c r="D127" s="166">
        <v>0</v>
      </c>
      <c r="E127" s="96" t="s">
        <v>736</v>
      </c>
      <c r="F127" s="94">
        <v>0</v>
      </c>
      <c r="G127" s="96" t="s">
        <v>736</v>
      </c>
      <c r="H127" s="115">
        <v>0</v>
      </c>
    </row>
    <row r="128" spans="1:8" ht="25.5" customHeight="1" x14ac:dyDescent="0.25">
      <c r="A128" s="95">
        <v>37016</v>
      </c>
      <c r="B128" s="116" t="s">
        <v>340</v>
      </c>
      <c r="C128" s="116" t="s">
        <v>1259</v>
      </c>
      <c r="D128" s="166">
        <v>0</v>
      </c>
      <c r="E128" s="96" t="s">
        <v>1063</v>
      </c>
      <c r="F128" s="94">
        <v>0</v>
      </c>
      <c r="G128" s="96" t="s">
        <v>823</v>
      </c>
      <c r="H128" s="115">
        <v>0</v>
      </c>
    </row>
    <row r="129" spans="1:8" ht="25.5" customHeight="1" x14ac:dyDescent="0.25">
      <c r="A129" s="95">
        <v>37017</v>
      </c>
      <c r="B129" s="116" t="s">
        <v>339</v>
      </c>
      <c r="C129" s="116" t="s">
        <v>1230</v>
      </c>
      <c r="D129" s="166">
        <v>0</v>
      </c>
      <c r="E129" s="96" t="s">
        <v>1063</v>
      </c>
      <c r="F129" s="94">
        <v>0</v>
      </c>
      <c r="G129" s="96" t="s">
        <v>1060</v>
      </c>
      <c r="H129" s="115">
        <v>0</v>
      </c>
    </row>
    <row r="130" spans="1:8" ht="25.5" customHeight="1" x14ac:dyDescent="0.25">
      <c r="A130" s="95">
        <v>37018</v>
      </c>
      <c r="B130" s="116" t="s">
        <v>339</v>
      </c>
      <c r="C130" s="116" t="s">
        <v>1230</v>
      </c>
      <c r="D130" s="166">
        <v>0</v>
      </c>
      <c r="E130" s="96" t="s">
        <v>1063</v>
      </c>
      <c r="F130" s="94">
        <v>0</v>
      </c>
      <c r="G130" s="96" t="s">
        <v>1060</v>
      </c>
      <c r="H130" s="115">
        <v>0</v>
      </c>
    </row>
    <row r="131" spans="1:8" ht="25.5" customHeight="1" x14ac:dyDescent="0.25">
      <c r="A131" s="95">
        <v>37019</v>
      </c>
      <c r="B131" s="116" t="s">
        <v>342</v>
      </c>
      <c r="C131" s="116" t="s">
        <v>1260</v>
      </c>
      <c r="D131" s="166">
        <v>0</v>
      </c>
      <c r="E131" s="96" t="s">
        <v>1063</v>
      </c>
      <c r="F131" s="94">
        <v>0</v>
      </c>
      <c r="G131" s="96" t="s">
        <v>1060</v>
      </c>
      <c r="H131" s="115">
        <v>0</v>
      </c>
    </row>
    <row r="132" spans="1:8" ht="25.5" customHeight="1" x14ac:dyDescent="0.25">
      <c r="A132" s="95">
        <v>37020</v>
      </c>
      <c r="B132" s="116" t="s">
        <v>338</v>
      </c>
      <c r="C132" s="116" t="s">
        <v>1229</v>
      </c>
      <c r="D132" s="166">
        <v>0</v>
      </c>
      <c r="E132" s="96" t="s">
        <v>1063</v>
      </c>
      <c r="F132" s="94">
        <v>0</v>
      </c>
      <c r="G132" s="96" t="s">
        <v>1060</v>
      </c>
      <c r="H132" s="115">
        <v>0</v>
      </c>
    </row>
    <row r="133" spans="1:8" ht="25.5" customHeight="1" x14ac:dyDescent="0.25">
      <c r="A133" s="95">
        <v>37021</v>
      </c>
      <c r="B133" s="116" t="s">
        <v>338</v>
      </c>
      <c r="C133" s="116" t="s">
        <v>1229</v>
      </c>
      <c r="D133" s="166">
        <v>0</v>
      </c>
      <c r="E133" s="96" t="s">
        <v>736</v>
      </c>
      <c r="F133" s="94">
        <v>0</v>
      </c>
      <c r="G133" s="96" t="s">
        <v>1060</v>
      </c>
      <c r="H133" s="115">
        <v>0</v>
      </c>
    </row>
    <row r="134" spans="1:8" ht="25.5" customHeight="1" x14ac:dyDescent="0.25">
      <c r="A134" s="95">
        <v>37022</v>
      </c>
      <c r="B134" s="116" t="s">
        <v>497</v>
      </c>
      <c r="C134" s="96">
        <v>17400</v>
      </c>
      <c r="D134" s="166">
        <v>0</v>
      </c>
      <c r="E134" s="96" t="s">
        <v>736</v>
      </c>
      <c r="F134" s="94">
        <v>0</v>
      </c>
      <c r="G134" s="96" t="s">
        <v>1060</v>
      </c>
      <c r="H134" s="115">
        <v>0</v>
      </c>
    </row>
    <row r="135" spans="1:8" ht="25.5" customHeight="1" x14ac:dyDescent="0.25">
      <c r="A135" s="95">
        <v>37023</v>
      </c>
      <c r="B135" s="116" t="s">
        <v>498</v>
      </c>
      <c r="C135" s="96">
        <v>17000</v>
      </c>
      <c r="D135" s="166">
        <v>0</v>
      </c>
      <c r="E135" s="96" t="s">
        <v>736</v>
      </c>
      <c r="F135" s="94">
        <v>0</v>
      </c>
      <c r="G135" s="96" t="s">
        <v>1060</v>
      </c>
      <c r="H135" s="115">
        <v>0</v>
      </c>
    </row>
    <row r="136" spans="1:8" ht="25.5" customHeight="1" x14ac:dyDescent="0.25">
      <c r="A136" s="95">
        <v>37024</v>
      </c>
      <c r="B136" s="116" t="s">
        <v>499</v>
      </c>
      <c r="C136" s="96">
        <v>16900</v>
      </c>
      <c r="D136" s="166">
        <v>0</v>
      </c>
      <c r="E136" s="96" t="s">
        <v>1061</v>
      </c>
      <c r="F136" s="94">
        <v>0</v>
      </c>
      <c r="G136" s="96" t="s">
        <v>736</v>
      </c>
      <c r="H136" s="115">
        <v>0</v>
      </c>
    </row>
    <row r="137" spans="1:8" ht="25.5" customHeight="1" x14ac:dyDescent="0.25">
      <c r="A137" s="95">
        <v>37025</v>
      </c>
      <c r="B137" s="116" t="s">
        <v>517</v>
      </c>
      <c r="C137" s="96">
        <v>16800</v>
      </c>
      <c r="D137" s="166">
        <v>0</v>
      </c>
      <c r="E137" s="96" t="s">
        <v>1061</v>
      </c>
      <c r="F137" s="94">
        <v>0</v>
      </c>
      <c r="G137" s="96" t="s">
        <v>736</v>
      </c>
      <c r="H137" s="115">
        <v>0</v>
      </c>
    </row>
    <row r="138" spans="1:8" ht="25.5" customHeight="1" x14ac:dyDescent="0.25">
      <c r="A138" s="95">
        <v>37026</v>
      </c>
      <c r="B138" s="116" t="s">
        <v>336</v>
      </c>
      <c r="C138" s="96">
        <v>16700</v>
      </c>
      <c r="D138" s="166">
        <v>0</v>
      </c>
      <c r="E138" s="96" t="s">
        <v>1061</v>
      </c>
      <c r="F138" s="94">
        <v>0</v>
      </c>
      <c r="G138" s="96" t="s">
        <v>736</v>
      </c>
      <c r="H138" s="115">
        <v>0</v>
      </c>
    </row>
    <row r="139" spans="1:8" ht="25.5" customHeight="1" x14ac:dyDescent="0.25">
      <c r="A139" s="95">
        <v>37027</v>
      </c>
      <c r="B139" s="116" t="s">
        <v>500</v>
      </c>
      <c r="C139" s="96">
        <v>16600</v>
      </c>
      <c r="D139" s="166">
        <v>0</v>
      </c>
      <c r="E139" s="96" t="s">
        <v>1061</v>
      </c>
      <c r="F139" s="94">
        <v>0</v>
      </c>
      <c r="G139" s="96" t="s">
        <v>736</v>
      </c>
      <c r="H139" s="115">
        <v>0</v>
      </c>
    </row>
    <row r="140" spans="1:8" ht="25.5" customHeight="1" x14ac:dyDescent="0.25">
      <c r="A140" s="95">
        <v>37028</v>
      </c>
      <c r="B140" s="116" t="s">
        <v>500</v>
      </c>
      <c r="C140" s="96">
        <v>16600</v>
      </c>
      <c r="D140" s="166">
        <v>0</v>
      </c>
      <c r="E140" s="96" t="s">
        <v>736</v>
      </c>
      <c r="F140" s="94">
        <v>0</v>
      </c>
      <c r="G140" s="96" t="s">
        <v>1060</v>
      </c>
      <c r="H140" s="115">
        <v>0</v>
      </c>
    </row>
    <row r="141" spans="1:8" ht="25.5" customHeight="1" x14ac:dyDescent="0.25">
      <c r="A141" s="95">
        <v>37029</v>
      </c>
      <c r="B141" s="116" t="s">
        <v>501</v>
      </c>
      <c r="C141" s="96">
        <v>16500</v>
      </c>
      <c r="D141" s="166">
        <v>0</v>
      </c>
      <c r="E141" s="96" t="s">
        <v>736</v>
      </c>
      <c r="F141" s="94">
        <v>0</v>
      </c>
      <c r="G141" s="96" t="s">
        <v>1060</v>
      </c>
      <c r="H141" s="115">
        <v>0</v>
      </c>
    </row>
    <row r="142" spans="1:8" ht="25.5" customHeight="1" x14ac:dyDescent="0.25">
      <c r="A142" s="95">
        <v>37030</v>
      </c>
      <c r="B142" s="116" t="s">
        <v>335</v>
      </c>
      <c r="C142" s="96">
        <v>16400</v>
      </c>
      <c r="D142" s="166">
        <v>0</v>
      </c>
      <c r="E142" s="96" t="s">
        <v>736</v>
      </c>
      <c r="F142" s="94">
        <v>0</v>
      </c>
      <c r="G142" s="96" t="s">
        <v>1060</v>
      </c>
      <c r="H142" s="115">
        <v>0</v>
      </c>
    </row>
    <row r="143" spans="1:8" ht="25.5" customHeight="1" x14ac:dyDescent="0.25">
      <c r="A143" s="95">
        <v>37031</v>
      </c>
      <c r="B143" s="116" t="s">
        <v>435</v>
      </c>
      <c r="C143" s="96">
        <v>16200</v>
      </c>
      <c r="D143" s="166">
        <v>0</v>
      </c>
      <c r="E143" s="96" t="s">
        <v>736</v>
      </c>
      <c r="F143" s="94">
        <v>0</v>
      </c>
      <c r="G143" s="96" t="s">
        <v>1060</v>
      </c>
      <c r="H143" s="115">
        <v>0</v>
      </c>
    </row>
    <row r="144" spans="1:8" ht="25.5" customHeight="1" x14ac:dyDescent="0.25">
      <c r="A144" s="95">
        <v>37032</v>
      </c>
      <c r="B144" s="116" t="s">
        <v>435</v>
      </c>
      <c r="C144" s="96">
        <v>16000</v>
      </c>
      <c r="D144" s="166">
        <v>0</v>
      </c>
      <c r="E144" s="96" t="s">
        <v>736</v>
      </c>
      <c r="F144" s="94">
        <v>0</v>
      </c>
      <c r="G144" s="96" t="s">
        <v>1060</v>
      </c>
      <c r="H144" s="115">
        <v>0</v>
      </c>
    </row>
    <row r="145" spans="1:8" ht="25.5" customHeight="1" x14ac:dyDescent="0.25">
      <c r="A145" s="95">
        <v>37033</v>
      </c>
      <c r="B145" s="116" t="s">
        <v>513</v>
      </c>
      <c r="C145" s="116" t="s">
        <v>1266</v>
      </c>
      <c r="D145" s="166">
        <v>0</v>
      </c>
      <c r="E145" s="96" t="s">
        <v>1061</v>
      </c>
      <c r="F145" s="94">
        <v>0</v>
      </c>
      <c r="G145" s="96" t="s">
        <v>736</v>
      </c>
      <c r="H145" s="115">
        <v>0</v>
      </c>
    </row>
    <row r="146" spans="1:8" ht="25.5" customHeight="1" x14ac:dyDescent="0.25">
      <c r="A146" s="95">
        <v>37034</v>
      </c>
      <c r="B146" s="116" t="s">
        <v>513</v>
      </c>
      <c r="C146" s="116" t="s">
        <v>1266</v>
      </c>
      <c r="D146" s="166">
        <v>0</v>
      </c>
      <c r="E146" s="96" t="s">
        <v>1061</v>
      </c>
      <c r="F146" s="94">
        <v>0</v>
      </c>
      <c r="G146" s="96" t="s">
        <v>736</v>
      </c>
      <c r="H146" s="115">
        <v>0</v>
      </c>
    </row>
    <row r="147" spans="1:8" ht="25.5" customHeight="1" x14ac:dyDescent="0.25">
      <c r="A147" s="95">
        <v>37035</v>
      </c>
      <c r="B147" s="116" t="s">
        <v>502</v>
      </c>
      <c r="C147" s="116" t="s">
        <v>1226</v>
      </c>
      <c r="D147" s="166">
        <v>0</v>
      </c>
      <c r="E147" s="96" t="s">
        <v>1061</v>
      </c>
      <c r="F147" s="94">
        <v>0</v>
      </c>
      <c r="G147" s="96" t="s">
        <v>736</v>
      </c>
      <c r="H147" s="115">
        <v>0</v>
      </c>
    </row>
    <row r="148" spans="1:8" ht="25.5" customHeight="1" x14ac:dyDescent="0.25">
      <c r="A148" s="95">
        <v>37036</v>
      </c>
      <c r="B148" s="116" t="s">
        <v>518</v>
      </c>
      <c r="C148" s="96">
        <v>15600</v>
      </c>
      <c r="D148" s="166">
        <v>0</v>
      </c>
      <c r="E148" s="96" t="s">
        <v>1061</v>
      </c>
      <c r="F148" s="94">
        <v>0</v>
      </c>
      <c r="G148" s="96" t="s">
        <v>736</v>
      </c>
      <c r="H148" s="115">
        <v>0</v>
      </c>
    </row>
    <row r="149" spans="1:8" ht="25.5" customHeight="1" x14ac:dyDescent="0.25">
      <c r="A149" s="95">
        <v>37037</v>
      </c>
      <c r="B149" s="116" t="s">
        <v>519</v>
      </c>
      <c r="C149" s="96" t="s">
        <v>1006</v>
      </c>
      <c r="D149" s="166">
        <v>0</v>
      </c>
      <c r="E149" s="96" t="s">
        <v>1249</v>
      </c>
      <c r="F149" s="94">
        <v>0</v>
      </c>
      <c r="G149" s="96" t="s">
        <v>1248</v>
      </c>
      <c r="H149" s="115">
        <v>0</v>
      </c>
    </row>
    <row r="150" spans="1:8" ht="25.5" customHeight="1" x14ac:dyDescent="0.25">
      <c r="A150" s="95">
        <v>37038</v>
      </c>
      <c r="B150" s="116" t="s">
        <v>512</v>
      </c>
      <c r="C150" s="116" t="s">
        <v>1269</v>
      </c>
      <c r="D150" s="166">
        <v>0</v>
      </c>
      <c r="E150" s="96" t="s">
        <v>1249</v>
      </c>
      <c r="F150" s="94">
        <v>0</v>
      </c>
      <c r="G150" s="96" t="s">
        <v>736</v>
      </c>
      <c r="H150" s="115">
        <v>0</v>
      </c>
    </row>
    <row r="151" spans="1:8" ht="25.5" customHeight="1" x14ac:dyDescent="0.25">
      <c r="A151" s="95">
        <v>37039</v>
      </c>
      <c r="B151" s="116" t="s">
        <v>380</v>
      </c>
      <c r="C151" s="116" t="s">
        <v>1274</v>
      </c>
      <c r="D151" s="166">
        <v>0</v>
      </c>
      <c r="E151" s="96" t="s">
        <v>1249</v>
      </c>
      <c r="F151" s="94">
        <v>0</v>
      </c>
      <c r="G151" s="96" t="s">
        <v>736</v>
      </c>
      <c r="H151" s="115">
        <v>0</v>
      </c>
    </row>
    <row r="152" spans="1:8" ht="25.5" customHeight="1" x14ac:dyDescent="0.25">
      <c r="A152" s="95">
        <v>37040</v>
      </c>
      <c r="B152" s="116" t="s">
        <v>522</v>
      </c>
      <c r="C152" s="116" t="s">
        <v>846</v>
      </c>
      <c r="D152" s="166">
        <v>0</v>
      </c>
      <c r="E152" s="96" t="s">
        <v>1249</v>
      </c>
      <c r="F152" s="94">
        <v>0</v>
      </c>
      <c r="G152" s="96" t="s">
        <v>736</v>
      </c>
      <c r="H152" s="115">
        <v>0</v>
      </c>
    </row>
    <row r="153" spans="1:8" ht="25.5" customHeight="1" x14ac:dyDescent="0.25">
      <c r="A153" s="95">
        <v>37041</v>
      </c>
      <c r="B153" s="116" t="s">
        <v>504</v>
      </c>
      <c r="C153" s="116" t="s">
        <v>1224</v>
      </c>
      <c r="D153" s="166">
        <v>0</v>
      </c>
      <c r="E153" s="96" t="s">
        <v>1249</v>
      </c>
      <c r="F153" s="94">
        <v>0</v>
      </c>
      <c r="G153" s="96" t="s">
        <v>736</v>
      </c>
      <c r="H153" s="115">
        <v>0</v>
      </c>
    </row>
    <row r="154" spans="1:8" ht="25.5" customHeight="1" x14ac:dyDescent="0.25">
      <c r="A154" s="95">
        <v>37042</v>
      </c>
      <c r="B154" s="116" t="s">
        <v>736</v>
      </c>
      <c r="C154" s="116" t="s">
        <v>1414</v>
      </c>
      <c r="D154" s="166">
        <v>0</v>
      </c>
      <c r="E154" s="96" t="s">
        <v>1249</v>
      </c>
      <c r="F154" s="94">
        <v>0</v>
      </c>
      <c r="G154" s="96" t="s">
        <v>736</v>
      </c>
      <c r="H154" s="115">
        <v>0</v>
      </c>
    </row>
    <row r="155" spans="1:8" ht="25.5" customHeight="1" x14ac:dyDescent="0.25">
      <c r="A155" s="95">
        <v>37043</v>
      </c>
      <c r="B155" s="116" t="s">
        <v>736</v>
      </c>
      <c r="C155" s="96">
        <v>14200</v>
      </c>
      <c r="D155" s="166">
        <v>0</v>
      </c>
      <c r="E155" s="96" t="s">
        <v>736</v>
      </c>
      <c r="F155" s="94">
        <v>0</v>
      </c>
      <c r="G155" s="96" t="s">
        <v>736</v>
      </c>
      <c r="H155" s="115">
        <v>0</v>
      </c>
    </row>
    <row r="156" spans="1:8" ht="25.5" customHeight="1" x14ac:dyDescent="0.25">
      <c r="A156" s="95">
        <v>37044</v>
      </c>
      <c r="B156" s="116" t="s">
        <v>505</v>
      </c>
      <c r="C156" s="116" t="s">
        <v>1428</v>
      </c>
      <c r="D156" s="166">
        <v>0</v>
      </c>
      <c r="E156" s="96" t="s">
        <v>1249</v>
      </c>
      <c r="F156" s="94">
        <v>0</v>
      </c>
      <c r="G156" s="96" t="s">
        <v>1061</v>
      </c>
      <c r="H156" s="115">
        <v>0</v>
      </c>
    </row>
    <row r="157" spans="1:8" ht="25.5" customHeight="1" x14ac:dyDescent="0.25">
      <c r="A157" s="95">
        <v>37045</v>
      </c>
      <c r="B157" s="116" t="s">
        <v>333</v>
      </c>
      <c r="C157" s="116" t="s">
        <v>1415</v>
      </c>
      <c r="D157" s="166">
        <v>0</v>
      </c>
      <c r="E157" s="96" t="s">
        <v>1249</v>
      </c>
      <c r="F157" s="94">
        <v>0</v>
      </c>
      <c r="G157" s="96" t="s">
        <v>1061</v>
      </c>
      <c r="H157" s="115">
        <v>0</v>
      </c>
    </row>
    <row r="158" spans="1:8" ht="25.5" customHeight="1" x14ac:dyDescent="0.25">
      <c r="A158" s="95">
        <v>37046</v>
      </c>
      <c r="B158" s="116" t="s">
        <v>333</v>
      </c>
      <c r="C158" s="116" t="s">
        <v>1415</v>
      </c>
      <c r="D158" s="166">
        <v>0</v>
      </c>
      <c r="E158" s="96" t="s">
        <v>736</v>
      </c>
      <c r="F158" s="94">
        <v>0</v>
      </c>
      <c r="G158" s="96" t="s">
        <v>736</v>
      </c>
      <c r="H158" s="115">
        <v>0</v>
      </c>
    </row>
    <row r="159" spans="1:8" ht="25.5" customHeight="1" x14ac:dyDescent="0.25">
      <c r="A159" s="95">
        <v>37047</v>
      </c>
      <c r="B159" s="116" t="s">
        <v>505</v>
      </c>
      <c r="C159" s="116" t="s">
        <v>1428</v>
      </c>
      <c r="D159" s="166">
        <v>0</v>
      </c>
      <c r="E159" s="96" t="s">
        <v>736</v>
      </c>
      <c r="F159" s="94">
        <v>0</v>
      </c>
      <c r="G159" s="96" t="s">
        <v>736</v>
      </c>
      <c r="H159" s="115">
        <v>0</v>
      </c>
    </row>
    <row r="160" spans="1:8" ht="25.5" customHeight="1" x14ac:dyDescent="0.25">
      <c r="A160" s="95">
        <v>37048</v>
      </c>
      <c r="B160" s="116" t="s">
        <v>523</v>
      </c>
      <c r="C160" s="116" t="s">
        <v>1414</v>
      </c>
      <c r="D160" s="166">
        <v>0</v>
      </c>
      <c r="E160" s="96" t="s">
        <v>736</v>
      </c>
      <c r="F160" s="94">
        <v>0</v>
      </c>
      <c r="G160" s="96" t="s">
        <v>736</v>
      </c>
      <c r="H160" s="115">
        <v>0</v>
      </c>
    </row>
    <row r="161" spans="1:8" ht="25.5" customHeight="1" x14ac:dyDescent="0.25">
      <c r="A161" s="95">
        <v>37049</v>
      </c>
      <c r="B161" s="116" t="s">
        <v>504</v>
      </c>
      <c r="C161" s="116" t="s">
        <v>1224</v>
      </c>
      <c r="D161" s="166">
        <v>0</v>
      </c>
      <c r="E161" s="96" t="s">
        <v>736</v>
      </c>
      <c r="F161" s="94">
        <v>0</v>
      </c>
      <c r="G161" s="96" t="s">
        <v>736</v>
      </c>
      <c r="H161" s="115">
        <v>0</v>
      </c>
    </row>
    <row r="162" spans="1:8" ht="25.5" customHeight="1" x14ac:dyDescent="0.25">
      <c r="A162" s="95">
        <v>37050</v>
      </c>
      <c r="B162" s="116" t="s">
        <v>504</v>
      </c>
      <c r="C162" s="96">
        <v>14400</v>
      </c>
      <c r="D162" s="166">
        <v>0</v>
      </c>
      <c r="E162" s="96" t="s">
        <v>736</v>
      </c>
      <c r="F162" s="94">
        <v>0</v>
      </c>
      <c r="G162" s="96" t="s">
        <v>736</v>
      </c>
      <c r="H162" s="115">
        <v>0</v>
      </c>
    </row>
    <row r="163" spans="1:8" ht="25.5" customHeight="1" x14ac:dyDescent="0.25">
      <c r="A163" s="95">
        <v>37051</v>
      </c>
      <c r="B163" s="116" t="s">
        <v>504</v>
      </c>
      <c r="C163" s="96">
        <v>14400</v>
      </c>
      <c r="D163" s="166">
        <v>0</v>
      </c>
      <c r="E163" s="96" t="s">
        <v>1060</v>
      </c>
      <c r="F163" s="94">
        <v>0</v>
      </c>
      <c r="G163" s="96" t="s">
        <v>1248</v>
      </c>
      <c r="H163" s="115">
        <v>0</v>
      </c>
    </row>
    <row r="164" spans="1:8" ht="25.5" customHeight="1" x14ac:dyDescent="0.25">
      <c r="A164" s="95">
        <v>37052</v>
      </c>
      <c r="B164" s="116" t="s">
        <v>505</v>
      </c>
      <c r="C164" s="96">
        <v>14000</v>
      </c>
      <c r="D164" s="166">
        <v>0</v>
      </c>
      <c r="E164" s="96" t="s">
        <v>1060</v>
      </c>
      <c r="F164" s="94">
        <v>0</v>
      </c>
      <c r="G164" s="96" t="s">
        <v>824</v>
      </c>
      <c r="H164" s="115">
        <v>0</v>
      </c>
    </row>
    <row r="165" spans="1:8" ht="25.5" customHeight="1" x14ac:dyDescent="0.25">
      <c r="A165" s="95">
        <v>37053</v>
      </c>
      <c r="B165" s="116" t="s">
        <v>333</v>
      </c>
      <c r="C165" s="96">
        <v>13800</v>
      </c>
      <c r="D165" s="166">
        <v>0</v>
      </c>
      <c r="E165" s="96" t="s">
        <v>1060</v>
      </c>
      <c r="F165" s="94">
        <v>0</v>
      </c>
      <c r="G165" s="96" t="s">
        <v>824</v>
      </c>
      <c r="H165" s="115">
        <v>0</v>
      </c>
    </row>
    <row r="166" spans="1:8" ht="25.5" customHeight="1" x14ac:dyDescent="0.25">
      <c r="A166" s="95">
        <v>37054</v>
      </c>
      <c r="B166" s="116" t="s">
        <v>506</v>
      </c>
      <c r="C166" s="96">
        <v>13700</v>
      </c>
      <c r="D166" s="166">
        <v>0</v>
      </c>
      <c r="E166" s="96" t="s">
        <v>1060</v>
      </c>
      <c r="F166" s="94">
        <v>0</v>
      </c>
      <c r="G166" s="96" t="s">
        <v>824</v>
      </c>
      <c r="H166" s="115">
        <v>0</v>
      </c>
    </row>
    <row r="167" spans="1:8" ht="25.5" customHeight="1" x14ac:dyDescent="0.25">
      <c r="A167" s="95">
        <v>37055</v>
      </c>
      <c r="B167" s="116" t="s">
        <v>385</v>
      </c>
      <c r="C167" s="116" t="s">
        <v>757</v>
      </c>
      <c r="D167" s="166">
        <v>0</v>
      </c>
      <c r="E167" s="96" t="s">
        <v>1060</v>
      </c>
      <c r="F167" s="94">
        <v>0</v>
      </c>
      <c r="G167" s="96" t="s">
        <v>824</v>
      </c>
      <c r="H167" s="115">
        <v>0</v>
      </c>
    </row>
    <row r="168" spans="1:8" ht="25.5" customHeight="1" x14ac:dyDescent="0.25">
      <c r="A168" s="95">
        <v>37056</v>
      </c>
      <c r="B168" s="116" t="s">
        <v>524</v>
      </c>
      <c r="C168" s="116" t="s">
        <v>859</v>
      </c>
      <c r="D168" s="166">
        <v>0</v>
      </c>
      <c r="E168" s="96" t="s">
        <v>1060</v>
      </c>
      <c r="F168" s="94">
        <v>0</v>
      </c>
      <c r="G168" s="96" t="s">
        <v>824</v>
      </c>
      <c r="H168" s="115">
        <v>0</v>
      </c>
    </row>
    <row r="169" spans="1:8" ht="25.5" customHeight="1" x14ac:dyDescent="0.25">
      <c r="A169" s="95">
        <v>37057</v>
      </c>
      <c r="B169" s="116" t="s">
        <v>507</v>
      </c>
      <c r="C169" s="96">
        <v>12900</v>
      </c>
      <c r="D169" s="166">
        <v>0</v>
      </c>
      <c r="E169" s="96" t="s">
        <v>1060</v>
      </c>
      <c r="F169" s="94">
        <v>0</v>
      </c>
      <c r="G169" s="96" t="s">
        <v>824</v>
      </c>
      <c r="H169" s="115">
        <v>0</v>
      </c>
    </row>
    <row r="170" spans="1:8" ht="25.5" customHeight="1" x14ac:dyDescent="0.25">
      <c r="A170" s="95">
        <v>37058</v>
      </c>
      <c r="B170" s="116" t="s">
        <v>387</v>
      </c>
      <c r="C170" s="96">
        <v>12800</v>
      </c>
      <c r="D170" s="166">
        <v>0</v>
      </c>
      <c r="E170" s="96" t="s">
        <v>1060</v>
      </c>
      <c r="F170" s="94">
        <v>0</v>
      </c>
      <c r="G170" s="96" t="s">
        <v>824</v>
      </c>
      <c r="H170" s="115">
        <v>0</v>
      </c>
    </row>
    <row r="171" spans="1:8" ht="25.5" customHeight="1" x14ac:dyDescent="0.25">
      <c r="A171" s="95">
        <v>37059</v>
      </c>
      <c r="B171" s="116" t="s">
        <v>387</v>
      </c>
      <c r="C171" s="96">
        <v>12800</v>
      </c>
      <c r="D171" s="166">
        <v>0</v>
      </c>
      <c r="E171" s="96" t="s">
        <v>1060</v>
      </c>
      <c r="F171" s="94">
        <v>0</v>
      </c>
      <c r="G171" s="96" t="s">
        <v>824</v>
      </c>
      <c r="H171" s="115">
        <v>0</v>
      </c>
    </row>
    <row r="172" spans="1:8" ht="25.5" customHeight="1" x14ac:dyDescent="0.25">
      <c r="A172" s="95">
        <v>37060</v>
      </c>
      <c r="B172" s="116" t="s">
        <v>525</v>
      </c>
      <c r="C172" s="96">
        <v>12600</v>
      </c>
      <c r="D172" s="166">
        <v>0</v>
      </c>
      <c r="E172" s="96" t="s">
        <v>1060</v>
      </c>
      <c r="F172" s="94">
        <v>0</v>
      </c>
      <c r="G172" s="96" t="s">
        <v>736</v>
      </c>
      <c r="H172" s="115">
        <v>0</v>
      </c>
    </row>
    <row r="173" spans="1:8" ht="25.5" customHeight="1" x14ac:dyDescent="0.25">
      <c r="A173" s="95">
        <v>37061</v>
      </c>
      <c r="B173" s="116" t="s">
        <v>434</v>
      </c>
      <c r="C173" s="96">
        <v>12500</v>
      </c>
      <c r="D173" s="166">
        <v>0</v>
      </c>
      <c r="E173" s="96" t="s">
        <v>1060</v>
      </c>
      <c r="F173" s="94">
        <v>0</v>
      </c>
      <c r="G173" s="96" t="s">
        <v>736</v>
      </c>
      <c r="H173" s="115">
        <v>0</v>
      </c>
    </row>
    <row r="174" spans="1:8" ht="25.5" customHeight="1" x14ac:dyDescent="0.25">
      <c r="A174" s="95">
        <v>37062</v>
      </c>
      <c r="B174" s="116" t="s">
        <v>526</v>
      </c>
      <c r="C174" s="116" t="s">
        <v>1281</v>
      </c>
      <c r="D174" s="166">
        <v>0</v>
      </c>
      <c r="E174" s="96" t="s">
        <v>1060</v>
      </c>
      <c r="F174" s="94">
        <v>0</v>
      </c>
      <c r="G174" s="96" t="s">
        <v>736</v>
      </c>
      <c r="H174" s="115">
        <v>0</v>
      </c>
    </row>
    <row r="175" spans="1:8" ht="25.5" customHeight="1" x14ac:dyDescent="0.25">
      <c r="A175" s="95">
        <v>37063</v>
      </c>
      <c r="B175" s="116" t="s">
        <v>332</v>
      </c>
      <c r="C175" s="116" t="s">
        <v>1283</v>
      </c>
      <c r="D175" s="166">
        <v>0</v>
      </c>
      <c r="E175" s="96" t="s">
        <v>1060</v>
      </c>
      <c r="F175" s="94">
        <v>0</v>
      </c>
      <c r="G175" s="96" t="s">
        <v>736</v>
      </c>
      <c r="H175" s="115">
        <v>0</v>
      </c>
    </row>
    <row r="176" spans="1:8" ht="25.5" customHeight="1" x14ac:dyDescent="0.25">
      <c r="A176" s="95">
        <v>37064</v>
      </c>
      <c r="B176" s="116" t="s">
        <v>332</v>
      </c>
      <c r="C176" s="96">
        <v>12200</v>
      </c>
      <c r="D176" s="166">
        <v>0</v>
      </c>
      <c r="E176" s="96" t="s">
        <v>736</v>
      </c>
      <c r="F176" s="94">
        <v>0</v>
      </c>
      <c r="G176" s="96" t="s">
        <v>736</v>
      </c>
      <c r="H176" s="115">
        <v>0</v>
      </c>
    </row>
    <row r="177" spans="1:8" ht="25.5" customHeight="1" x14ac:dyDescent="0.25">
      <c r="A177" s="95">
        <v>37065</v>
      </c>
      <c r="B177" s="116" t="s">
        <v>391</v>
      </c>
      <c r="C177" s="96">
        <v>11800</v>
      </c>
      <c r="D177" s="166">
        <v>0</v>
      </c>
      <c r="E177" s="96" t="s">
        <v>736</v>
      </c>
      <c r="F177" s="94">
        <v>0</v>
      </c>
      <c r="G177" s="96" t="s">
        <v>1429</v>
      </c>
      <c r="H177" s="115">
        <v>0</v>
      </c>
    </row>
    <row r="178" spans="1:8" ht="25.5" customHeight="1" x14ac:dyDescent="0.25">
      <c r="A178" s="95">
        <v>37066</v>
      </c>
      <c r="B178" s="116" t="s">
        <v>15</v>
      </c>
      <c r="C178" s="96">
        <v>11500</v>
      </c>
      <c r="D178" s="166">
        <v>0</v>
      </c>
      <c r="E178" s="96" t="s">
        <v>736</v>
      </c>
      <c r="F178" s="94">
        <v>0</v>
      </c>
      <c r="G178" s="96" t="s">
        <v>1429</v>
      </c>
      <c r="H178" s="115">
        <v>0</v>
      </c>
    </row>
    <row r="179" spans="1:8" ht="25.5" customHeight="1" x14ac:dyDescent="0.25">
      <c r="A179" s="95">
        <v>37067</v>
      </c>
      <c r="B179" s="116" t="s">
        <v>20</v>
      </c>
      <c r="C179" s="96">
        <v>11400</v>
      </c>
      <c r="D179" s="166">
        <v>0</v>
      </c>
      <c r="E179" s="96" t="s">
        <v>736</v>
      </c>
      <c r="F179" s="94">
        <v>0</v>
      </c>
      <c r="G179" s="96" t="s">
        <v>1429</v>
      </c>
      <c r="H179" s="115">
        <v>0</v>
      </c>
    </row>
    <row r="180" spans="1:8" ht="25.5" customHeight="1" x14ac:dyDescent="0.25">
      <c r="A180" s="95">
        <v>37068</v>
      </c>
      <c r="B180" s="116" t="s">
        <v>11</v>
      </c>
      <c r="C180" s="116" t="s">
        <v>42</v>
      </c>
      <c r="D180" s="166">
        <v>0</v>
      </c>
      <c r="E180" s="96" t="s">
        <v>736</v>
      </c>
      <c r="F180" s="94">
        <v>0</v>
      </c>
      <c r="G180" s="96" t="s">
        <v>1429</v>
      </c>
      <c r="H180" s="115">
        <v>0</v>
      </c>
    </row>
    <row r="181" spans="1:8" ht="25.5" customHeight="1" x14ac:dyDescent="0.25">
      <c r="A181" s="95">
        <v>37069</v>
      </c>
      <c r="B181" s="116" t="s">
        <v>36</v>
      </c>
      <c r="C181" s="116" t="s">
        <v>10</v>
      </c>
      <c r="D181" s="166">
        <v>0</v>
      </c>
      <c r="E181" s="96" t="s">
        <v>1248</v>
      </c>
      <c r="F181" s="94">
        <v>0</v>
      </c>
      <c r="G181" s="96" t="s">
        <v>1429</v>
      </c>
      <c r="H181" s="115">
        <v>0</v>
      </c>
    </row>
    <row r="182" spans="1:8" ht="25.5" customHeight="1" x14ac:dyDescent="0.25">
      <c r="A182" s="95">
        <v>37070</v>
      </c>
      <c r="B182" s="116" t="s">
        <v>508</v>
      </c>
      <c r="C182" s="116" t="s">
        <v>1285</v>
      </c>
      <c r="D182" s="166">
        <v>0</v>
      </c>
      <c r="E182" s="96" t="s">
        <v>1248</v>
      </c>
      <c r="F182" s="94">
        <v>0</v>
      </c>
      <c r="G182" s="96" t="s">
        <v>1429</v>
      </c>
      <c r="H182" s="115">
        <v>0</v>
      </c>
    </row>
    <row r="183" spans="1:8" ht="25.5" customHeight="1" x14ac:dyDescent="0.25">
      <c r="A183" s="95">
        <v>37071</v>
      </c>
      <c r="B183" s="116" t="s">
        <v>45</v>
      </c>
      <c r="C183" s="116" t="s">
        <v>8</v>
      </c>
      <c r="D183" s="166">
        <v>0</v>
      </c>
      <c r="E183" s="96" t="s">
        <v>1248</v>
      </c>
      <c r="F183" s="94">
        <v>0</v>
      </c>
      <c r="G183" s="96" t="s">
        <v>736</v>
      </c>
      <c r="H183" s="115">
        <v>0</v>
      </c>
    </row>
    <row r="184" spans="1:8" ht="25.5" customHeight="1" x14ac:dyDescent="0.25">
      <c r="A184" s="95">
        <v>37072</v>
      </c>
      <c r="B184" s="116" t="s">
        <v>509</v>
      </c>
      <c r="C184" s="116" t="s">
        <v>1286</v>
      </c>
      <c r="D184" s="166">
        <v>0</v>
      </c>
      <c r="E184" s="96" t="s">
        <v>1248</v>
      </c>
      <c r="F184" s="94">
        <v>0</v>
      </c>
      <c r="G184" s="96" t="s">
        <v>736</v>
      </c>
      <c r="H184" s="115">
        <v>0</v>
      </c>
    </row>
    <row r="185" spans="1:8" ht="25.5" customHeight="1" x14ac:dyDescent="0.25">
      <c r="A185" s="95">
        <v>37073</v>
      </c>
      <c r="B185" s="116" t="s">
        <v>395</v>
      </c>
      <c r="C185" s="116" t="s">
        <v>1296</v>
      </c>
      <c r="D185" s="166">
        <v>0</v>
      </c>
      <c r="E185" s="96" t="s">
        <v>1248</v>
      </c>
      <c r="F185" s="94">
        <v>0</v>
      </c>
      <c r="G185" s="96" t="s">
        <v>736</v>
      </c>
      <c r="H185" s="115">
        <v>0</v>
      </c>
    </row>
    <row r="186" spans="1:8" ht="25.5" customHeight="1" x14ac:dyDescent="0.25">
      <c r="A186" s="95">
        <v>37074</v>
      </c>
      <c r="B186" s="116" t="s">
        <v>49</v>
      </c>
      <c r="C186" s="116" t="s">
        <v>59</v>
      </c>
      <c r="D186" s="166">
        <v>0</v>
      </c>
      <c r="E186" s="96" t="s">
        <v>736</v>
      </c>
      <c r="F186" s="94">
        <v>0</v>
      </c>
      <c r="G186" s="94">
        <v>0</v>
      </c>
      <c r="H186" s="115">
        <v>0</v>
      </c>
    </row>
    <row r="187" spans="1:8" ht="25.5" customHeight="1" x14ac:dyDescent="0.25">
      <c r="A187" s="95">
        <v>37075</v>
      </c>
      <c r="B187" s="116" t="s">
        <v>49</v>
      </c>
      <c r="C187" s="116" t="s">
        <v>59</v>
      </c>
      <c r="D187" s="166">
        <v>0</v>
      </c>
      <c r="E187" s="96" t="s">
        <v>736</v>
      </c>
      <c r="F187" s="94">
        <v>0</v>
      </c>
      <c r="G187" s="94">
        <v>20</v>
      </c>
      <c r="H187" s="115">
        <v>0</v>
      </c>
    </row>
    <row r="188" spans="1:8" ht="25.5" customHeight="1" x14ac:dyDescent="0.25">
      <c r="A188" s="95">
        <v>37076</v>
      </c>
      <c r="B188" s="116" t="s">
        <v>328</v>
      </c>
      <c r="C188" s="116" t="s">
        <v>1287</v>
      </c>
      <c r="D188" s="166">
        <v>0</v>
      </c>
      <c r="E188" s="96" t="s">
        <v>736</v>
      </c>
      <c r="F188" s="94">
        <v>0</v>
      </c>
      <c r="G188" s="94">
        <v>20</v>
      </c>
      <c r="H188" s="115">
        <v>0</v>
      </c>
    </row>
    <row r="189" spans="1:8" ht="25.5" customHeight="1" x14ac:dyDescent="0.25">
      <c r="A189" s="95">
        <v>37077</v>
      </c>
      <c r="B189" s="116" t="s">
        <v>7</v>
      </c>
      <c r="C189" s="116" t="s">
        <v>1420</v>
      </c>
      <c r="D189" s="166">
        <v>0</v>
      </c>
      <c r="E189" s="96" t="s">
        <v>736</v>
      </c>
      <c r="F189" s="94">
        <v>0</v>
      </c>
      <c r="G189" s="94">
        <v>20</v>
      </c>
      <c r="H189" s="115">
        <v>0</v>
      </c>
    </row>
    <row r="190" spans="1:8" ht="25.5" customHeight="1" x14ac:dyDescent="0.25">
      <c r="A190" s="95">
        <v>37078</v>
      </c>
      <c r="B190" s="116" t="s">
        <v>58</v>
      </c>
      <c r="C190" s="116" t="s">
        <v>1430</v>
      </c>
      <c r="D190" s="166">
        <v>0</v>
      </c>
      <c r="E190" s="96" t="s">
        <v>1248</v>
      </c>
      <c r="F190" s="94">
        <v>0</v>
      </c>
      <c r="G190" s="94">
        <v>20</v>
      </c>
      <c r="H190" s="115">
        <v>0</v>
      </c>
    </row>
    <row r="191" spans="1:8" ht="25.5" customHeight="1" x14ac:dyDescent="0.25">
      <c r="A191" s="95">
        <v>37079</v>
      </c>
      <c r="B191" s="116" t="s">
        <v>62</v>
      </c>
      <c r="C191" s="96" t="s">
        <v>1396</v>
      </c>
      <c r="D191" s="166">
        <v>0</v>
      </c>
      <c r="E191" s="96" t="s">
        <v>1248</v>
      </c>
      <c r="F191" s="94">
        <v>0</v>
      </c>
      <c r="G191" s="94">
        <v>20</v>
      </c>
      <c r="H191" s="115">
        <v>0</v>
      </c>
    </row>
    <row r="192" spans="1:8" ht="25.5" customHeight="1" x14ac:dyDescent="0.25">
      <c r="A192" s="95">
        <v>37080</v>
      </c>
      <c r="B192" s="116" t="s">
        <v>68</v>
      </c>
      <c r="C192" s="116" t="s">
        <v>1300</v>
      </c>
      <c r="D192" s="166">
        <v>0</v>
      </c>
      <c r="E192" s="96" t="s">
        <v>1248</v>
      </c>
      <c r="F192" s="94">
        <v>0</v>
      </c>
      <c r="G192" s="94">
        <v>0</v>
      </c>
      <c r="H192" s="115">
        <v>0</v>
      </c>
    </row>
    <row r="193" spans="1:8" ht="25.5" customHeight="1" x14ac:dyDescent="0.25">
      <c r="A193" s="95">
        <v>37081</v>
      </c>
      <c r="B193" s="116" t="s">
        <v>72</v>
      </c>
      <c r="C193" s="116" t="s">
        <v>1423</v>
      </c>
      <c r="D193" s="166">
        <v>0</v>
      </c>
      <c r="E193" s="96" t="s">
        <v>1248</v>
      </c>
      <c r="F193" s="94">
        <v>0</v>
      </c>
      <c r="G193" s="94">
        <v>0</v>
      </c>
      <c r="H193" s="115">
        <v>0</v>
      </c>
    </row>
    <row r="194" spans="1:8" ht="25.5" customHeight="1" x14ac:dyDescent="0.25">
      <c r="A194" s="95">
        <v>37082</v>
      </c>
      <c r="B194" s="116" t="s">
        <v>80</v>
      </c>
      <c r="C194" s="116" t="s">
        <v>1303</v>
      </c>
      <c r="D194" s="166">
        <v>0</v>
      </c>
      <c r="E194" s="96" t="s">
        <v>1248</v>
      </c>
      <c r="F194" s="94">
        <v>0</v>
      </c>
      <c r="G194" s="94">
        <v>0</v>
      </c>
      <c r="H194" s="115">
        <v>0</v>
      </c>
    </row>
    <row r="195" spans="1:8" ht="25.5" customHeight="1" x14ac:dyDescent="0.25">
      <c r="A195" s="95">
        <v>37083</v>
      </c>
      <c r="B195" s="116" t="s">
        <v>80</v>
      </c>
      <c r="C195" s="116" t="s">
        <v>1303</v>
      </c>
      <c r="D195" s="166">
        <v>0</v>
      </c>
      <c r="E195" s="96" t="s">
        <v>1248</v>
      </c>
      <c r="F195" s="94">
        <v>0</v>
      </c>
      <c r="G195" s="94">
        <v>0</v>
      </c>
      <c r="H195" s="115">
        <v>0</v>
      </c>
    </row>
    <row r="196" spans="1:8" ht="25.5" customHeight="1" x14ac:dyDescent="0.25">
      <c r="A196" s="95">
        <v>37084</v>
      </c>
      <c r="B196" s="116" t="s">
        <v>80</v>
      </c>
      <c r="C196" s="116" t="s">
        <v>1303</v>
      </c>
      <c r="D196" s="166">
        <v>0</v>
      </c>
      <c r="E196" s="96" t="s">
        <v>1248</v>
      </c>
      <c r="F196" s="94">
        <v>0</v>
      </c>
      <c r="G196" s="94">
        <v>0</v>
      </c>
      <c r="H196" s="115">
        <v>0</v>
      </c>
    </row>
    <row r="197" spans="1:8" ht="25.5" customHeight="1" x14ac:dyDescent="0.25">
      <c r="A197" s="95">
        <v>37085</v>
      </c>
      <c r="B197" s="116" t="s">
        <v>80</v>
      </c>
      <c r="C197" s="116" t="s">
        <v>1303</v>
      </c>
      <c r="D197" s="166">
        <v>0</v>
      </c>
      <c r="E197" s="96" t="s">
        <v>736</v>
      </c>
      <c r="F197" s="94">
        <v>0</v>
      </c>
      <c r="G197" s="94">
        <v>0</v>
      </c>
      <c r="H197" s="115">
        <v>0</v>
      </c>
    </row>
    <row r="198" spans="1:8" ht="25.5" customHeight="1" x14ac:dyDescent="0.25">
      <c r="A198" s="95">
        <v>37086</v>
      </c>
      <c r="B198" s="116" t="s">
        <v>5</v>
      </c>
      <c r="C198" s="96">
        <v>8900</v>
      </c>
      <c r="D198" s="166">
        <v>0</v>
      </c>
      <c r="E198" s="96" t="s">
        <v>736</v>
      </c>
      <c r="F198" s="94">
        <v>0</v>
      </c>
      <c r="G198" s="94">
        <v>0</v>
      </c>
      <c r="H198" s="115">
        <v>0</v>
      </c>
    </row>
    <row r="199" spans="1:8" ht="25.5" customHeight="1" x14ac:dyDescent="0.25">
      <c r="A199" s="95">
        <v>37087</v>
      </c>
      <c r="B199" s="116" t="s">
        <v>82</v>
      </c>
      <c r="C199" s="116" t="s">
        <v>1307</v>
      </c>
      <c r="D199" s="166">
        <v>0</v>
      </c>
      <c r="E199" s="96" t="s">
        <v>1248</v>
      </c>
      <c r="F199" s="94">
        <v>0</v>
      </c>
      <c r="G199" s="94">
        <v>0</v>
      </c>
      <c r="H199" s="115">
        <v>0</v>
      </c>
    </row>
    <row r="200" spans="1:8" ht="25.5" customHeight="1" x14ac:dyDescent="0.25">
      <c r="A200" s="95">
        <v>37088</v>
      </c>
      <c r="B200" s="116" t="s">
        <v>325</v>
      </c>
      <c r="C200" s="116" t="s">
        <v>1330</v>
      </c>
      <c r="D200" s="166">
        <v>0</v>
      </c>
      <c r="E200" s="96" t="s">
        <v>1248</v>
      </c>
      <c r="F200" s="94">
        <v>0</v>
      </c>
      <c r="G200" s="94">
        <v>0</v>
      </c>
      <c r="H200" s="115">
        <v>0</v>
      </c>
    </row>
    <row r="201" spans="1:8" ht="25.5" customHeight="1" x14ac:dyDescent="0.25">
      <c r="A201" s="95">
        <v>37089</v>
      </c>
      <c r="B201" s="116" t="s">
        <v>90</v>
      </c>
      <c r="C201" s="96" t="s">
        <v>977</v>
      </c>
      <c r="D201" s="166">
        <v>0</v>
      </c>
      <c r="E201" s="96" t="s">
        <v>1248</v>
      </c>
      <c r="F201" s="94">
        <v>0</v>
      </c>
      <c r="G201" s="94">
        <v>0</v>
      </c>
      <c r="H201" s="115">
        <v>0</v>
      </c>
    </row>
    <row r="202" spans="1:8" ht="25.5" customHeight="1" x14ac:dyDescent="0.25">
      <c r="A202" s="95">
        <v>37090</v>
      </c>
      <c r="B202" s="116" t="s">
        <v>96</v>
      </c>
      <c r="C202" s="116" t="s">
        <v>103</v>
      </c>
      <c r="D202" s="166">
        <v>0</v>
      </c>
      <c r="E202" s="96" t="s">
        <v>1248</v>
      </c>
      <c r="F202" s="94">
        <v>0</v>
      </c>
      <c r="G202" s="94">
        <v>0</v>
      </c>
      <c r="H202" s="115">
        <v>0</v>
      </c>
    </row>
    <row r="203" spans="1:8" ht="25.5" customHeight="1" x14ac:dyDescent="0.25">
      <c r="A203" s="95">
        <v>37091</v>
      </c>
      <c r="B203" s="116" t="s">
        <v>98</v>
      </c>
      <c r="C203" s="116" t="s">
        <v>113</v>
      </c>
      <c r="D203" s="166">
        <v>0</v>
      </c>
      <c r="E203" s="96" t="s">
        <v>1248</v>
      </c>
      <c r="F203" s="94">
        <v>0</v>
      </c>
      <c r="G203" s="94">
        <v>0</v>
      </c>
      <c r="H203" s="115">
        <v>0</v>
      </c>
    </row>
    <row r="204" spans="1:8" ht="25.5" customHeight="1" x14ac:dyDescent="0.25">
      <c r="A204" s="95">
        <v>37092</v>
      </c>
      <c r="B204" s="116" t="s">
        <v>100</v>
      </c>
      <c r="C204" s="116" t="s">
        <v>2</v>
      </c>
      <c r="D204" s="166">
        <v>0</v>
      </c>
      <c r="E204" s="96" t="s">
        <v>1248</v>
      </c>
      <c r="F204" s="94">
        <v>0</v>
      </c>
      <c r="G204" s="94">
        <v>0</v>
      </c>
      <c r="H204" s="115">
        <v>0</v>
      </c>
    </row>
    <row r="205" spans="1:8" ht="25.5" customHeight="1" x14ac:dyDescent="0.25">
      <c r="A205" s="95">
        <v>37093</v>
      </c>
      <c r="B205" s="116" t="s">
        <v>102</v>
      </c>
      <c r="C205" s="116" t="s">
        <v>105</v>
      </c>
      <c r="D205" s="166">
        <v>0</v>
      </c>
      <c r="E205" s="96" t="s">
        <v>1248</v>
      </c>
      <c r="F205" s="94">
        <v>0</v>
      </c>
      <c r="G205" s="94">
        <v>0</v>
      </c>
      <c r="H205" s="115">
        <v>0</v>
      </c>
    </row>
    <row r="206" spans="1:8" ht="25.5" customHeight="1" x14ac:dyDescent="0.25">
      <c r="A206" s="95">
        <v>37094</v>
      </c>
      <c r="B206" s="116" t="s">
        <v>112</v>
      </c>
      <c r="C206" s="116" t="s">
        <v>1342</v>
      </c>
      <c r="D206" s="166">
        <v>0</v>
      </c>
      <c r="E206" s="96" t="s">
        <v>736</v>
      </c>
      <c r="F206" s="94">
        <v>0</v>
      </c>
      <c r="G206" s="94">
        <v>0</v>
      </c>
      <c r="H206" s="115">
        <v>0</v>
      </c>
    </row>
    <row r="207" spans="1:8" ht="25.5" customHeight="1" x14ac:dyDescent="0.25">
      <c r="A207" s="95">
        <v>37095</v>
      </c>
      <c r="B207" s="116" t="s">
        <v>112</v>
      </c>
      <c r="C207" s="116" t="s">
        <v>1342</v>
      </c>
      <c r="D207" s="166">
        <v>0</v>
      </c>
      <c r="E207" s="96" t="s">
        <v>736</v>
      </c>
      <c r="F207" s="94">
        <v>0</v>
      </c>
      <c r="G207" s="94">
        <v>0</v>
      </c>
      <c r="H207" s="115">
        <v>0</v>
      </c>
    </row>
    <row r="208" spans="1:8" ht="25.5" customHeight="1" x14ac:dyDescent="0.25">
      <c r="A208" s="95">
        <v>37096</v>
      </c>
      <c r="B208" s="116" t="s">
        <v>112</v>
      </c>
      <c r="C208" s="116" t="s">
        <v>1342</v>
      </c>
      <c r="D208" s="166">
        <v>0</v>
      </c>
      <c r="E208" s="96" t="s">
        <v>736</v>
      </c>
      <c r="F208" s="94">
        <v>0</v>
      </c>
      <c r="G208" s="94">
        <v>0</v>
      </c>
      <c r="H208" s="115">
        <v>0</v>
      </c>
    </row>
    <row r="209" spans="1:8" ht="25.5" customHeight="1" x14ac:dyDescent="0.25">
      <c r="A209" s="95">
        <v>37097</v>
      </c>
      <c r="B209" s="116" t="s">
        <v>112</v>
      </c>
      <c r="C209" s="116" t="s">
        <v>1342</v>
      </c>
      <c r="D209" s="166">
        <v>0</v>
      </c>
      <c r="E209" s="96" t="s">
        <v>736</v>
      </c>
      <c r="F209" s="94">
        <v>0</v>
      </c>
      <c r="G209" s="94">
        <v>0</v>
      </c>
      <c r="H209" s="115">
        <v>0</v>
      </c>
    </row>
    <row r="210" spans="1:8" ht="25.5" customHeight="1" x14ac:dyDescent="0.25">
      <c r="A210" s="95">
        <v>37098</v>
      </c>
      <c r="B210" s="116" t="s">
        <v>104</v>
      </c>
      <c r="C210" s="116" t="s">
        <v>1344</v>
      </c>
      <c r="D210" s="166">
        <v>0</v>
      </c>
      <c r="E210" s="96" t="s">
        <v>736</v>
      </c>
      <c r="F210" s="94">
        <v>0</v>
      </c>
      <c r="G210" s="94">
        <v>0</v>
      </c>
      <c r="H210" s="115">
        <v>0</v>
      </c>
    </row>
    <row r="211" spans="1:8" ht="25.5" customHeight="1" x14ac:dyDescent="0.25">
      <c r="A211" s="95">
        <v>37099</v>
      </c>
      <c r="B211" s="116" t="s">
        <v>104</v>
      </c>
      <c r="C211" s="116" t="s">
        <v>1344</v>
      </c>
      <c r="D211" s="166">
        <v>0</v>
      </c>
      <c r="E211" s="96" t="s">
        <v>736</v>
      </c>
      <c r="F211" s="94">
        <v>0</v>
      </c>
      <c r="G211" s="94">
        <v>0</v>
      </c>
      <c r="H211" s="115">
        <v>0</v>
      </c>
    </row>
    <row r="212" spans="1:8" ht="25.5" customHeight="1" x14ac:dyDescent="0.25">
      <c r="A212" s="95">
        <v>37100</v>
      </c>
      <c r="B212" s="116" t="s">
        <v>104</v>
      </c>
      <c r="C212" s="116" t="s">
        <v>1344</v>
      </c>
      <c r="D212" s="166">
        <v>0</v>
      </c>
      <c r="E212" s="96" t="s">
        <v>736</v>
      </c>
      <c r="F212" s="94">
        <v>0</v>
      </c>
      <c r="G212" s="94">
        <v>0</v>
      </c>
      <c r="H212" s="115">
        <v>0</v>
      </c>
    </row>
    <row r="213" spans="1:8" ht="25.5" customHeight="1" x14ac:dyDescent="0.25">
      <c r="A213" s="95">
        <v>37101</v>
      </c>
      <c r="B213" s="116" t="s">
        <v>104</v>
      </c>
      <c r="C213" s="116" t="s">
        <v>1344</v>
      </c>
      <c r="D213" s="166">
        <v>0</v>
      </c>
      <c r="E213" s="96" t="s">
        <v>736</v>
      </c>
      <c r="F213" s="94">
        <v>0</v>
      </c>
      <c r="G213" s="94">
        <v>0</v>
      </c>
      <c r="H213" s="115">
        <v>0</v>
      </c>
    </row>
    <row r="214" spans="1:8" ht="25.5" customHeight="1" x14ac:dyDescent="0.25">
      <c r="A214" s="95">
        <v>37102</v>
      </c>
      <c r="B214" s="116" t="s">
        <v>100</v>
      </c>
      <c r="C214" s="116" t="s">
        <v>2</v>
      </c>
      <c r="D214" s="166">
        <v>0</v>
      </c>
      <c r="E214" s="96" t="s">
        <v>736</v>
      </c>
      <c r="F214" s="94">
        <v>0</v>
      </c>
      <c r="G214" s="94">
        <v>0</v>
      </c>
      <c r="H214" s="115">
        <v>0</v>
      </c>
    </row>
    <row r="215" spans="1:8" ht="25.5" customHeight="1" x14ac:dyDescent="0.25">
      <c r="A215" s="95">
        <v>37103</v>
      </c>
      <c r="B215" s="116" t="s">
        <v>100</v>
      </c>
      <c r="C215" s="116" t="s">
        <v>2</v>
      </c>
      <c r="D215" s="166">
        <v>0</v>
      </c>
      <c r="E215" s="96" t="s">
        <v>736</v>
      </c>
      <c r="F215" s="94">
        <v>0</v>
      </c>
      <c r="G215" s="94">
        <v>0</v>
      </c>
      <c r="H215" s="115">
        <v>0</v>
      </c>
    </row>
    <row r="216" spans="1:8" ht="25.5" customHeight="1" x14ac:dyDescent="0.25">
      <c r="A216" s="95">
        <v>37104</v>
      </c>
      <c r="B216" s="116" t="s">
        <v>736</v>
      </c>
      <c r="C216" s="116" t="s">
        <v>736</v>
      </c>
      <c r="D216" s="166">
        <v>0</v>
      </c>
      <c r="E216" s="96" t="s">
        <v>736</v>
      </c>
      <c r="F216" s="94">
        <v>0</v>
      </c>
      <c r="G216" s="94">
        <v>0</v>
      </c>
      <c r="H216" s="115">
        <v>0</v>
      </c>
    </row>
    <row r="217" spans="1:8" ht="25.5" customHeight="1" x14ac:dyDescent="0.25">
      <c r="A217" s="95">
        <v>37105</v>
      </c>
      <c r="B217" s="116" t="s">
        <v>511</v>
      </c>
      <c r="C217" s="116" t="s">
        <v>4</v>
      </c>
      <c r="D217" s="166">
        <v>0</v>
      </c>
      <c r="E217" s="94">
        <v>0</v>
      </c>
      <c r="F217" s="94">
        <v>0</v>
      </c>
      <c r="G217" s="94">
        <v>0</v>
      </c>
      <c r="H217" s="115">
        <v>0</v>
      </c>
    </row>
    <row r="218" spans="1:8" ht="25.5" customHeight="1" x14ac:dyDescent="0.25">
      <c r="A218" s="95">
        <v>37106</v>
      </c>
      <c r="B218" s="116" t="s">
        <v>100</v>
      </c>
      <c r="C218" s="96">
        <v>7700</v>
      </c>
      <c r="D218" s="166">
        <v>0</v>
      </c>
      <c r="E218" s="94">
        <v>0</v>
      </c>
      <c r="F218" s="94">
        <v>0</v>
      </c>
      <c r="G218" s="94">
        <v>0</v>
      </c>
      <c r="H218" s="115">
        <v>0</v>
      </c>
    </row>
    <row r="219" spans="1:8" ht="25.5" customHeight="1" x14ac:dyDescent="0.25">
      <c r="A219" s="95">
        <v>37107</v>
      </c>
      <c r="B219" s="116" t="s">
        <v>100</v>
      </c>
      <c r="C219" s="96">
        <v>7700</v>
      </c>
      <c r="D219" s="166">
        <v>0</v>
      </c>
      <c r="E219" s="94">
        <v>0</v>
      </c>
      <c r="F219" s="94">
        <v>0</v>
      </c>
      <c r="G219" s="94">
        <v>0</v>
      </c>
      <c r="H219" s="115">
        <v>0</v>
      </c>
    </row>
    <row r="220" spans="1:8" ht="25.5" customHeight="1" x14ac:dyDescent="0.25">
      <c r="A220" s="95">
        <v>37108</v>
      </c>
      <c r="B220" s="116" t="s">
        <v>100</v>
      </c>
      <c r="C220" s="96">
        <v>7700</v>
      </c>
      <c r="D220" s="166">
        <v>0</v>
      </c>
      <c r="E220" s="94">
        <v>0</v>
      </c>
      <c r="F220" s="94">
        <v>0</v>
      </c>
      <c r="G220" s="94">
        <v>0</v>
      </c>
      <c r="H220" s="115">
        <v>0</v>
      </c>
    </row>
    <row r="221" spans="1:8" ht="25.5" customHeight="1" x14ac:dyDescent="0.25">
      <c r="A221" s="95">
        <v>37109</v>
      </c>
      <c r="B221" s="116" t="s">
        <v>102</v>
      </c>
      <c r="C221" s="96">
        <v>7600</v>
      </c>
      <c r="D221" s="166">
        <v>0</v>
      </c>
      <c r="E221" s="94">
        <v>0</v>
      </c>
      <c r="F221" s="94">
        <v>0</v>
      </c>
      <c r="G221" s="94">
        <v>0</v>
      </c>
      <c r="H221" s="115">
        <v>0</v>
      </c>
    </row>
    <row r="222" spans="1:8" ht="25.5" customHeight="1" x14ac:dyDescent="0.25">
      <c r="A222" s="95">
        <v>37110</v>
      </c>
      <c r="B222" s="116" t="s">
        <v>102</v>
      </c>
      <c r="C222" s="96">
        <v>7600</v>
      </c>
      <c r="D222" s="166">
        <v>0</v>
      </c>
      <c r="E222" s="94">
        <v>0</v>
      </c>
      <c r="F222" s="94">
        <v>0</v>
      </c>
      <c r="G222" s="94">
        <v>0</v>
      </c>
      <c r="H222" s="115">
        <v>0</v>
      </c>
    </row>
    <row r="223" spans="1:8" ht="25.5" customHeight="1" x14ac:dyDescent="0.25">
      <c r="A223" s="95">
        <v>37111</v>
      </c>
      <c r="B223" s="116" t="s">
        <v>102</v>
      </c>
      <c r="C223" s="96">
        <v>7600</v>
      </c>
      <c r="D223" s="166">
        <v>0</v>
      </c>
      <c r="E223" s="94">
        <v>0</v>
      </c>
      <c r="F223" s="94">
        <v>0</v>
      </c>
      <c r="G223" s="94">
        <v>0</v>
      </c>
      <c r="H223" s="115">
        <v>0</v>
      </c>
    </row>
    <row r="224" spans="1:8" ht="25.5" customHeight="1" x14ac:dyDescent="0.25">
      <c r="A224" s="95">
        <v>37112</v>
      </c>
      <c r="B224" s="116" t="s">
        <v>102</v>
      </c>
      <c r="C224" s="96">
        <v>7600</v>
      </c>
      <c r="D224" s="166">
        <v>0</v>
      </c>
      <c r="E224" s="94">
        <v>0</v>
      </c>
      <c r="F224" s="94">
        <v>0</v>
      </c>
      <c r="G224" s="94">
        <v>0</v>
      </c>
      <c r="H224" s="115">
        <v>0</v>
      </c>
    </row>
    <row r="225" spans="1:8" ht="25.5" customHeight="1" x14ac:dyDescent="0.25">
      <c r="A225" s="95">
        <v>37113</v>
      </c>
      <c r="B225" s="116" t="s">
        <v>112</v>
      </c>
      <c r="C225" s="116" t="s">
        <v>1342</v>
      </c>
      <c r="D225" s="166">
        <v>0</v>
      </c>
      <c r="E225" s="94">
        <v>0</v>
      </c>
      <c r="F225" s="94">
        <v>0</v>
      </c>
      <c r="G225" s="94">
        <v>0</v>
      </c>
      <c r="H225" s="115">
        <v>0</v>
      </c>
    </row>
    <row r="226" spans="1:8" ht="25.5" customHeight="1" x14ac:dyDescent="0.25">
      <c r="A226" s="95">
        <v>37114</v>
      </c>
      <c r="B226" s="116" t="s">
        <v>112</v>
      </c>
      <c r="C226" s="116" t="s">
        <v>1342</v>
      </c>
      <c r="D226" s="166">
        <v>0</v>
      </c>
      <c r="E226" s="94">
        <v>0</v>
      </c>
      <c r="F226" s="94">
        <v>0</v>
      </c>
      <c r="G226" s="94">
        <v>0</v>
      </c>
      <c r="H226" s="115">
        <v>0</v>
      </c>
    </row>
    <row r="227" spans="1:8" ht="25.5" customHeight="1" x14ac:dyDescent="0.25">
      <c r="A227" s="95">
        <v>37115</v>
      </c>
      <c r="B227" s="116" t="s">
        <v>112</v>
      </c>
      <c r="C227" s="116" t="s">
        <v>1344</v>
      </c>
      <c r="D227" s="166">
        <v>0</v>
      </c>
      <c r="E227" s="94">
        <v>0</v>
      </c>
      <c r="F227" s="94">
        <v>0</v>
      </c>
      <c r="G227" s="94">
        <v>0</v>
      </c>
      <c r="H227" s="115">
        <v>0</v>
      </c>
    </row>
    <row r="228" spans="1:8" ht="25.5" customHeight="1" x14ac:dyDescent="0.25">
      <c r="A228" s="95">
        <v>37116</v>
      </c>
      <c r="B228" s="116" t="s">
        <v>104</v>
      </c>
      <c r="C228" s="116" t="s">
        <v>1344</v>
      </c>
      <c r="D228" s="166">
        <v>0</v>
      </c>
      <c r="E228" s="94">
        <v>0</v>
      </c>
      <c r="F228" s="94">
        <v>0</v>
      </c>
      <c r="G228" s="94">
        <v>0</v>
      </c>
      <c r="H228" s="115">
        <v>0</v>
      </c>
    </row>
    <row r="229" spans="1:8" ht="25.5" customHeight="1" x14ac:dyDescent="0.25">
      <c r="A229" s="95">
        <v>37117</v>
      </c>
      <c r="B229" s="116" t="s">
        <v>104</v>
      </c>
      <c r="C229" s="116" t="s">
        <v>1344</v>
      </c>
      <c r="D229" s="166">
        <v>0</v>
      </c>
      <c r="E229" s="94">
        <v>0</v>
      </c>
      <c r="F229" s="94">
        <v>0</v>
      </c>
      <c r="G229" s="94">
        <v>0</v>
      </c>
      <c r="H229" s="115">
        <v>0</v>
      </c>
    </row>
    <row r="230" spans="1:8" ht="25.5" customHeight="1" x14ac:dyDescent="0.25">
      <c r="A230" s="95">
        <v>37118</v>
      </c>
      <c r="B230" s="116" t="s">
        <v>104</v>
      </c>
      <c r="C230" s="116" t="s">
        <v>736</v>
      </c>
      <c r="D230" s="166">
        <v>0</v>
      </c>
      <c r="E230" s="94">
        <v>0</v>
      </c>
      <c r="F230" s="94">
        <v>0</v>
      </c>
      <c r="G230" s="94">
        <v>0</v>
      </c>
      <c r="H230" s="115">
        <v>0</v>
      </c>
    </row>
    <row r="231" spans="1:8" ht="25.5" customHeight="1" x14ac:dyDescent="0.25">
      <c r="A231" s="95">
        <v>37119</v>
      </c>
      <c r="B231" s="116" t="s">
        <v>3</v>
      </c>
      <c r="C231" s="116" t="s">
        <v>736</v>
      </c>
      <c r="D231" s="166">
        <v>0</v>
      </c>
      <c r="E231" s="94">
        <v>0</v>
      </c>
      <c r="F231" s="94">
        <v>0</v>
      </c>
      <c r="G231" s="94">
        <v>0</v>
      </c>
      <c r="H231" s="115">
        <v>0</v>
      </c>
    </row>
    <row r="232" spans="1:8" ht="25.5" customHeight="1" x14ac:dyDescent="0.25">
      <c r="A232" s="95">
        <v>37120</v>
      </c>
      <c r="B232" s="116" t="s">
        <v>3</v>
      </c>
      <c r="C232" s="116" t="s">
        <v>736</v>
      </c>
      <c r="D232" s="166">
        <v>0</v>
      </c>
      <c r="E232" s="94">
        <v>0</v>
      </c>
      <c r="F232" s="94">
        <v>0</v>
      </c>
      <c r="G232" s="94">
        <v>0</v>
      </c>
      <c r="H232" s="115">
        <v>0</v>
      </c>
    </row>
    <row r="233" spans="1:8" ht="25.5" customHeight="1" x14ac:dyDescent="0.25">
      <c r="A233" s="95">
        <v>37121</v>
      </c>
      <c r="B233" s="116" t="s">
        <v>3</v>
      </c>
      <c r="C233" s="116" t="s">
        <v>736</v>
      </c>
      <c r="D233" s="166">
        <v>0</v>
      </c>
      <c r="E233" s="94">
        <v>0</v>
      </c>
      <c r="F233" s="94">
        <v>0</v>
      </c>
      <c r="G233" s="94">
        <v>0</v>
      </c>
      <c r="H233" s="115">
        <v>0</v>
      </c>
    </row>
    <row r="234" spans="1:8" ht="25.5" customHeight="1" x14ac:dyDescent="0.25">
      <c r="A234" s="95">
        <v>37122</v>
      </c>
      <c r="B234" s="116" t="s">
        <v>1</v>
      </c>
      <c r="C234" s="116" t="s">
        <v>736</v>
      </c>
      <c r="D234" s="166">
        <v>0</v>
      </c>
      <c r="E234" s="94">
        <v>0</v>
      </c>
      <c r="F234" s="94">
        <v>0</v>
      </c>
      <c r="G234" s="94">
        <v>0</v>
      </c>
      <c r="H234" s="115">
        <v>0</v>
      </c>
    </row>
    <row r="235" spans="1:8" ht="25.5" customHeight="1" x14ac:dyDescent="0.25">
      <c r="A235" s="95">
        <v>37123</v>
      </c>
      <c r="B235" s="116" t="s">
        <v>1</v>
      </c>
      <c r="C235" s="116" t="s">
        <v>736</v>
      </c>
      <c r="D235" s="166">
        <v>0</v>
      </c>
      <c r="E235" s="94">
        <v>0</v>
      </c>
      <c r="F235" s="94">
        <v>0</v>
      </c>
      <c r="G235" s="94">
        <v>0</v>
      </c>
      <c r="H235" s="115">
        <v>0</v>
      </c>
    </row>
    <row r="236" spans="1:8" ht="25.5" customHeight="1" x14ac:dyDescent="0.25">
      <c r="A236" s="95">
        <v>37124</v>
      </c>
      <c r="B236" s="116" t="s">
        <v>1</v>
      </c>
      <c r="C236" s="116" t="s">
        <v>736</v>
      </c>
      <c r="D236" s="166">
        <v>0</v>
      </c>
      <c r="E236" s="94">
        <v>0</v>
      </c>
      <c r="F236" s="94">
        <v>0</v>
      </c>
      <c r="G236" s="94">
        <v>0</v>
      </c>
      <c r="H236" s="115">
        <v>0</v>
      </c>
    </row>
    <row r="237" spans="1:8" ht="25.5" customHeight="1" x14ac:dyDescent="0.25">
      <c r="A237" s="95">
        <v>37125</v>
      </c>
      <c r="B237" s="116" t="s">
        <v>106</v>
      </c>
      <c r="C237" s="116" t="s">
        <v>736</v>
      </c>
      <c r="D237" s="166">
        <v>0</v>
      </c>
      <c r="E237" s="94">
        <v>0</v>
      </c>
      <c r="F237" s="94">
        <v>0</v>
      </c>
      <c r="G237" s="94">
        <v>0</v>
      </c>
      <c r="H237" s="115">
        <v>0</v>
      </c>
    </row>
    <row r="238" spans="1:8" ht="25.5" customHeight="1" x14ac:dyDescent="0.25">
      <c r="A238" s="95">
        <v>37126</v>
      </c>
      <c r="B238" s="116" t="s">
        <v>106</v>
      </c>
      <c r="C238" s="116" t="s">
        <v>736</v>
      </c>
      <c r="D238" s="166">
        <v>0</v>
      </c>
      <c r="E238" s="94">
        <v>0</v>
      </c>
      <c r="F238" s="94">
        <v>0</v>
      </c>
      <c r="G238" s="94">
        <v>0</v>
      </c>
      <c r="H238" s="115">
        <v>0</v>
      </c>
    </row>
    <row r="239" spans="1:8" ht="25.5" customHeight="1" x14ac:dyDescent="0.25">
      <c r="A239" s="95">
        <v>37127</v>
      </c>
      <c r="B239" s="116" t="s">
        <v>106</v>
      </c>
      <c r="C239" s="116" t="s">
        <v>736</v>
      </c>
      <c r="D239" s="166">
        <v>0</v>
      </c>
      <c r="E239" s="94">
        <v>0</v>
      </c>
      <c r="F239" s="94">
        <v>0</v>
      </c>
      <c r="G239" s="94">
        <v>0</v>
      </c>
      <c r="H239" s="115">
        <v>0</v>
      </c>
    </row>
    <row r="240" spans="1:8" ht="25.5" customHeight="1" x14ac:dyDescent="0.25">
      <c r="A240" s="95">
        <v>37128</v>
      </c>
      <c r="B240" s="116" t="s">
        <v>110</v>
      </c>
      <c r="C240" s="116" t="s">
        <v>736</v>
      </c>
      <c r="D240" s="166">
        <v>0</v>
      </c>
      <c r="E240" s="94">
        <v>0</v>
      </c>
      <c r="F240" s="94">
        <v>0</v>
      </c>
      <c r="G240" s="94">
        <v>0</v>
      </c>
      <c r="H240" s="115">
        <v>0</v>
      </c>
    </row>
    <row r="241" spans="1:8" ht="25.5" customHeight="1" x14ac:dyDescent="0.25">
      <c r="A241" s="95">
        <v>37129</v>
      </c>
      <c r="B241" s="116" t="s">
        <v>110</v>
      </c>
      <c r="C241" s="116" t="s">
        <v>736</v>
      </c>
      <c r="D241" s="166">
        <v>0</v>
      </c>
      <c r="E241" s="94">
        <v>0</v>
      </c>
      <c r="F241" s="94">
        <v>0</v>
      </c>
      <c r="G241" s="94">
        <v>0</v>
      </c>
      <c r="H241" s="115">
        <v>0</v>
      </c>
    </row>
    <row r="242" spans="1:8" ht="25.5" customHeight="1" x14ac:dyDescent="0.25">
      <c r="A242" s="95">
        <v>37130</v>
      </c>
      <c r="B242" s="116" t="s">
        <v>110</v>
      </c>
      <c r="C242" s="116" t="s">
        <v>736</v>
      </c>
      <c r="D242" s="166">
        <v>0</v>
      </c>
      <c r="E242" s="94">
        <v>0</v>
      </c>
      <c r="F242" s="94">
        <v>0</v>
      </c>
      <c r="G242" s="94">
        <v>0</v>
      </c>
      <c r="H242" s="115">
        <v>0</v>
      </c>
    </row>
    <row r="243" spans="1:8" ht="25.5" customHeight="1" x14ac:dyDescent="0.25">
      <c r="A243" s="95">
        <v>37131</v>
      </c>
      <c r="B243" s="116" t="s">
        <v>110</v>
      </c>
      <c r="C243" s="116" t="s">
        <v>736</v>
      </c>
      <c r="D243" s="166">
        <v>0</v>
      </c>
      <c r="E243" s="94">
        <v>0</v>
      </c>
      <c r="F243" s="94">
        <v>0</v>
      </c>
      <c r="G243" s="94">
        <v>0</v>
      </c>
      <c r="H243" s="115">
        <v>0</v>
      </c>
    </row>
    <row r="244" spans="1:8" ht="25.5" customHeight="1" x14ac:dyDescent="0.25">
      <c r="A244" s="95">
        <v>37132</v>
      </c>
      <c r="B244" s="116" t="s">
        <v>108</v>
      </c>
      <c r="C244" s="116" t="s">
        <v>736</v>
      </c>
      <c r="D244" s="166">
        <v>0</v>
      </c>
      <c r="E244" s="94">
        <v>0</v>
      </c>
      <c r="F244" s="94">
        <v>0</v>
      </c>
      <c r="G244" s="94">
        <v>0</v>
      </c>
      <c r="H244" s="115">
        <v>0</v>
      </c>
    </row>
    <row r="245" spans="1:8" ht="25.5" customHeight="1" x14ac:dyDescent="0.25">
      <c r="A245" s="95">
        <v>37133</v>
      </c>
      <c r="B245" s="116" t="s">
        <v>108</v>
      </c>
      <c r="C245" s="116" t="s">
        <v>736</v>
      </c>
      <c r="D245" s="166">
        <v>0</v>
      </c>
      <c r="E245" s="94">
        <v>0</v>
      </c>
      <c r="F245" s="94">
        <v>0</v>
      </c>
      <c r="G245" s="94">
        <v>0</v>
      </c>
      <c r="H245" s="115">
        <v>0</v>
      </c>
    </row>
    <row r="246" spans="1:8" ht="25.5" customHeight="1" x14ac:dyDescent="0.25">
      <c r="A246" s="95">
        <v>37134</v>
      </c>
      <c r="B246" s="116" t="s">
        <v>108</v>
      </c>
      <c r="C246" s="116" t="s">
        <v>736</v>
      </c>
      <c r="D246" s="166">
        <v>0</v>
      </c>
      <c r="E246" s="94">
        <v>0</v>
      </c>
      <c r="F246" s="94">
        <v>0</v>
      </c>
      <c r="G246" s="94">
        <v>0</v>
      </c>
      <c r="H246" s="115">
        <v>0</v>
      </c>
    </row>
    <row r="247" spans="1:8" ht="25.5" customHeight="1" x14ac:dyDescent="0.25">
      <c r="A247" s="95">
        <v>37135</v>
      </c>
      <c r="B247" s="116" t="s">
        <v>736</v>
      </c>
      <c r="C247" s="116" t="s">
        <v>736</v>
      </c>
      <c r="D247" s="166">
        <v>0</v>
      </c>
      <c r="E247" s="94">
        <v>0</v>
      </c>
      <c r="F247" s="94">
        <v>0</v>
      </c>
      <c r="G247" s="94">
        <v>0</v>
      </c>
      <c r="H247" s="115">
        <v>0</v>
      </c>
    </row>
    <row r="248" spans="1:8" ht="25.5" customHeight="1" x14ac:dyDescent="0.25">
      <c r="A248" s="95">
        <v>37136</v>
      </c>
      <c r="B248" s="116" t="s">
        <v>118</v>
      </c>
      <c r="C248" s="116" t="s">
        <v>1350</v>
      </c>
      <c r="D248" s="164" t="s">
        <v>736</v>
      </c>
      <c r="E248" s="96" t="s">
        <v>736</v>
      </c>
      <c r="F248" s="96" t="s">
        <v>736</v>
      </c>
      <c r="G248" s="96" t="s">
        <v>736</v>
      </c>
      <c r="H248" s="186" t="s">
        <v>736</v>
      </c>
    </row>
    <row r="249" spans="1:8" ht="25.5" customHeight="1" x14ac:dyDescent="0.25">
      <c r="A249" s="95">
        <v>37137</v>
      </c>
      <c r="B249" s="116" t="s">
        <v>118</v>
      </c>
      <c r="C249" s="116" t="s">
        <v>1350</v>
      </c>
      <c r="D249" s="165">
        <v>0</v>
      </c>
      <c r="E249" s="94">
        <v>0</v>
      </c>
      <c r="F249" s="94">
        <v>0</v>
      </c>
      <c r="G249" s="94">
        <v>0</v>
      </c>
      <c r="H249" s="115">
        <v>0</v>
      </c>
    </row>
    <row r="250" spans="1:8" ht="25.5" customHeight="1" x14ac:dyDescent="0.25">
      <c r="A250" s="95">
        <v>37138</v>
      </c>
      <c r="B250" s="116" t="s">
        <v>192</v>
      </c>
      <c r="C250" s="116" t="s">
        <v>1350</v>
      </c>
      <c r="D250" s="165">
        <v>0</v>
      </c>
      <c r="E250" s="94">
        <v>0</v>
      </c>
      <c r="F250" s="94">
        <v>0</v>
      </c>
      <c r="G250" s="94">
        <v>0</v>
      </c>
      <c r="H250" s="115">
        <v>0</v>
      </c>
    </row>
    <row r="251" spans="1:8" ht="25.5" customHeight="1" x14ac:dyDescent="0.25">
      <c r="A251" s="95">
        <v>37139</v>
      </c>
      <c r="B251" s="116" t="s">
        <v>192</v>
      </c>
      <c r="C251" s="116" t="s">
        <v>1351</v>
      </c>
      <c r="D251" s="165">
        <v>0</v>
      </c>
      <c r="E251" s="94">
        <v>0</v>
      </c>
      <c r="F251" s="94">
        <v>0</v>
      </c>
      <c r="G251" s="94">
        <v>0</v>
      </c>
      <c r="H251" s="115">
        <v>0</v>
      </c>
    </row>
    <row r="252" spans="1:8" ht="25.5" customHeight="1" x14ac:dyDescent="0.25">
      <c r="A252" s="95">
        <v>37140</v>
      </c>
      <c r="B252" s="116" t="s">
        <v>192</v>
      </c>
      <c r="C252" s="116" t="s">
        <v>1351</v>
      </c>
      <c r="D252" s="165">
        <v>0</v>
      </c>
      <c r="E252" s="94">
        <v>0</v>
      </c>
      <c r="F252" s="94">
        <v>0</v>
      </c>
      <c r="G252" s="94">
        <v>0</v>
      </c>
      <c r="H252" s="115">
        <v>0</v>
      </c>
    </row>
    <row r="253" spans="1:8" ht="25.5" customHeight="1" x14ac:dyDescent="0.25">
      <c r="A253" s="95">
        <v>37141</v>
      </c>
      <c r="B253" s="116" t="s">
        <v>192</v>
      </c>
      <c r="C253" s="116" t="s">
        <v>1351</v>
      </c>
      <c r="D253" s="165">
        <v>0</v>
      </c>
      <c r="E253" s="94">
        <v>0</v>
      </c>
      <c r="F253" s="94">
        <v>0</v>
      </c>
      <c r="G253" s="94">
        <v>0</v>
      </c>
      <c r="H253" s="115">
        <v>0</v>
      </c>
    </row>
    <row r="254" spans="1:8" ht="25.5" customHeight="1" x14ac:dyDescent="0.25">
      <c r="A254" s="95">
        <v>37142</v>
      </c>
      <c r="B254" s="116" t="s">
        <v>192</v>
      </c>
      <c r="C254" s="116" t="s">
        <v>1351</v>
      </c>
      <c r="D254" s="165">
        <v>0</v>
      </c>
      <c r="E254" s="94">
        <v>0</v>
      </c>
      <c r="F254" s="94">
        <v>0</v>
      </c>
      <c r="G254" s="94">
        <v>0</v>
      </c>
      <c r="H254" s="115">
        <v>0</v>
      </c>
    </row>
    <row r="255" spans="1:8" ht="25.5" customHeight="1" x14ac:dyDescent="0.25">
      <c r="A255" s="95">
        <v>37143</v>
      </c>
      <c r="B255" s="116" t="s">
        <v>194</v>
      </c>
      <c r="C255" s="116" t="s">
        <v>1352</v>
      </c>
      <c r="D255" s="165">
        <v>0</v>
      </c>
      <c r="E255" s="94">
        <v>0</v>
      </c>
      <c r="F255" s="94">
        <v>0</v>
      </c>
      <c r="G255" s="94">
        <v>0</v>
      </c>
      <c r="H255" s="115">
        <v>0</v>
      </c>
    </row>
    <row r="256" spans="1:8" ht="25.5" customHeight="1" x14ac:dyDescent="0.25">
      <c r="A256" s="95">
        <v>37144</v>
      </c>
      <c r="B256" s="116" t="s">
        <v>194</v>
      </c>
      <c r="C256" s="116" t="s">
        <v>1352</v>
      </c>
      <c r="D256" s="165">
        <v>0</v>
      </c>
      <c r="E256" s="94">
        <v>0</v>
      </c>
      <c r="F256" s="94">
        <v>0</v>
      </c>
      <c r="G256" s="94">
        <v>0</v>
      </c>
      <c r="H256" s="115">
        <v>0</v>
      </c>
    </row>
    <row r="257" spans="1:8" ht="25.5" customHeight="1" x14ac:dyDescent="0.25">
      <c r="A257" s="95">
        <v>37145</v>
      </c>
      <c r="B257" s="116" t="s">
        <v>194</v>
      </c>
      <c r="C257" s="116" t="s">
        <v>1352</v>
      </c>
      <c r="D257" s="165">
        <v>0</v>
      </c>
      <c r="E257" s="94">
        <v>0</v>
      </c>
      <c r="F257" s="94">
        <v>0</v>
      </c>
      <c r="G257" s="94">
        <v>0</v>
      </c>
      <c r="H257" s="115">
        <v>0</v>
      </c>
    </row>
    <row r="258" spans="1:8" ht="25.5" customHeight="1" x14ac:dyDescent="0.25">
      <c r="A258" s="95">
        <v>37146</v>
      </c>
      <c r="B258" s="96" t="s">
        <v>194</v>
      </c>
      <c r="C258" s="116" t="s">
        <v>1352</v>
      </c>
      <c r="D258" s="165">
        <v>0</v>
      </c>
      <c r="E258" s="94">
        <v>0</v>
      </c>
      <c r="F258" s="94">
        <v>0</v>
      </c>
      <c r="G258" s="94">
        <v>0</v>
      </c>
      <c r="H258" s="115">
        <v>0</v>
      </c>
    </row>
    <row r="259" spans="1:8" ht="25.5" customHeight="1" x14ac:dyDescent="0.25">
      <c r="A259" s="95">
        <v>37147</v>
      </c>
      <c r="B259" s="96" t="s">
        <v>192</v>
      </c>
      <c r="C259" s="116" t="s">
        <v>1351</v>
      </c>
      <c r="D259" s="165">
        <v>0</v>
      </c>
      <c r="E259" s="94">
        <v>0</v>
      </c>
      <c r="F259" s="94">
        <v>0</v>
      </c>
      <c r="G259" s="94">
        <v>0</v>
      </c>
      <c r="H259" s="115">
        <v>0</v>
      </c>
    </row>
    <row r="260" spans="1:8" ht="25.5" customHeight="1" x14ac:dyDescent="0.25">
      <c r="A260" s="95">
        <v>37148</v>
      </c>
      <c r="B260" s="116" t="s">
        <v>192</v>
      </c>
      <c r="C260" s="116" t="s">
        <v>1351</v>
      </c>
      <c r="D260" s="165">
        <v>0</v>
      </c>
      <c r="E260" s="94">
        <v>0</v>
      </c>
      <c r="F260" s="94">
        <v>0</v>
      </c>
      <c r="G260" s="94">
        <v>0</v>
      </c>
      <c r="H260" s="115">
        <v>0</v>
      </c>
    </row>
    <row r="261" spans="1:8" ht="25.5" customHeight="1" x14ac:dyDescent="0.25">
      <c r="A261" s="95">
        <v>37149</v>
      </c>
      <c r="B261" s="116" t="s">
        <v>192</v>
      </c>
      <c r="C261" s="116" t="s">
        <v>1351</v>
      </c>
      <c r="D261" s="165">
        <v>0</v>
      </c>
      <c r="E261" s="94">
        <v>0</v>
      </c>
      <c r="F261" s="94">
        <v>0</v>
      </c>
      <c r="G261" s="94">
        <v>0</v>
      </c>
      <c r="H261" s="115">
        <v>0</v>
      </c>
    </row>
    <row r="262" spans="1:8" ht="25.5" customHeight="1" x14ac:dyDescent="0.25">
      <c r="A262" s="95">
        <v>37150</v>
      </c>
      <c r="B262" s="116" t="s">
        <v>192</v>
      </c>
      <c r="C262" s="116" t="s">
        <v>1351</v>
      </c>
      <c r="D262" s="165">
        <v>0</v>
      </c>
      <c r="E262" s="94">
        <v>0</v>
      </c>
      <c r="F262" s="94">
        <v>0</v>
      </c>
      <c r="G262" s="94">
        <v>0</v>
      </c>
      <c r="H262" s="115">
        <v>0</v>
      </c>
    </row>
    <row r="263" spans="1:8" ht="25.5" customHeight="1" x14ac:dyDescent="0.25">
      <c r="A263" s="95">
        <v>37151</v>
      </c>
      <c r="B263" s="116" t="s">
        <v>118</v>
      </c>
      <c r="C263" s="116" t="s">
        <v>1350</v>
      </c>
      <c r="D263" s="165">
        <v>0</v>
      </c>
      <c r="E263" s="94">
        <v>0</v>
      </c>
      <c r="F263" s="94">
        <v>0</v>
      </c>
      <c r="G263" s="94">
        <v>0</v>
      </c>
      <c r="H263" s="115">
        <v>0</v>
      </c>
    </row>
    <row r="264" spans="1:8" ht="25.5" customHeight="1" x14ac:dyDescent="0.25">
      <c r="A264" s="95">
        <v>37152</v>
      </c>
      <c r="B264" s="116" t="s">
        <v>118</v>
      </c>
      <c r="C264" s="116" t="s">
        <v>1350</v>
      </c>
      <c r="D264" s="165">
        <v>0</v>
      </c>
      <c r="E264" s="94">
        <v>0</v>
      </c>
      <c r="F264" s="94">
        <v>0</v>
      </c>
      <c r="G264" s="94">
        <v>0</v>
      </c>
      <c r="H264" s="115">
        <v>0</v>
      </c>
    </row>
    <row r="265" spans="1:8" ht="25.5" customHeight="1" x14ac:dyDescent="0.25">
      <c r="A265" s="95">
        <v>37153</v>
      </c>
      <c r="B265" s="116" t="s">
        <v>118</v>
      </c>
      <c r="C265" s="116" t="s">
        <v>1350</v>
      </c>
      <c r="D265" s="165">
        <v>0</v>
      </c>
      <c r="E265" s="94">
        <v>0</v>
      </c>
      <c r="F265" s="94">
        <v>0</v>
      </c>
      <c r="G265" s="94">
        <v>0</v>
      </c>
      <c r="H265" s="115">
        <v>0</v>
      </c>
    </row>
    <row r="266" spans="1:8" ht="25.5" customHeight="1" x14ac:dyDescent="0.25">
      <c r="A266" s="95">
        <v>37154</v>
      </c>
      <c r="B266" s="116" t="s">
        <v>192</v>
      </c>
      <c r="C266" s="116" t="s">
        <v>1351</v>
      </c>
      <c r="D266" s="165">
        <v>0</v>
      </c>
      <c r="E266" s="94">
        <v>0</v>
      </c>
      <c r="F266" s="94">
        <v>0</v>
      </c>
      <c r="G266" s="94">
        <v>0</v>
      </c>
      <c r="H266" s="115">
        <v>0</v>
      </c>
    </row>
    <row r="267" spans="1:8" ht="25.5" customHeight="1" x14ac:dyDescent="0.25">
      <c r="A267" s="95">
        <v>37155</v>
      </c>
      <c r="B267" s="116" t="s">
        <v>192</v>
      </c>
      <c r="C267" s="96">
        <v>6900</v>
      </c>
      <c r="D267" s="165">
        <v>0</v>
      </c>
      <c r="E267" s="94">
        <v>0</v>
      </c>
      <c r="F267" s="94">
        <v>0</v>
      </c>
      <c r="G267" s="94">
        <v>0</v>
      </c>
      <c r="H267" s="115">
        <v>0</v>
      </c>
    </row>
    <row r="268" spans="1:8" ht="25.5" customHeight="1" x14ac:dyDescent="0.25">
      <c r="A268" s="95">
        <v>37156</v>
      </c>
      <c r="B268" s="116" t="s">
        <v>192</v>
      </c>
      <c r="C268" s="96">
        <v>6900</v>
      </c>
      <c r="D268" s="165">
        <v>0</v>
      </c>
      <c r="E268" s="94">
        <v>0</v>
      </c>
      <c r="F268" s="94">
        <v>0</v>
      </c>
      <c r="G268" s="94">
        <v>0</v>
      </c>
      <c r="H268" s="115">
        <v>0</v>
      </c>
    </row>
    <row r="269" spans="1:8" ht="25.5" customHeight="1" x14ac:dyDescent="0.25">
      <c r="A269" s="95">
        <v>37157</v>
      </c>
      <c r="B269" s="116" t="s">
        <v>192</v>
      </c>
      <c r="C269" s="96">
        <v>6900</v>
      </c>
      <c r="D269" s="165">
        <v>0</v>
      </c>
      <c r="E269" s="94">
        <v>0</v>
      </c>
      <c r="F269" s="94">
        <v>0</v>
      </c>
      <c r="G269" s="94">
        <v>0</v>
      </c>
      <c r="H269" s="115">
        <v>0</v>
      </c>
    </row>
    <row r="270" spans="1:8" ht="25.5" customHeight="1" x14ac:dyDescent="0.25">
      <c r="A270" s="95">
        <v>37158</v>
      </c>
      <c r="B270" s="116" t="s">
        <v>194</v>
      </c>
      <c r="C270" s="96">
        <v>6800</v>
      </c>
      <c r="D270" s="165">
        <v>0</v>
      </c>
      <c r="E270" s="94">
        <v>0</v>
      </c>
      <c r="F270" s="94">
        <v>0</v>
      </c>
      <c r="G270" s="94">
        <v>0</v>
      </c>
      <c r="H270" s="115">
        <v>0</v>
      </c>
    </row>
    <row r="271" spans="1:8" ht="25.5" customHeight="1" x14ac:dyDescent="0.25">
      <c r="A271" s="95">
        <v>37159</v>
      </c>
      <c r="B271" s="116" t="s">
        <v>194</v>
      </c>
      <c r="C271" s="96">
        <v>6800</v>
      </c>
      <c r="D271" s="165">
        <v>0</v>
      </c>
      <c r="E271" s="94">
        <v>0</v>
      </c>
      <c r="F271" s="94">
        <v>0</v>
      </c>
      <c r="G271" s="94">
        <v>0</v>
      </c>
      <c r="H271" s="115">
        <v>0</v>
      </c>
    </row>
    <row r="272" spans="1:8" ht="25.5" customHeight="1" x14ac:dyDescent="0.25">
      <c r="A272" s="95">
        <v>37160</v>
      </c>
      <c r="B272" s="116" t="s">
        <v>194</v>
      </c>
      <c r="C272" s="96">
        <v>6800</v>
      </c>
      <c r="D272" s="165">
        <v>0</v>
      </c>
      <c r="E272" s="94">
        <v>0</v>
      </c>
      <c r="F272" s="94">
        <v>0</v>
      </c>
      <c r="G272" s="94">
        <v>0</v>
      </c>
      <c r="H272" s="115">
        <v>0</v>
      </c>
    </row>
    <row r="273" spans="1:8" ht="25.5" customHeight="1" x14ac:dyDescent="0.25">
      <c r="A273" s="95">
        <v>37161</v>
      </c>
      <c r="B273" s="116" t="s">
        <v>122</v>
      </c>
      <c r="C273" s="116" t="s">
        <v>1353</v>
      </c>
      <c r="D273" s="165">
        <v>0</v>
      </c>
      <c r="E273" s="94">
        <v>0</v>
      </c>
      <c r="F273" s="94">
        <v>0</v>
      </c>
      <c r="G273" s="94">
        <v>0</v>
      </c>
      <c r="H273" s="115">
        <v>0</v>
      </c>
    </row>
    <row r="274" spans="1:8" ht="25.5" customHeight="1" x14ac:dyDescent="0.25">
      <c r="A274" s="95">
        <v>37162</v>
      </c>
      <c r="B274" s="116" t="s">
        <v>122</v>
      </c>
      <c r="C274" s="116" t="s">
        <v>1353</v>
      </c>
      <c r="D274" s="165">
        <v>0</v>
      </c>
      <c r="E274" s="94">
        <v>0</v>
      </c>
      <c r="F274" s="94">
        <v>0</v>
      </c>
      <c r="G274" s="94">
        <v>0</v>
      </c>
      <c r="H274" s="115">
        <v>0</v>
      </c>
    </row>
    <row r="275" spans="1:8" ht="25.5" customHeight="1" x14ac:dyDescent="0.25">
      <c r="A275" s="95">
        <v>37163</v>
      </c>
      <c r="B275" s="116" t="s">
        <v>122</v>
      </c>
      <c r="C275" s="116" t="s">
        <v>1353</v>
      </c>
      <c r="D275" s="165">
        <v>0</v>
      </c>
      <c r="E275" s="94">
        <v>0</v>
      </c>
      <c r="F275" s="94">
        <v>0</v>
      </c>
      <c r="G275" s="94">
        <v>0</v>
      </c>
      <c r="H275" s="115">
        <v>0</v>
      </c>
    </row>
    <row r="276" spans="1:8" ht="25.5" customHeight="1" x14ac:dyDescent="0.25">
      <c r="A276" s="95">
        <v>37164</v>
      </c>
      <c r="B276" s="116" t="s">
        <v>122</v>
      </c>
      <c r="C276" s="116" t="s">
        <v>1354</v>
      </c>
      <c r="D276" s="165">
        <v>0</v>
      </c>
      <c r="E276" s="94">
        <v>0</v>
      </c>
      <c r="F276" s="94">
        <v>0</v>
      </c>
      <c r="G276" s="94">
        <v>0</v>
      </c>
      <c r="H276" s="115">
        <v>0</v>
      </c>
    </row>
    <row r="277" spans="1:8" ht="25.5" customHeight="1" x14ac:dyDescent="0.25">
      <c r="A277" s="95">
        <v>37165</v>
      </c>
      <c r="B277" s="116" t="s">
        <v>122</v>
      </c>
      <c r="C277" s="116" t="s">
        <v>1354</v>
      </c>
      <c r="D277" s="165">
        <v>0</v>
      </c>
      <c r="E277" s="94">
        <v>0</v>
      </c>
      <c r="F277" s="94">
        <v>0</v>
      </c>
      <c r="G277" s="94">
        <v>0</v>
      </c>
      <c r="H277" s="115">
        <v>0</v>
      </c>
    </row>
    <row r="278" spans="1:8" ht="25.5" customHeight="1" x14ac:dyDescent="0.25">
      <c r="A278" s="95">
        <v>37166</v>
      </c>
      <c r="B278" s="116" t="s">
        <v>201</v>
      </c>
      <c r="C278" s="116" t="s">
        <v>1354</v>
      </c>
      <c r="D278" s="165">
        <v>0</v>
      </c>
      <c r="E278" s="94">
        <v>0</v>
      </c>
      <c r="F278" s="94">
        <v>0</v>
      </c>
      <c r="G278" s="94">
        <v>0</v>
      </c>
      <c r="H278" s="115">
        <v>0</v>
      </c>
    </row>
    <row r="279" spans="1:8" ht="25.5" customHeight="1" x14ac:dyDescent="0.25">
      <c r="A279" s="95">
        <v>37167</v>
      </c>
      <c r="B279" s="116" t="s">
        <v>201</v>
      </c>
      <c r="C279" s="116" t="s">
        <v>1354</v>
      </c>
      <c r="D279" s="165">
        <v>0</v>
      </c>
      <c r="E279" s="94">
        <v>0</v>
      </c>
      <c r="F279" s="94">
        <v>0</v>
      </c>
      <c r="G279" s="94">
        <v>0</v>
      </c>
      <c r="H279" s="115">
        <v>0</v>
      </c>
    </row>
    <row r="280" spans="1:8" ht="25.5" customHeight="1" x14ac:dyDescent="0.25">
      <c r="A280" s="95">
        <v>37168</v>
      </c>
      <c r="B280" s="116" t="s">
        <v>201</v>
      </c>
      <c r="C280" s="116" t="s">
        <v>1354</v>
      </c>
      <c r="D280" s="165">
        <v>0</v>
      </c>
      <c r="E280" s="94">
        <v>0</v>
      </c>
      <c r="F280" s="94">
        <v>0</v>
      </c>
      <c r="G280" s="94">
        <v>0</v>
      </c>
      <c r="H280" s="115">
        <v>0</v>
      </c>
    </row>
    <row r="281" spans="1:8" ht="25.5" customHeight="1" x14ac:dyDescent="0.25">
      <c r="A281" s="95">
        <v>37169</v>
      </c>
      <c r="B281" s="116" t="s">
        <v>201</v>
      </c>
      <c r="C281" s="116" t="s">
        <v>164</v>
      </c>
      <c r="D281" s="165">
        <v>0</v>
      </c>
      <c r="E281" s="94">
        <v>0</v>
      </c>
      <c r="F281" s="94">
        <v>0</v>
      </c>
      <c r="G281" s="94">
        <v>0</v>
      </c>
      <c r="H281" s="115">
        <v>0</v>
      </c>
    </row>
    <row r="282" spans="1:8" ht="25.5" customHeight="1" x14ac:dyDescent="0.25">
      <c r="A282" s="95">
        <v>37170</v>
      </c>
      <c r="B282" s="116" t="s">
        <v>177</v>
      </c>
      <c r="C282" s="116" t="s">
        <v>1355</v>
      </c>
      <c r="D282" s="165">
        <v>0</v>
      </c>
      <c r="E282" s="94">
        <v>0</v>
      </c>
      <c r="F282" s="94">
        <v>0</v>
      </c>
      <c r="G282" s="94">
        <v>0</v>
      </c>
      <c r="H282" s="115">
        <v>0</v>
      </c>
    </row>
    <row r="283" spans="1:8" ht="25.5" customHeight="1" x14ac:dyDescent="0.25">
      <c r="A283" s="95">
        <v>37171</v>
      </c>
      <c r="B283" s="116" t="s">
        <v>177</v>
      </c>
      <c r="C283" s="116" t="s">
        <v>1355</v>
      </c>
      <c r="D283" s="165">
        <v>0</v>
      </c>
      <c r="E283" s="94">
        <v>0</v>
      </c>
      <c r="F283" s="94">
        <v>0</v>
      </c>
      <c r="G283" s="94">
        <v>0</v>
      </c>
      <c r="H283" s="115">
        <v>0</v>
      </c>
    </row>
    <row r="284" spans="1:8" ht="25.5" customHeight="1" x14ac:dyDescent="0.25">
      <c r="A284" s="95">
        <v>37172</v>
      </c>
      <c r="B284" s="116" t="s">
        <v>177</v>
      </c>
      <c r="C284" s="116" t="s">
        <v>1355</v>
      </c>
      <c r="D284" s="165">
        <v>0</v>
      </c>
      <c r="E284" s="94">
        <v>0</v>
      </c>
      <c r="F284" s="94">
        <v>0</v>
      </c>
      <c r="G284" s="94">
        <v>0</v>
      </c>
      <c r="H284" s="115">
        <v>0</v>
      </c>
    </row>
    <row r="285" spans="1:8" ht="25.5" customHeight="1" x14ac:dyDescent="0.25">
      <c r="A285" s="95">
        <v>37173</v>
      </c>
      <c r="B285" s="116" t="s">
        <v>177</v>
      </c>
      <c r="C285" s="116" t="s">
        <v>1355</v>
      </c>
      <c r="D285" s="165">
        <v>0</v>
      </c>
      <c r="E285" s="94">
        <v>0</v>
      </c>
      <c r="F285" s="94">
        <v>0</v>
      </c>
      <c r="G285" s="94">
        <v>0</v>
      </c>
      <c r="H285" s="115">
        <v>0</v>
      </c>
    </row>
    <row r="286" spans="1:8" ht="25.5" customHeight="1" x14ac:dyDescent="0.25">
      <c r="A286" s="95">
        <v>37174</v>
      </c>
      <c r="B286" s="116" t="s">
        <v>177</v>
      </c>
      <c r="C286" s="116" t="s">
        <v>1355</v>
      </c>
      <c r="D286" s="165">
        <v>0</v>
      </c>
      <c r="E286" s="94">
        <v>0</v>
      </c>
      <c r="F286" s="94">
        <v>0</v>
      </c>
      <c r="G286" s="94">
        <v>0</v>
      </c>
      <c r="H286" s="115">
        <v>0</v>
      </c>
    </row>
    <row r="287" spans="1:8" ht="25.5" customHeight="1" x14ac:dyDescent="0.25">
      <c r="A287" s="95">
        <v>37175</v>
      </c>
      <c r="B287" s="116" t="s">
        <v>177</v>
      </c>
      <c r="C287" s="116" t="s">
        <v>1355</v>
      </c>
      <c r="D287" s="165">
        <v>0</v>
      </c>
      <c r="E287" s="94">
        <v>0</v>
      </c>
      <c r="F287" s="94">
        <v>0</v>
      </c>
      <c r="G287" s="94">
        <v>0</v>
      </c>
      <c r="H287" s="115">
        <v>0</v>
      </c>
    </row>
    <row r="288" spans="1:8" ht="25.5" customHeight="1" x14ac:dyDescent="0.25">
      <c r="A288" s="95">
        <v>37176</v>
      </c>
      <c r="B288" s="116" t="s">
        <v>177</v>
      </c>
      <c r="C288" s="116" t="s">
        <v>1355</v>
      </c>
      <c r="D288" s="165">
        <v>0</v>
      </c>
      <c r="E288" s="94">
        <v>0</v>
      </c>
      <c r="F288" s="94">
        <v>0</v>
      </c>
      <c r="G288" s="94">
        <v>0</v>
      </c>
      <c r="H288" s="115">
        <v>0</v>
      </c>
    </row>
    <row r="289" spans="1:8" ht="25.5" customHeight="1" x14ac:dyDescent="0.25">
      <c r="A289" s="95">
        <v>37177</v>
      </c>
      <c r="B289" s="116" t="s">
        <v>208</v>
      </c>
      <c r="C289" s="116" t="s">
        <v>1356</v>
      </c>
      <c r="D289" s="165">
        <v>0</v>
      </c>
      <c r="E289" s="94">
        <v>0</v>
      </c>
      <c r="F289" s="94">
        <v>0</v>
      </c>
      <c r="G289" s="94">
        <v>0</v>
      </c>
      <c r="H289" s="115">
        <v>0</v>
      </c>
    </row>
    <row r="290" spans="1:8" ht="25.5" customHeight="1" x14ac:dyDescent="0.25">
      <c r="A290" s="95">
        <v>37178</v>
      </c>
      <c r="B290" s="116" t="s">
        <v>208</v>
      </c>
      <c r="C290" s="116" t="s">
        <v>1356</v>
      </c>
      <c r="D290" s="165">
        <v>0</v>
      </c>
      <c r="E290" s="94">
        <v>0</v>
      </c>
      <c r="F290" s="94">
        <v>0</v>
      </c>
      <c r="G290" s="94">
        <v>0</v>
      </c>
      <c r="H290" s="115">
        <v>0</v>
      </c>
    </row>
    <row r="291" spans="1:8" ht="25.5" customHeight="1" x14ac:dyDescent="0.25">
      <c r="A291" s="95">
        <v>37179</v>
      </c>
      <c r="B291" s="116" t="s">
        <v>208</v>
      </c>
      <c r="C291" s="116" t="s">
        <v>1356</v>
      </c>
      <c r="D291" s="165">
        <v>0</v>
      </c>
      <c r="E291" s="94">
        <v>0</v>
      </c>
      <c r="F291" s="94">
        <v>0</v>
      </c>
      <c r="G291" s="94">
        <v>0</v>
      </c>
      <c r="H291" s="115">
        <v>0</v>
      </c>
    </row>
    <row r="292" spans="1:8" ht="25.5" customHeight="1" x14ac:dyDescent="0.25">
      <c r="A292" s="95">
        <v>37180</v>
      </c>
      <c r="B292" s="116" t="s">
        <v>208</v>
      </c>
      <c r="C292" s="116" t="s">
        <v>1356</v>
      </c>
      <c r="D292" s="165">
        <v>0</v>
      </c>
      <c r="E292" s="94">
        <v>0</v>
      </c>
      <c r="F292" s="94">
        <v>0</v>
      </c>
      <c r="G292" s="94">
        <v>0</v>
      </c>
      <c r="H292" s="115">
        <v>0</v>
      </c>
    </row>
    <row r="293" spans="1:8" ht="25.5" customHeight="1" x14ac:dyDescent="0.25">
      <c r="A293" s="95">
        <v>37181</v>
      </c>
      <c r="B293" s="116" t="s">
        <v>208</v>
      </c>
      <c r="C293" s="116" t="s">
        <v>1356</v>
      </c>
      <c r="D293" s="165">
        <v>0</v>
      </c>
      <c r="E293" s="94">
        <v>0</v>
      </c>
      <c r="F293" s="94">
        <v>0</v>
      </c>
      <c r="G293" s="94">
        <v>0</v>
      </c>
      <c r="H293" s="115">
        <v>0</v>
      </c>
    </row>
    <row r="294" spans="1:8" ht="25.5" customHeight="1" x14ac:dyDescent="0.25">
      <c r="A294" s="95">
        <v>37182</v>
      </c>
      <c r="B294" s="116" t="s">
        <v>208</v>
      </c>
      <c r="C294" s="116" t="s">
        <v>1356</v>
      </c>
      <c r="D294" s="165">
        <v>0</v>
      </c>
      <c r="E294" s="94">
        <v>0</v>
      </c>
      <c r="F294" s="94">
        <v>0</v>
      </c>
      <c r="G294" s="94">
        <v>0</v>
      </c>
      <c r="H294" s="115">
        <v>0</v>
      </c>
    </row>
    <row r="295" spans="1:8" ht="25.5" customHeight="1" x14ac:dyDescent="0.25">
      <c r="A295" s="95">
        <v>37183</v>
      </c>
      <c r="B295" s="116" t="s">
        <v>208</v>
      </c>
      <c r="C295" s="96">
        <v>6450</v>
      </c>
      <c r="D295" s="165">
        <v>0</v>
      </c>
      <c r="E295" s="94">
        <v>0</v>
      </c>
      <c r="F295" s="94">
        <v>0</v>
      </c>
      <c r="G295" s="94">
        <v>0</v>
      </c>
      <c r="H295" s="115">
        <v>0</v>
      </c>
    </row>
    <row r="296" spans="1:8" ht="25.5" customHeight="1" x14ac:dyDescent="0.25">
      <c r="A296" s="95">
        <v>37184</v>
      </c>
      <c r="B296" s="116" t="s">
        <v>208</v>
      </c>
      <c r="C296" s="96">
        <v>6450</v>
      </c>
      <c r="D296" s="165">
        <v>0</v>
      </c>
      <c r="E296" s="94">
        <v>0</v>
      </c>
      <c r="F296" s="94">
        <v>0</v>
      </c>
      <c r="G296" s="94">
        <v>0</v>
      </c>
      <c r="H296" s="115">
        <v>0</v>
      </c>
    </row>
    <row r="297" spans="1:8" ht="25.5" customHeight="1" x14ac:dyDescent="0.25">
      <c r="A297" s="95">
        <v>37185</v>
      </c>
      <c r="B297" s="116" t="s">
        <v>208</v>
      </c>
      <c r="C297" s="96">
        <v>6450</v>
      </c>
      <c r="D297" s="165">
        <v>0</v>
      </c>
      <c r="E297" s="94">
        <v>0</v>
      </c>
      <c r="F297" s="94">
        <v>0</v>
      </c>
      <c r="G297" s="94">
        <v>0</v>
      </c>
      <c r="H297" s="115">
        <v>0</v>
      </c>
    </row>
    <row r="298" spans="1:8" ht="25.5" customHeight="1" x14ac:dyDescent="0.25">
      <c r="A298" s="95">
        <v>37186</v>
      </c>
      <c r="B298" s="116" t="s">
        <v>208</v>
      </c>
      <c r="C298" s="96">
        <v>6450</v>
      </c>
      <c r="D298" s="165">
        <v>0</v>
      </c>
      <c r="E298" s="94">
        <v>0</v>
      </c>
      <c r="F298" s="94">
        <v>0</v>
      </c>
      <c r="G298" s="94">
        <v>0</v>
      </c>
      <c r="H298" s="115">
        <v>0</v>
      </c>
    </row>
    <row r="299" spans="1:8" ht="25.5" customHeight="1" x14ac:dyDescent="0.25">
      <c r="A299" s="95">
        <v>37187</v>
      </c>
      <c r="B299" s="116" t="s">
        <v>177</v>
      </c>
      <c r="C299" s="96">
        <v>6500</v>
      </c>
      <c r="D299" s="165">
        <v>0</v>
      </c>
      <c r="E299" s="94">
        <v>0</v>
      </c>
      <c r="F299" s="94">
        <v>0</v>
      </c>
      <c r="G299" s="94">
        <v>0</v>
      </c>
      <c r="H299" s="115">
        <v>0</v>
      </c>
    </row>
    <row r="300" spans="1:8" ht="25.5" customHeight="1" x14ac:dyDescent="0.25">
      <c r="A300" s="95">
        <v>37188</v>
      </c>
      <c r="B300" s="116" t="s">
        <v>201</v>
      </c>
      <c r="C300" s="96">
        <v>6600</v>
      </c>
      <c r="D300" s="165">
        <v>0</v>
      </c>
      <c r="E300" s="94">
        <v>0</v>
      </c>
      <c r="F300" s="94">
        <v>0</v>
      </c>
      <c r="G300" s="94">
        <v>0</v>
      </c>
      <c r="H300" s="115">
        <v>0</v>
      </c>
    </row>
    <row r="301" spans="1:8" ht="25.5" customHeight="1" x14ac:dyDescent="0.25">
      <c r="A301" s="95">
        <v>37189</v>
      </c>
      <c r="B301" s="116" t="s">
        <v>201</v>
      </c>
      <c r="C301" s="96">
        <v>6600</v>
      </c>
      <c r="D301" s="165">
        <v>0</v>
      </c>
      <c r="E301" s="94">
        <v>0</v>
      </c>
      <c r="F301" s="94">
        <v>0</v>
      </c>
      <c r="G301" s="94">
        <v>0</v>
      </c>
      <c r="H301" s="115">
        <v>0</v>
      </c>
    </row>
    <row r="302" spans="1:8" ht="25.5" customHeight="1" x14ac:dyDescent="0.25">
      <c r="A302" s="95">
        <v>37190</v>
      </c>
      <c r="B302" s="116" t="s">
        <v>422</v>
      </c>
      <c r="C302" s="116" t="s">
        <v>1353</v>
      </c>
      <c r="D302" s="165">
        <v>0</v>
      </c>
      <c r="E302" s="94">
        <v>0</v>
      </c>
      <c r="F302" s="94">
        <v>0</v>
      </c>
      <c r="G302" s="94">
        <v>0</v>
      </c>
      <c r="H302" s="115">
        <v>0</v>
      </c>
    </row>
    <row r="303" spans="1:8" ht="25.5" customHeight="1" x14ac:dyDescent="0.25">
      <c r="A303" s="95">
        <v>37191</v>
      </c>
      <c r="B303" s="116" t="s">
        <v>194</v>
      </c>
      <c r="C303" s="116" t="s">
        <v>1352</v>
      </c>
      <c r="D303" s="165">
        <v>0</v>
      </c>
      <c r="E303" s="94">
        <v>0</v>
      </c>
      <c r="F303" s="94">
        <v>0</v>
      </c>
      <c r="G303" s="94">
        <v>0</v>
      </c>
      <c r="H303" s="115">
        <v>0</v>
      </c>
    </row>
    <row r="304" spans="1:8" ht="25.5" customHeight="1" x14ac:dyDescent="0.25">
      <c r="A304" s="95">
        <v>37192</v>
      </c>
      <c r="B304" s="116" t="s">
        <v>194</v>
      </c>
      <c r="C304" s="116" t="s">
        <v>1352</v>
      </c>
      <c r="D304" s="165">
        <v>0</v>
      </c>
      <c r="E304" s="94">
        <v>0</v>
      </c>
      <c r="F304" s="94">
        <v>0</v>
      </c>
      <c r="G304" s="94">
        <v>0</v>
      </c>
      <c r="H304" s="115">
        <v>0</v>
      </c>
    </row>
    <row r="305" spans="1:8" ht="25.5" customHeight="1" x14ac:dyDescent="0.25">
      <c r="A305" s="95">
        <v>37193</v>
      </c>
      <c r="B305" s="116" t="s">
        <v>194</v>
      </c>
      <c r="C305" s="116" t="s">
        <v>1352</v>
      </c>
      <c r="D305" s="165">
        <v>0</v>
      </c>
      <c r="E305" s="94">
        <v>0</v>
      </c>
      <c r="F305" s="94">
        <v>0</v>
      </c>
      <c r="G305" s="94">
        <v>0</v>
      </c>
      <c r="H305" s="115">
        <v>0</v>
      </c>
    </row>
    <row r="306" spans="1:8" ht="25.5" customHeight="1" x14ac:dyDescent="0.25">
      <c r="A306" s="95">
        <v>37194</v>
      </c>
      <c r="B306" s="116" t="s">
        <v>192</v>
      </c>
      <c r="C306" s="116" t="s">
        <v>1351</v>
      </c>
      <c r="D306" s="165">
        <v>0</v>
      </c>
      <c r="E306" s="94">
        <v>0</v>
      </c>
      <c r="F306" s="94">
        <v>0</v>
      </c>
      <c r="G306" s="94">
        <v>0</v>
      </c>
      <c r="H306" s="115">
        <v>0</v>
      </c>
    </row>
    <row r="307" spans="1:8" ht="25.5" customHeight="1" x14ac:dyDescent="0.25">
      <c r="A307" s="95">
        <v>37195</v>
      </c>
      <c r="B307" s="116" t="s">
        <v>192</v>
      </c>
      <c r="C307" s="116" t="s">
        <v>1351</v>
      </c>
      <c r="D307" s="165">
        <v>0</v>
      </c>
      <c r="E307" s="94">
        <v>0</v>
      </c>
      <c r="F307" s="94">
        <v>0</v>
      </c>
      <c r="G307" s="94">
        <v>0</v>
      </c>
      <c r="H307" s="115">
        <v>0</v>
      </c>
    </row>
    <row r="308" spans="1:8" ht="25.5" customHeight="1" x14ac:dyDescent="0.25">
      <c r="A308" s="95">
        <v>37196</v>
      </c>
      <c r="B308" s="116" t="s">
        <v>192</v>
      </c>
      <c r="C308" s="116" t="s">
        <v>1351</v>
      </c>
      <c r="D308" s="165">
        <v>0</v>
      </c>
      <c r="E308" s="94">
        <v>0</v>
      </c>
      <c r="F308" s="94">
        <v>0</v>
      </c>
      <c r="G308" s="94">
        <v>0</v>
      </c>
      <c r="H308" s="115">
        <v>0</v>
      </c>
    </row>
    <row r="309" spans="1:8" ht="25.5" customHeight="1" x14ac:dyDescent="0.25">
      <c r="A309" s="95">
        <v>37197</v>
      </c>
      <c r="B309" s="116" t="s">
        <v>192</v>
      </c>
      <c r="C309" s="96">
        <v>6900</v>
      </c>
      <c r="D309" s="165">
        <v>0</v>
      </c>
      <c r="E309" s="94">
        <v>0</v>
      </c>
      <c r="F309" s="94">
        <v>0</v>
      </c>
      <c r="G309" s="94">
        <v>0</v>
      </c>
      <c r="H309" s="115">
        <v>0</v>
      </c>
    </row>
    <row r="310" spans="1:8" ht="25.5" customHeight="1" x14ac:dyDescent="0.25">
      <c r="A310" s="95">
        <v>37198</v>
      </c>
      <c r="B310" s="116" t="s">
        <v>192</v>
      </c>
      <c r="C310" s="96">
        <v>6900</v>
      </c>
      <c r="D310" s="165">
        <v>0</v>
      </c>
      <c r="E310" s="94">
        <v>0</v>
      </c>
      <c r="F310" s="94">
        <v>0</v>
      </c>
      <c r="G310" s="94">
        <v>0</v>
      </c>
      <c r="H310" s="115">
        <v>0</v>
      </c>
    </row>
    <row r="311" spans="1:8" ht="25.5" customHeight="1" x14ac:dyDescent="0.25">
      <c r="A311" s="95">
        <v>37199</v>
      </c>
      <c r="B311" s="116" t="s">
        <v>194</v>
      </c>
      <c r="C311" s="96">
        <v>6800</v>
      </c>
      <c r="D311" s="165">
        <v>0</v>
      </c>
      <c r="E311" s="94">
        <v>0</v>
      </c>
      <c r="F311" s="94">
        <v>0</v>
      </c>
      <c r="G311" s="94">
        <v>0</v>
      </c>
      <c r="H311" s="115">
        <v>0</v>
      </c>
    </row>
    <row r="312" spans="1:8" ht="25.5" customHeight="1" x14ac:dyDescent="0.25">
      <c r="A312" s="95">
        <v>37200</v>
      </c>
      <c r="B312" s="116" t="s">
        <v>194</v>
      </c>
      <c r="C312" s="96">
        <v>6800</v>
      </c>
      <c r="D312" s="165">
        <v>0</v>
      </c>
      <c r="E312" s="94">
        <v>0</v>
      </c>
      <c r="F312" s="94">
        <v>0</v>
      </c>
      <c r="G312" s="94">
        <v>0</v>
      </c>
      <c r="H312" s="115">
        <v>0</v>
      </c>
    </row>
    <row r="313" spans="1:8" ht="25.5" customHeight="1" x14ac:dyDescent="0.25">
      <c r="A313" s="95">
        <v>37201</v>
      </c>
      <c r="B313" s="116" t="s">
        <v>194</v>
      </c>
      <c r="C313" s="96">
        <v>6800</v>
      </c>
      <c r="D313" s="165">
        <v>0</v>
      </c>
      <c r="E313" s="94">
        <v>0</v>
      </c>
      <c r="F313" s="94">
        <v>0</v>
      </c>
      <c r="G313" s="94">
        <v>0</v>
      </c>
      <c r="H313" s="115">
        <v>0</v>
      </c>
    </row>
    <row r="314" spans="1:8" ht="25.5" customHeight="1" x14ac:dyDescent="0.25">
      <c r="A314" s="95">
        <v>37202</v>
      </c>
      <c r="B314" s="116" t="s">
        <v>194</v>
      </c>
      <c r="C314" s="116" t="s">
        <v>1352</v>
      </c>
      <c r="D314" s="165">
        <v>0</v>
      </c>
      <c r="E314" s="94">
        <v>0</v>
      </c>
      <c r="F314" s="94">
        <v>0</v>
      </c>
      <c r="G314" s="94">
        <v>0</v>
      </c>
      <c r="H314" s="115">
        <v>0</v>
      </c>
    </row>
    <row r="315" spans="1:8" ht="25.5" customHeight="1" x14ac:dyDescent="0.25">
      <c r="A315" s="95">
        <v>37203</v>
      </c>
      <c r="B315" s="116" t="s">
        <v>192</v>
      </c>
      <c r="C315" s="116" t="s">
        <v>1352</v>
      </c>
      <c r="D315" s="165">
        <v>0</v>
      </c>
      <c r="E315" s="94">
        <v>0</v>
      </c>
      <c r="F315" s="94">
        <v>0</v>
      </c>
      <c r="G315" s="94">
        <v>0</v>
      </c>
      <c r="H315" s="115">
        <v>0</v>
      </c>
    </row>
    <row r="316" spans="1:8" ht="25.5" customHeight="1" x14ac:dyDescent="0.25">
      <c r="A316" s="95">
        <v>37204</v>
      </c>
      <c r="B316" s="116" t="s">
        <v>192</v>
      </c>
      <c r="C316" s="96">
        <v>6900</v>
      </c>
      <c r="D316" s="165">
        <v>0</v>
      </c>
      <c r="E316" s="94">
        <v>0</v>
      </c>
      <c r="F316" s="94">
        <v>0</v>
      </c>
      <c r="G316" s="94">
        <v>0</v>
      </c>
      <c r="H316" s="115">
        <v>0</v>
      </c>
    </row>
    <row r="317" spans="1:8" ht="25.5" customHeight="1" x14ac:dyDescent="0.25">
      <c r="A317" s="95">
        <v>37205</v>
      </c>
      <c r="B317" s="116" t="s">
        <v>118</v>
      </c>
      <c r="C317" s="96">
        <v>6950</v>
      </c>
      <c r="D317" s="165">
        <v>0</v>
      </c>
      <c r="E317" s="94">
        <v>0</v>
      </c>
      <c r="F317" s="94">
        <v>0</v>
      </c>
      <c r="G317" s="94">
        <v>0</v>
      </c>
      <c r="H317" s="115">
        <v>0</v>
      </c>
    </row>
    <row r="318" spans="1:8" ht="25.5" customHeight="1" x14ac:dyDescent="0.25">
      <c r="A318" s="95">
        <v>37206</v>
      </c>
      <c r="B318" s="116" t="s">
        <v>108</v>
      </c>
      <c r="C318" s="96">
        <v>7000</v>
      </c>
      <c r="D318" s="165">
        <v>0</v>
      </c>
      <c r="E318" s="94">
        <v>0</v>
      </c>
      <c r="F318" s="94">
        <v>0</v>
      </c>
      <c r="G318" s="94">
        <v>0</v>
      </c>
      <c r="H318" s="115">
        <v>0</v>
      </c>
    </row>
    <row r="319" spans="1:8" ht="25.5" customHeight="1" x14ac:dyDescent="0.25">
      <c r="A319" s="95">
        <v>37207</v>
      </c>
      <c r="B319" s="116" t="s">
        <v>108</v>
      </c>
      <c r="C319" s="96">
        <v>7000</v>
      </c>
      <c r="D319" s="165">
        <v>0</v>
      </c>
      <c r="E319" s="94">
        <v>0</v>
      </c>
      <c r="F319" s="94">
        <v>0</v>
      </c>
      <c r="G319" s="94">
        <v>0</v>
      </c>
      <c r="H319" s="115">
        <v>0</v>
      </c>
    </row>
    <row r="320" spans="1:8" ht="25.5" customHeight="1" x14ac:dyDescent="0.25">
      <c r="A320" s="95">
        <v>37208</v>
      </c>
      <c r="B320" s="116" t="s">
        <v>110</v>
      </c>
      <c r="C320" s="96">
        <v>7100</v>
      </c>
      <c r="D320" s="165">
        <v>0</v>
      </c>
      <c r="E320" s="94">
        <v>0</v>
      </c>
      <c r="F320" s="94">
        <v>0</v>
      </c>
      <c r="G320" s="94">
        <v>0</v>
      </c>
      <c r="H320" s="115">
        <v>0</v>
      </c>
    </row>
    <row r="321" spans="1:8" ht="25.5" customHeight="1" x14ac:dyDescent="0.25">
      <c r="A321" s="95">
        <v>37209</v>
      </c>
      <c r="B321" s="116" t="s">
        <v>110</v>
      </c>
      <c r="C321" s="116" t="s">
        <v>111</v>
      </c>
      <c r="D321" s="165">
        <v>0</v>
      </c>
      <c r="E321" s="94">
        <v>0</v>
      </c>
      <c r="F321" s="94">
        <v>0</v>
      </c>
      <c r="G321" s="94">
        <v>0</v>
      </c>
      <c r="H321" s="115">
        <v>0</v>
      </c>
    </row>
    <row r="322" spans="1:8" ht="25.5" customHeight="1" x14ac:dyDescent="0.25">
      <c r="A322" s="95">
        <v>37210</v>
      </c>
      <c r="B322" s="116" t="s">
        <v>110</v>
      </c>
      <c r="C322" s="116" t="s">
        <v>111</v>
      </c>
      <c r="D322" s="165">
        <v>0</v>
      </c>
      <c r="E322" s="94">
        <v>0</v>
      </c>
      <c r="F322" s="94">
        <v>0</v>
      </c>
      <c r="G322" s="94">
        <v>0</v>
      </c>
      <c r="H322" s="115">
        <v>0</v>
      </c>
    </row>
    <row r="323" spans="1:8" ht="25.5" customHeight="1" x14ac:dyDescent="0.25">
      <c r="A323" s="95">
        <v>37211</v>
      </c>
      <c r="B323" s="116" t="s">
        <v>110</v>
      </c>
      <c r="C323" s="96" t="s">
        <v>111</v>
      </c>
      <c r="D323" s="165">
        <v>0</v>
      </c>
      <c r="E323" s="94">
        <v>0</v>
      </c>
      <c r="F323" s="94">
        <v>0</v>
      </c>
      <c r="G323" s="94">
        <v>0</v>
      </c>
      <c r="H323" s="115">
        <v>0</v>
      </c>
    </row>
    <row r="324" spans="1:8" ht="25.5" customHeight="1" x14ac:dyDescent="0.25">
      <c r="A324" s="95">
        <v>37212</v>
      </c>
      <c r="B324" s="116" t="s">
        <v>110</v>
      </c>
      <c r="C324" s="96">
        <v>7300</v>
      </c>
      <c r="D324" s="165">
        <v>0</v>
      </c>
      <c r="E324" s="94">
        <v>0</v>
      </c>
      <c r="F324" s="94">
        <v>0</v>
      </c>
      <c r="G324" s="94">
        <v>0</v>
      </c>
      <c r="H324" s="115">
        <v>0</v>
      </c>
    </row>
    <row r="325" spans="1:8" ht="25.5" customHeight="1" x14ac:dyDescent="0.25">
      <c r="A325" s="95">
        <v>37213</v>
      </c>
      <c r="B325" s="116" t="s">
        <v>1</v>
      </c>
      <c r="C325" s="96">
        <v>7300</v>
      </c>
      <c r="D325" s="165">
        <v>0</v>
      </c>
      <c r="E325" s="94">
        <v>0</v>
      </c>
      <c r="F325" s="94">
        <v>0</v>
      </c>
      <c r="G325" s="94">
        <v>0</v>
      </c>
      <c r="H325" s="115">
        <v>0</v>
      </c>
    </row>
    <row r="326" spans="1:8" ht="25.5" customHeight="1" x14ac:dyDescent="0.25">
      <c r="A326" s="95">
        <v>37214</v>
      </c>
      <c r="B326" s="116" t="s">
        <v>1</v>
      </c>
      <c r="C326" s="96">
        <v>7300</v>
      </c>
      <c r="D326" s="165">
        <v>0</v>
      </c>
      <c r="E326" s="94">
        <v>0</v>
      </c>
      <c r="F326" s="94">
        <v>0</v>
      </c>
      <c r="G326" s="94">
        <v>0</v>
      </c>
      <c r="H326" s="115">
        <v>0</v>
      </c>
    </row>
    <row r="327" spans="1:8" ht="25.5" customHeight="1" x14ac:dyDescent="0.25">
      <c r="A327" s="95">
        <v>37215</v>
      </c>
      <c r="B327" s="116" t="s">
        <v>1</v>
      </c>
      <c r="C327" s="96">
        <v>7300</v>
      </c>
      <c r="D327" s="165">
        <v>0</v>
      </c>
      <c r="E327" s="94">
        <v>0</v>
      </c>
      <c r="F327" s="94">
        <v>0</v>
      </c>
      <c r="G327" s="94">
        <v>0</v>
      </c>
      <c r="H327" s="115">
        <v>0</v>
      </c>
    </row>
    <row r="328" spans="1:8" ht="25.5" customHeight="1" x14ac:dyDescent="0.25">
      <c r="A328" s="95">
        <v>37216</v>
      </c>
      <c r="B328" s="116" t="s">
        <v>1</v>
      </c>
      <c r="C328" s="96">
        <v>7300</v>
      </c>
      <c r="D328" s="165">
        <v>0</v>
      </c>
      <c r="E328" s="94">
        <v>0</v>
      </c>
      <c r="F328" s="94">
        <v>0</v>
      </c>
      <c r="G328" s="94">
        <v>0</v>
      </c>
      <c r="H328" s="115">
        <v>0</v>
      </c>
    </row>
    <row r="329" spans="1:8" ht="25.5" customHeight="1" x14ac:dyDescent="0.25">
      <c r="A329" s="95">
        <v>37217</v>
      </c>
      <c r="B329" s="116" t="s">
        <v>1</v>
      </c>
      <c r="C329" s="96">
        <v>7300</v>
      </c>
      <c r="D329" s="165">
        <v>0</v>
      </c>
      <c r="E329" s="94">
        <v>0</v>
      </c>
      <c r="F329" s="94">
        <v>0</v>
      </c>
      <c r="G329" s="94">
        <v>0</v>
      </c>
      <c r="H329" s="115">
        <v>0</v>
      </c>
    </row>
    <row r="330" spans="1:8" ht="25.5" customHeight="1" x14ac:dyDescent="0.25">
      <c r="A330" s="95">
        <v>37218</v>
      </c>
      <c r="B330" s="116" t="s">
        <v>1</v>
      </c>
      <c r="C330" s="96">
        <v>7300</v>
      </c>
      <c r="D330" s="165">
        <v>0</v>
      </c>
      <c r="E330" s="94">
        <v>0</v>
      </c>
      <c r="F330" s="94">
        <v>0</v>
      </c>
      <c r="G330" s="94">
        <v>0</v>
      </c>
      <c r="H330" s="115">
        <v>0</v>
      </c>
    </row>
    <row r="331" spans="1:8" ht="25.5" customHeight="1" x14ac:dyDescent="0.25">
      <c r="A331" s="95">
        <v>37219</v>
      </c>
      <c r="B331" s="116" t="s">
        <v>102</v>
      </c>
      <c r="C331" s="96">
        <v>7600</v>
      </c>
      <c r="D331" s="165">
        <v>0</v>
      </c>
      <c r="E331" s="94">
        <v>0</v>
      </c>
      <c r="F331" s="94">
        <v>0</v>
      </c>
      <c r="G331" s="94">
        <v>0</v>
      </c>
      <c r="H331" s="115">
        <v>0</v>
      </c>
    </row>
    <row r="332" spans="1:8" ht="25.5" customHeight="1" x14ac:dyDescent="0.25">
      <c r="A332" s="95">
        <v>37220</v>
      </c>
      <c r="B332" s="116" t="s">
        <v>102</v>
      </c>
      <c r="C332" s="96">
        <v>7600</v>
      </c>
      <c r="D332" s="165">
        <v>0</v>
      </c>
      <c r="E332" s="94">
        <v>0</v>
      </c>
      <c r="F332" s="94">
        <v>0</v>
      </c>
      <c r="G332" s="94">
        <v>0</v>
      </c>
      <c r="H332" s="115">
        <v>0</v>
      </c>
    </row>
    <row r="333" spans="1:8" ht="25.5" customHeight="1" x14ac:dyDescent="0.25">
      <c r="A333" s="95">
        <v>37221</v>
      </c>
      <c r="B333" s="116" t="s">
        <v>102</v>
      </c>
      <c r="C333" s="96">
        <v>7600</v>
      </c>
      <c r="D333" s="165">
        <v>0</v>
      </c>
      <c r="E333" s="94">
        <v>0</v>
      </c>
      <c r="F333" s="94">
        <v>0</v>
      </c>
      <c r="G333" s="94">
        <v>0</v>
      </c>
      <c r="H333" s="115">
        <v>0</v>
      </c>
    </row>
    <row r="334" spans="1:8" ht="25.5" customHeight="1" x14ac:dyDescent="0.25">
      <c r="A334" s="95">
        <v>37222</v>
      </c>
      <c r="B334" s="116" t="s">
        <v>102</v>
      </c>
      <c r="C334" s="96">
        <v>7600</v>
      </c>
      <c r="D334" s="165">
        <v>0</v>
      </c>
      <c r="E334" s="94">
        <v>0</v>
      </c>
      <c r="F334" s="94">
        <v>0</v>
      </c>
      <c r="G334" s="94">
        <v>0</v>
      </c>
      <c r="H334" s="115">
        <v>0</v>
      </c>
    </row>
    <row r="335" spans="1:8" ht="25.5" customHeight="1" x14ac:dyDescent="0.25">
      <c r="A335" s="95">
        <v>37223</v>
      </c>
      <c r="B335" s="116" t="s">
        <v>102</v>
      </c>
      <c r="C335" s="96">
        <v>7600</v>
      </c>
      <c r="D335" s="165">
        <v>0</v>
      </c>
      <c r="E335" s="96" t="s">
        <v>1312</v>
      </c>
      <c r="F335" s="94">
        <v>0</v>
      </c>
      <c r="G335" s="94">
        <v>0</v>
      </c>
      <c r="H335" s="115">
        <v>0</v>
      </c>
    </row>
    <row r="336" spans="1:8" ht="25.5" customHeight="1" x14ac:dyDescent="0.25">
      <c r="A336" s="95">
        <v>37224</v>
      </c>
      <c r="B336" s="116" t="s">
        <v>102</v>
      </c>
      <c r="C336" s="96">
        <v>7600</v>
      </c>
      <c r="D336" s="165">
        <v>0</v>
      </c>
      <c r="E336" s="96" t="s">
        <v>1312</v>
      </c>
      <c r="F336" s="94">
        <v>0</v>
      </c>
      <c r="G336" s="94">
        <v>0</v>
      </c>
      <c r="H336" s="115">
        <v>0</v>
      </c>
    </row>
    <row r="337" spans="1:8" ht="25.5" customHeight="1" x14ac:dyDescent="0.25">
      <c r="A337" s="95">
        <v>37225</v>
      </c>
      <c r="B337" s="116" t="s">
        <v>1324</v>
      </c>
      <c r="C337" s="116" t="s">
        <v>1341</v>
      </c>
      <c r="D337" s="165">
        <v>0</v>
      </c>
      <c r="E337" s="96" t="s">
        <v>1312</v>
      </c>
      <c r="F337" s="94">
        <v>0</v>
      </c>
      <c r="G337" s="94">
        <v>0</v>
      </c>
      <c r="H337" s="115">
        <v>0</v>
      </c>
    </row>
    <row r="338" spans="1:8" ht="25.5" customHeight="1" x14ac:dyDescent="0.25">
      <c r="A338" s="95">
        <v>37226</v>
      </c>
      <c r="B338" s="116" t="s">
        <v>112</v>
      </c>
      <c r="C338" s="116" t="s">
        <v>1342</v>
      </c>
      <c r="D338" s="165">
        <v>0</v>
      </c>
      <c r="E338" s="96" t="s">
        <v>1312</v>
      </c>
      <c r="F338" s="94">
        <v>0</v>
      </c>
      <c r="G338" s="94">
        <v>0</v>
      </c>
      <c r="H338" s="115">
        <v>0</v>
      </c>
    </row>
    <row r="339" spans="1:8" ht="25.5" customHeight="1" x14ac:dyDescent="0.25">
      <c r="A339" s="95">
        <v>37227</v>
      </c>
      <c r="B339" s="116" t="s">
        <v>112</v>
      </c>
      <c r="C339" s="116" t="s">
        <v>1342</v>
      </c>
      <c r="D339" s="165">
        <v>0</v>
      </c>
      <c r="E339" s="96" t="s">
        <v>1312</v>
      </c>
      <c r="F339" s="94">
        <v>0</v>
      </c>
      <c r="G339" s="94">
        <v>0</v>
      </c>
      <c r="H339" s="115">
        <v>0</v>
      </c>
    </row>
    <row r="340" spans="1:8" ht="25.5" customHeight="1" x14ac:dyDescent="0.25">
      <c r="A340" s="95">
        <v>37228</v>
      </c>
      <c r="B340" s="116" t="s">
        <v>104</v>
      </c>
      <c r="C340" s="116" t="s">
        <v>1344</v>
      </c>
      <c r="D340" s="165">
        <v>0</v>
      </c>
      <c r="E340" s="96" t="s">
        <v>1312</v>
      </c>
      <c r="F340" s="94">
        <v>0</v>
      </c>
      <c r="G340" s="94">
        <v>0</v>
      </c>
      <c r="H340" s="115">
        <v>0</v>
      </c>
    </row>
    <row r="341" spans="1:8" ht="25.5" customHeight="1" x14ac:dyDescent="0.25">
      <c r="A341" s="95">
        <v>37229</v>
      </c>
      <c r="B341" s="116" t="s">
        <v>1326</v>
      </c>
      <c r="C341" s="116" t="s">
        <v>1345</v>
      </c>
      <c r="D341" s="165">
        <v>0</v>
      </c>
      <c r="E341" s="96" t="s">
        <v>736</v>
      </c>
      <c r="F341" s="94">
        <v>0</v>
      </c>
      <c r="G341" s="94">
        <v>0</v>
      </c>
      <c r="H341" s="115">
        <v>0</v>
      </c>
    </row>
    <row r="342" spans="1:8" ht="25.5" customHeight="1" x14ac:dyDescent="0.25">
      <c r="A342" s="95">
        <v>37230</v>
      </c>
      <c r="B342" s="116" t="s">
        <v>112</v>
      </c>
      <c r="C342" s="116" t="s">
        <v>1342</v>
      </c>
      <c r="D342" s="165">
        <v>0</v>
      </c>
      <c r="E342" s="96" t="s">
        <v>736</v>
      </c>
      <c r="F342" s="94">
        <v>0</v>
      </c>
      <c r="G342" s="94">
        <v>0</v>
      </c>
      <c r="H342" s="115">
        <v>0</v>
      </c>
    </row>
    <row r="343" spans="1:8" ht="25.5" customHeight="1" x14ac:dyDescent="0.25">
      <c r="A343" s="95">
        <v>37231</v>
      </c>
      <c r="B343" s="116" t="s">
        <v>98</v>
      </c>
      <c r="C343" s="116" t="s">
        <v>113</v>
      </c>
      <c r="D343" s="165">
        <v>0</v>
      </c>
      <c r="E343" s="96" t="s">
        <v>736</v>
      </c>
      <c r="F343" s="94">
        <v>0</v>
      </c>
      <c r="G343" s="94">
        <v>0</v>
      </c>
      <c r="H343" s="115">
        <v>0</v>
      </c>
    </row>
    <row r="344" spans="1:8" ht="25.5" customHeight="1" x14ac:dyDescent="0.25">
      <c r="A344" s="95">
        <v>37232</v>
      </c>
      <c r="B344" s="116" t="s">
        <v>90</v>
      </c>
      <c r="C344" s="116" t="s">
        <v>977</v>
      </c>
      <c r="D344" s="165">
        <v>0</v>
      </c>
      <c r="E344" s="96" t="s">
        <v>736</v>
      </c>
      <c r="F344" s="94">
        <v>0</v>
      </c>
      <c r="G344" s="94">
        <v>0</v>
      </c>
      <c r="H344" s="115">
        <v>0</v>
      </c>
    </row>
    <row r="345" spans="1:8" ht="25.5" customHeight="1" x14ac:dyDescent="0.25">
      <c r="A345" s="95">
        <v>37233</v>
      </c>
      <c r="B345" s="116" t="s">
        <v>86</v>
      </c>
      <c r="C345" s="116" t="s">
        <v>909</v>
      </c>
      <c r="D345" s="165">
        <v>0</v>
      </c>
      <c r="E345" s="96" t="s">
        <v>736</v>
      </c>
      <c r="F345" s="94">
        <v>0</v>
      </c>
      <c r="G345" s="94">
        <v>4</v>
      </c>
      <c r="H345" s="115">
        <v>0</v>
      </c>
    </row>
    <row r="346" spans="1:8" ht="25.5" customHeight="1" x14ac:dyDescent="0.25">
      <c r="A346" s="95">
        <v>37234</v>
      </c>
      <c r="B346" s="116" t="s">
        <v>1314</v>
      </c>
      <c r="C346" s="116" t="s">
        <v>1331</v>
      </c>
      <c r="D346" s="165">
        <v>0</v>
      </c>
      <c r="E346" s="96" t="s">
        <v>736</v>
      </c>
      <c r="F346" s="94">
        <v>0</v>
      </c>
      <c r="G346" s="96" t="s">
        <v>823</v>
      </c>
      <c r="H346" s="115">
        <v>0</v>
      </c>
    </row>
    <row r="347" spans="1:8" ht="25.5" customHeight="1" x14ac:dyDescent="0.25">
      <c r="A347" s="95">
        <v>37235</v>
      </c>
      <c r="B347" s="116" t="s">
        <v>325</v>
      </c>
      <c r="C347" s="116" t="s">
        <v>1330</v>
      </c>
      <c r="D347" s="165">
        <v>0</v>
      </c>
      <c r="E347" s="96" t="s">
        <v>736</v>
      </c>
      <c r="F347" s="94">
        <v>0</v>
      </c>
      <c r="G347" s="96" t="s">
        <v>823</v>
      </c>
      <c r="H347" s="115">
        <v>0</v>
      </c>
    </row>
    <row r="348" spans="1:8" ht="25.5" customHeight="1" x14ac:dyDescent="0.25">
      <c r="A348" s="95">
        <v>37236</v>
      </c>
      <c r="B348" s="116" t="s">
        <v>325</v>
      </c>
      <c r="C348" s="116" t="s">
        <v>1330</v>
      </c>
      <c r="D348" s="165">
        <v>0</v>
      </c>
      <c r="E348" s="96" t="s">
        <v>736</v>
      </c>
      <c r="F348" s="94">
        <v>0</v>
      </c>
      <c r="G348" s="96" t="s">
        <v>823</v>
      </c>
      <c r="H348" s="115">
        <v>0</v>
      </c>
    </row>
    <row r="349" spans="1:8" ht="25.5" customHeight="1" x14ac:dyDescent="0.25">
      <c r="A349" s="95">
        <v>37237</v>
      </c>
      <c r="B349" s="116" t="s">
        <v>325</v>
      </c>
      <c r="C349" s="116" t="s">
        <v>1330</v>
      </c>
      <c r="D349" s="165">
        <v>0</v>
      </c>
      <c r="E349" s="96" t="s">
        <v>736</v>
      </c>
      <c r="F349" s="94">
        <v>0</v>
      </c>
      <c r="G349" s="96" t="s">
        <v>736</v>
      </c>
      <c r="H349" s="115">
        <v>0</v>
      </c>
    </row>
    <row r="350" spans="1:8" ht="25.5" customHeight="1" x14ac:dyDescent="0.25">
      <c r="A350" s="95">
        <v>37238</v>
      </c>
      <c r="B350" s="116" t="s">
        <v>325</v>
      </c>
      <c r="C350" s="116" t="s">
        <v>1330</v>
      </c>
      <c r="D350" s="165">
        <v>0</v>
      </c>
      <c r="E350" s="96" t="s">
        <v>736</v>
      </c>
      <c r="F350" s="94">
        <v>0</v>
      </c>
      <c r="G350" s="96" t="s">
        <v>736</v>
      </c>
      <c r="H350" s="115">
        <v>0</v>
      </c>
    </row>
    <row r="351" spans="1:8" ht="25.5" customHeight="1" x14ac:dyDescent="0.25">
      <c r="A351" s="95">
        <v>37239</v>
      </c>
      <c r="B351" s="116" t="s">
        <v>325</v>
      </c>
      <c r="C351" s="96">
        <v>8500</v>
      </c>
      <c r="D351" s="165">
        <v>0</v>
      </c>
      <c r="E351" s="96" t="s">
        <v>736</v>
      </c>
      <c r="F351" s="94">
        <v>0</v>
      </c>
      <c r="G351" s="96" t="s">
        <v>736</v>
      </c>
      <c r="H351" s="115">
        <v>0</v>
      </c>
    </row>
    <row r="352" spans="1:8" ht="25.5" customHeight="1" x14ac:dyDescent="0.25">
      <c r="A352" s="95">
        <v>37240</v>
      </c>
      <c r="B352" s="116" t="s">
        <v>325</v>
      </c>
      <c r="C352" s="96">
        <v>8500</v>
      </c>
      <c r="D352" s="165">
        <v>0</v>
      </c>
      <c r="E352" s="179" t="s">
        <v>775</v>
      </c>
      <c r="F352" s="94">
        <v>0</v>
      </c>
      <c r="G352" s="96" t="s">
        <v>736</v>
      </c>
      <c r="H352" s="115">
        <v>0</v>
      </c>
    </row>
    <row r="353" spans="1:8" ht="25.5" customHeight="1" x14ac:dyDescent="0.25">
      <c r="A353" s="95">
        <v>37241</v>
      </c>
      <c r="B353" s="116" t="s">
        <v>325</v>
      </c>
      <c r="C353" s="96">
        <v>8500</v>
      </c>
      <c r="D353" s="165">
        <v>0</v>
      </c>
      <c r="E353" s="179" t="s">
        <v>775</v>
      </c>
      <c r="F353" s="94">
        <v>0</v>
      </c>
      <c r="G353" s="96" t="s">
        <v>1249</v>
      </c>
      <c r="H353" s="115">
        <v>0</v>
      </c>
    </row>
    <row r="354" spans="1:8" ht="25.5" customHeight="1" x14ac:dyDescent="0.25">
      <c r="A354" s="95">
        <v>37242</v>
      </c>
      <c r="B354" s="116" t="s">
        <v>88</v>
      </c>
      <c r="C354" s="96">
        <v>8300</v>
      </c>
      <c r="D354" s="165">
        <v>0</v>
      </c>
      <c r="E354" s="179" t="s">
        <v>775</v>
      </c>
      <c r="F354" s="94">
        <v>0</v>
      </c>
      <c r="G354" s="96" t="s">
        <v>1249</v>
      </c>
      <c r="H354" s="115">
        <v>0</v>
      </c>
    </row>
    <row r="355" spans="1:8" ht="25.5" customHeight="1" x14ac:dyDescent="0.25">
      <c r="A355" s="95">
        <v>37243</v>
      </c>
      <c r="B355" s="116" t="s">
        <v>92</v>
      </c>
      <c r="C355" s="96">
        <v>8200</v>
      </c>
      <c r="D355" s="165">
        <v>0</v>
      </c>
      <c r="E355" s="179" t="s">
        <v>775</v>
      </c>
      <c r="F355" s="94">
        <v>0</v>
      </c>
      <c r="G355" s="96" t="s">
        <v>1249</v>
      </c>
      <c r="H355" s="115">
        <v>0</v>
      </c>
    </row>
    <row r="356" spans="1:8" ht="25.5" customHeight="1" x14ac:dyDescent="0.25">
      <c r="A356" s="95">
        <v>37244</v>
      </c>
      <c r="B356" s="116" t="s">
        <v>96</v>
      </c>
      <c r="C356" s="96">
        <v>8000</v>
      </c>
      <c r="D356" s="165">
        <v>0</v>
      </c>
      <c r="E356" s="96" t="s">
        <v>765</v>
      </c>
      <c r="F356" s="94">
        <v>0</v>
      </c>
      <c r="G356" s="96" t="s">
        <v>736</v>
      </c>
      <c r="H356" s="115">
        <v>0</v>
      </c>
    </row>
    <row r="357" spans="1:8" ht="25.5" customHeight="1" x14ac:dyDescent="0.25">
      <c r="A357" s="95">
        <v>37245</v>
      </c>
      <c r="B357" s="116" t="s">
        <v>98</v>
      </c>
      <c r="C357" s="116" t="s">
        <v>2</v>
      </c>
      <c r="D357" s="165">
        <v>0</v>
      </c>
      <c r="E357" s="96" t="s">
        <v>736</v>
      </c>
      <c r="F357" s="94">
        <v>0</v>
      </c>
      <c r="G357" s="96" t="s">
        <v>736</v>
      </c>
      <c r="H357" s="115">
        <v>0</v>
      </c>
    </row>
    <row r="358" spans="1:8" ht="25.5" customHeight="1" x14ac:dyDescent="0.25">
      <c r="A358" s="95">
        <v>37246</v>
      </c>
      <c r="B358" s="116" t="s">
        <v>94</v>
      </c>
      <c r="C358" s="116" t="s">
        <v>101</v>
      </c>
      <c r="D358" s="165">
        <v>0</v>
      </c>
      <c r="E358" s="96" t="s">
        <v>736</v>
      </c>
      <c r="F358" s="94">
        <v>0</v>
      </c>
      <c r="G358" s="96" t="s">
        <v>736</v>
      </c>
      <c r="H358" s="115">
        <v>0</v>
      </c>
    </row>
    <row r="359" spans="1:8" ht="25.5" customHeight="1" x14ac:dyDescent="0.25">
      <c r="A359" s="95">
        <v>37247</v>
      </c>
      <c r="B359" s="116" t="s">
        <v>326</v>
      </c>
      <c r="C359" s="116" t="s">
        <v>1309</v>
      </c>
      <c r="D359" s="165">
        <v>0</v>
      </c>
      <c r="E359" s="96" t="s">
        <v>736</v>
      </c>
      <c r="F359" s="94">
        <v>0</v>
      </c>
      <c r="G359" s="96" t="s">
        <v>736</v>
      </c>
      <c r="H359" s="115">
        <v>0</v>
      </c>
    </row>
    <row r="360" spans="1:8" ht="25.5" customHeight="1" x14ac:dyDescent="0.25">
      <c r="A360" s="95">
        <v>37248</v>
      </c>
      <c r="B360" s="116" t="s">
        <v>70</v>
      </c>
      <c r="C360" s="96">
        <v>9300</v>
      </c>
      <c r="D360" s="165">
        <v>0</v>
      </c>
      <c r="E360" s="96" t="s">
        <v>736</v>
      </c>
      <c r="F360" s="94">
        <v>0</v>
      </c>
      <c r="G360" s="96" t="s">
        <v>736</v>
      </c>
      <c r="H360" s="115">
        <v>0</v>
      </c>
    </row>
    <row r="361" spans="1:8" ht="25.5" customHeight="1" x14ac:dyDescent="0.25">
      <c r="A361" s="95">
        <v>37249</v>
      </c>
      <c r="B361" s="116" t="s">
        <v>56</v>
      </c>
      <c r="C361" s="96">
        <v>9900</v>
      </c>
      <c r="D361" s="165">
        <v>0</v>
      </c>
      <c r="E361" s="96" t="s">
        <v>736</v>
      </c>
      <c r="F361" s="94">
        <v>0</v>
      </c>
      <c r="G361" s="96" t="s">
        <v>736</v>
      </c>
      <c r="H361" s="115">
        <v>0</v>
      </c>
    </row>
    <row r="362" spans="1:8" ht="25.5" customHeight="1" x14ac:dyDescent="0.25">
      <c r="A362" s="95">
        <v>37250</v>
      </c>
      <c r="B362" s="116" t="s">
        <v>7</v>
      </c>
      <c r="C362" s="96" t="s">
        <v>117</v>
      </c>
      <c r="D362" s="165">
        <v>0</v>
      </c>
      <c r="E362" s="96" t="s">
        <v>736</v>
      </c>
      <c r="F362" s="94">
        <v>0</v>
      </c>
      <c r="G362" s="96" t="s">
        <v>736</v>
      </c>
      <c r="H362" s="115">
        <v>0</v>
      </c>
    </row>
    <row r="363" spans="1:8" ht="25.5" customHeight="1" x14ac:dyDescent="0.25">
      <c r="A363" s="95">
        <v>37251</v>
      </c>
      <c r="B363" s="116" t="s">
        <v>328</v>
      </c>
      <c r="C363" s="96" t="s">
        <v>736</v>
      </c>
      <c r="D363" s="165">
        <v>0</v>
      </c>
      <c r="E363" s="96" t="s">
        <v>736</v>
      </c>
      <c r="F363" s="94">
        <v>0</v>
      </c>
      <c r="G363" s="96" t="s">
        <v>736</v>
      </c>
      <c r="H363" s="115">
        <v>0</v>
      </c>
    </row>
    <row r="364" spans="1:8" ht="25.5" customHeight="1" x14ac:dyDescent="0.25">
      <c r="A364" s="95">
        <v>37252</v>
      </c>
      <c r="B364" s="116" t="s">
        <v>328</v>
      </c>
      <c r="C364" s="96" t="s">
        <v>736</v>
      </c>
      <c r="D364" s="165">
        <v>0</v>
      </c>
      <c r="E364" s="96" t="s">
        <v>736</v>
      </c>
      <c r="F364" s="94">
        <v>0</v>
      </c>
      <c r="G364" s="96" t="s">
        <v>736</v>
      </c>
      <c r="H364" s="115">
        <v>0</v>
      </c>
    </row>
    <row r="365" spans="1:8" ht="25.5" customHeight="1" x14ac:dyDescent="0.25">
      <c r="A365" s="95">
        <v>37253</v>
      </c>
      <c r="B365" s="116" t="s">
        <v>328</v>
      </c>
      <c r="C365" s="96" t="s">
        <v>736</v>
      </c>
      <c r="D365" s="165">
        <v>0</v>
      </c>
      <c r="E365" s="96" t="s">
        <v>736</v>
      </c>
      <c r="F365" s="94">
        <v>0</v>
      </c>
      <c r="G365" s="96" t="s">
        <v>736</v>
      </c>
      <c r="H365" s="115">
        <v>0</v>
      </c>
    </row>
    <row r="366" spans="1:8" ht="25.5" customHeight="1" x14ac:dyDescent="0.25">
      <c r="A366" s="95">
        <v>37254</v>
      </c>
      <c r="B366" s="116" t="s">
        <v>736</v>
      </c>
      <c r="C366" s="116" t="s">
        <v>736</v>
      </c>
      <c r="D366" s="165">
        <v>0</v>
      </c>
      <c r="E366" s="96" t="s">
        <v>736</v>
      </c>
      <c r="F366" s="94">
        <v>0</v>
      </c>
      <c r="G366" s="96" t="s">
        <v>736</v>
      </c>
      <c r="H366" s="115">
        <v>0</v>
      </c>
    </row>
    <row r="367" spans="1:8" ht="25.5" customHeight="1" x14ac:dyDescent="0.25">
      <c r="A367" s="95">
        <v>37255</v>
      </c>
      <c r="B367" s="116" t="s">
        <v>736</v>
      </c>
      <c r="C367" s="116" t="s">
        <v>736</v>
      </c>
      <c r="D367" s="165">
        <v>0</v>
      </c>
      <c r="E367" s="96" t="s">
        <v>736</v>
      </c>
      <c r="F367" s="94">
        <v>0</v>
      </c>
      <c r="G367" s="96" t="s">
        <v>736</v>
      </c>
      <c r="H367" s="115">
        <v>0</v>
      </c>
    </row>
    <row r="368" spans="1:8" ht="25.5" customHeight="1" x14ac:dyDescent="0.25">
      <c r="A368" s="95">
        <v>37256</v>
      </c>
      <c r="B368" s="116" t="s">
        <v>736</v>
      </c>
      <c r="C368" s="116" t="s">
        <v>736</v>
      </c>
      <c r="D368" s="165">
        <v>0</v>
      </c>
      <c r="E368" s="96" t="s">
        <v>736</v>
      </c>
      <c r="F368" s="94">
        <v>0</v>
      </c>
      <c r="G368" s="96" t="s">
        <v>736</v>
      </c>
      <c r="H368" s="115">
        <v>0</v>
      </c>
    </row>
    <row r="369" spans="1:8" ht="25.5" customHeight="1" thickBot="1" x14ac:dyDescent="0.3">
      <c r="A369" s="97">
        <v>37257</v>
      </c>
      <c r="B369" s="176" t="s">
        <v>508</v>
      </c>
      <c r="C369" s="176" t="s">
        <v>1285</v>
      </c>
      <c r="D369" s="170">
        <v>0</v>
      </c>
      <c r="E369" s="185" t="s">
        <v>736</v>
      </c>
      <c r="F369" s="117">
        <v>0</v>
      </c>
      <c r="G369" s="185" t="s">
        <v>736</v>
      </c>
      <c r="H369" s="118">
        <v>0</v>
      </c>
    </row>
    <row r="370" spans="1:8" x14ac:dyDescent="0.25">
      <c r="A370" s="409" t="s">
        <v>1759</v>
      </c>
      <c r="B370" s="410"/>
      <c r="C370" s="410"/>
      <c r="D370" s="410"/>
      <c r="E370" s="410"/>
      <c r="F370" s="410"/>
      <c r="G370" s="410"/>
      <c r="H370" s="410"/>
    </row>
  </sheetData>
  <mergeCells count="6">
    <mergeCell ref="A370:H370"/>
    <mergeCell ref="A1:H1"/>
    <mergeCell ref="B2:B3"/>
    <mergeCell ref="A2:A3"/>
    <mergeCell ref="C2:D3"/>
    <mergeCell ref="E2:H2"/>
  </mergeCells>
  <printOptions horizontalCentered="1"/>
  <pageMargins left="1" right="0.75" top="0.75" bottom="0.25" header="0.3" footer="0.3"/>
  <pageSetup paperSize="9" orientation="portrait" r:id="rId1"/>
  <ignoredErrors>
    <ignoredError sqref="C92:C93 C83:C85 C64:C81 E64:E94 F64:H64 B123:B124 C95:C99 C105:C112 C115 C118:C124 G95:G124 E95:E124 B154:B155 C145:C147 C149:C154 C125:C133 E125:E155 C180:C185 C174:C175 C167:C168 C156:C161 G125:G155 G156:G185 E156:E185 B216 E186:E216 C186:C217 B247 C225:C247 C273:C277 C248:C266 D248:H248 C302:C308 C278:C294 C4:C34 B63 C35:C63 C337:C338 C321:C323 C314:C315 E335:E338 C357:C359 C362:C369 C339:C350 G346:G369 E339:E369" numberStoredAsText="1"/>
    <ignoredError sqref="B101:B102 B116:B117 B109 B149 B167 B203 B194:B197 B188 B266:B269 B259:B262 B250:B254 B309:B310 B306:B308 B315:B316 B363:B365 B357 B343" twoDigitTextYear="1"/>
    <ignoredError sqref="B366:B368" twoDigitTextYear="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pane ySplit="3" topLeftCell="A7" activePane="bottomLeft" state="frozen"/>
      <selection pane="bottomLeft" activeCell="D3" sqref="D3:G3"/>
    </sheetView>
  </sheetViews>
  <sheetFormatPr defaultColWidth="9.140625" defaultRowHeight="15" x14ac:dyDescent="0.25"/>
  <cols>
    <col min="1" max="1" width="12.85546875" style="27" customWidth="1"/>
    <col min="2" max="2" width="7.28515625" style="46" customWidth="1"/>
    <col min="3" max="3" width="10.140625" style="46" customWidth="1"/>
    <col min="4" max="4" width="8.140625" style="37" customWidth="1"/>
    <col min="5" max="5" width="7.85546875" style="37" customWidth="1"/>
    <col min="6" max="7" width="9.140625" style="37"/>
    <col min="8" max="16384" width="9.140625" style="14"/>
  </cols>
  <sheetData>
    <row r="1" spans="1:7" ht="21.6" thickBot="1" x14ac:dyDescent="0.45">
      <c r="A1" s="434" t="s">
        <v>2690</v>
      </c>
      <c r="B1" s="434"/>
      <c r="C1" s="434"/>
      <c r="D1" s="434"/>
      <c r="E1" s="434"/>
      <c r="F1" s="434"/>
      <c r="G1" s="434"/>
    </row>
    <row r="2" spans="1:7" ht="16.5" customHeight="1" x14ac:dyDescent="0.25">
      <c r="A2" s="425" t="s">
        <v>0</v>
      </c>
      <c r="B2" s="423" t="s">
        <v>2684</v>
      </c>
      <c r="C2" s="423" t="s">
        <v>2689</v>
      </c>
      <c r="D2" s="431" t="s">
        <v>2686</v>
      </c>
      <c r="E2" s="432"/>
      <c r="F2" s="432"/>
      <c r="G2" s="433"/>
    </row>
    <row r="3" spans="1:7" ht="49.5" customHeight="1" thickBot="1" x14ac:dyDescent="0.3">
      <c r="A3" s="426"/>
      <c r="B3" s="424"/>
      <c r="C3" s="424"/>
      <c r="D3" s="181" t="s">
        <v>2687</v>
      </c>
      <c r="E3" s="182" t="s">
        <v>735</v>
      </c>
      <c r="F3" s="181" t="s">
        <v>2688</v>
      </c>
      <c r="G3" s="187" t="s">
        <v>735</v>
      </c>
    </row>
    <row r="4" spans="1:7" ht="27" customHeight="1" x14ac:dyDescent="0.25">
      <c r="A4" s="120">
        <v>37257</v>
      </c>
      <c r="B4" s="174" t="s">
        <v>15</v>
      </c>
      <c r="C4" s="112">
        <v>11500</v>
      </c>
      <c r="D4" s="161">
        <v>0</v>
      </c>
      <c r="E4" s="161">
        <v>0</v>
      </c>
      <c r="F4" s="161">
        <v>0</v>
      </c>
      <c r="G4" s="162">
        <v>0</v>
      </c>
    </row>
    <row r="5" spans="1:7" ht="27" customHeight="1" x14ac:dyDescent="0.25">
      <c r="A5" s="95">
        <v>37258</v>
      </c>
      <c r="B5" s="116" t="s">
        <v>17</v>
      </c>
      <c r="C5" s="116" t="s">
        <v>1284</v>
      </c>
      <c r="D5" s="166">
        <v>0</v>
      </c>
      <c r="E5" s="166">
        <v>0</v>
      </c>
      <c r="F5" s="166">
        <v>0</v>
      </c>
      <c r="G5" s="167">
        <v>0</v>
      </c>
    </row>
    <row r="6" spans="1:7" ht="27" customHeight="1" x14ac:dyDescent="0.25">
      <c r="A6" s="95">
        <v>37259</v>
      </c>
      <c r="B6" s="116" t="s">
        <v>17</v>
      </c>
      <c r="C6" s="96">
        <v>11600</v>
      </c>
      <c r="D6" s="166">
        <v>0</v>
      </c>
      <c r="E6" s="166">
        <v>0</v>
      </c>
      <c r="F6" s="166">
        <v>0</v>
      </c>
      <c r="G6" s="167">
        <v>0</v>
      </c>
    </row>
    <row r="7" spans="1:7" ht="27" customHeight="1" x14ac:dyDescent="0.25">
      <c r="A7" s="95">
        <v>37260</v>
      </c>
      <c r="B7" s="116" t="s">
        <v>391</v>
      </c>
      <c r="C7" s="96">
        <v>11800</v>
      </c>
      <c r="D7" s="166">
        <v>0</v>
      </c>
      <c r="E7" s="166">
        <v>0</v>
      </c>
      <c r="F7" s="166">
        <v>0</v>
      </c>
      <c r="G7" s="167">
        <v>0</v>
      </c>
    </row>
    <row r="8" spans="1:7" ht="27" customHeight="1" x14ac:dyDescent="0.25">
      <c r="A8" s="95">
        <v>37261</v>
      </c>
      <c r="B8" s="116" t="s">
        <v>433</v>
      </c>
      <c r="C8" s="96">
        <v>12000</v>
      </c>
      <c r="D8" s="166">
        <v>0</v>
      </c>
      <c r="E8" s="166">
        <v>0</v>
      </c>
      <c r="F8" s="166">
        <v>0</v>
      </c>
      <c r="G8" s="167">
        <v>0</v>
      </c>
    </row>
    <row r="9" spans="1:7" ht="27" customHeight="1" x14ac:dyDescent="0.25">
      <c r="A9" s="95">
        <v>37262</v>
      </c>
      <c r="B9" s="116" t="s">
        <v>332</v>
      </c>
      <c r="C9" s="96">
        <v>12200</v>
      </c>
      <c r="D9" s="166">
        <v>0</v>
      </c>
      <c r="E9" s="166">
        <v>0</v>
      </c>
      <c r="F9" s="166">
        <v>0</v>
      </c>
      <c r="G9" s="167">
        <v>0</v>
      </c>
    </row>
    <row r="10" spans="1:7" ht="27" customHeight="1" x14ac:dyDescent="0.25">
      <c r="A10" s="95">
        <v>37263</v>
      </c>
      <c r="B10" s="116" t="s">
        <v>332</v>
      </c>
      <c r="C10" s="96">
        <v>12200</v>
      </c>
      <c r="D10" s="166">
        <v>0</v>
      </c>
      <c r="E10" s="166">
        <v>0</v>
      </c>
      <c r="F10" s="166">
        <v>0</v>
      </c>
      <c r="G10" s="167">
        <v>0</v>
      </c>
    </row>
    <row r="11" spans="1:7" ht="27" customHeight="1" x14ac:dyDescent="0.25">
      <c r="A11" s="95">
        <v>37264</v>
      </c>
      <c r="B11" s="116" t="s">
        <v>332</v>
      </c>
      <c r="C11" s="96">
        <v>12200</v>
      </c>
      <c r="D11" s="166">
        <v>0</v>
      </c>
      <c r="E11" s="166">
        <v>0</v>
      </c>
      <c r="F11" s="166">
        <v>0</v>
      </c>
      <c r="G11" s="167">
        <v>0</v>
      </c>
    </row>
    <row r="12" spans="1:7" ht="27" customHeight="1" x14ac:dyDescent="0.25">
      <c r="A12" s="95">
        <v>37265</v>
      </c>
      <c r="B12" s="116" t="s">
        <v>332</v>
      </c>
      <c r="C12" s="96">
        <v>12200</v>
      </c>
      <c r="D12" s="166">
        <v>0</v>
      </c>
      <c r="E12" s="166">
        <v>0</v>
      </c>
      <c r="F12" s="166">
        <v>0</v>
      </c>
      <c r="G12" s="167">
        <v>0</v>
      </c>
    </row>
    <row r="13" spans="1:7" ht="27" customHeight="1" x14ac:dyDescent="0.25">
      <c r="A13" s="95">
        <v>37266</v>
      </c>
      <c r="B13" s="116" t="s">
        <v>332</v>
      </c>
      <c r="C13" s="96">
        <v>12200</v>
      </c>
      <c r="D13" s="168" t="s">
        <v>765</v>
      </c>
      <c r="E13" s="166">
        <v>0</v>
      </c>
      <c r="F13" s="168" t="s">
        <v>765</v>
      </c>
      <c r="G13" s="167">
        <v>0</v>
      </c>
    </row>
    <row r="14" spans="1:7" ht="27" customHeight="1" x14ac:dyDescent="0.25">
      <c r="A14" s="95">
        <v>37267</v>
      </c>
      <c r="B14" s="116" t="s">
        <v>433</v>
      </c>
      <c r="C14" s="96">
        <v>12000</v>
      </c>
      <c r="D14" s="168" t="s">
        <v>765</v>
      </c>
      <c r="E14" s="166">
        <v>0</v>
      </c>
      <c r="F14" s="168" t="s">
        <v>765</v>
      </c>
      <c r="G14" s="167">
        <v>0</v>
      </c>
    </row>
    <row r="15" spans="1:7" ht="27" customHeight="1" x14ac:dyDescent="0.25">
      <c r="A15" s="95">
        <v>37268</v>
      </c>
      <c r="B15" s="116" t="s">
        <v>391</v>
      </c>
      <c r="C15" s="96">
        <v>11800</v>
      </c>
      <c r="D15" s="168" t="s">
        <v>765</v>
      </c>
      <c r="E15" s="166">
        <v>0</v>
      </c>
      <c r="F15" s="168" t="s">
        <v>765</v>
      </c>
      <c r="G15" s="167">
        <v>0</v>
      </c>
    </row>
    <row r="16" spans="1:7" ht="27" customHeight="1" x14ac:dyDescent="0.25">
      <c r="A16" s="95">
        <v>37269</v>
      </c>
      <c r="B16" s="116" t="s">
        <v>17</v>
      </c>
      <c r="C16" s="96">
        <v>11600</v>
      </c>
      <c r="D16" s="168" t="s">
        <v>765</v>
      </c>
      <c r="E16" s="166">
        <v>0</v>
      </c>
      <c r="F16" s="168" t="s">
        <v>765</v>
      </c>
      <c r="G16" s="167">
        <v>0</v>
      </c>
    </row>
    <row r="17" spans="1:7" ht="27" customHeight="1" x14ac:dyDescent="0.25">
      <c r="A17" s="95">
        <v>37270</v>
      </c>
      <c r="B17" s="116" t="s">
        <v>17</v>
      </c>
      <c r="C17" s="96">
        <v>11600</v>
      </c>
      <c r="D17" s="168" t="s">
        <v>766</v>
      </c>
      <c r="E17" s="166">
        <v>0</v>
      </c>
      <c r="F17" s="168" t="s">
        <v>736</v>
      </c>
      <c r="G17" s="167">
        <v>0</v>
      </c>
    </row>
    <row r="18" spans="1:7" ht="27" customHeight="1" x14ac:dyDescent="0.25">
      <c r="A18" s="95">
        <v>37271</v>
      </c>
      <c r="B18" s="116" t="s">
        <v>15</v>
      </c>
      <c r="C18" s="96">
        <v>11500</v>
      </c>
      <c r="D18" s="168" t="s">
        <v>928</v>
      </c>
      <c r="E18" s="166">
        <v>0</v>
      </c>
      <c r="F18" s="168" t="s">
        <v>736</v>
      </c>
      <c r="G18" s="167">
        <v>0</v>
      </c>
    </row>
    <row r="19" spans="1:7" ht="27" customHeight="1" x14ac:dyDescent="0.25">
      <c r="A19" s="95">
        <v>37272</v>
      </c>
      <c r="B19" s="116" t="s">
        <v>15</v>
      </c>
      <c r="C19" s="96">
        <v>11500</v>
      </c>
      <c r="D19" s="168" t="s">
        <v>736</v>
      </c>
      <c r="E19" s="166">
        <v>0</v>
      </c>
      <c r="F19" s="168" t="s">
        <v>736</v>
      </c>
      <c r="G19" s="167">
        <v>0</v>
      </c>
    </row>
    <row r="20" spans="1:7" ht="27" customHeight="1" x14ac:dyDescent="0.25">
      <c r="A20" s="95">
        <v>37273</v>
      </c>
      <c r="B20" s="116" t="s">
        <v>15</v>
      </c>
      <c r="C20" s="96">
        <v>11500</v>
      </c>
      <c r="D20" s="168" t="s">
        <v>736</v>
      </c>
      <c r="E20" s="166">
        <v>0</v>
      </c>
      <c r="F20" s="168" t="s">
        <v>736</v>
      </c>
      <c r="G20" s="167">
        <v>0</v>
      </c>
    </row>
    <row r="21" spans="1:7" ht="27" customHeight="1" x14ac:dyDescent="0.25">
      <c r="A21" s="95">
        <v>37274</v>
      </c>
      <c r="B21" s="116" t="s">
        <v>20</v>
      </c>
      <c r="C21" s="96">
        <v>11400</v>
      </c>
      <c r="D21" s="168" t="s">
        <v>736</v>
      </c>
      <c r="E21" s="166">
        <v>0</v>
      </c>
      <c r="F21" s="168" t="s">
        <v>736</v>
      </c>
      <c r="G21" s="167">
        <v>0</v>
      </c>
    </row>
    <row r="22" spans="1:7" ht="27" customHeight="1" x14ac:dyDescent="0.25">
      <c r="A22" s="95">
        <v>37275</v>
      </c>
      <c r="B22" s="116" t="s">
        <v>20</v>
      </c>
      <c r="C22" s="96">
        <v>11400</v>
      </c>
      <c r="D22" s="168" t="s">
        <v>736</v>
      </c>
      <c r="E22" s="166">
        <v>0</v>
      </c>
      <c r="F22" s="168" t="s">
        <v>736</v>
      </c>
      <c r="G22" s="167">
        <v>0</v>
      </c>
    </row>
    <row r="23" spans="1:7" ht="27" customHeight="1" x14ac:dyDescent="0.25">
      <c r="A23" s="95">
        <v>37276</v>
      </c>
      <c r="B23" s="116" t="s">
        <v>11</v>
      </c>
      <c r="C23" s="96">
        <v>11300</v>
      </c>
      <c r="D23" s="168" t="s">
        <v>765</v>
      </c>
      <c r="E23" s="166">
        <v>0</v>
      </c>
      <c r="F23" s="168" t="s">
        <v>765</v>
      </c>
      <c r="G23" s="167">
        <v>0</v>
      </c>
    </row>
    <row r="24" spans="1:7" ht="27" customHeight="1" x14ac:dyDescent="0.25">
      <c r="A24" s="95">
        <v>37277</v>
      </c>
      <c r="B24" s="116" t="s">
        <v>36</v>
      </c>
      <c r="C24" s="96">
        <v>11200</v>
      </c>
      <c r="D24" s="168" t="s">
        <v>765</v>
      </c>
      <c r="E24" s="166">
        <v>0</v>
      </c>
      <c r="F24" s="168" t="s">
        <v>765</v>
      </c>
      <c r="G24" s="167">
        <v>0</v>
      </c>
    </row>
    <row r="25" spans="1:7" ht="27" customHeight="1" x14ac:dyDescent="0.25">
      <c r="A25" s="95">
        <v>37278</v>
      </c>
      <c r="B25" s="116" t="s">
        <v>40</v>
      </c>
      <c r="C25" s="96">
        <v>11100</v>
      </c>
      <c r="D25" s="168" t="s">
        <v>765</v>
      </c>
      <c r="E25" s="166">
        <v>0</v>
      </c>
      <c r="F25" s="168" t="s">
        <v>765</v>
      </c>
      <c r="G25" s="167">
        <v>0</v>
      </c>
    </row>
    <row r="26" spans="1:7" ht="27" customHeight="1" x14ac:dyDescent="0.25">
      <c r="A26" s="95">
        <v>37279</v>
      </c>
      <c r="B26" s="116" t="s">
        <v>508</v>
      </c>
      <c r="C26" s="96">
        <v>10800</v>
      </c>
      <c r="D26" s="168" t="s">
        <v>765</v>
      </c>
      <c r="E26" s="166">
        <v>0</v>
      </c>
      <c r="F26" s="168" t="s">
        <v>765</v>
      </c>
      <c r="G26" s="167">
        <v>0</v>
      </c>
    </row>
    <row r="27" spans="1:7" ht="27" customHeight="1" x14ac:dyDescent="0.25">
      <c r="A27" s="95">
        <v>37280</v>
      </c>
      <c r="B27" s="116" t="s">
        <v>45</v>
      </c>
      <c r="C27" s="96">
        <v>10600</v>
      </c>
      <c r="D27" s="168" t="s">
        <v>765</v>
      </c>
      <c r="E27" s="166">
        <v>0</v>
      </c>
      <c r="F27" s="168" t="s">
        <v>736</v>
      </c>
      <c r="G27" s="167">
        <v>0</v>
      </c>
    </row>
    <row r="28" spans="1:7" ht="27" customHeight="1" x14ac:dyDescent="0.25">
      <c r="A28" s="95">
        <v>37281</v>
      </c>
      <c r="B28" s="116" t="s">
        <v>509</v>
      </c>
      <c r="C28" s="96">
        <v>10500</v>
      </c>
      <c r="D28" s="168" t="s">
        <v>736</v>
      </c>
      <c r="E28" s="166">
        <v>0</v>
      </c>
      <c r="F28" s="168" t="s">
        <v>736</v>
      </c>
      <c r="G28" s="167">
        <v>0</v>
      </c>
    </row>
    <row r="29" spans="1:7" ht="27" customHeight="1" x14ac:dyDescent="0.25">
      <c r="A29" s="95">
        <v>37282</v>
      </c>
      <c r="B29" s="116" t="s">
        <v>509</v>
      </c>
      <c r="C29" s="96">
        <v>10500</v>
      </c>
      <c r="D29" s="168" t="s">
        <v>736</v>
      </c>
      <c r="E29" s="166">
        <v>0</v>
      </c>
      <c r="F29" s="168" t="s">
        <v>736</v>
      </c>
      <c r="G29" s="167">
        <v>0</v>
      </c>
    </row>
    <row r="30" spans="1:7" ht="27" customHeight="1" x14ac:dyDescent="0.25">
      <c r="A30" s="95">
        <v>37283</v>
      </c>
      <c r="B30" s="116" t="s">
        <v>509</v>
      </c>
      <c r="C30" s="96">
        <v>10500</v>
      </c>
      <c r="D30" s="168" t="s">
        <v>736</v>
      </c>
      <c r="E30" s="166">
        <v>0</v>
      </c>
      <c r="F30" s="168" t="s">
        <v>736</v>
      </c>
      <c r="G30" s="167">
        <v>0</v>
      </c>
    </row>
    <row r="31" spans="1:7" ht="27" customHeight="1" x14ac:dyDescent="0.25">
      <c r="A31" s="95">
        <v>37284</v>
      </c>
      <c r="B31" s="116" t="s">
        <v>509</v>
      </c>
      <c r="C31" s="96">
        <v>10500</v>
      </c>
      <c r="D31" s="168" t="s">
        <v>736</v>
      </c>
      <c r="E31" s="166">
        <v>0</v>
      </c>
      <c r="F31" s="168" t="s">
        <v>736</v>
      </c>
      <c r="G31" s="167">
        <v>0</v>
      </c>
    </row>
    <row r="32" spans="1:7" ht="27" customHeight="1" x14ac:dyDescent="0.25">
      <c r="A32" s="95">
        <v>37285</v>
      </c>
      <c r="B32" s="116" t="s">
        <v>509</v>
      </c>
      <c r="C32" s="96">
        <v>10500</v>
      </c>
      <c r="D32" s="168" t="s">
        <v>736</v>
      </c>
      <c r="E32" s="166">
        <v>0</v>
      </c>
      <c r="F32" s="168" t="s">
        <v>736</v>
      </c>
      <c r="G32" s="167">
        <v>0</v>
      </c>
    </row>
    <row r="33" spans="1:7" ht="27" customHeight="1" x14ac:dyDescent="0.25">
      <c r="A33" s="95">
        <v>37286</v>
      </c>
      <c r="B33" s="116" t="s">
        <v>509</v>
      </c>
      <c r="C33" s="96">
        <v>10500</v>
      </c>
      <c r="D33" s="168" t="s">
        <v>736</v>
      </c>
      <c r="E33" s="166">
        <v>0</v>
      </c>
      <c r="F33" s="168" t="s">
        <v>736</v>
      </c>
      <c r="G33" s="167">
        <v>0</v>
      </c>
    </row>
    <row r="34" spans="1:7" ht="27" customHeight="1" x14ac:dyDescent="0.25">
      <c r="A34" s="95">
        <v>37287</v>
      </c>
      <c r="B34" s="116" t="s">
        <v>395</v>
      </c>
      <c r="C34" s="96">
        <v>10400</v>
      </c>
      <c r="D34" s="168" t="s">
        <v>736</v>
      </c>
      <c r="E34" s="166">
        <v>0</v>
      </c>
      <c r="F34" s="168" t="s">
        <v>736</v>
      </c>
      <c r="G34" s="167">
        <v>0</v>
      </c>
    </row>
    <row r="35" spans="1:7" ht="27" customHeight="1" x14ac:dyDescent="0.25">
      <c r="A35" s="95">
        <v>37288</v>
      </c>
      <c r="B35" s="116" t="s">
        <v>49</v>
      </c>
      <c r="C35" s="96">
        <v>10400</v>
      </c>
      <c r="D35" s="168" t="s">
        <v>765</v>
      </c>
      <c r="E35" s="166">
        <v>0</v>
      </c>
      <c r="F35" s="168" t="s">
        <v>765</v>
      </c>
      <c r="G35" s="167">
        <v>0</v>
      </c>
    </row>
    <row r="36" spans="1:7" ht="27" customHeight="1" x14ac:dyDescent="0.25">
      <c r="A36" s="95">
        <v>37289</v>
      </c>
      <c r="B36" s="116" t="s">
        <v>328</v>
      </c>
      <c r="C36" s="96">
        <v>10300</v>
      </c>
      <c r="D36" s="168" t="s">
        <v>765</v>
      </c>
      <c r="E36" s="166">
        <v>0</v>
      </c>
      <c r="F36" s="168" t="s">
        <v>765</v>
      </c>
      <c r="G36" s="167">
        <v>0</v>
      </c>
    </row>
    <row r="37" spans="1:7" ht="27" customHeight="1" x14ac:dyDescent="0.25">
      <c r="A37" s="95">
        <v>37290</v>
      </c>
      <c r="B37" s="116" t="s">
        <v>51</v>
      </c>
      <c r="C37" s="96">
        <v>10200</v>
      </c>
      <c r="D37" s="168" t="s">
        <v>765</v>
      </c>
      <c r="E37" s="166">
        <v>0</v>
      </c>
      <c r="F37" s="168" t="s">
        <v>765</v>
      </c>
      <c r="G37" s="167">
        <v>0</v>
      </c>
    </row>
    <row r="38" spans="1:7" ht="27" customHeight="1" x14ac:dyDescent="0.25">
      <c r="A38" s="95">
        <v>37291</v>
      </c>
      <c r="B38" s="116" t="s">
        <v>7</v>
      </c>
      <c r="C38" s="96">
        <v>10000</v>
      </c>
      <c r="D38" s="168" t="s">
        <v>736</v>
      </c>
      <c r="E38" s="166">
        <v>0</v>
      </c>
      <c r="F38" s="166">
        <v>0</v>
      </c>
      <c r="G38" s="167">
        <v>0</v>
      </c>
    </row>
    <row r="39" spans="1:7" ht="27" customHeight="1" x14ac:dyDescent="0.25">
      <c r="A39" s="95">
        <v>37292</v>
      </c>
      <c r="B39" s="116" t="s">
        <v>7</v>
      </c>
      <c r="C39" s="96">
        <v>10000</v>
      </c>
      <c r="D39" s="168" t="s">
        <v>736</v>
      </c>
      <c r="E39" s="166">
        <v>0</v>
      </c>
      <c r="F39" s="166">
        <v>0</v>
      </c>
      <c r="G39" s="167">
        <v>0</v>
      </c>
    </row>
    <row r="40" spans="1:7" ht="27" customHeight="1" x14ac:dyDescent="0.25">
      <c r="A40" s="95">
        <v>37293</v>
      </c>
      <c r="B40" s="116" t="s">
        <v>7</v>
      </c>
      <c r="C40" s="116" t="s">
        <v>1420</v>
      </c>
      <c r="D40" s="168" t="s">
        <v>736</v>
      </c>
      <c r="E40" s="166">
        <v>0</v>
      </c>
      <c r="F40" s="166">
        <v>0</v>
      </c>
      <c r="G40" s="167">
        <v>0</v>
      </c>
    </row>
    <row r="41" spans="1:7" ht="27" customHeight="1" x14ac:dyDescent="0.25">
      <c r="A41" s="95">
        <v>37294</v>
      </c>
      <c r="B41" s="116" t="s">
        <v>7</v>
      </c>
      <c r="C41" s="96">
        <v>10000</v>
      </c>
      <c r="D41" s="168" t="s">
        <v>736</v>
      </c>
      <c r="E41" s="166">
        <v>0</v>
      </c>
      <c r="F41" s="166">
        <v>0</v>
      </c>
      <c r="G41" s="167">
        <v>0</v>
      </c>
    </row>
    <row r="42" spans="1:7" ht="27" customHeight="1" x14ac:dyDescent="0.25">
      <c r="A42" s="95">
        <v>37295</v>
      </c>
      <c r="B42" s="116" t="s">
        <v>7</v>
      </c>
      <c r="C42" s="96">
        <v>10000</v>
      </c>
      <c r="D42" s="168" t="s">
        <v>736</v>
      </c>
      <c r="E42" s="166">
        <v>0</v>
      </c>
      <c r="F42" s="166">
        <v>0</v>
      </c>
      <c r="G42" s="167">
        <v>0</v>
      </c>
    </row>
    <row r="43" spans="1:7" ht="27" customHeight="1" x14ac:dyDescent="0.25">
      <c r="A43" s="95">
        <v>37296</v>
      </c>
      <c r="B43" s="116" t="s">
        <v>7</v>
      </c>
      <c r="C43" s="96">
        <v>10000</v>
      </c>
      <c r="D43" s="168" t="s">
        <v>736</v>
      </c>
      <c r="E43" s="166">
        <v>0</v>
      </c>
      <c r="F43" s="166">
        <v>0</v>
      </c>
      <c r="G43" s="167">
        <v>0</v>
      </c>
    </row>
    <row r="44" spans="1:7" ht="27" customHeight="1" x14ac:dyDescent="0.25">
      <c r="A44" s="95">
        <v>37297</v>
      </c>
      <c r="B44" s="116" t="s">
        <v>51</v>
      </c>
      <c r="C44" s="96">
        <v>10100</v>
      </c>
      <c r="D44" s="168" t="s">
        <v>736</v>
      </c>
      <c r="E44" s="166">
        <v>0</v>
      </c>
      <c r="F44" s="166">
        <v>0</v>
      </c>
      <c r="G44" s="167">
        <v>0</v>
      </c>
    </row>
    <row r="45" spans="1:7" ht="27" customHeight="1" x14ac:dyDescent="0.25">
      <c r="A45" s="95">
        <v>37298</v>
      </c>
      <c r="B45" s="116" t="s">
        <v>509</v>
      </c>
      <c r="C45" s="96">
        <v>10500</v>
      </c>
      <c r="D45" s="168" t="s">
        <v>736</v>
      </c>
      <c r="E45" s="166">
        <v>0</v>
      </c>
      <c r="F45" s="166">
        <v>0</v>
      </c>
      <c r="G45" s="167">
        <v>0</v>
      </c>
    </row>
    <row r="46" spans="1:7" ht="27" customHeight="1" x14ac:dyDescent="0.25">
      <c r="A46" s="95">
        <v>37299</v>
      </c>
      <c r="B46" s="116" t="s">
        <v>508</v>
      </c>
      <c r="C46" s="96">
        <v>10800</v>
      </c>
      <c r="D46" s="168" t="s">
        <v>736</v>
      </c>
      <c r="E46" s="166">
        <v>0</v>
      </c>
      <c r="F46" s="166">
        <v>0</v>
      </c>
      <c r="G46" s="167">
        <v>0</v>
      </c>
    </row>
    <row r="47" spans="1:7" ht="27" customHeight="1" x14ac:dyDescent="0.25">
      <c r="A47" s="95">
        <v>37300</v>
      </c>
      <c r="B47" s="116" t="s">
        <v>36</v>
      </c>
      <c r="C47" s="96">
        <v>11200</v>
      </c>
      <c r="D47" s="168" t="s">
        <v>736</v>
      </c>
      <c r="E47" s="166">
        <v>0</v>
      </c>
      <c r="F47" s="166">
        <v>0</v>
      </c>
      <c r="G47" s="167">
        <v>0</v>
      </c>
    </row>
    <row r="48" spans="1:7" ht="27" customHeight="1" x14ac:dyDescent="0.25">
      <c r="A48" s="95">
        <v>37301</v>
      </c>
      <c r="B48" s="116" t="s">
        <v>11</v>
      </c>
      <c r="C48" s="96">
        <v>11300</v>
      </c>
      <c r="D48" s="168" t="s">
        <v>736</v>
      </c>
      <c r="E48" s="166">
        <v>0</v>
      </c>
      <c r="F48" s="166">
        <v>0</v>
      </c>
      <c r="G48" s="167">
        <v>0</v>
      </c>
    </row>
    <row r="49" spans="1:7" ht="27" customHeight="1" x14ac:dyDescent="0.25">
      <c r="A49" s="95">
        <v>37302</v>
      </c>
      <c r="B49" s="116" t="s">
        <v>11</v>
      </c>
      <c r="C49" s="96">
        <v>11300</v>
      </c>
      <c r="D49" s="168" t="s">
        <v>765</v>
      </c>
      <c r="E49" s="166">
        <v>0</v>
      </c>
      <c r="F49" s="168" t="s">
        <v>765</v>
      </c>
      <c r="G49" s="167">
        <v>0</v>
      </c>
    </row>
    <row r="50" spans="1:7" ht="27" customHeight="1" x14ac:dyDescent="0.25">
      <c r="A50" s="95">
        <v>37303</v>
      </c>
      <c r="B50" s="116" t="s">
        <v>36</v>
      </c>
      <c r="C50" s="96">
        <v>11200</v>
      </c>
      <c r="D50" s="168" t="s">
        <v>765</v>
      </c>
      <c r="E50" s="166">
        <v>0</v>
      </c>
      <c r="F50" s="168" t="s">
        <v>765</v>
      </c>
      <c r="G50" s="167">
        <v>0</v>
      </c>
    </row>
    <row r="51" spans="1:7" ht="27" customHeight="1" x14ac:dyDescent="0.25">
      <c r="A51" s="95">
        <v>37304</v>
      </c>
      <c r="B51" s="116" t="s">
        <v>40</v>
      </c>
      <c r="C51" s="96">
        <v>11100</v>
      </c>
      <c r="D51" s="168" t="s">
        <v>765</v>
      </c>
      <c r="E51" s="166">
        <v>0</v>
      </c>
      <c r="F51" s="168" t="s">
        <v>765</v>
      </c>
      <c r="G51" s="167">
        <v>0</v>
      </c>
    </row>
    <row r="52" spans="1:7" ht="27" customHeight="1" x14ac:dyDescent="0.25">
      <c r="A52" s="95">
        <v>37305</v>
      </c>
      <c r="B52" s="116" t="s">
        <v>508</v>
      </c>
      <c r="C52" s="96">
        <v>10800</v>
      </c>
      <c r="D52" s="168" t="s">
        <v>765</v>
      </c>
      <c r="E52" s="166">
        <v>0</v>
      </c>
      <c r="F52" s="168" t="s">
        <v>765</v>
      </c>
      <c r="G52" s="167">
        <v>0</v>
      </c>
    </row>
    <row r="53" spans="1:7" ht="27" customHeight="1" x14ac:dyDescent="0.25">
      <c r="A53" s="95">
        <v>37306</v>
      </c>
      <c r="B53" s="116" t="s">
        <v>45</v>
      </c>
      <c r="C53" s="96">
        <v>10600</v>
      </c>
      <c r="D53" s="168" t="s">
        <v>765</v>
      </c>
      <c r="E53" s="166">
        <v>0</v>
      </c>
      <c r="F53" s="168" t="s">
        <v>765</v>
      </c>
      <c r="G53" s="167">
        <v>0</v>
      </c>
    </row>
    <row r="54" spans="1:7" ht="27" customHeight="1" x14ac:dyDescent="0.25">
      <c r="A54" s="95">
        <v>37307</v>
      </c>
      <c r="B54" s="116" t="s">
        <v>509</v>
      </c>
      <c r="C54" s="96">
        <v>10500</v>
      </c>
      <c r="D54" s="168" t="s">
        <v>765</v>
      </c>
      <c r="E54" s="166">
        <v>0</v>
      </c>
      <c r="F54" s="168" t="s">
        <v>765</v>
      </c>
      <c r="G54" s="167">
        <v>0</v>
      </c>
    </row>
    <row r="55" spans="1:7" ht="27" customHeight="1" x14ac:dyDescent="0.25">
      <c r="A55" s="95">
        <v>37308</v>
      </c>
      <c r="B55" s="116" t="s">
        <v>395</v>
      </c>
      <c r="C55" s="96">
        <v>10400</v>
      </c>
      <c r="D55" s="168" t="s">
        <v>765</v>
      </c>
      <c r="E55" s="166">
        <v>0</v>
      </c>
      <c r="F55" s="168" t="s">
        <v>736</v>
      </c>
      <c r="G55" s="167">
        <v>0</v>
      </c>
    </row>
    <row r="56" spans="1:7" ht="27" customHeight="1" x14ac:dyDescent="0.25">
      <c r="A56" s="95">
        <v>37309</v>
      </c>
      <c r="B56" s="116" t="s">
        <v>49</v>
      </c>
      <c r="C56" s="96">
        <v>10300</v>
      </c>
      <c r="D56" s="168" t="s">
        <v>736</v>
      </c>
      <c r="E56" s="166">
        <v>0</v>
      </c>
      <c r="F56" s="168" t="s">
        <v>736</v>
      </c>
      <c r="G56" s="167">
        <v>0</v>
      </c>
    </row>
    <row r="57" spans="1:7" ht="27" customHeight="1" x14ac:dyDescent="0.25">
      <c r="A57" s="95">
        <v>37310</v>
      </c>
      <c r="B57" s="116" t="s">
        <v>328</v>
      </c>
      <c r="C57" s="96">
        <v>10200</v>
      </c>
      <c r="D57" s="168" t="s">
        <v>736</v>
      </c>
      <c r="E57" s="166">
        <v>0</v>
      </c>
      <c r="F57" s="168" t="s">
        <v>736</v>
      </c>
      <c r="G57" s="167">
        <v>0</v>
      </c>
    </row>
    <row r="58" spans="1:7" ht="27" customHeight="1" x14ac:dyDescent="0.25">
      <c r="A58" s="95">
        <v>37311</v>
      </c>
      <c r="B58" s="116" t="s">
        <v>328</v>
      </c>
      <c r="C58" s="96">
        <v>10200</v>
      </c>
      <c r="D58" s="168" t="s">
        <v>736</v>
      </c>
      <c r="E58" s="166">
        <v>0</v>
      </c>
      <c r="F58" s="168" t="s">
        <v>736</v>
      </c>
      <c r="G58" s="167">
        <v>0</v>
      </c>
    </row>
    <row r="59" spans="1:7" ht="27" customHeight="1" x14ac:dyDescent="0.25">
      <c r="A59" s="95">
        <v>37312</v>
      </c>
      <c r="B59" s="116" t="s">
        <v>328</v>
      </c>
      <c r="C59" s="96">
        <v>10200</v>
      </c>
      <c r="D59" s="168" t="s">
        <v>736</v>
      </c>
      <c r="E59" s="166">
        <v>0</v>
      </c>
      <c r="F59" s="168" t="s">
        <v>736</v>
      </c>
      <c r="G59" s="167">
        <v>0</v>
      </c>
    </row>
    <row r="60" spans="1:7" ht="27" customHeight="1" x14ac:dyDescent="0.25">
      <c r="A60" s="95">
        <v>37313</v>
      </c>
      <c r="B60" s="116" t="s">
        <v>328</v>
      </c>
      <c r="C60" s="96">
        <v>10200</v>
      </c>
      <c r="D60" s="168" t="s">
        <v>736</v>
      </c>
      <c r="E60" s="166">
        <v>0</v>
      </c>
      <c r="F60" s="168" t="s">
        <v>767</v>
      </c>
      <c r="G60" s="167">
        <v>0</v>
      </c>
    </row>
    <row r="61" spans="1:7" ht="27" customHeight="1" x14ac:dyDescent="0.25">
      <c r="A61" s="95">
        <v>37314</v>
      </c>
      <c r="B61" s="116" t="s">
        <v>51</v>
      </c>
      <c r="C61" s="96">
        <v>10100</v>
      </c>
      <c r="D61" s="168" t="s">
        <v>765</v>
      </c>
      <c r="E61" s="166">
        <v>0</v>
      </c>
      <c r="F61" s="168" t="s">
        <v>767</v>
      </c>
      <c r="G61" s="167">
        <v>0</v>
      </c>
    </row>
    <row r="62" spans="1:7" ht="27" customHeight="1" x14ac:dyDescent="0.25">
      <c r="A62" s="95">
        <v>37315</v>
      </c>
      <c r="B62" s="116" t="s">
        <v>56</v>
      </c>
      <c r="C62" s="96">
        <v>9900</v>
      </c>
      <c r="D62" s="168" t="s">
        <v>765</v>
      </c>
      <c r="E62" s="166">
        <v>0</v>
      </c>
      <c r="F62" s="168" t="s">
        <v>767</v>
      </c>
      <c r="G62" s="167">
        <v>0</v>
      </c>
    </row>
    <row r="63" spans="1:7" ht="27" customHeight="1" x14ac:dyDescent="0.25">
      <c r="A63" s="95">
        <v>37316</v>
      </c>
      <c r="B63" s="188" t="s">
        <v>736</v>
      </c>
      <c r="C63" s="188" t="s">
        <v>736</v>
      </c>
      <c r="D63" s="168" t="s">
        <v>736</v>
      </c>
      <c r="E63" s="166">
        <v>0</v>
      </c>
      <c r="F63" s="168" t="s">
        <v>736</v>
      </c>
      <c r="G63" s="167">
        <v>0</v>
      </c>
    </row>
    <row r="64" spans="1:7" ht="27" customHeight="1" x14ac:dyDescent="0.25">
      <c r="A64" s="95">
        <v>37317</v>
      </c>
      <c r="B64" s="116" t="s">
        <v>58</v>
      </c>
      <c r="C64" s="96">
        <v>9800</v>
      </c>
      <c r="D64" s="166">
        <v>0</v>
      </c>
      <c r="E64" s="166">
        <v>0</v>
      </c>
      <c r="F64" s="166">
        <v>0</v>
      </c>
      <c r="G64" s="167">
        <v>0</v>
      </c>
    </row>
    <row r="65" spans="1:7" ht="27" customHeight="1" x14ac:dyDescent="0.25">
      <c r="A65" s="95">
        <v>37318</v>
      </c>
      <c r="B65" s="116" t="s">
        <v>60</v>
      </c>
      <c r="C65" s="96">
        <v>9700</v>
      </c>
      <c r="D65" s="166">
        <v>0</v>
      </c>
      <c r="E65" s="166">
        <v>0</v>
      </c>
      <c r="F65" s="166">
        <v>0</v>
      </c>
      <c r="G65" s="167">
        <v>0</v>
      </c>
    </row>
    <row r="66" spans="1:7" ht="27" customHeight="1" x14ac:dyDescent="0.25">
      <c r="A66" s="95">
        <v>37319</v>
      </c>
      <c r="B66" s="116" t="s">
        <v>68</v>
      </c>
      <c r="C66" s="96">
        <v>9400</v>
      </c>
      <c r="D66" s="166">
        <v>0</v>
      </c>
      <c r="E66" s="166">
        <v>0</v>
      </c>
      <c r="F66" s="166">
        <v>0</v>
      </c>
      <c r="G66" s="167">
        <v>0</v>
      </c>
    </row>
    <row r="67" spans="1:7" ht="27" customHeight="1" x14ac:dyDescent="0.25">
      <c r="A67" s="95">
        <v>37320</v>
      </c>
      <c r="B67" s="116" t="s">
        <v>72</v>
      </c>
      <c r="C67" s="96">
        <v>9200</v>
      </c>
      <c r="D67" s="166">
        <v>0</v>
      </c>
      <c r="E67" s="166">
        <v>0</v>
      </c>
      <c r="F67" s="166">
        <v>0</v>
      </c>
      <c r="G67" s="167">
        <v>0</v>
      </c>
    </row>
    <row r="68" spans="1:7" ht="27" customHeight="1" x14ac:dyDescent="0.25">
      <c r="A68" s="95">
        <v>37321</v>
      </c>
      <c r="B68" s="116" t="s">
        <v>80</v>
      </c>
      <c r="C68" s="96">
        <v>9000</v>
      </c>
      <c r="D68" s="166">
        <v>0</v>
      </c>
      <c r="E68" s="166">
        <v>0</v>
      </c>
      <c r="F68" s="166">
        <v>0</v>
      </c>
      <c r="G68" s="167">
        <v>0</v>
      </c>
    </row>
    <row r="69" spans="1:7" ht="27" customHeight="1" x14ac:dyDescent="0.25">
      <c r="A69" s="95">
        <v>37322</v>
      </c>
      <c r="B69" s="116" t="s">
        <v>76</v>
      </c>
      <c r="C69" s="96">
        <v>9100</v>
      </c>
      <c r="D69" s="166">
        <v>0</v>
      </c>
      <c r="E69" s="166">
        <v>0</v>
      </c>
      <c r="F69" s="166">
        <v>0</v>
      </c>
      <c r="G69" s="167">
        <v>0</v>
      </c>
    </row>
    <row r="70" spans="1:7" ht="27" customHeight="1" x14ac:dyDescent="0.25">
      <c r="A70" s="95">
        <v>37323</v>
      </c>
      <c r="B70" s="116" t="s">
        <v>72</v>
      </c>
      <c r="C70" s="96">
        <v>9200</v>
      </c>
      <c r="D70" s="166">
        <v>0</v>
      </c>
      <c r="E70" s="166">
        <v>0</v>
      </c>
      <c r="F70" s="166">
        <v>0</v>
      </c>
      <c r="G70" s="167">
        <v>0</v>
      </c>
    </row>
    <row r="71" spans="1:7" ht="27" customHeight="1" x14ac:dyDescent="0.25">
      <c r="A71" s="95">
        <v>37324</v>
      </c>
      <c r="B71" s="116" t="s">
        <v>72</v>
      </c>
      <c r="C71" s="96">
        <v>9200</v>
      </c>
      <c r="D71" s="166">
        <v>0</v>
      </c>
      <c r="E71" s="166">
        <v>0</v>
      </c>
      <c r="F71" s="166">
        <v>0</v>
      </c>
      <c r="G71" s="167">
        <v>0</v>
      </c>
    </row>
    <row r="72" spans="1:7" ht="27" customHeight="1" x14ac:dyDescent="0.25">
      <c r="A72" s="95">
        <v>37325</v>
      </c>
      <c r="B72" s="116" t="s">
        <v>72</v>
      </c>
      <c r="C72" s="96">
        <v>9200</v>
      </c>
      <c r="D72" s="166">
        <v>0</v>
      </c>
      <c r="E72" s="166">
        <v>0</v>
      </c>
      <c r="F72" s="166">
        <v>0</v>
      </c>
      <c r="G72" s="167">
        <v>0</v>
      </c>
    </row>
    <row r="73" spans="1:7" ht="27" customHeight="1" x14ac:dyDescent="0.25">
      <c r="A73" s="95">
        <v>37326</v>
      </c>
      <c r="B73" s="116" t="s">
        <v>72</v>
      </c>
      <c r="C73" s="96">
        <v>9200</v>
      </c>
      <c r="D73" s="166">
        <v>0</v>
      </c>
      <c r="E73" s="166">
        <v>0</v>
      </c>
      <c r="F73" s="166">
        <v>0</v>
      </c>
      <c r="G73" s="167">
        <v>0</v>
      </c>
    </row>
    <row r="74" spans="1:7" ht="27" customHeight="1" x14ac:dyDescent="0.25">
      <c r="A74" s="95">
        <v>37327</v>
      </c>
      <c r="B74" s="116" t="s">
        <v>72</v>
      </c>
      <c r="C74" s="96">
        <v>9200</v>
      </c>
      <c r="D74" s="166">
        <v>0</v>
      </c>
      <c r="E74" s="166">
        <v>0</v>
      </c>
      <c r="F74" s="166">
        <v>0</v>
      </c>
      <c r="G74" s="167">
        <v>0</v>
      </c>
    </row>
    <row r="75" spans="1:7" ht="27" customHeight="1" x14ac:dyDescent="0.25">
      <c r="A75" s="95">
        <v>37328</v>
      </c>
      <c r="B75" s="116" t="s">
        <v>76</v>
      </c>
      <c r="C75" s="96">
        <v>9100</v>
      </c>
      <c r="D75" s="166">
        <v>0</v>
      </c>
      <c r="E75" s="166">
        <v>0</v>
      </c>
      <c r="F75" s="166">
        <v>0</v>
      </c>
      <c r="G75" s="167">
        <v>0</v>
      </c>
    </row>
    <row r="76" spans="1:7" ht="27" customHeight="1" x14ac:dyDescent="0.25">
      <c r="A76" s="95">
        <v>37329</v>
      </c>
      <c r="B76" s="116" t="s">
        <v>76</v>
      </c>
      <c r="C76" s="96">
        <v>9100</v>
      </c>
      <c r="D76" s="166">
        <v>0</v>
      </c>
      <c r="E76" s="166">
        <v>0</v>
      </c>
      <c r="F76" s="166">
        <v>0</v>
      </c>
      <c r="G76" s="167">
        <v>0</v>
      </c>
    </row>
    <row r="77" spans="1:7" ht="27" customHeight="1" x14ac:dyDescent="0.25">
      <c r="A77" s="95">
        <v>37330</v>
      </c>
      <c r="B77" s="116" t="s">
        <v>76</v>
      </c>
      <c r="C77" s="96">
        <v>9100</v>
      </c>
      <c r="D77" s="166">
        <v>0</v>
      </c>
      <c r="E77" s="166">
        <v>0</v>
      </c>
      <c r="F77" s="166">
        <v>0</v>
      </c>
      <c r="G77" s="167">
        <v>0</v>
      </c>
    </row>
    <row r="78" spans="1:7" ht="27" customHeight="1" x14ac:dyDescent="0.25">
      <c r="A78" s="95">
        <v>37331</v>
      </c>
      <c r="B78" s="116" t="s">
        <v>76</v>
      </c>
      <c r="C78" s="96">
        <v>9100</v>
      </c>
      <c r="D78" s="166">
        <v>0</v>
      </c>
      <c r="E78" s="166">
        <v>0</v>
      </c>
      <c r="F78" s="166">
        <v>0</v>
      </c>
      <c r="G78" s="167">
        <v>0</v>
      </c>
    </row>
    <row r="79" spans="1:7" ht="27" customHeight="1" x14ac:dyDescent="0.25">
      <c r="A79" s="95">
        <v>37332</v>
      </c>
      <c r="B79" s="116" t="s">
        <v>80</v>
      </c>
      <c r="C79" s="96">
        <v>9000</v>
      </c>
      <c r="D79" s="166">
        <v>0</v>
      </c>
      <c r="E79" s="166">
        <v>0</v>
      </c>
      <c r="F79" s="166">
        <v>0</v>
      </c>
      <c r="G79" s="167">
        <v>0</v>
      </c>
    </row>
    <row r="80" spans="1:7" ht="27" customHeight="1" x14ac:dyDescent="0.25">
      <c r="A80" s="95">
        <v>37333</v>
      </c>
      <c r="B80" s="116" t="s">
        <v>80</v>
      </c>
      <c r="C80" s="96">
        <v>9000</v>
      </c>
      <c r="D80" s="166">
        <v>0</v>
      </c>
      <c r="E80" s="166">
        <v>0</v>
      </c>
      <c r="F80" s="166">
        <v>0</v>
      </c>
      <c r="G80" s="167">
        <v>0</v>
      </c>
    </row>
    <row r="81" spans="1:7" ht="27" customHeight="1" x14ac:dyDescent="0.25">
      <c r="A81" s="95">
        <v>37334</v>
      </c>
      <c r="B81" s="116" t="s">
        <v>80</v>
      </c>
      <c r="C81" s="96">
        <v>9000</v>
      </c>
      <c r="D81" s="166">
        <v>0</v>
      </c>
      <c r="E81" s="166">
        <v>0</v>
      </c>
      <c r="F81" s="166">
        <v>0</v>
      </c>
      <c r="G81" s="167">
        <v>0</v>
      </c>
    </row>
    <row r="82" spans="1:7" ht="27" customHeight="1" x14ac:dyDescent="0.25">
      <c r="A82" s="95">
        <v>37335</v>
      </c>
      <c r="B82" s="116" t="s">
        <v>80</v>
      </c>
      <c r="C82" s="96">
        <v>9000</v>
      </c>
      <c r="D82" s="166">
        <v>1</v>
      </c>
      <c r="E82" s="166">
        <v>0</v>
      </c>
      <c r="F82" s="166">
        <v>0</v>
      </c>
      <c r="G82" s="167">
        <v>0</v>
      </c>
    </row>
    <row r="83" spans="1:7" ht="27" customHeight="1" x14ac:dyDescent="0.25">
      <c r="A83" s="95">
        <v>37336</v>
      </c>
      <c r="B83" s="116" t="s">
        <v>82</v>
      </c>
      <c r="C83" s="116">
        <v>8800</v>
      </c>
      <c r="D83" s="166">
        <v>1</v>
      </c>
      <c r="E83" s="166">
        <v>0</v>
      </c>
      <c r="F83" s="166">
        <v>1</v>
      </c>
      <c r="G83" s="167">
        <v>0</v>
      </c>
    </row>
    <row r="84" spans="1:7" ht="27" customHeight="1" x14ac:dyDescent="0.25">
      <c r="A84" s="95">
        <v>37337</v>
      </c>
      <c r="B84" s="116" t="s">
        <v>403</v>
      </c>
      <c r="C84" s="116">
        <v>8600</v>
      </c>
      <c r="D84" s="166">
        <v>1</v>
      </c>
      <c r="E84" s="166">
        <v>0</v>
      </c>
      <c r="F84" s="166">
        <v>1</v>
      </c>
      <c r="G84" s="167">
        <v>0</v>
      </c>
    </row>
    <row r="85" spans="1:7" ht="27" customHeight="1" x14ac:dyDescent="0.25">
      <c r="A85" s="95">
        <v>37338</v>
      </c>
      <c r="B85" s="116" t="s">
        <v>86</v>
      </c>
      <c r="C85" s="175">
        <v>8400</v>
      </c>
      <c r="D85" s="166">
        <v>0</v>
      </c>
      <c r="E85" s="166">
        <v>0</v>
      </c>
      <c r="F85" s="166">
        <v>1</v>
      </c>
      <c r="G85" s="167">
        <v>0</v>
      </c>
    </row>
    <row r="86" spans="1:7" ht="27" customHeight="1" x14ac:dyDescent="0.25">
      <c r="A86" s="95">
        <v>37339</v>
      </c>
      <c r="B86" s="116" t="s">
        <v>88</v>
      </c>
      <c r="C86" s="175">
        <v>8300</v>
      </c>
      <c r="D86" s="166">
        <v>0</v>
      </c>
      <c r="E86" s="166">
        <v>0</v>
      </c>
      <c r="F86" s="166">
        <v>1</v>
      </c>
      <c r="G86" s="167">
        <v>0</v>
      </c>
    </row>
    <row r="87" spans="1:7" ht="27" customHeight="1" x14ac:dyDescent="0.25">
      <c r="A87" s="95">
        <v>37340</v>
      </c>
      <c r="B87" s="116" t="s">
        <v>88</v>
      </c>
      <c r="C87" s="175">
        <v>8300</v>
      </c>
      <c r="D87" s="166">
        <v>0</v>
      </c>
      <c r="E87" s="166">
        <v>0</v>
      </c>
      <c r="F87" s="166">
        <v>0</v>
      </c>
      <c r="G87" s="167">
        <v>0</v>
      </c>
    </row>
    <row r="88" spans="1:7" ht="27" customHeight="1" x14ac:dyDescent="0.25">
      <c r="A88" s="95">
        <v>37341</v>
      </c>
      <c r="B88" s="116" t="s">
        <v>88</v>
      </c>
      <c r="C88" s="175">
        <v>8300</v>
      </c>
      <c r="D88" s="166">
        <v>0</v>
      </c>
      <c r="E88" s="166">
        <v>0</v>
      </c>
      <c r="F88" s="166">
        <v>0</v>
      </c>
      <c r="G88" s="167">
        <v>0</v>
      </c>
    </row>
    <row r="89" spans="1:7" ht="27" customHeight="1" x14ac:dyDescent="0.25">
      <c r="A89" s="95">
        <v>37342</v>
      </c>
      <c r="B89" s="116" t="s">
        <v>88</v>
      </c>
      <c r="C89" s="175">
        <v>8300</v>
      </c>
      <c r="D89" s="166">
        <v>0</v>
      </c>
      <c r="E89" s="166">
        <v>0</v>
      </c>
      <c r="F89" s="166">
        <v>0</v>
      </c>
      <c r="G89" s="167">
        <v>0</v>
      </c>
    </row>
    <row r="90" spans="1:7" ht="27" customHeight="1" x14ac:dyDescent="0.25">
      <c r="A90" s="95">
        <v>37343</v>
      </c>
      <c r="B90" s="116" t="s">
        <v>88</v>
      </c>
      <c r="C90" s="175">
        <v>8300</v>
      </c>
      <c r="D90" s="166">
        <v>0</v>
      </c>
      <c r="E90" s="166">
        <v>0</v>
      </c>
      <c r="F90" s="166">
        <v>0</v>
      </c>
      <c r="G90" s="167">
        <v>0</v>
      </c>
    </row>
    <row r="91" spans="1:7" ht="27" customHeight="1" x14ac:dyDescent="0.25">
      <c r="A91" s="95">
        <v>37344</v>
      </c>
      <c r="B91" s="116" t="s">
        <v>90</v>
      </c>
      <c r="C91" s="175">
        <v>8250</v>
      </c>
      <c r="D91" s="166">
        <v>0</v>
      </c>
      <c r="E91" s="166">
        <v>0</v>
      </c>
      <c r="F91" s="166">
        <v>0</v>
      </c>
      <c r="G91" s="167">
        <v>0</v>
      </c>
    </row>
    <row r="92" spans="1:7" ht="27" customHeight="1" x14ac:dyDescent="0.25">
      <c r="A92" s="95">
        <v>37345</v>
      </c>
      <c r="B92" s="116" t="s">
        <v>90</v>
      </c>
      <c r="C92" s="175">
        <v>8250</v>
      </c>
      <c r="D92" s="166">
        <v>0</v>
      </c>
      <c r="E92" s="166">
        <v>0</v>
      </c>
      <c r="F92" s="166">
        <v>0</v>
      </c>
      <c r="G92" s="167">
        <v>0</v>
      </c>
    </row>
    <row r="93" spans="1:7" ht="27" customHeight="1" x14ac:dyDescent="0.25">
      <c r="A93" s="95">
        <v>37346</v>
      </c>
      <c r="B93" s="116" t="s">
        <v>90</v>
      </c>
      <c r="C93" s="175">
        <v>8250</v>
      </c>
      <c r="D93" s="166">
        <v>0</v>
      </c>
      <c r="E93" s="166">
        <v>0</v>
      </c>
      <c r="F93" s="166">
        <v>0</v>
      </c>
      <c r="G93" s="167">
        <v>0</v>
      </c>
    </row>
    <row r="94" spans="1:7" ht="27" customHeight="1" x14ac:dyDescent="0.25">
      <c r="A94" s="95">
        <v>37347</v>
      </c>
      <c r="B94" s="116" t="s">
        <v>90</v>
      </c>
      <c r="C94" s="175">
        <v>8250</v>
      </c>
      <c r="D94" s="166">
        <v>0</v>
      </c>
      <c r="E94" s="166">
        <v>0</v>
      </c>
      <c r="F94" s="166">
        <v>0</v>
      </c>
      <c r="G94" s="167">
        <v>0</v>
      </c>
    </row>
    <row r="95" spans="1:7" ht="27" customHeight="1" x14ac:dyDescent="0.25">
      <c r="A95" s="95">
        <v>37348</v>
      </c>
      <c r="B95" s="116" t="s">
        <v>403</v>
      </c>
      <c r="C95" s="116">
        <v>8600</v>
      </c>
      <c r="D95" s="166">
        <v>0</v>
      </c>
      <c r="E95" s="166">
        <v>0</v>
      </c>
      <c r="F95" s="166">
        <v>0</v>
      </c>
      <c r="G95" s="167">
        <v>0</v>
      </c>
    </row>
    <row r="96" spans="1:7" ht="27" customHeight="1" x14ac:dyDescent="0.25">
      <c r="A96" s="95">
        <v>37349</v>
      </c>
      <c r="B96" s="116" t="s">
        <v>403</v>
      </c>
      <c r="C96" s="116">
        <v>8600</v>
      </c>
      <c r="D96" s="166">
        <v>0</v>
      </c>
      <c r="E96" s="166">
        <v>0</v>
      </c>
      <c r="F96" s="166">
        <v>0</v>
      </c>
      <c r="G96" s="167">
        <v>0</v>
      </c>
    </row>
    <row r="97" spans="1:7" ht="27" customHeight="1" x14ac:dyDescent="0.25">
      <c r="A97" s="95">
        <v>37350</v>
      </c>
      <c r="B97" s="116" t="s">
        <v>403</v>
      </c>
      <c r="C97" s="116">
        <v>8600</v>
      </c>
      <c r="D97" s="166">
        <v>0</v>
      </c>
      <c r="E97" s="166">
        <v>0</v>
      </c>
      <c r="F97" s="166">
        <v>0</v>
      </c>
      <c r="G97" s="167">
        <v>0</v>
      </c>
    </row>
    <row r="98" spans="1:7" ht="27" customHeight="1" x14ac:dyDescent="0.25">
      <c r="A98" s="95">
        <v>37351</v>
      </c>
      <c r="B98" s="116" t="s">
        <v>403</v>
      </c>
      <c r="C98" s="116">
        <v>8600</v>
      </c>
      <c r="D98" s="166">
        <v>0</v>
      </c>
      <c r="E98" s="166">
        <v>0</v>
      </c>
      <c r="F98" s="166">
        <v>0</v>
      </c>
      <c r="G98" s="167">
        <v>0</v>
      </c>
    </row>
    <row r="99" spans="1:7" ht="27" customHeight="1" x14ac:dyDescent="0.25">
      <c r="A99" s="95">
        <v>37352</v>
      </c>
      <c r="B99" s="116" t="s">
        <v>403</v>
      </c>
      <c r="C99" s="116">
        <v>8600</v>
      </c>
      <c r="D99" s="166">
        <v>0</v>
      </c>
      <c r="E99" s="166">
        <v>0</v>
      </c>
      <c r="F99" s="166">
        <v>0</v>
      </c>
      <c r="G99" s="167">
        <v>0</v>
      </c>
    </row>
    <row r="100" spans="1:7" ht="27" customHeight="1" x14ac:dyDescent="0.25">
      <c r="A100" s="95">
        <v>37353</v>
      </c>
      <c r="B100" s="116" t="s">
        <v>403</v>
      </c>
      <c r="C100" s="116">
        <v>8600</v>
      </c>
      <c r="D100" s="166">
        <v>0</v>
      </c>
      <c r="E100" s="166">
        <v>0</v>
      </c>
      <c r="F100" s="166">
        <v>0</v>
      </c>
      <c r="G100" s="167">
        <v>0</v>
      </c>
    </row>
    <row r="101" spans="1:7" ht="27" customHeight="1" x14ac:dyDescent="0.25">
      <c r="A101" s="95">
        <v>37354</v>
      </c>
      <c r="B101" s="116" t="s">
        <v>326</v>
      </c>
      <c r="C101" s="96">
        <v>8700</v>
      </c>
      <c r="D101" s="166">
        <v>0</v>
      </c>
      <c r="E101" s="166">
        <v>0</v>
      </c>
      <c r="F101" s="166">
        <v>0</v>
      </c>
      <c r="G101" s="167">
        <v>0</v>
      </c>
    </row>
    <row r="102" spans="1:7" ht="27" customHeight="1" x14ac:dyDescent="0.25">
      <c r="A102" s="95">
        <v>37355</v>
      </c>
      <c r="B102" s="116" t="s">
        <v>326</v>
      </c>
      <c r="C102" s="96">
        <v>8700</v>
      </c>
      <c r="D102" s="166">
        <v>0</v>
      </c>
      <c r="E102" s="166">
        <v>0</v>
      </c>
      <c r="F102" s="166">
        <v>0</v>
      </c>
      <c r="G102" s="167">
        <v>0</v>
      </c>
    </row>
    <row r="103" spans="1:7" ht="27" customHeight="1" x14ac:dyDescent="0.25">
      <c r="A103" s="95">
        <v>37356</v>
      </c>
      <c r="B103" s="116" t="s">
        <v>326</v>
      </c>
      <c r="C103" s="96">
        <v>8700</v>
      </c>
      <c r="D103" s="166">
        <v>0</v>
      </c>
      <c r="E103" s="166">
        <v>0</v>
      </c>
      <c r="F103" s="166">
        <v>0</v>
      </c>
      <c r="G103" s="167">
        <v>0</v>
      </c>
    </row>
    <row r="104" spans="1:7" ht="27" customHeight="1" x14ac:dyDescent="0.25">
      <c r="A104" s="95">
        <v>37357</v>
      </c>
      <c r="B104" s="116" t="s">
        <v>326</v>
      </c>
      <c r="C104" s="96">
        <v>8700</v>
      </c>
      <c r="D104" s="166">
        <v>0</v>
      </c>
      <c r="E104" s="166">
        <v>0</v>
      </c>
      <c r="F104" s="166">
        <v>0</v>
      </c>
      <c r="G104" s="167">
        <v>0</v>
      </c>
    </row>
    <row r="105" spans="1:7" ht="27" customHeight="1" x14ac:dyDescent="0.25">
      <c r="A105" s="95">
        <v>37358</v>
      </c>
      <c r="B105" s="116" t="s">
        <v>80</v>
      </c>
      <c r="C105" s="116">
        <v>9000</v>
      </c>
      <c r="D105" s="166">
        <v>0</v>
      </c>
      <c r="E105" s="166">
        <v>0</v>
      </c>
      <c r="F105" s="166">
        <v>0</v>
      </c>
      <c r="G105" s="167">
        <v>0</v>
      </c>
    </row>
    <row r="106" spans="1:7" ht="27" customHeight="1" x14ac:dyDescent="0.25">
      <c r="A106" s="95">
        <v>37359</v>
      </c>
      <c r="B106" s="116" t="s">
        <v>76</v>
      </c>
      <c r="C106" s="116">
        <v>9100</v>
      </c>
      <c r="D106" s="166">
        <v>0</v>
      </c>
      <c r="E106" s="166">
        <v>0</v>
      </c>
      <c r="F106" s="166">
        <v>0</v>
      </c>
      <c r="G106" s="167">
        <v>0</v>
      </c>
    </row>
    <row r="107" spans="1:7" ht="27" customHeight="1" x14ac:dyDescent="0.25">
      <c r="A107" s="95">
        <v>37360</v>
      </c>
      <c r="B107" s="116" t="s">
        <v>72</v>
      </c>
      <c r="C107" s="116">
        <v>9200</v>
      </c>
      <c r="D107" s="166">
        <v>0</v>
      </c>
      <c r="E107" s="166">
        <v>0</v>
      </c>
      <c r="F107" s="166">
        <v>0</v>
      </c>
      <c r="G107" s="167">
        <v>0</v>
      </c>
    </row>
    <row r="108" spans="1:7" ht="27" customHeight="1" x14ac:dyDescent="0.25">
      <c r="A108" s="95">
        <v>37361</v>
      </c>
      <c r="B108" s="116" t="s">
        <v>70</v>
      </c>
      <c r="C108" s="116">
        <v>9300</v>
      </c>
      <c r="D108" s="166">
        <v>0</v>
      </c>
      <c r="E108" s="166">
        <v>0</v>
      </c>
      <c r="F108" s="166">
        <v>0</v>
      </c>
      <c r="G108" s="167">
        <v>0</v>
      </c>
    </row>
    <row r="109" spans="1:7" ht="27" customHeight="1" x14ac:dyDescent="0.25">
      <c r="A109" s="95">
        <v>37362</v>
      </c>
      <c r="B109" s="116" t="s">
        <v>68</v>
      </c>
      <c r="C109" s="116">
        <v>9400</v>
      </c>
      <c r="D109" s="166">
        <v>0</v>
      </c>
      <c r="E109" s="166">
        <v>0</v>
      </c>
      <c r="F109" s="166">
        <v>0</v>
      </c>
      <c r="G109" s="167">
        <v>0</v>
      </c>
    </row>
    <row r="110" spans="1:7" ht="27" customHeight="1" x14ac:dyDescent="0.25">
      <c r="A110" s="95">
        <v>37363</v>
      </c>
      <c r="B110" s="116" t="s">
        <v>64</v>
      </c>
      <c r="C110" s="116">
        <v>9500</v>
      </c>
      <c r="D110" s="166">
        <v>0</v>
      </c>
      <c r="E110" s="166">
        <v>0</v>
      </c>
      <c r="F110" s="166">
        <v>0</v>
      </c>
      <c r="G110" s="167">
        <v>0</v>
      </c>
    </row>
    <row r="111" spans="1:7" ht="27" customHeight="1" x14ac:dyDescent="0.25">
      <c r="A111" s="95">
        <v>37364</v>
      </c>
      <c r="B111" s="116" t="s">
        <v>62</v>
      </c>
      <c r="C111" s="116">
        <v>9600</v>
      </c>
      <c r="D111" s="166">
        <v>0</v>
      </c>
      <c r="E111" s="166">
        <v>0</v>
      </c>
      <c r="F111" s="166">
        <v>0</v>
      </c>
      <c r="G111" s="167">
        <v>0</v>
      </c>
    </row>
    <row r="112" spans="1:7" ht="27" customHeight="1" x14ac:dyDescent="0.25">
      <c r="A112" s="95">
        <v>37365</v>
      </c>
      <c r="B112" s="116" t="s">
        <v>62</v>
      </c>
      <c r="C112" s="116" t="s">
        <v>1396</v>
      </c>
      <c r="D112" s="166">
        <v>0</v>
      </c>
      <c r="E112" s="166">
        <v>0</v>
      </c>
      <c r="F112" s="166">
        <v>0</v>
      </c>
      <c r="G112" s="167">
        <v>0</v>
      </c>
    </row>
    <row r="113" spans="1:7" ht="27" customHeight="1" x14ac:dyDescent="0.25">
      <c r="A113" s="95">
        <v>37366</v>
      </c>
      <c r="B113" s="116" t="s">
        <v>1440</v>
      </c>
      <c r="C113" s="116" t="s">
        <v>1441</v>
      </c>
      <c r="D113" s="166">
        <v>0</v>
      </c>
      <c r="E113" s="166">
        <v>0</v>
      </c>
      <c r="F113" s="166">
        <v>0</v>
      </c>
      <c r="G113" s="167">
        <v>0</v>
      </c>
    </row>
    <row r="114" spans="1:7" ht="27" customHeight="1" x14ac:dyDescent="0.25">
      <c r="A114" s="95">
        <v>37367</v>
      </c>
      <c r="B114" s="116" t="s">
        <v>1440</v>
      </c>
      <c r="C114" s="116" t="s">
        <v>1441</v>
      </c>
      <c r="D114" s="166">
        <v>0</v>
      </c>
      <c r="E114" s="166">
        <v>0</v>
      </c>
      <c r="F114" s="166">
        <v>0</v>
      </c>
      <c r="G114" s="167">
        <v>0</v>
      </c>
    </row>
    <row r="115" spans="1:7" ht="27" customHeight="1" x14ac:dyDescent="0.25">
      <c r="A115" s="95">
        <v>37368</v>
      </c>
      <c r="B115" s="116" t="s">
        <v>60</v>
      </c>
      <c r="C115" s="116" t="s">
        <v>1299</v>
      </c>
      <c r="D115" s="166">
        <v>0</v>
      </c>
      <c r="E115" s="166">
        <v>0</v>
      </c>
      <c r="F115" s="166">
        <v>0</v>
      </c>
      <c r="G115" s="167">
        <v>0</v>
      </c>
    </row>
    <row r="116" spans="1:7" ht="27" customHeight="1" x14ac:dyDescent="0.25">
      <c r="A116" s="95">
        <v>37369</v>
      </c>
      <c r="B116" s="116" t="s">
        <v>60</v>
      </c>
      <c r="C116" s="116" t="s">
        <v>1299</v>
      </c>
      <c r="D116" s="166">
        <v>0</v>
      </c>
      <c r="E116" s="166">
        <v>0</v>
      </c>
      <c r="F116" s="166">
        <v>0</v>
      </c>
      <c r="G116" s="167">
        <v>0</v>
      </c>
    </row>
    <row r="117" spans="1:7" ht="27" customHeight="1" x14ac:dyDescent="0.25">
      <c r="A117" s="95">
        <v>37370</v>
      </c>
      <c r="B117" s="116" t="s">
        <v>58</v>
      </c>
      <c r="C117" s="116" t="s">
        <v>1430</v>
      </c>
      <c r="D117" s="166">
        <v>0</v>
      </c>
      <c r="E117" s="166">
        <v>0</v>
      </c>
      <c r="F117" s="166">
        <v>0</v>
      </c>
      <c r="G117" s="167">
        <v>0</v>
      </c>
    </row>
    <row r="118" spans="1:7" ht="27" customHeight="1" x14ac:dyDescent="0.25">
      <c r="A118" s="95">
        <v>37371</v>
      </c>
      <c r="B118" s="116" t="s">
        <v>58</v>
      </c>
      <c r="C118" s="116" t="s">
        <v>1430</v>
      </c>
      <c r="D118" s="166">
        <v>0</v>
      </c>
      <c r="E118" s="166">
        <v>0</v>
      </c>
      <c r="F118" s="166">
        <v>0</v>
      </c>
      <c r="G118" s="167">
        <v>0</v>
      </c>
    </row>
    <row r="119" spans="1:7" ht="27" customHeight="1" x14ac:dyDescent="0.25">
      <c r="A119" s="95">
        <v>37372</v>
      </c>
      <c r="B119" s="116" t="s">
        <v>56</v>
      </c>
      <c r="C119" s="116">
        <v>9900</v>
      </c>
      <c r="D119" s="166">
        <v>0</v>
      </c>
      <c r="E119" s="166">
        <v>0</v>
      </c>
      <c r="F119" s="166">
        <v>0</v>
      </c>
      <c r="G119" s="167">
        <v>0</v>
      </c>
    </row>
    <row r="120" spans="1:7" ht="27" customHeight="1" x14ac:dyDescent="0.25">
      <c r="A120" s="95">
        <v>37373</v>
      </c>
      <c r="B120" s="116" t="s">
        <v>56</v>
      </c>
      <c r="C120" s="116">
        <v>9900</v>
      </c>
      <c r="D120" s="166">
        <v>0</v>
      </c>
      <c r="E120" s="166">
        <v>0</v>
      </c>
      <c r="F120" s="166">
        <v>0</v>
      </c>
      <c r="G120" s="167">
        <v>0</v>
      </c>
    </row>
    <row r="121" spans="1:7" ht="27" customHeight="1" x14ac:dyDescent="0.25">
      <c r="A121" s="95">
        <v>37374</v>
      </c>
      <c r="B121" s="116" t="s">
        <v>51</v>
      </c>
      <c r="C121" s="116">
        <v>10100</v>
      </c>
      <c r="D121" s="166">
        <v>0</v>
      </c>
      <c r="E121" s="166">
        <v>0</v>
      </c>
      <c r="F121" s="166">
        <v>0</v>
      </c>
      <c r="G121" s="167">
        <v>0</v>
      </c>
    </row>
    <row r="122" spans="1:7" ht="27" customHeight="1" x14ac:dyDescent="0.25">
      <c r="A122" s="95">
        <v>37375</v>
      </c>
      <c r="B122" s="116" t="s">
        <v>328</v>
      </c>
      <c r="C122" s="116">
        <v>10200</v>
      </c>
      <c r="D122" s="166">
        <v>0</v>
      </c>
      <c r="E122" s="166">
        <v>0</v>
      </c>
      <c r="F122" s="166">
        <v>0</v>
      </c>
      <c r="G122" s="167">
        <v>0</v>
      </c>
    </row>
    <row r="123" spans="1:7" ht="27" customHeight="1" x14ac:dyDescent="0.25">
      <c r="A123" s="95">
        <v>37376</v>
      </c>
      <c r="B123" s="116" t="s">
        <v>49</v>
      </c>
      <c r="C123" s="116">
        <v>10300</v>
      </c>
      <c r="D123" s="166">
        <v>0</v>
      </c>
      <c r="E123" s="166">
        <v>0</v>
      </c>
      <c r="F123" s="166">
        <v>0</v>
      </c>
      <c r="G123" s="167">
        <v>0</v>
      </c>
    </row>
    <row r="124" spans="1:7" ht="27" customHeight="1" x14ac:dyDescent="0.25">
      <c r="A124" s="95">
        <v>37377</v>
      </c>
      <c r="B124" s="116" t="s">
        <v>49</v>
      </c>
      <c r="C124" s="116">
        <v>10300</v>
      </c>
      <c r="D124" s="166">
        <v>0</v>
      </c>
      <c r="E124" s="166">
        <v>0</v>
      </c>
      <c r="F124" s="166">
        <v>0</v>
      </c>
      <c r="G124" s="167">
        <v>0</v>
      </c>
    </row>
    <row r="125" spans="1:7" ht="27" customHeight="1" x14ac:dyDescent="0.25">
      <c r="A125" s="95">
        <v>37378</v>
      </c>
      <c r="B125" s="116" t="s">
        <v>9</v>
      </c>
      <c r="C125" s="116" t="s">
        <v>1288</v>
      </c>
      <c r="D125" s="166">
        <v>0</v>
      </c>
      <c r="E125" s="166">
        <v>0</v>
      </c>
      <c r="F125" s="166">
        <v>0</v>
      </c>
      <c r="G125" s="167">
        <v>0</v>
      </c>
    </row>
    <row r="126" spans="1:7" ht="27" customHeight="1" x14ac:dyDescent="0.25">
      <c r="A126" s="95">
        <v>37379</v>
      </c>
      <c r="B126" s="116" t="s">
        <v>9</v>
      </c>
      <c r="C126" s="116">
        <v>10700</v>
      </c>
      <c r="D126" s="166">
        <v>0</v>
      </c>
      <c r="E126" s="166">
        <v>0</v>
      </c>
      <c r="F126" s="166">
        <v>0</v>
      </c>
      <c r="G126" s="167">
        <v>0</v>
      </c>
    </row>
    <row r="127" spans="1:7" ht="27" customHeight="1" x14ac:dyDescent="0.25">
      <c r="A127" s="95">
        <v>37380</v>
      </c>
      <c r="B127" s="116" t="s">
        <v>9</v>
      </c>
      <c r="C127" s="116">
        <v>10700</v>
      </c>
      <c r="D127" s="166">
        <v>0</v>
      </c>
      <c r="E127" s="166">
        <v>0</v>
      </c>
      <c r="F127" s="166">
        <v>0</v>
      </c>
      <c r="G127" s="167">
        <v>0</v>
      </c>
    </row>
    <row r="128" spans="1:7" ht="27" customHeight="1" x14ac:dyDescent="0.25">
      <c r="A128" s="95">
        <v>37381</v>
      </c>
      <c r="B128" s="116" t="s">
        <v>9</v>
      </c>
      <c r="C128" s="116">
        <v>10700</v>
      </c>
      <c r="D128" s="166">
        <v>0</v>
      </c>
      <c r="E128" s="166">
        <v>0</v>
      </c>
      <c r="F128" s="166">
        <v>0</v>
      </c>
      <c r="G128" s="167">
        <v>0</v>
      </c>
    </row>
    <row r="129" spans="1:7" ht="27" customHeight="1" x14ac:dyDescent="0.25">
      <c r="A129" s="95">
        <v>37382</v>
      </c>
      <c r="B129" s="116" t="s">
        <v>9</v>
      </c>
      <c r="C129" s="116">
        <v>10700</v>
      </c>
      <c r="D129" s="166">
        <v>0</v>
      </c>
      <c r="E129" s="166">
        <v>0</v>
      </c>
      <c r="F129" s="166">
        <v>0</v>
      </c>
      <c r="G129" s="167">
        <v>0</v>
      </c>
    </row>
    <row r="130" spans="1:7" ht="27" customHeight="1" x14ac:dyDescent="0.25">
      <c r="A130" s="95">
        <v>37383</v>
      </c>
      <c r="B130" s="116" t="s">
        <v>9</v>
      </c>
      <c r="C130" s="116">
        <v>10700</v>
      </c>
      <c r="D130" s="166">
        <v>0</v>
      </c>
      <c r="E130" s="166">
        <v>0</v>
      </c>
      <c r="F130" s="168" t="s">
        <v>823</v>
      </c>
      <c r="G130" s="167">
        <v>0</v>
      </c>
    </row>
    <row r="131" spans="1:7" ht="27" customHeight="1" x14ac:dyDescent="0.25">
      <c r="A131" s="95">
        <v>37384</v>
      </c>
      <c r="B131" s="116" t="s">
        <v>9</v>
      </c>
      <c r="C131" s="116" t="s">
        <v>1288</v>
      </c>
      <c r="D131" s="166">
        <v>0</v>
      </c>
      <c r="E131" s="166">
        <v>0</v>
      </c>
      <c r="F131" s="168" t="s">
        <v>823</v>
      </c>
      <c r="G131" s="167">
        <v>0</v>
      </c>
    </row>
    <row r="132" spans="1:7" ht="27" customHeight="1" x14ac:dyDescent="0.25">
      <c r="A132" s="95">
        <v>37385</v>
      </c>
      <c r="B132" s="116" t="s">
        <v>45</v>
      </c>
      <c r="C132" s="116" t="s">
        <v>8</v>
      </c>
      <c r="D132" s="166">
        <v>0</v>
      </c>
      <c r="E132" s="166">
        <v>0</v>
      </c>
      <c r="F132" s="168" t="s">
        <v>823</v>
      </c>
      <c r="G132" s="167">
        <v>0</v>
      </c>
    </row>
    <row r="133" spans="1:7" ht="27" customHeight="1" x14ac:dyDescent="0.25">
      <c r="A133" s="95">
        <v>37386</v>
      </c>
      <c r="B133" s="116" t="s">
        <v>45</v>
      </c>
      <c r="C133" s="96">
        <v>10600</v>
      </c>
      <c r="D133" s="166">
        <v>0</v>
      </c>
      <c r="E133" s="166">
        <v>0</v>
      </c>
      <c r="F133" s="168" t="s">
        <v>1061</v>
      </c>
      <c r="G133" s="167">
        <v>0</v>
      </c>
    </row>
    <row r="134" spans="1:7" ht="27" customHeight="1" x14ac:dyDescent="0.25">
      <c r="A134" s="95">
        <v>37387</v>
      </c>
      <c r="B134" s="116" t="s">
        <v>45</v>
      </c>
      <c r="C134" s="96">
        <v>10600</v>
      </c>
      <c r="D134" s="166">
        <v>0</v>
      </c>
      <c r="E134" s="166">
        <v>0</v>
      </c>
      <c r="F134" s="168" t="s">
        <v>1061</v>
      </c>
      <c r="G134" s="167">
        <v>0</v>
      </c>
    </row>
    <row r="135" spans="1:7" ht="27" customHeight="1" x14ac:dyDescent="0.25">
      <c r="A135" s="95">
        <v>37388</v>
      </c>
      <c r="B135" s="116" t="s">
        <v>509</v>
      </c>
      <c r="C135" s="96">
        <v>10500</v>
      </c>
      <c r="D135" s="166">
        <v>0</v>
      </c>
      <c r="E135" s="166">
        <v>0</v>
      </c>
      <c r="F135" s="168" t="s">
        <v>1061</v>
      </c>
      <c r="G135" s="167">
        <v>0</v>
      </c>
    </row>
    <row r="136" spans="1:7" ht="27" customHeight="1" x14ac:dyDescent="0.25">
      <c r="A136" s="95">
        <v>37389</v>
      </c>
      <c r="B136" s="116" t="s">
        <v>509</v>
      </c>
      <c r="C136" s="96">
        <v>10500</v>
      </c>
      <c r="D136" s="166">
        <v>0</v>
      </c>
      <c r="E136" s="166">
        <v>0</v>
      </c>
      <c r="F136" s="168" t="s">
        <v>1061</v>
      </c>
      <c r="G136" s="167">
        <v>0</v>
      </c>
    </row>
    <row r="137" spans="1:7" ht="27" customHeight="1" x14ac:dyDescent="0.25">
      <c r="A137" s="95">
        <v>37390</v>
      </c>
      <c r="B137" s="116" t="s">
        <v>395</v>
      </c>
      <c r="C137" s="96">
        <v>10400</v>
      </c>
      <c r="D137" s="166">
        <v>0</v>
      </c>
      <c r="E137" s="166">
        <v>0</v>
      </c>
      <c r="F137" s="168" t="s">
        <v>1061</v>
      </c>
      <c r="G137" s="167">
        <v>0</v>
      </c>
    </row>
    <row r="138" spans="1:7" ht="27" customHeight="1" x14ac:dyDescent="0.25">
      <c r="A138" s="95">
        <v>37391</v>
      </c>
      <c r="B138" s="116" t="s">
        <v>49</v>
      </c>
      <c r="C138" s="116" t="s">
        <v>59</v>
      </c>
      <c r="D138" s="166">
        <v>0</v>
      </c>
      <c r="E138" s="166">
        <v>0</v>
      </c>
      <c r="F138" s="168" t="s">
        <v>1061</v>
      </c>
      <c r="G138" s="167">
        <v>0</v>
      </c>
    </row>
    <row r="139" spans="1:7" ht="27" customHeight="1" x14ac:dyDescent="0.25">
      <c r="A139" s="95">
        <v>37392</v>
      </c>
      <c r="B139" s="116" t="s">
        <v>328</v>
      </c>
      <c r="C139" s="116" t="s">
        <v>1287</v>
      </c>
      <c r="D139" s="166">
        <v>0</v>
      </c>
      <c r="E139" s="166">
        <v>0</v>
      </c>
      <c r="F139" s="168" t="s">
        <v>1061</v>
      </c>
      <c r="G139" s="167">
        <v>0</v>
      </c>
    </row>
    <row r="140" spans="1:7" ht="27" customHeight="1" x14ac:dyDescent="0.25">
      <c r="A140" s="95">
        <v>37393</v>
      </c>
      <c r="B140" s="116" t="s">
        <v>51</v>
      </c>
      <c r="C140" s="96">
        <v>10100</v>
      </c>
      <c r="D140" s="166">
        <v>0</v>
      </c>
      <c r="E140" s="166">
        <v>0</v>
      </c>
      <c r="F140" s="168" t="s">
        <v>1061</v>
      </c>
      <c r="G140" s="167">
        <v>0</v>
      </c>
    </row>
    <row r="141" spans="1:7" ht="27" customHeight="1" x14ac:dyDescent="0.25">
      <c r="A141" s="95">
        <v>37394</v>
      </c>
      <c r="B141" s="116" t="s">
        <v>7</v>
      </c>
      <c r="C141" s="96">
        <v>10000</v>
      </c>
      <c r="D141" s="166">
        <v>0</v>
      </c>
      <c r="E141" s="166">
        <v>0</v>
      </c>
      <c r="F141" s="168" t="s">
        <v>1061</v>
      </c>
      <c r="G141" s="167">
        <v>0</v>
      </c>
    </row>
    <row r="142" spans="1:7" ht="27" customHeight="1" x14ac:dyDescent="0.25">
      <c r="A142" s="95">
        <v>37395</v>
      </c>
      <c r="B142" s="116" t="s">
        <v>56</v>
      </c>
      <c r="C142" s="96">
        <v>9900</v>
      </c>
      <c r="D142" s="166">
        <v>0</v>
      </c>
      <c r="E142" s="166">
        <v>0</v>
      </c>
      <c r="F142" s="168" t="s">
        <v>1061</v>
      </c>
      <c r="G142" s="167">
        <v>0</v>
      </c>
    </row>
    <row r="143" spans="1:7" ht="27" customHeight="1" x14ac:dyDescent="0.25">
      <c r="A143" s="95">
        <v>37396</v>
      </c>
      <c r="B143" s="116" t="s">
        <v>58</v>
      </c>
      <c r="C143" s="96">
        <v>9800</v>
      </c>
      <c r="D143" s="166">
        <v>0</v>
      </c>
      <c r="E143" s="166">
        <v>0</v>
      </c>
      <c r="F143" s="168" t="s">
        <v>1061</v>
      </c>
      <c r="G143" s="167">
        <v>0</v>
      </c>
    </row>
    <row r="144" spans="1:7" ht="27" customHeight="1" x14ac:dyDescent="0.25">
      <c r="A144" s="95">
        <v>37397</v>
      </c>
      <c r="B144" s="116" t="s">
        <v>60</v>
      </c>
      <c r="C144" s="96">
        <v>9700</v>
      </c>
      <c r="D144" s="166">
        <v>0</v>
      </c>
      <c r="E144" s="166">
        <v>0</v>
      </c>
      <c r="F144" s="168" t="s">
        <v>1063</v>
      </c>
      <c r="G144" s="167">
        <v>0</v>
      </c>
    </row>
    <row r="145" spans="1:7" ht="27" customHeight="1" x14ac:dyDescent="0.25">
      <c r="A145" s="95">
        <v>37398</v>
      </c>
      <c r="B145" s="116" t="s">
        <v>62</v>
      </c>
      <c r="C145" s="116">
        <v>9600</v>
      </c>
      <c r="D145" s="166">
        <v>0</v>
      </c>
      <c r="E145" s="166">
        <v>0</v>
      </c>
      <c r="F145" s="168" t="s">
        <v>1063</v>
      </c>
      <c r="G145" s="167">
        <v>0</v>
      </c>
    </row>
    <row r="146" spans="1:7" ht="27" customHeight="1" x14ac:dyDescent="0.25">
      <c r="A146" s="95">
        <v>37399</v>
      </c>
      <c r="B146" s="116" t="s">
        <v>64</v>
      </c>
      <c r="C146" s="116">
        <v>9500</v>
      </c>
      <c r="D146" s="166">
        <v>0</v>
      </c>
      <c r="E146" s="166">
        <v>0</v>
      </c>
      <c r="F146" s="168" t="s">
        <v>1063</v>
      </c>
      <c r="G146" s="167">
        <v>0</v>
      </c>
    </row>
    <row r="147" spans="1:7" ht="27" customHeight="1" x14ac:dyDescent="0.25">
      <c r="A147" s="95">
        <v>37400</v>
      </c>
      <c r="B147" s="116" t="s">
        <v>68</v>
      </c>
      <c r="C147" s="116">
        <v>9400</v>
      </c>
      <c r="D147" s="166">
        <v>0</v>
      </c>
      <c r="E147" s="166">
        <v>0</v>
      </c>
      <c r="F147" s="168" t="s">
        <v>1063</v>
      </c>
      <c r="G147" s="167">
        <v>0</v>
      </c>
    </row>
    <row r="148" spans="1:7" ht="27" customHeight="1" x14ac:dyDescent="0.25">
      <c r="A148" s="95">
        <v>37401</v>
      </c>
      <c r="B148" s="116" t="s">
        <v>70</v>
      </c>
      <c r="C148" s="96">
        <v>9300</v>
      </c>
      <c r="D148" s="166">
        <v>0</v>
      </c>
      <c r="E148" s="166">
        <v>0</v>
      </c>
      <c r="F148" s="168" t="s">
        <v>1063</v>
      </c>
      <c r="G148" s="167">
        <v>0</v>
      </c>
    </row>
    <row r="149" spans="1:7" ht="27" customHeight="1" x14ac:dyDescent="0.25">
      <c r="A149" s="95">
        <v>37402</v>
      </c>
      <c r="B149" s="116" t="s">
        <v>72</v>
      </c>
      <c r="C149" s="96">
        <v>9200</v>
      </c>
      <c r="D149" s="166">
        <v>0</v>
      </c>
      <c r="E149" s="166">
        <v>0</v>
      </c>
      <c r="F149" s="168" t="s">
        <v>1063</v>
      </c>
      <c r="G149" s="167">
        <v>0</v>
      </c>
    </row>
    <row r="150" spans="1:7" ht="27" customHeight="1" x14ac:dyDescent="0.25">
      <c r="A150" s="95">
        <v>37403</v>
      </c>
      <c r="B150" s="116" t="s">
        <v>76</v>
      </c>
      <c r="C150" s="116">
        <v>9100</v>
      </c>
      <c r="D150" s="166">
        <v>0</v>
      </c>
      <c r="E150" s="166">
        <v>0</v>
      </c>
      <c r="F150" s="168" t="s">
        <v>1063</v>
      </c>
      <c r="G150" s="167">
        <v>0</v>
      </c>
    </row>
    <row r="151" spans="1:7" ht="27" customHeight="1" x14ac:dyDescent="0.25">
      <c r="A151" s="95">
        <v>37404</v>
      </c>
      <c r="B151" s="116" t="s">
        <v>80</v>
      </c>
      <c r="C151" s="116">
        <v>9000</v>
      </c>
      <c r="D151" s="166">
        <v>0</v>
      </c>
      <c r="E151" s="166">
        <v>0</v>
      </c>
      <c r="F151" s="168" t="s">
        <v>1063</v>
      </c>
      <c r="G151" s="167">
        <v>0</v>
      </c>
    </row>
    <row r="152" spans="1:7" ht="27" customHeight="1" x14ac:dyDescent="0.25">
      <c r="A152" s="95">
        <v>37405</v>
      </c>
      <c r="B152" s="116" t="s">
        <v>5</v>
      </c>
      <c r="C152" s="116">
        <v>8900</v>
      </c>
      <c r="D152" s="166">
        <v>0</v>
      </c>
      <c r="E152" s="166">
        <v>0</v>
      </c>
      <c r="F152" s="168" t="s">
        <v>1063</v>
      </c>
      <c r="G152" s="167">
        <v>0</v>
      </c>
    </row>
    <row r="153" spans="1:7" ht="27" customHeight="1" x14ac:dyDescent="0.25">
      <c r="A153" s="95">
        <v>37406</v>
      </c>
      <c r="B153" s="116" t="s">
        <v>5</v>
      </c>
      <c r="C153" s="116">
        <v>8900</v>
      </c>
      <c r="D153" s="166">
        <v>0</v>
      </c>
      <c r="E153" s="166">
        <v>0</v>
      </c>
      <c r="F153" s="168" t="s">
        <v>1063</v>
      </c>
      <c r="G153" s="167">
        <v>0</v>
      </c>
    </row>
    <row r="154" spans="1:7" ht="27" customHeight="1" x14ac:dyDescent="0.25">
      <c r="A154" s="95">
        <v>37407</v>
      </c>
      <c r="B154" s="116" t="s">
        <v>82</v>
      </c>
      <c r="C154" s="116">
        <v>8800</v>
      </c>
      <c r="D154" s="166">
        <v>0</v>
      </c>
      <c r="E154" s="166">
        <v>0</v>
      </c>
      <c r="F154" s="168" t="s">
        <v>736</v>
      </c>
      <c r="G154" s="167">
        <v>0</v>
      </c>
    </row>
    <row r="155" spans="1:7" ht="27" customHeight="1" x14ac:dyDescent="0.25">
      <c r="A155" s="95">
        <v>37408</v>
      </c>
      <c r="B155" s="116" t="s">
        <v>82</v>
      </c>
      <c r="C155" s="96">
        <v>8800</v>
      </c>
      <c r="D155" s="166">
        <v>0</v>
      </c>
      <c r="E155" s="166">
        <v>0</v>
      </c>
      <c r="F155" s="168" t="s">
        <v>736</v>
      </c>
      <c r="G155" s="167">
        <v>0</v>
      </c>
    </row>
    <row r="156" spans="1:7" ht="27" customHeight="1" x14ac:dyDescent="0.25">
      <c r="A156" s="95">
        <v>37409</v>
      </c>
      <c r="B156" s="116" t="s">
        <v>82</v>
      </c>
      <c r="C156" s="116">
        <v>8800</v>
      </c>
      <c r="D156" s="166">
        <v>0</v>
      </c>
      <c r="E156" s="166">
        <v>0</v>
      </c>
      <c r="F156" s="168" t="s">
        <v>736</v>
      </c>
      <c r="G156" s="167">
        <v>0</v>
      </c>
    </row>
    <row r="157" spans="1:7" ht="27" customHeight="1" x14ac:dyDescent="0.25">
      <c r="A157" s="95">
        <v>37410</v>
      </c>
      <c r="B157" s="116" t="s">
        <v>82</v>
      </c>
      <c r="C157" s="116">
        <v>8800</v>
      </c>
      <c r="D157" s="166">
        <v>0</v>
      </c>
      <c r="E157" s="166">
        <v>0</v>
      </c>
      <c r="F157" s="168" t="s">
        <v>736</v>
      </c>
      <c r="G157" s="167">
        <v>0</v>
      </c>
    </row>
    <row r="158" spans="1:7" ht="27" customHeight="1" x14ac:dyDescent="0.25">
      <c r="A158" s="95">
        <v>37411</v>
      </c>
      <c r="B158" s="116" t="s">
        <v>326</v>
      </c>
      <c r="C158" s="116">
        <v>8700</v>
      </c>
      <c r="D158" s="166">
        <v>0</v>
      </c>
      <c r="E158" s="166">
        <v>0</v>
      </c>
      <c r="F158" s="168" t="s">
        <v>1061</v>
      </c>
      <c r="G158" s="167">
        <v>0</v>
      </c>
    </row>
    <row r="159" spans="1:7" ht="27" customHeight="1" x14ac:dyDescent="0.25">
      <c r="A159" s="95">
        <v>37412</v>
      </c>
      <c r="B159" s="116" t="s">
        <v>403</v>
      </c>
      <c r="C159" s="116">
        <v>8700</v>
      </c>
      <c r="D159" s="166">
        <v>0</v>
      </c>
      <c r="E159" s="166">
        <v>0</v>
      </c>
      <c r="F159" s="168" t="s">
        <v>736</v>
      </c>
      <c r="G159" s="167">
        <v>0</v>
      </c>
    </row>
    <row r="160" spans="1:7" ht="27" customHeight="1" x14ac:dyDescent="0.25">
      <c r="A160" s="95">
        <v>37413</v>
      </c>
      <c r="B160" s="116" t="s">
        <v>325</v>
      </c>
      <c r="C160" s="116">
        <v>8700</v>
      </c>
      <c r="D160" s="166">
        <v>0</v>
      </c>
      <c r="E160" s="166">
        <v>0</v>
      </c>
      <c r="F160" s="168" t="s">
        <v>736</v>
      </c>
      <c r="G160" s="167">
        <v>0</v>
      </c>
    </row>
    <row r="161" spans="1:7" ht="27" customHeight="1" x14ac:dyDescent="0.25">
      <c r="A161" s="95">
        <v>37414</v>
      </c>
      <c r="B161" s="116" t="s">
        <v>86</v>
      </c>
      <c r="C161" s="116">
        <v>8400</v>
      </c>
      <c r="D161" s="166">
        <v>0</v>
      </c>
      <c r="E161" s="166">
        <v>0</v>
      </c>
      <c r="F161" s="168" t="s">
        <v>736</v>
      </c>
      <c r="G161" s="167">
        <v>0</v>
      </c>
    </row>
    <row r="162" spans="1:7" ht="27" customHeight="1" x14ac:dyDescent="0.25">
      <c r="A162" s="95">
        <v>37415</v>
      </c>
      <c r="B162" s="116" t="s">
        <v>88</v>
      </c>
      <c r="C162" s="116">
        <v>8300</v>
      </c>
      <c r="D162" s="166">
        <v>0</v>
      </c>
      <c r="E162" s="166">
        <v>0</v>
      </c>
      <c r="F162" s="168" t="s">
        <v>736</v>
      </c>
      <c r="G162" s="167">
        <v>0</v>
      </c>
    </row>
    <row r="163" spans="1:7" ht="27" customHeight="1" x14ac:dyDescent="0.25">
      <c r="A163" s="95">
        <v>37416</v>
      </c>
      <c r="B163" s="116" t="s">
        <v>88</v>
      </c>
      <c r="C163" s="116">
        <v>8300</v>
      </c>
      <c r="D163" s="166">
        <v>0</v>
      </c>
      <c r="E163" s="166">
        <v>0</v>
      </c>
      <c r="F163" s="168" t="s">
        <v>736</v>
      </c>
      <c r="G163" s="167">
        <v>0</v>
      </c>
    </row>
    <row r="164" spans="1:7" ht="27" customHeight="1" x14ac:dyDescent="0.25">
      <c r="A164" s="95">
        <v>37417</v>
      </c>
      <c r="B164" s="116" t="s">
        <v>90</v>
      </c>
      <c r="C164" s="116">
        <v>8250</v>
      </c>
      <c r="D164" s="166">
        <v>0</v>
      </c>
      <c r="E164" s="166">
        <v>0</v>
      </c>
      <c r="F164" s="168" t="s">
        <v>736</v>
      </c>
      <c r="G164" s="167">
        <v>0</v>
      </c>
    </row>
    <row r="165" spans="1:7" ht="27" customHeight="1" x14ac:dyDescent="0.25">
      <c r="A165" s="95">
        <v>37418</v>
      </c>
      <c r="B165" s="116" t="s">
        <v>90</v>
      </c>
      <c r="C165" s="116">
        <v>8250</v>
      </c>
      <c r="D165" s="166">
        <v>0</v>
      </c>
      <c r="E165" s="166">
        <v>0</v>
      </c>
      <c r="F165" s="168" t="s">
        <v>736</v>
      </c>
      <c r="G165" s="167">
        <v>0</v>
      </c>
    </row>
    <row r="166" spans="1:7" ht="27" customHeight="1" x14ac:dyDescent="0.25">
      <c r="A166" s="95">
        <v>37419</v>
      </c>
      <c r="B166" s="116" t="s">
        <v>92</v>
      </c>
      <c r="C166" s="116">
        <v>8200</v>
      </c>
      <c r="D166" s="166">
        <v>0</v>
      </c>
      <c r="E166" s="166">
        <v>0</v>
      </c>
      <c r="F166" s="168" t="s">
        <v>1442</v>
      </c>
      <c r="G166" s="167">
        <v>0</v>
      </c>
    </row>
    <row r="167" spans="1:7" ht="27" customHeight="1" x14ac:dyDescent="0.25">
      <c r="A167" s="95">
        <v>37420</v>
      </c>
      <c r="B167" s="116" t="s">
        <v>92</v>
      </c>
      <c r="C167" s="116">
        <v>8200</v>
      </c>
      <c r="D167" s="166">
        <v>0</v>
      </c>
      <c r="E167" s="166">
        <v>0</v>
      </c>
      <c r="F167" s="168" t="s">
        <v>1442</v>
      </c>
      <c r="G167" s="167">
        <v>0</v>
      </c>
    </row>
    <row r="168" spans="1:7" ht="27" customHeight="1" x14ac:dyDescent="0.25">
      <c r="A168" s="95">
        <v>37421</v>
      </c>
      <c r="B168" s="116" t="s">
        <v>94</v>
      </c>
      <c r="C168" s="116">
        <v>8100</v>
      </c>
      <c r="D168" s="166">
        <v>0</v>
      </c>
      <c r="E168" s="166">
        <v>0</v>
      </c>
      <c r="F168" s="168" t="s">
        <v>1442</v>
      </c>
      <c r="G168" s="167">
        <v>0</v>
      </c>
    </row>
    <row r="169" spans="1:7" ht="27" customHeight="1" x14ac:dyDescent="0.25">
      <c r="A169" s="95">
        <v>37422</v>
      </c>
      <c r="B169" s="116" t="s">
        <v>96</v>
      </c>
      <c r="C169" s="116">
        <v>7900</v>
      </c>
      <c r="D169" s="166">
        <v>0</v>
      </c>
      <c r="E169" s="166">
        <v>0</v>
      </c>
      <c r="F169" s="168" t="s">
        <v>1442</v>
      </c>
      <c r="G169" s="167">
        <v>0</v>
      </c>
    </row>
    <row r="170" spans="1:7" ht="27" customHeight="1" x14ac:dyDescent="0.25">
      <c r="A170" s="95">
        <v>37423</v>
      </c>
      <c r="B170" s="116" t="s">
        <v>511</v>
      </c>
      <c r="C170" s="116">
        <v>7800</v>
      </c>
      <c r="D170" s="166">
        <v>0</v>
      </c>
      <c r="E170" s="166">
        <v>0</v>
      </c>
      <c r="F170" s="168" t="s">
        <v>736</v>
      </c>
      <c r="G170" s="167">
        <v>0</v>
      </c>
    </row>
    <row r="171" spans="1:7" ht="27" customHeight="1" x14ac:dyDescent="0.25">
      <c r="A171" s="95">
        <v>37424</v>
      </c>
      <c r="B171" s="116" t="s">
        <v>511</v>
      </c>
      <c r="C171" s="116">
        <v>7800</v>
      </c>
      <c r="D171" s="166">
        <v>0</v>
      </c>
      <c r="E171" s="166">
        <v>0</v>
      </c>
      <c r="F171" s="168" t="s">
        <v>736</v>
      </c>
      <c r="G171" s="167">
        <v>0</v>
      </c>
    </row>
    <row r="172" spans="1:7" ht="27" customHeight="1" x14ac:dyDescent="0.25">
      <c r="A172" s="95">
        <v>37425</v>
      </c>
      <c r="B172" s="116" t="s">
        <v>511</v>
      </c>
      <c r="C172" s="116">
        <v>7800</v>
      </c>
      <c r="D172" s="166">
        <v>0</v>
      </c>
      <c r="E172" s="166">
        <v>0</v>
      </c>
      <c r="F172" s="168" t="s">
        <v>736</v>
      </c>
      <c r="G172" s="167">
        <v>0</v>
      </c>
    </row>
    <row r="173" spans="1:7" ht="27" customHeight="1" x14ac:dyDescent="0.25">
      <c r="A173" s="95">
        <v>37426</v>
      </c>
      <c r="B173" s="116" t="s">
        <v>511</v>
      </c>
      <c r="C173" s="116">
        <v>7800</v>
      </c>
      <c r="D173" s="166">
        <v>0</v>
      </c>
      <c r="E173" s="166">
        <v>0</v>
      </c>
      <c r="F173" s="168" t="s">
        <v>736</v>
      </c>
      <c r="G173" s="167">
        <v>0</v>
      </c>
    </row>
    <row r="174" spans="1:7" ht="27" customHeight="1" x14ac:dyDescent="0.25">
      <c r="A174" s="95">
        <v>37427</v>
      </c>
      <c r="B174" s="116" t="s">
        <v>511</v>
      </c>
      <c r="C174" s="116">
        <v>7800</v>
      </c>
      <c r="D174" s="166">
        <v>0</v>
      </c>
      <c r="E174" s="166">
        <v>0</v>
      </c>
      <c r="F174" s="168" t="s">
        <v>767</v>
      </c>
      <c r="G174" s="167">
        <v>0</v>
      </c>
    </row>
    <row r="175" spans="1:7" ht="27" customHeight="1" x14ac:dyDescent="0.25">
      <c r="A175" s="95">
        <v>37428</v>
      </c>
      <c r="B175" s="116" t="s">
        <v>100</v>
      </c>
      <c r="C175" s="116">
        <v>7700</v>
      </c>
      <c r="D175" s="166">
        <v>0</v>
      </c>
      <c r="E175" s="166">
        <v>0</v>
      </c>
      <c r="F175" s="168" t="s">
        <v>767</v>
      </c>
      <c r="G175" s="167">
        <v>0</v>
      </c>
    </row>
    <row r="176" spans="1:7" ht="27" customHeight="1" x14ac:dyDescent="0.25">
      <c r="A176" s="95">
        <v>37429</v>
      </c>
      <c r="B176" s="116" t="s">
        <v>102</v>
      </c>
      <c r="C176" s="116">
        <v>7600</v>
      </c>
      <c r="D176" s="166">
        <v>0</v>
      </c>
      <c r="E176" s="166">
        <v>0</v>
      </c>
      <c r="F176" s="168" t="s">
        <v>767</v>
      </c>
      <c r="G176" s="167">
        <v>0</v>
      </c>
    </row>
    <row r="177" spans="1:7" ht="27" customHeight="1" x14ac:dyDescent="0.25">
      <c r="A177" s="95">
        <v>37430</v>
      </c>
      <c r="B177" s="116" t="s">
        <v>112</v>
      </c>
      <c r="C177" s="116">
        <v>7500</v>
      </c>
      <c r="D177" s="166">
        <v>0</v>
      </c>
      <c r="E177" s="166">
        <v>0</v>
      </c>
      <c r="F177" s="168" t="s">
        <v>767</v>
      </c>
      <c r="G177" s="167">
        <v>0</v>
      </c>
    </row>
    <row r="178" spans="1:7" ht="27" customHeight="1" x14ac:dyDescent="0.25">
      <c r="A178" s="95">
        <v>37431</v>
      </c>
      <c r="B178" s="116" t="s">
        <v>104</v>
      </c>
      <c r="C178" s="116">
        <v>7450</v>
      </c>
      <c r="D178" s="166">
        <v>0</v>
      </c>
      <c r="E178" s="166">
        <v>0</v>
      </c>
      <c r="F178" s="168" t="s">
        <v>736</v>
      </c>
      <c r="G178" s="167">
        <v>0</v>
      </c>
    </row>
    <row r="179" spans="1:7" ht="27" customHeight="1" x14ac:dyDescent="0.25">
      <c r="A179" s="95">
        <v>37432</v>
      </c>
      <c r="B179" s="116" t="s">
        <v>104</v>
      </c>
      <c r="C179" s="116">
        <v>7450</v>
      </c>
      <c r="D179" s="166">
        <v>0</v>
      </c>
      <c r="E179" s="166">
        <v>0</v>
      </c>
      <c r="F179" s="168" t="s">
        <v>736</v>
      </c>
      <c r="G179" s="167">
        <v>0</v>
      </c>
    </row>
    <row r="180" spans="1:7" ht="27" customHeight="1" x14ac:dyDescent="0.25">
      <c r="A180" s="95">
        <v>37433</v>
      </c>
      <c r="B180" s="116" t="s">
        <v>104</v>
      </c>
      <c r="C180" s="116">
        <v>7450</v>
      </c>
      <c r="D180" s="166">
        <v>0</v>
      </c>
      <c r="E180" s="166">
        <v>0</v>
      </c>
      <c r="F180" s="168" t="s">
        <v>736</v>
      </c>
      <c r="G180" s="167">
        <v>0</v>
      </c>
    </row>
    <row r="181" spans="1:7" ht="27" customHeight="1" x14ac:dyDescent="0.25">
      <c r="A181" s="95">
        <v>37434</v>
      </c>
      <c r="B181" s="116" t="s">
        <v>3</v>
      </c>
      <c r="C181" s="116">
        <v>7400</v>
      </c>
      <c r="D181" s="166">
        <v>0</v>
      </c>
      <c r="E181" s="166">
        <v>0</v>
      </c>
      <c r="F181" s="168" t="s">
        <v>736</v>
      </c>
      <c r="G181" s="167">
        <v>0</v>
      </c>
    </row>
    <row r="182" spans="1:7" ht="27" customHeight="1" x14ac:dyDescent="0.25">
      <c r="A182" s="95">
        <v>37435</v>
      </c>
      <c r="B182" s="116" t="s">
        <v>3</v>
      </c>
      <c r="C182" s="116">
        <v>7400</v>
      </c>
      <c r="D182" s="166">
        <v>0</v>
      </c>
      <c r="E182" s="166">
        <v>0</v>
      </c>
      <c r="F182" s="168" t="s">
        <v>736</v>
      </c>
      <c r="G182" s="167">
        <v>0</v>
      </c>
    </row>
    <row r="183" spans="1:7" ht="27" customHeight="1" x14ac:dyDescent="0.25">
      <c r="A183" s="95">
        <v>37436</v>
      </c>
      <c r="B183" s="116" t="s">
        <v>1</v>
      </c>
      <c r="C183" s="116">
        <v>7300</v>
      </c>
      <c r="D183" s="166">
        <v>0</v>
      </c>
      <c r="E183" s="166">
        <v>0</v>
      </c>
      <c r="F183" s="168" t="s">
        <v>768</v>
      </c>
      <c r="G183" s="167">
        <v>0</v>
      </c>
    </row>
    <row r="184" spans="1:7" ht="27" customHeight="1" x14ac:dyDescent="0.25">
      <c r="A184" s="95">
        <v>37437</v>
      </c>
      <c r="B184" s="116" t="s">
        <v>106</v>
      </c>
      <c r="C184" s="116">
        <v>7200</v>
      </c>
      <c r="D184" s="166">
        <v>0</v>
      </c>
      <c r="E184" s="166">
        <v>0</v>
      </c>
      <c r="F184" s="168" t="s">
        <v>768</v>
      </c>
      <c r="G184" s="167">
        <v>0</v>
      </c>
    </row>
    <row r="185" spans="1:7" ht="27" customHeight="1" x14ac:dyDescent="0.25">
      <c r="A185" s="95">
        <v>37438</v>
      </c>
      <c r="B185" s="116" t="s">
        <v>110</v>
      </c>
      <c r="C185" s="116">
        <v>7100</v>
      </c>
      <c r="D185" s="166">
        <v>0</v>
      </c>
      <c r="E185" s="166">
        <v>0</v>
      </c>
      <c r="F185" s="168" t="s">
        <v>768</v>
      </c>
      <c r="G185" s="167">
        <v>0</v>
      </c>
    </row>
    <row r="186" spans="1:7" ht="27" customHeight="1" x14ac:dyDescent="0.25">
      <c r="A186" s="95">
        <v>37439</v>
      </c>
      <c r="B186" s="116" t="s">
        <v>108</v>
      </c>
      <c r="C186" s="116">
        <v>7000</v>
      </c>
      <c r="D186" s="166">
        <v>0</v>
      </c>
      <c r="E186" s="166">
        <v>0</v>
      </c>
      <c r="F186" s="168" t="s">
        <v>768</v>
      </c>
      <c r="G186" s="167">
        <v>0</v>
      </c>
    </row>
    <row r="187" spans="1:7" ht="27" customHeight="1" x14ac:dyDescent="0.25">
      <c r="A187" s="95">
        <v>37440</v>
      </c>
      <c r="B187" s="116" t="s">
        <v>118</v>
      </c>
      <c r="C187" s="116">
        <v>6950</v>
      </c>
      <c r="D187" s="166">
        <v>0</v>
      </c>
      <c r="E187" s="166">
        <v>0</v>
      </c>
      <c r="F187" s="168" t="s">
        <v>768</v>
      </c>
      <c r="G187" s="167">
        <v>0</v>
      </c>
    </row>
    <row r="188" spans="1:7" ht="27" customHeight="1" x14ac:dyDescent="0.25">
      <c r="A188" s="95">
        <v>37441</v>
      </c>
      <c r="B188" s="116" t="s">
        <v>192</v>
      </c>
      <c r="C188" s="116">
        <v>6900</v>
      </c>
      <c r="D188" s="166">
        <v>0</v>
      </c>
      <c r="E188" s="166">
        <v>0</v>
      </c>
      <c r="F188" s="168" t="s">
        <v>736</v>
      </c>
      <c r="G188" s="167">
        <v>0</v>
      </c>
    </row>
    <row r="189" spans="1:7" ht="27" customHeight="1" x14ac:dyDescent="0.25">
      <c r="A189" s="95">
        <v>37442</v>
      </c>
      <c r="B189" s="116" t="s">
        <v>192</v>
      </c>
      <c r="C189" s="116">
        <v>6900</v>
      </c>
      <c r="D189" s="166">
        <v>0</v>
      </c>
      <c r="E189" s="166">
        <v>0</v>
      </c>
      <c r="F189" s="168" t="s">
        <v>736</v>
      </c>
      <c r="G189" s="167">
        <v>0</v>
      </c>
    </row>
    <row r="190" spans="1:7" ht="27" customHeight="1" x14ac:dyDescent="0.25">
      <c r="A190" s="95">
        <v>37443</v>
      </c>
      <c r="B190" s="116" t="s">
        <v>192</v>
      </c>
      <c r="C190" s="116">
        <v>6900</v>
      </c>
      <c r="D190" s="166">
        <v>0</v>
      </c>
      <c r="E190" s="166">
        <v>0</v>
      </c>
      <c r="F190" s="168" t="s">
        <v>736</v>
      </c>
      <c r="G190" s="167">
        <v>0</v>
      </c>
    </row>
    <row r="191" spans="1:7" ht="27" customHeight="1" x14ac:dyDescent="0.25">
      <c r="A191" s="95">
        <v>37444</v>
      </c>
      <c r="B191" s="116" t="s">
        <v>552</v>
      </c>
      <c r="C191" s="96">
        <v>6850</v>
      </c>
      <c r="D191" s="166">
        <v>0</v>
      </c>
      <c r="E191" s="166">
        <v>0</v>
      </c>
      <c r="F191" s="168" t="s">
        <v>736</v>
      </c>
      <c r="G191" s="167">
        <v>0</v>
      </c>
    </row>
    <row r="192" spans="1:7" ht="27" customHeight="1" x14ac:dyDescent="0.25">
      <c r="A192" s="95">
        <v>37445</v>
      </c>
      <c r="B192" s="116" t="s">
        <v>552</v>
      </c>
      <c r="C192" s="96">
        <v>6850</v>
      </c>
      <c r="D192" s="166">
        <v>0</v>
      </c>
      <c r="E192" s="166">
        <v>0</v>
      </c>
      <c r="F192" s="168" t="s">
        <v>736</v>
      </c>
      <c r="G192" s="167">
        <v>0</v>
      </c>
    </row>
    <row r="193" spans="1:7" ht="27" customHeight="1" x14ac:dyDescent="0.25">
      <c r="A193" s="95">
        <v>37446</v>
      </c>
      <c r="B193" s="116" t="s">
        <v>194</v>
      </c>
      <c r="C193" s="116">
        <v>6800</v>
      </c>
      <c r="D193" s="166">
        <v>0</v>
      </c>
      <c r="E193" s="166">
        <v>0</v>
      </c>
      <c r="F193" s="168" t="s">
        <v>736</v>
      </c>
      <c r="G193" s="167">
        <v>0</v>
      </c>
    </row>
    <row r="194" spans="1:7" ht="27" customHeight="1" x14ac:dyDescent="0.25">
      <c r="A194" s="95">
        <v>37447</v>
      </c>
      <c r="B194" s="116" t="s">
        <v>194</v>
      </c>
      <c r="C194" s="116">
        <v>6800</v>
      </c>
      <c r="D194" s="166">
        <v>0</v>
      </c>
      <c r="E194" s="166">
        <v>0</v>
      </c>
      <c r="F194" s="168" t="s">
        <v>736</v>
      </c>
      <c r="G194" s="167">
        <v>0</v>
      </c>
    </row>
    <row r="195" spans="1:7" ht="27" customHeight="1" x14ac:dyDescent="0.25">
      <c r="A195" s="95">
        <v>37448</v>
      </c>
      <c r="B195" s="116" t="s">
        <v>194</v>
      </c>
      <c r="C195" s="116">
        <v>6800</v>
      </c>
      <c r="D195" s="166">
        <v>0</v>
      </c>
      <c r="E195" s="166">
        <v>0</v>
      </c>
      <c r="F195" s="168" t="s">
        <v>771</v>
      </c>
      <c r="G195" s="167">
        <v>0</v>
      </c>
    </row>
    <row r="196" spans="1:7" ht="27" customHeight="1" x14ac:dyDescent="0.25">
      <c r="A196" s="95">
        <v>37449</v>
      </c>
      <c r="B196" s="116" t="s">
        <v>201</v>
      </c>
      <c r="C196" s="116">
        <v>6600</v>
      </c>
      <c r="D196" s="166">
        <v>0</v>
      </c>
      <c r="E196" s="166">
        <v>0</v>
      </c>
      <c r="F196" s="168" t="s">
        <v>771</v>
      </c>
      <c r="G196" s="167">
        <v>0</v>
      </c>
    </row>
    <row r="197" spans="1:7" ht="27" customHeight="1" x14ac:dyDescent="0.25">
      <c r="A197" s="95">
        <v>37450</v>
      </c>
      <c r="B197" s="116" t="s">
        <v>177</v>
      </c>
      <c r="C197" s="116">
        <v>6500</v>
      </c>
      <c r="D197" s="166">
        <v>0</v>
      </c>
      <c r="E197" s="166">
        <v>0</v>
      </c>
      <c r="F197" s="168" t="s">
        <v>771</v>
      </c>
      <c r="G197" s="167">
        <v>0</v>
      </c>
    </row>
    <row r="198" spans="1:7" ht="27" customHeight="1" x14ac:dyDescent="0.25">
      <c r="A198" s="95">
        <v>37451</v>
      </c>
      <c r="B198" s="116" t="s">
        <v>208</v>
      </c>
      <c r="C198" s="96">
        <v>6450</v>
      </c>
      <c r="D198" s="166">
        <v>0</v>
      </c>
      <c r="E198" s="166">
        <v>0</v>
      </c>
      <c r="F198" s="168" t="s">
        <v>827</v>
      </c>
      <c r="G198" s="167">
        <v>0</v>
      </c>
    </row>
    <row r="199" spans="1:7" ht="27" customHeight="1" x14ac:dyDescent="0.25">
      <c r="A199" s="95">
        <v>37452</v>
      </c>
      <c r="B199" s="116" t="s">
        <v>175</v>
      </c>
      <c r="C199" s="116">
        <v>6300</v>
      </c>
      <c r="D199" s="166">
        <v>0</v>
      </c>
      <c r="E199" s="166">
        <v>0</v>
      </c>
      <c r="F199" s="168" t="s">
        <v>771</v>
      </c>
      <c r="G199" s="167">
        <v>0</v>
      </c>
    </row>
    <row r="200" spans="1:7" ht="27" customHeight="1" x14ac:dyDescent="0.25">
      <c r="A200" s="95">
        <v>37453</v>
      </c>
      <c r="B200" s="116" t="s">
        <v>171</v>
      </c>
      <c r="C200" s="116">
        <v>6250</v>
      </c>
      <c r="D200" s="166">
        <v>0</v>
      </c>
      <c r="E200" s="166">
        <v>0</v>
      </c>
      <c r="F200" s="168" t="s">
        <v>771</v>
      </c>
      <c r="G200" s="167">
        <v>0</v>
      </c>
    </row>
    <row r="201" spans="1:7" ht="27" customHeight="1" x14ac:dyDescent="0.25">
      <c r="A201" s="95">
        <v>37454</v>
      </c>
      <c r="B201" s="116" t="s">
        <v>221</v>
      </c>
      <c r="C201" s="96">
        <v>6200</v>
      </c>
      <c r="D201" s="166">
        <v>0</v>
      </c>
      <c r="E201" s="166">
        <v>0</v>
      </c>
      <c r="F201" s="168" t="s">
        <v>771</v>
      </c>
      <c r="G201" s="167">
        <v>0</v>
      </c>
    </row>
    <row r="202" spans="1:7" ht="27" customHeight="1" x14ac:dyDescent="0.25">
      <c r="A202" s="95">
        <v>37455</v>
      </c>
      <c r="B202" s="116" t="s">
        <v>169</v>
      </c>
      <c r="C202" s="116">
        <v>6150</v>
      </c>
      <c r="D202" s="166">
        <v>0</v>
      </c>
      <c r="E202" s="166">
        <v>0</v>
      </c>
      <c r="F202" s="168" t="s">
        <v>771</v>
      </c>
      <c r="G202" s="167">
        <v>0</v>
      </c>
    </row>
    <row r="203" spans="1:7" ht="27" customHeight="1" x14ac:dyDescent="0.25">
      <c r="A203" s="95">
        <v>37456</v>
      </c>
      <c r="B203" s="116" t="s">
        <v>165</v>
      </c>
      <c r="C203" s="116">
        <v>6100</v>
      </c>
      <c r="D203" s="166">
        <v>0</v>
      </c>
      <c r="E203" s="166">
        <v>0</v>
      </c>
      <c r="F203" s="168" t="s">
        <v>771</v>
      </c>
      <c r="G203" s="167">
        <v>0</v>
      </c>
    </row>
    <row r="204" spans="1:7" ht="27" customHeight="1" x14ac:dyDescent="0.25">
      <c r="A204" s="95">
        <v>37457</v>
      </c>
      <c r="B204" s="116" t="s">
        <v>227</v>
      </c>
      <c r="C204" s="116">
        <v>6000</v>
      </c>
      <c r="D204" s="166">
        <v>0</v>
      </c>
      <c r="E204" s="166">
        <v>0</v>
      </c>
      <c r="F204" s="168" t="s">
        <v>771</v>
      </c>
      <c r="G204" s="167">
        <v>0</v>
      </c>
    </row>
    <row r="205" spans="1:7" ht="27" customHeight="1" x14ac:dyDescent="0.25">
      <c r="A205" s="95">
        <v>37458</v>
      </c>
      <c r="B205" s="116" t="s">
        <v>229</v>
      </c>
      <c r="C205" s="116">
        <v>5900</v>
      </c>
      <c r="D205" s="166">
        <v>0</v>
      </c>
      <c r="E205" s="166">
        <v>0</v>
      </c>
      <c r="F205" s="168" t="s">
        <v>736</v>
      </c>
      <c r="G205" s="167">
        <v>0</v>
      </c>
    </row>
    <row r="206" spans="1:7" ht="27" customHeight="1" x14ac:dyDescent="0.25">
      <c r="A206" s="95">
        <v>37459</v>
      </c>
      <c r="B206" s="116" t="s">
        <v>229</v>
      </c>
      <c r="C206" s="116">
        <v>5900</v>
      </c>
      <c r="D206" s="166">
        <v>0</v>
      </c>
      <c r="E206" s="166">
        <v>0</v>
      </c>
      <c r="F206" s="168" t="s">
        <v>736</v>
      </c>
      <c r="G206" s="167">
        <v>0</v>
      </c>
    </row>
    <row r="207" spans="1:7" ht="27" customHeight="1" x14ac:dyDescent="0.25">
      <c r="A207" s="95">
        <v>37460</v>
      </c>
      <c r="B207" s="116" t="s">
        <v>229</v>
      </c>
      <c r="C207" s="116">
        <v>5900</v>
      </c>
      <c r="D207" s="166">
        <v>0</v>
      </c>
      <c r="E207" s="166">
        <v>0</v>
      </c>
      <c r="F207" s="168" t="s">
        <v>736</v>
      </c>
      <c r="G207" s="167">
        <v>0</v>
      </c>
    </row>
    <row r="208" spans="1:7" ht="27" customHeight="1" x14ac:dyDescent="0.25">
      <c r="A208" s="95">
        <v>37461</v>
      </c>
      <c r="B208" s="116" t="s">
        <v>161</v>
      </c>
      <c r="C208" s="116">
        <v>5850</v>
      </c>
      <c r="D208" s="166">
        <v>0</v>
      </c>
      <c r="E208" s="166">
        <v>0</v>
      </c>
      <c r="F208" s="168" t="s">
        <v>736</v>
      </c>
      <c r="G208" s="167">
        <v>0</v>
      </c>
    </row>
    <row r="209" spans="1:7" ht="27" customHeight="1" x14ac:dyDescent="0.25">
      <c r="A209" s="95">
        <v>37462</v>
      </c>
      <c r="B209" s="116" t="s">
        <v>161</v>
      </c>
      <c r="C209" s="116">
        <v>5850</v>
      </c>
      <c r="D209" s="166">
        <v>0</v>
      </c>
      <c r="E209" s="166">
        <v>0</v>
      </c>
      <c r="F209" s="168" t="s">
        <v>736</v>
      </c>
      <c r="G209" s="167">
        <v>0</v>
      </c>
    </row>
    <row r="210" spans="1:7" ht="27" customHeight="1" x14ac:dyDescent="0.25">
      <c r="A210" s="95">
        <v>37463</v>
      </c>
      <c r="B210" s="116" t="s">
        <v>236</v>
      </c>
      <c r="C210" s="116">
        <v>5800</v>
      </c>
      <c r="D210" s="166">
        <v>0</v>
      </c>
      <c r="E210" s="166">
        <v>0</v>
      </c>
      <c r="F210" s="168" t="s">
        <v>827</v>
      </c>
      <c r="G210" s="167">
        <v>0</v>
      </c>
    </row>
    <row r="211" spans="1:7" ht="27" customHeight="1" x14ac:dyDescent="0.25">
      <c r="A211" s="95">
        <v>37464</v>
      </c>
      <c r="B211" s="116" t="s">
        <v>239</v>
      </c>
      <c r="C211" s="116">
        <v>5700</v>
      </c>
      <c r="D211" s="166">
        <v>0</v>
      </c>
      <c r="E211" s="166">
        <v>0</v>
      </c>
      <c r="F211" s="168" t="s">
        <v>827</v>
      </c>
      <c r="G211" s="167">
        <v>0</v>
      </c>
    </row>
    <row r="212" spans="1:7" ht="27" customHeight="1" x14ac:dyDescent="0.25">
      <c r="A212" s="95">
        <v>37465</v>
      </c>
      <c r="B212" s="116" t="s">
        <v>242</v>
      </c>
      <c r="C212" s="116">
        <v>5600</v>
      </c>
      <c r="D212" s="166">
        <v>0</v>
      </c>
      <c r="E212" s="166">
        <v>0</v>
      </c>
      <c r="F212" s="168" t="s">
        <v>827</v>
      </c>
      <c r="G212" s="167">
        <v>0</v>
      </c>
    </row>
    <row r="213" spans="1:7" ht="27" customHeight="1" x14ac:dyDescent="0.25">
      <c r="A213" s="95">
        <v>37466</v>
      </c>
      <c r="B213" s="116" t="s">
        <v>157</v>
      </c>
      <c r="C213" s="116">
        <v>5500</v>
      </c>
      <c r="D213" s="166">
        <v>0</v>
      </c>
      <c r="E213" s="166">
        <v>0</v>
      </c>
      <c r="F213" s="168" t="s">
        <v>827</v>
      </c>
      <c r="G213" s="167">
        <v>0</v>
      </c>
    </row>
    <row r="214" spans="1:7" ht="27" customHeight="1" x14ac:dyDescent="0.25">
      <c r="A214" s="95">
        <v>37467</v>
      </c>
      <c r="B214" s="116" t="s">
        <v>248</v>
      </c>
      <c r="C214" s="116">
        <v>5400</v>
      </c>
      <c r="D214" s="166">
        <v>0</v>
      </c>
      <c r="E214" s="166">
        <v>0</v>
      </c>
      <c r="F214" s="168" t="s">
        <v>827</v>
      </c>
      <c r="G214" s="167">
        <v>0</v>
      </c>
    </row>
    <row r="215" spans="1:7" ht="27" customHeight="1" x14ac:dyDescent="0.25">
      <c r="A215" s="95">
        <v>37468</v>
      </c>
      <c r="B215" s="116" t="s">
        <v>153</v>
      </c>
      <c r="C215" s="116">
        <v>5350</v>
      </c>
      <c r="D215" s="166">
        <v>0</v>
      </c>
      <c r="E215" s="166">
        <v>0</v>
      </c>
      <c r="F215" s="168" t="s">
        <v>827</v>
      </c>
      <c r="G215" s="167">
        <v>0</v>
      </c>
    </row>
    <row r="216" spans="1:7" ht="27" customHeight="1" x14ac:dyDescent="0.25">
      <c r="A216" s="95">
        <v>37469</v>
      </c>
      <c r="B216" s="116" t="s">
        <v>151</v>
      </c>
      <c r="C216" s="116">
        <v>5300</v>
      </c>
      <c r="D216" s="166">
        <v>0</v>
      </c>
      <c r="E216" s="166">
        <v>0</v>
      </c>
      <c r="F216" s="168" t="s">
        <v>827</v>
      </c>
      <c r="G216" s="167">
        <v>0</v>
      </c>
    </row>
    <row r="217" spans="1:7" ht="27" customHeight="1" x14ac:dyDescent="0.25">
      <c r="A217" s="95">
        <v>37470</v>
      </c>
      <c r="B217" s="116" t="s">
        <v>258</v>
      </c>
      <c r="C217" s="116">
        <v>5250</v>
      </c>
      <c r="D217" s="166">
        <v>0</v>
      </c>
      <c r="E217" s="166">
        <v>0</v>
      </c>
      <c r="F217" s="168" t="s">
        <v>827</v>
      </c>
      <c r="G217" s="167">
        <v>0</v>
      </c>
    </row>
    <row r="218" spans="1:7" ht="27" customHeight="1" x14ac:dyDescent="0.25">
      <c r="A218" s="95">
        <v>37471</v>
      </c>
      <c r="B218" s="116" t="s">
        <v>262</v>
      </c>
      <c r="C218" s="96">
        <v>5200</v>
      </c>
      <c r="D218" s="166">
        <v>0</v>
      </c>
      <c r="E218" s="166">
        <v>0</v>
      </c>
      <c r="F218" s="168" t="s">
        <v>827</v>
      </c>
      <c r="G218" s="167">
        <v>0</v>
      </c>
    </row>
    <row r="219" spans="1:7" ht="27" customHeight="1" x14ac:dyDescent="0.25">
      <c r="A219" s="95">
        <v>37472</v>
      </c>
      <c r="B219" s="116" t="s">
        <v>149</v>
      </c>
      <c r="C219" s="96">
        <v>5150</v>
      </c>
      <c r="D219" s="166">
        <v>0</v>
      </c>
      <c r="E219" s="166">
        <v>0</v>
      </c>
      <c r="F219" s="168" t="s">
        <v>827</v>
      </c>
      <c r="G219" s="167">
        <v>0</v>
      </c>
    </row>
    <row r="220" spans="1:7" ht="27" customHeight="1" x14ac:dyDescent="0.25">
      <c r="A220" s="95">
        <v>37473</v>
      </c>
      <c r="B220" s="116" t="s">
        <v>149</v>
      </c>
      <c r="C220" s="96">
        <v>5150</v>
      </c>
      <c r="D220" s="166">
        <v>0</v>
      </c>
      <c r="E220" s="166">
        <v>0</v>
      </c>
      <c r="F220" s="168" t="s">
        <v>736</v>
      </c>
      <c r="G220" s="167">
        <v>0</v>
      </c>
    </row>
    <row r="221" spans="1:7" ht="27" customHeight="1" x14ac:dyDescent="0.25">
      <c r="A221" s="95">
        <v>37474</v>
      </c>
      <c r="B221" s="116" t="s">
        <v>423</v>
      </c>
      <c r="C221" s="96">
        <v>5100</v>
      </c>
      <c r="D221" s="166">
        <v>0</v>
      </c>
      <c r="E221" s="166">
        <v>0</v>
      </c>
      <c r="F221" s="168" t="s">
        <v>736</v>
      </c>
      <c r="G221" s="167">
        <v>0</v>
      </c>
    </row>
    <row r="222" spans="1:7" ht="27" customHeight="1" x14ac:dyDescent="0.25">
      <c r="A222" s="95">
        <v>37475</v>
      </c>
      <c r="B222" s="116" t="s">
        <v>423</v>
      </c>
      <c r="C222" s="96">
        <v>5100</v>
      </c>
      <c r="D222" s="166">
        <v>0</v>
      </c>
      <c r="E222" s="166">
        <v>0</v>
      </c>
      <c r="F222" s="168" t="s">
        <v>736</v>
      </c>
      <c r="G222" s="167">
        <v>0</v>
      </c>
    </row>
    <row r="223" spans="1:7" ht="27" customHeight="1" x14ac:dyDescent="0.25">
      <c r="A223" s="95">
        <v>37476</v>
      </c>
      <c r="B223" s="116" t="s">
        <v>145</v>
      </c>
      <c r="C223" s="96">
        <v>5050</v>
      </c>
      <c r="D223" s="166">
        <v>0</v>
      </c>
      <c r="E223" s="166">
        <v>0</v>
      </c>
      <c r="F223" s="168" t="s">
        <v>736</v>
      </c>
      <c r="G223" s="167">
        <v>0</v>
      </c>
    </row>
    <row r="224" spans="1:7" ht="27" customHeight="1" x14ac:dyDescent="0.25">
      <c r="A224" s="95">
        <v>37477</v>
      </c>
      <c r="B224" s="116" t="s">
        <v>143</v>
      </c>
      <c r="C224" s="96">
        <v>5000</v>
      </c>
      <c r="D224" s="166">
        <v>0</v>
      </c>
      <c r="E224" s="166">
        <v>0</v>
      </c>
      <c r="F224" s="168" t="s">
        <v>825</v>
      </c>
      <c r="G224" s="167">
        <v>0</v>
      </c>
    </row>
    <row r="225" spans="1:7" ht="27" customHeight="1" x14ac:dyDescent="0.25">
      <c r="A225" s="95">
        <v>37478</v>
      </c>
      <c r="B225" s="116" t="s">
        <v>141</v>
      </c>
      <c r="C225" s="96">
        <v>4900</v>
      </c>
      <c r="D225" s="166">
        <v>0</v>
      </c>
      <c r="E225" s="166">
        <v>0</v>
      </c>
      <c r="F225" s="168" t="s">
        <v>825</v>
      </c>
      <c r="G225" s="167">
        <v>0</v>
      </c>
    </row>
    <row r="226" spans="1:7" ht="27" customHeight="1" x14ac:dyDescent="0.25">
      <c r="A226" s="95">
        <v>37479</v>
      </c>
      <c r="B226" s="116" t="s">
        <v>139</v>
      </c>
      <c r="C226" s="96">
        <v>4800</v>
      </c>
      <c r="D226" s="166">
        <v>0</v>
      </c>
      <c r="E226" s="166">
        <v>0</v>
      </c>
      <c r="F226" s="168" t="s">
        <v>825</v>
      </c>
      <c r="G226" s="167">
        <v>0</v>
      </c>
    </row>
    <row r="227" spans="1:7" ht="27" customHeight="1" x14ac:dyDescent="0.25">
      <c r="A227" s="95">
        <v>37480</v>
      </c>
      <c r="B227" s="116" t="s">
        <v>279</v>
      </c>
      <c r="C227" s="96">
        <v>4750</v>
      </c>
      <c r="D227" s="166">
        <v>0</v>
      </c>
      <c r="E227" s="166">
        <v>0</v>
      </c>
      <c r="F227" s="168" t="s">
        <v>825</v>
      </c>
      <c r="G227" s="167">
        <v>0</v>
      </c>
    </row>
    <row r="228" spans="1:7" ht="27" customHeight="1" x14ac:dyDescent="0.25">
      <c r="A228" s="95">
        <v>37481</v>
      </c>
      <c r="B228" s="116" t="s">
        <v>281</v>
      </c>
      <c r="C228" s="96">
        <v>4700</v>
      </c>
      <c r="D228" s="166">
        <v>0</v>
      </c>
      <c r="E228" s="166">
        <v>0</v>
      </c>
      <c r="F228" s="168" t="s">
        <v>825</v>
      </c>
      <c r="G228" s="167">
        <v>0</v>
      </c>
    </row>
    <row r="229" spans="1:7" ht="27" customHeight="1" x14ac:dyDescent="0.25">
      <c r="A229" s="95">
        <v>37482</v>
      </c>
      <c r="B229" s="116" t="s">
        <v>135</v>
      </c>
      <c r="C229" s="96">
        <v>4600</v>
      </c>
      <c r="D229" s="166">
        <v>0</v>
      </c>
      <c r="E229" s="166">
        <v>0</v>
      </c>
      <c r="F229" s="168" t="s">
        <v>825</v>
      </c>
      <c r="G229" s="167">
        <v>0</v>
      </c>
    </row>
    <row r="230" spans="1:7" ht="27" customHeight="1" x14ac:dyDescent="0.25">
      <c r="A230" s="95">
        <v>37483</v>
      </c>
      <c r="B230" s="116" t="s">
        <v>133</v>
      </c>
      <c r="C230" s="96">
        <v>4500</v>
      </c>
      <c r="D230" s="166">
        <v>0</v>
      </c>
      <c r="E230" s="166">
        <v>0</v>
      </c>
      <c r="F230" s="168" t="s">
        <v>825</v>
      </c>
      <c r="G230" s="167">
        <v>0</v>
      </c>
    </row>
    <row r="231" spans="1:7" ht="27" customHeight="1" x14ac:dyDescent="0.25">
      <c r="A231" s="95">
        <v>37484</v>
      </c>
      <c r="B231" s="116" t="s">
        <v>284</v>
      </c>
      <c r="C231" s="96">
        <v>4450</v>
      </c>
      <c r="D231" s="166">
        <v>0</v>
      </c>
      <c r="E231" s="166">
        <v>0</v>
      </c>
      <c r="F231" s="168" t="s">
        <v>825</v>
      </c>
      <c r="G231" s="167">
        <v>0</v>
      </c>
    </row>
    <row r="232" spans="1:7" ht="27" customHeight="1" x14ac:dyDescent="0.25">
      <c r="A232" s="95">
        <v>37485</v>
      </c>
      <c r="B232" s="116" t="s">
        <v>424</v>
      </c>
      <c r="C232" s="96">
        <v>4400</v>
      </c>
      <c r="D232" s="166">
        <v>0</v>
      </c>
      <c r="E232" s="166">
        <v>0</v>
      </c>
      <c r="F232" s="168" t="s">
        <v>825</v>
      </c>
      <c r="G232" s="167">
        <v>0</v>
      </c>
    </row>
    <row r="233" spans="1:7" ht="27" customHeight="1" x14ac:dyDescent="0.25">
      <c r="A233" s="95">
        <v>37486</v>
      </c>
      <c r="B233" s="116" t="s">
        <v>425</v>
      </c>
      <c r="C233" s="96">
        <v>4350</v>
      </c>
      <c r="D233" s="166">
        <v>0</v>
      </c>
      <c r="E233" s="166">
        <v>0</v>
      </c>
      <c r="F233" s="168" t="s">
        <v>825</v>
      </c>
      <c r="G233" s="167">
        <v>0</v>
      </c>
    </row>
    <row r="234" spans="1:7" ht="27" customHeight="1" x14ac:dyDescent="0.25">
      <c r="A234" s="95">
        <v>37487</v>
      </c>
      <c r="B234" s="116" t="s">
        <v>128</v>
      </c>
      <c r="C234" s="96">
        <v>4300</v>
      </c>
      <c r="D234" s="166">
        <v>0</v>
      </c>
      <c r="E234" s="166">
        <v>0</v>
      </c>
      <c r="F234" s="168" t="s">
        <v>825</v>
      </c>
      <c r="G234" s="167">
        <v>0</v>
      </c>
    </row>
    <row r="235" spans="1:7" ht="27" customHeight="1" x14ac:dyDescent="0.25">
      <c r="A235" s="95">
        <v>37488</v>
      </c>
      <c r="B235" s="116" t="s">
        <v>132</v>
      </c>
      <c r="C235" s="96">
        <v>4250</v>
      </c>
      <c r="D235" s="166">
        <v>0</v>
      </c>
      <c r="E235" s="166">
        <v>0</v>
      </c>
      <c r="F235" s="168" t="s">
        <v>825</v>
      </c>
      <c r="G235" s="167">
        <v>0</v>
      </c>
    </row>
    <row r="236" spans="1:7" ht="27" customHeight="1" x14ac:dyDescent="0.25">
      <c r="A236" s="95">
        <v>37489</v>
      </c>
      <c r="B236" s="116" t="s">
        <v>127</v>
      </c>
      <c r="C236" s="96">
        <v>4200</v>
      </c>
      <c r="D236" s="166">
        <v>0</v>
      </c>
      <c r="E236" s="166">
        <v>0</v>
      </c>
      <c r="F236" s="168" t="s">
        <v>825</v>
      </c>
      <c r="G236" s="167">
        <v>0</v>
      </c>
    </row>
    <row r="237" spans="1:7" ht="27" customHeight="1" x14ac:dyDescent="0.25">
      <c r="A237" s="95">
        <v>37490</v>
      </c>
      <c r="B237" s="116" t="s">
        <v>126</v>
      </c>
      <c r="C237" s="96">
        <v>4150</v>
      </c>
      <c r="D237" s="166">
        <v>0</v>
      </c>
      <c r="E237" s="166">
        <v>0</v>
      </c>
      <c r="F237" s="168" t="s">
        <v>1443</v>
      </c>
      <c r="G237" s="167">
        <v>0</v>
      </c>
    </row>
    <row r="238" spans="1:7" ht="27" customHeight="1" x14ac:dyDescent="0.25">
      <c r="A238" s="95">
        <v>37491</v>
      </c>
      <c r="B238" s="116" t="s">
        <v>290</v>
      </c>
      <c r="C238" s="96">
        <v>4100</v>
      </c>
      <c r="D238" s="166">
        <v>0</v>
      </c>
      <c r="E238" s="166">
        <v>0</v>
      </c>
      <c r="F238" s="168" t="s">
        <v>1443</v>
      </c>
      <c r="G238" s="167">
        <v>0</v>
      </c>
    </row>
    <row r="239" spans="1:7" ht="27" customHeight="1" x14ac:dyDescent="0.25">
      <c r="A239" s="95">
        <v>37492</v>
      </c>
      <c r="B239" s="116" t="s">
        <v>124</v>
      </c>
      <c r="C239" s="96">
        <v>4000</v>
      </c>
      <c r="D239" s="166">
        <v>0</v>
      </c>
      <c r="E239" s="166">
        <v>0</v>
      </c>
      <c r="F239" s="168" t="s">
        <v>1443</v>
      </c>
      <c r="G239" s="167">
        <v>0</v>
      </c>
    </row>
    <row r="240" spans="1:7" ht="27" customHeight="1" x14ac:dyDescent="0.25">
      <c r="A240" s="95">
        <v>37493</v>
      </c>
      <c r="B240" s="116" t="s">
        <v>124</v>
      </c>
      <c r="C240" s="96">
        <v>4000</v>
      </c>
      <c r="D240" s="166">
        <v>0</v>
      </c>
      <c r="E240" s="166">
        <v>0</v>
      </c>
      <c r="F240" s="168" t="s">
        <v>1443</v>
      </c>
      <c r="G240" s="167">
        <v>0</v>
      </c>
    </row>
    <row r="241" spans="1:7" ht="27" customHeight="1" x14ac:dyDescent="0.25">
      <c r="A241" s="95">
        <v>37494</v>
      </c>
      <c r="B241" s="116" t="s">
        <v>124</v>
      </c>
      <c r="C241" s="96">
        <v>4000</v>
      </c>
      <c r="D241" s="166">
        <v>0</v>
      </c>
      <c r="E241" s="166">
        <v>0</v>
      </c>
      <c r="F241" s="168" t="s">
        <v>1443</v>
      </c>
      <c r="G241" s="167">
        <v>0</v>
      </c>
    </row>
    <row r="242" spans="1:7" ht="27" customHeight="1" x14ac:dyDescent="0.25">
      <c r="A242" s="95">
        <v>37495</v>
      </c>
      <c r="B242" s="116" t="s">
        <v>124</v>
      </c>
      <c r="C242" s="96">
        <v>4000</v>
      </c>
      <c r="D242" s="166">
        <v>0</v>
      </c>
      <c r="E242" s="166">
        <v>0</v>
      </c>
      <c r="F242" s="168" t="s">
        <v>1443</v>
      </c>
      <c r="G242" s="167">
        <v>0</v>
      </c>
    </row>
    <row r="243" spans="1:7" ht="27" customHeight="1" x14ac:dyDescent="0.25">
      <c r="A243" s="95">
        <v>37496</v>
      </c>
      <c r="B243" s="116" t="s">
        <v>124</v>
      </c>
      <c r="C243" s="96">
        <v>4000</v>
      </c>
      <c r="D243" s="166">
        <v>0</v>
      </c>
      <c r="E243" s="166">
        <v>0</v>
      </c>
      <c r="F243" s="168" t="s">
        <v>1443</v>
      </c>
      <c r="G243" s="167">
        <v>0</v>
      </c>
    </row>
    <row r="244" spans="1:7" ht="27" customHeight="1" x14ac:dyDescent="0.25">
      <c r="A244" s="95">
        <v>37497</v>
      </c>
      <c r="B244" s="116" t="s">
        <v>123</v>
      </c>
      <c r="C244" s="96">
        <v>3900</v>
      </c>
      <c r="D244" s="166">
        <v>0</v>
      </c>
      <c r="E244" s="166">
        <v>0</v>
      </c>
      <c r="F244" s="168" t="s">
        <v>1443</v>
      </c>
      <c r="G244" s="167">
        <v>0</v>
      </c>
    </row>
    <row r="245" spans="1:7" ht="27" customHeight="1" x14ac:dyDescent="0.25">
      <c r="A245" s="95">
        <v>37498</v>
      </c>
      <c r="B245" s="116" t="s">
        <v>294</v>
      </c>
      <c r="C245" s="96">
        <v>3800</v>
      </c>
      <c r="D245" s="166">
        <v>0</v>
      </c>
      <c r="E245" s="166">
        <v>0</v>
      </c>
      <c r="F245" s="168" t="s">
        <v>736</v>
      </c>
      <c r="G245" s="167">
        <v>0</v>
      </c>
    </row>
    <row r="246" spans="1:7" ht="27" customHeight="1" x14ac:dyDescent="0.25">
      <c r="A246" s="95">
        <v>37499</v>
      </c>
      <c r="B246" s="116" t="s">
        <v>296</v>
      </c>
      <c r="C246" s="96">
        <v>3750</v>
      </c>
      <c r="D246" s="166">
        <v>0</v>
      </c>
      <c r="E246" s="166">
        <v>0</v>
      </c>
      <c r="F246" s="168" t="s">
        <v>736</v>
      </c>
      <c r="G246" s="167">
        <v>0</v>
      </c>
    </row>
    <row r="247" spans="1:7" ht="27" customHeight="1" x14ac:dyDescent="0.25">
      <c r="A247" s="95">
        <v>37500</v>
      </c>
      <c r="B247" s="116" t="s">
        <v>296</v>
      </c>
      <c r="C247" s="96">
        <v>3750</v>
      </c>
      <c r="D247" s="166">
        <v>0</v>
      </c>
      <c r="E247" s="166">
        <v>0</v>
      </c>
      <c r="F247" s="168" t="s">
        <v>736</v>
      </c>
      <c r="G247" s="167">
        <v>0</v>
      </c>
    </row>
    <row r="248" spans="1:7" ht="27" customHeight="1" x14ac:dyDescent="0.25">
      <c r="A248" s="95">
        <v>37501</v>
      </c>
      <c r="B248" s="116" t="s">
        <v>300</v>
      </c>
      <c r="C248" s="116">
        <v>3700</v>
      </c>
      <c r="D248" s="166">
        <v>0</v>
      </c>
      <c r="E248" s="166">
        <v>0</v>
      </c>
      <c r="F248" s="168" t="s">
        <v>736</v>
      </c>
      <c r="G248" s="167">
        <v>0</v>
      </c>
    </row>
    <row r="249" spans="1:7" ht="27" customHeight="1" x14ac:dyDescent="0.25">
      <c r="A249" s="95">
        <v>37502</v>
      </c>
      <c r="B249" s="116" t="s">
        <v>300</v>
      </c>
      <c r="C249" s="116">
        <v>3700</v>
      </c>
      <c r="D249" s="166">
        <v>0</v>
      </c>
      <c r="E249" s="166">
        <v>0</v>
      </c>
      <c r="F249" s="168" t="s">
        <v>736</v>
      </c>
      <c r="G249" s="167">
        <v>0</v>
      </c>
    </row>
    <row r="250" spans="1:7" ht="27" customHeight="1" x14ac:dyDescent="0.25">
      <c r="A250" s="95">
        <v>37503</v>
      </c>
      <c r="B250" s="116" t="s">
        <v>304</v>
      </c>
      <c r="C250" s="116">
        <v>3650</v>
      </c>
      <c r="D250" s="166">
        <v>0</v>
      </c>
      <c r="E250" s="166">
        <v>0</v>
      </c>
      <c r="F250" s="168" t="s">
        <v>736</v>
      </c>
      <c r="G250" s="167">
        <v>0</v>
      </c>
    </row>
    <row r="251" spans="1:7" ht="27" customHeight="1" x14ac:dyDescent="0.25">
      <c r="A251" s="95">
        <v>37504</v>
      </c>
      <c r="B251" s="116" t="s">
        <v>510</v>
      </c>
      <c r="C251" s="116">
        <v>3600</v>
      </c>
      <c r="D251" s="166">
        <v>0</v>
      </c>
      <c r="E251" s="166">
        <v>0</v>
      </c>
      <c r="F251" s="168" t="s">
        <v>1443</v>
      </c>
      <c r="G251" s="167">
        <v>0</v>
      </c>
    </row>
    <row r="252" spans="1:7" ht="27" customHeight="1" x14ac:dyDescent="0.25">
      <c r="A252" s="95">
        <v>37505</v>
      </c>
      <c r="B252" s="116" t="s">
        <v>510</v>
      </c>
      <c r="C252" s="116">
        <v>3600</v>
      </c>
      <c r="D252" s="166">
        <v>0</v>
      </c>
      <c r="E252" s="166">
        <v>0</v>
      </c>
      <c r="F252" s="168" t="s">
        <v>1443</v>
      </c>
      <c r="G252" s="167">
        <v>0</v>
      </c>
    </row>
    <row r="253" spans="1:7" ht="27" customHeight="1" x14ac:dyDescent="0.25">
      <c r="A253" s="95">
        <v>37506</v>
      </c>
      <c r="B253" s="116" t="s">
        <v>311</v>
      </c>
      <c r="C253" s="116">
        <v>3550</v>
      </c>
      <c r="D253" s="166">
        <v>0</v>
      </c>
      <c r="E253" s="166">
        <v>0</v>
      </c>
      <c r="F253" s="168" t="s">
        <v>1443</v>
      </c>
      <c r="G253" s="167">
        <v>0</v>
      </c>
    </row>
    <row r="254" spans="1:7" ht="27" customHeight="1" x14ac:dyDescent="0.25">
      <c r="A254" s="95">
        <v>37507</v>
      </c>
      <c r="B254" s="116" t="s">
        <v>311</v>
      </c>
      <c r="C254" s="116">
        <v>3550</v>
      </c>
      <c r="D254" s="166">
        <v>0</v>
      </c>
      <c r="E254" s="166">
        <v>0</v>
      </c>
      <c r="F254" s="168" t="s">
        <v>1443</v>
      </c>
      <c r="G254" s="167">
        <v>0</v>
      </c>
    </row>
    <row r="255" spans="1:7" ht="27" customHeight="1" x14ac:dyDescent="0.25">
      <c r="A255" s="95">
        <v>37508</v>
      </c>
      <c r="B255" s="116" t="s">
        <v>317</v>
      </c>
      <c r="C255" s="116">
        <v>3500</v>
      </c>
      <c r="D255" s="166">
        <v>0</v>
      </c>
      <c r="E255" s="166">
        <v>0</v>
      </c>
      <c r="F255" s="168" t="s">
        <v>1443</v>
      </c>
      <c r="G255" s="167">
        <v>0</v>
      </c>
    </row>
    <row r="256" spans="1:7" ht="27" customHeight="1" x14ac:dyDescent="0.25">
      <c r="A256" s="95">
        <v>37509</v>
      </c>
      <c r="B256" s="116" t="s">
        <v>319</v>
      </c>
      <c r="C256" s="116">
        <v>3450</v>
      </c>
      <c r="D256" s="166">
        <v>0</v>
      </c>
      <c r="E256" s="166">
        <v>0</v>
      </c>
      <c r="F256" s="168" t="s">
        <v>736</v>
      </c>
      <c r="G256" s="167">
        <v>0</v>
      </c>
    </row>
    <row r="257" spans="1:7" ht="27" customHeight="1" x14ac:dyDescent="0.25">
      <c r="A257" s="95">
        <v>37510</v>
      </c>
      <c r="B257" s="116" t="s">
        <v>319</v>
      </c>
      <c r="C257" s="116">
        <v>3450</v>
      </c>
      <c r="D257" s="166">
        <v>0</v>
      </c>
      <c r="E257" s="166">
        <v>0</v>
      </c>
      <c r="F257" s="168" t="s">
        <v>736</v>
      </c>
      <c r="G257" s="167">
        <v>0</v>
      </c>
    </row>
    <row r="258" spans="1:7" ht="27" customHeight="1" x14ac:dyDescent="0.25">
      <c r="A258" s="95">
        <v>37511</v>
      </c>
      <c r="B258" s="116" t="s">
        <v>321</v>
      </c>
      <c r="C258" s="116">
        <v>3400</v>
      </c>
      <c r="D258" s="166">
        <v>0</v>
      </c>
      <c r="E258" s="166">
        <v>0</v>
      </c>
      <c r="F258" s="168" t="s">
        <v>736</v>
      </c>
      <c r="G258" s="167">
        <v>0</v>
      </c>
    </row>
    <row r="259" spans="1:7" ht="27" customHeight="1" x14ac:dyDescent="0.25">
      <c r="A259" s="95">
        <v>37512</v>
      </c>
      <c r="B259" s="116" t="s">
        <v>553</v>
      </c>
      <c r="C259" s="116">
        <v>3425</v>
      </c>
      <c r="D259" s="166">
        <v>0</v>
      </c>
      <c r="E259" s="166">
        <v>0</v>
      </c>
      <c r="F259" s="168" t="s">
        <v>736</v>
      </c>
      <c r="G259" s="167">
        <v>0</v>
      </c>
    </row>
    <row r="260" spans="1:7" ht="27" customHeight="1" x14ac:dyDescent="0.25">
      <c r="A260" s="95">
        <v>37513</v>
      </c>
      <c r="B260" s="116" t="s">
        <v>553</v>
      </c>
      <c r="C260" s="116">
        <v>3425</v>
      </c>
      <c r="D260" s="166">
        <v>0</v>
      </c>
      <c r="E260" s="166">
        <v>0</v>
      </c>
      <c r="F260" s="168" t="s">
        <v>736</v>
      </c>
      <c r="G260" s="167">
        <v>0</v>
      </c>
    </row>
    <row r="261" spans="1:7" ht="27" customHeight="1" x14ac:dyDescent="0.25">
      <c r="A261" s="95">
        <v>37514</v>
      </c>
      <c r="B261" s="116" t="s">
        <v>553</v>
      </c>
      <c r="C261" s="116">
        <v>3425</v>
      </c>
      <c r="D261" s="166">
        <v>0</v>
      </c>
      <c r="E261" s="166">
        <v>0</v>
      </c>
      <c r="F261" s="168" t="s">
        <v>736</v>
      </c>
      <c r="G261" s="167">
        <v>0</v>
      </c>
    </row>
    <row r="262" spans="1:7" ht="27" customHeight="1" x14ac:dyDescent="0.25">
      <c r="A262" s="95">
        <v>37515</v>
      </c>
      <c r="B262" s="116" t="s">
        <v>321</v>
      </c>
      <c r="C262" s="116">
        <v>3400</v>
      </c>
      <c r="D262" s="166">
        <v>0</v>
      </c>
      <c r="E262" s="166">
        <v>0</v>
      </c>
      <c r="F262" s="168" t="s">
        <v>736</v>
      </c>
      <c r="G262" s="167">
        <v>0</v>
      </c>
    </row>
    <row r="263" spans="1:7" ht="27" customHeight="1" x14ac:dyDescent="0.25">
      <c r="A263" s="95">
        <v>37516</v>
      </c>
      <c r="B263" s="116" t="s">
        <v>321</v>
      </c>
      <c r="C263" s="116">
        <v>3400</v>
      </c>
      <c r="D263" s="166">
        <v>0</v>
      </c>
      <c r="E263" s="166">
        <v>0</v>
      </c>
      <c r="F263" s="168" t="s">
        <v>736</v>
      </c>
      <c r="G263" s="167">
        <v>0</v>
      </c>
    </row>
    <row r="264" spans="1:7" ht="27" customHeight="1" x14ac:dyDescent="0.25">
      <c r="A264" s="95">
        <v>37517</v>
      </c>
      <c r="B264" s="116" t="s">
        <v>321</v>
      </c>
      <c r="C264" s="116">
        <v>3400</v>
      </c>
      <c r="D264" s="166">
        <v>0</v>
      </c>
      <c r="E264" s="166">
        <v>0</v>
      </c>
      <c r="F264" s="168" t="s">
        <v>736</v>
      </c>
      <c r="G264" s="167">
        <v>0</v>
      </c>
    </row>
    <row r="265" spans="1:7" ht="27" customHeight="1" x14ac:dyDescent="0.25">
      <c r="A265" s="95">
        <v>37518</v>
      </c>
      <c r="B265" s="116" t="s">
        <v>321</v>
      </c>
      <c r="C265" s="116">
        <v>3400</v>
      </c>
      <c r="D265" s="166">
        <v>0</v>
      </c>
      <c r="E265" s="166">
        <v>0</v>
      </c>
      <c r="F265" s="168" t="s">
        <v>736</v>
      </c>
      <c r="G265" s="167">
        <v>0</v>
      </c>
    </row>
    <row r="266" spans="1:7" ht="27" customHeight="1" x14ac:dyDescent="0.25">
      <c r="A266" s="95">
        <v>37519</v>
      </c>
      <c r="B266" s="116" t="s">
        <v>417</v>
      </c>
      <c r="C266" s="116">
        <v>3250</v>
      </c>
      <c r="D266" s="166">
        <v>0</v>
      </c>
      <c r="E266" s="166">
        <v>0</v>
      </c>
      <c r="F266" s="168" t="s">
        <v>736</v>
      </c>
      <c r="G266" s="167">
        <v>0</v>
      </c>
    </row>
    <row r="267" spans="1:7" ht="27" customHeight="1" x14ac:dyDescent="0.25">
      <c r="A267" s="95">
        <v>37520</v>
      </c>
      <c r="B267" s="116" t="s">
        <v>417</v>
      </c>
      <c r="C267" s="116">
        <v>3250</v>
      </c>
      <c r="D267" s="166">
        <v>0</v>
      </c>
      <c r="E267" s="166">
        <v>0</v>
      </c>
      <c r="F267" s="168" t="s">
        <v>736</v>
      </c>
      <c r="G267" s="167">
        <v>0</v>
      </c>
    </row>
    <row r="268" spans="1:7" ht="27" customHeight="1" x14ac:dyDescent="0.25">
      <c r="A268" s="95">
        <v>37521</v>
      </c>
      <c r="B268" s="116" t="s">
        <v>427</v>
      </c>
      <c r="C268" s="116">
        <v>3200</v>
      </c>
      <c r="D268" s="166">
        <v>0</v>
      </c>
      <c r="E268" s="166">
        <v>0</v>
      </c>
      <c r="F268" s="168" t="s">
        <v>736</v>
      </c>
      <c r="G268" s="167">
        <v>0</v>
      </c>
    </row>
    <row r="269" spans="1:7" ht="27" customHeight="1" x14ac:dyDescent="0.25">
      <c r="A269" s="95">
        <v>37522</v>
      </c>
      <c r="B269" s="116" t="s">
        <v>427</v>
      </c>
      <c r="C269" s="116">
        <v>3200</v>
      </c>
      <c r="D269" s="166">
        <v>0</v>
      </c>
      <c r="E269" s="166">
        <v>0</v>
      </c>
      <c r="F269" s="168" t="s">
        <v>736</v>
      </c>
      <c r="G269" s="167">
        <v>0</v>
      </c>
    </row>
    <row r="270" spans="1:7" ht="27" customHeight="1" x14ac:dyDescent="0.25">
      <c r="A270" s="95">
        <v>37523</v>
      </c>
      <c r="B270" s="116" t="s">
        <v>416</v>
      </c>
      <c r="C270" s="116">
        <v>3100</v>
      </c>
      <c r="D270" s="166">
        <v>0</v>
      </c>
      <c r="E270" s="166">
        <v>0</v>
      </c>
      <c r="F270" s="168" t="s">
        <v>736</v>
      </c>
      <c r="G270" s="167">
        <v>0</v>
      </c>
    </row>
    <row r="271" spans="1:7" ht="27" customHeight="1" x14ac:dyDescent="0.25">
      <c r="A271" s="95">
        <v>37524</v>
      </c>
      <c r="B271" s="116" t="s">
        <v>416</v>
      </c>
      <c r="C271" s="116">
        <v>3100</v>
      </c>
      <c r="D271" s="166">
        <v>0</v>
      </c>
      <c r="E271" s="166">
        <v>0</v>
      </c>
      <c r="F271" s="168" t="s">
        <v>736</v>
      </c>
      <c r="G271" s="167">
        <v>0</v>
      </c>
    </row>
    <row r="272" spans="1:7" ht="27" customHeight="1" x14ac:dyDescent="0.25">
      <c r="A272" s="95">
        <v>37525</v>
      </c>
      <c r="B272" s="116" t="s">
        <v>416</v>
      </c>
      <c r="C272" s="116">
        <v>3100</v>
      </c>
      <c r="D272" s="166">
        <v>0</v>
      </c>
      <c r="E272" s="166">
        <v>0</v>
      </c>
      <c r="F272" s="168" t="s">
        <v>736</v>
      </c>
      <c r="G272" s="167">
        <v>0</v>
      </c>
    </row>
    <row r="273" spans="1:7" ht="27" customHeight="1" x14ac:dyDescent="0.25">
      <c r="A273" s="95">
        <v>37526</v>
      </c>
      <c r="B273" s="116" t="s">
        <v>416</v>
      </c>
      <c r="C273" s="116">
        <v>3100</v>
      </c>
      <c r="D273" s="166">
        <v>0</v>
      </c>
      <c r="E273" s="166">
        <v>0</v>
      </c>
      <c r="F273" s="168" t="s">
        <v>736</v>
      </c>
      <c r="G273" s="167">
        <v>0</v>
      </c>
    </row>
    <row r="274" spans="1:7" ht="27" customHeight="1" x14ac:dyDescent="0.25">
      <c r="A274" s="95">
        <v>37527</v>
      </c>
      <c r="B274" s="116" t="s">
        <v>416</v>
      </c>
      <c r="C274" s="116">
        <v>3100</v>
      </c>
      <c r="D274" s="166">
        <v>0</v>
      </c>
      <c r="E274" s="166">
        <v>0</v>
      </c>
      <c r="F274" s="168" t="s">
        <v>736</v>
      </c>
      <c r="G274" s="167">
        <v>0</v>
      </c>
    </row>
    <row r="275" spans="1:7" ht="27" customHeight="1" x14ac:dyDescent="0.25">
      <c r="A275" s="95">
        <v>37528</v>
      </c>
      <c r="B275" s="116" t="s">
        <v>416</v>
      </c>
      <c r="C275" s="116">
        <v>3100</v>
      </c>
      <c r="D275" s="166">
        <v>0</v>
      </c>
      <c r="E275" s="166">
        <v>0</v>
      </c>
      <c r="F275" s="168" t="s">
        <v>736</v>
      </c>
      <c r="G275" s="167">
        <v>0</v>
      </c>
    </row>
    <row r="276" spans="1:7" ht="27" customHeight="1" x14ac:dyDescent="0.25">
      <c r="A276" s="95">
        <v>37529</v>
      </c>
      <c r="B276" s="116" t="s">
        <v>416</v>
      </c>
      <c r="C276" s="116">
        <v>3100</v>
      </c>
      <c r="D276" s="166">
        <v>0</v>
      </c>
      <c r="E276" s="166">
        <v>0</v>
      </c>
      <c r="F276" s="168" t="s">
        <v>736</v>
      </c>
      <c r="G276" s="167">
        <v>0</v>
      </c>
    </row>
    <row r="277" spans="1:7" ht="27" customHeight="1" x14ac:dyDescent="0.25">
      <c r="A277" s="95">
        <v>37530</v>
      </c>
      <c r="B277" s="116" t="s">
        <v>416</v>
      </c>
      <c r="C277" s="116">
        <v>3100</v>
      </c>
      <c r="D277" s="166">
        <v>0</v>
      </c>
      <c r="E277" s="166">
        <v>0</v>
      </c>
      <c r="F277" s="168" t="s">
        <v>736</v>
      </c>
      <c r="G277" s="167">
        <v>0</v>
      </c>
    </row>
    <row r="278" spans="1:7" ht="27" customHeight="1" x14ac:dyDescent="0.25">
      <c r="A278" s="95">
        <v>37531</v>
      </c>
      <c r="B278" s="116" t="s">
        <v>416</v>
      </c>
      <c r="C278" s="116">
        <v>3100</v>
      </c>
      <c r="D278" s="166">
        <v>0</v>
      </c>
      <c r="E278" s="166">
        <v>0</v>
      </c>
      <c r="F278" s="166">
        <v>0</v>
      </c>
      <c r="G278" s="167">
        <v>0</v>
      </c>
    </row>
    <row r="279" spans="1:7" ht="27" customHeight="1" x14ac:dyDescent="0.25">
      <c r="A279" s="95">
        <v>37532</v>
      </c>
      <c r="B279" s="116" t="s">
        <v>416</v>
      </c>
      <c r="C279" s="116">
        <v>3100</v>
      </c>
      <c r="D279" s="166">
        <v>0</v>
      </c>
      <c r="E279" s="166">
        <v>0</v>
      </c>
      <c r="F279" s="166">
        <v>0</v>
      </c>
      <c r="G279" s="167">
        <v>0</v>
      </c>
    </row>
    <row r="280" spans="1:7" ht="27" customHeight="1" x14ac:dyDescent="0.25">
      <c r="A280" s="95">
        <v>37533</v>
      </c>
      <c r="B280" s="116" t="s">
        <v>416</v>
      </c>
      <c r="C280" s="116">
        <v>3100</v>
      </c>
      <c r="D280" s="166">
        <v>0</v>
      </c>
      <c r="E280" s="166">
        <v>0</v>
      </c>
      <c r="F280" s="166">
        <v>0</v>
      </c>
      <c r="G280" s="167">
        <v>0</v>
      </c>
    </row>
    <row r="281" spans="1:7" ht="27" customHeight="1" x14ac:dyDescent="0.25">
      <c r="A281" s="95">
        <v>37534</v>
      </c>
      <c r="B281" s="116" t="s">
        <v>416</v>
      </c>
      <c r="C281" s="116">
        <v>3100</v>
      </c>
      <c r="D281" s="166">
        <v>0</v>
      </c>
      <c r="E281" s="166">
        <v>0</v>
      </c>
      <c r="F281" s="166">
        <v>0</v>
      </c>
      <c r="G281" s="167">
        <v>0</v>
      </c>
    </row>
    <row r="282" spans="1:7" ht="27" customHeight="1" x14ac:dyDescent="0.25">
      <c r="A282" s="95">
        <v>37535</v>
      </c>
      <c r="B282" s="116" t="s">
        <v>427</v>
      </c>
      <c r="C282" s="116">
        <v>3200</v>
      </c>
      <c r="D282" s="166">
        <v>0</v>
      </c>
      <c r="E282" s="166">
        <v>0</v>
      </c>
      <c r="F282" s="166">
        <v>0</v>
      </c>
      <c r="G282" s="167">
        <v>0</v>
      </c>
    </row>
    <row r="283" spans="1:7" ht="27" customHeight="1" x14ac:dyDescent="0.25">
      <c r="A283" s="95">
        <v>37536</v>
      </c>
      <c r="B283" s="116" t="s">
        <v>427</v>
      </c>
      <c r="C283" s="116">
        <v>3200</v>
      </c>
      <c r="D283" s="166">
        <v>0</v>
      </c>
      <c r="E283" s="166">
        <v>0</v>
      </c>
      <c r="F283" s="166">
        <v>0</v>
      </c>
      <c r="G283" s="167">
        <v>0</v>
      </c>
    </row>
    <row r="284" spans="1:7" ht="27" customHeight="1" x14ac:dyDescent="0.25">
      <c r="A284" s="95">
        <v>37537</v>
      </c>
      <c r="B284" s="116" t="s">
        <v>417</v>
      </c>
      <c r="C284" s="116">
        <v>3250</v>
      </c>
      <c r="D284" s="166">
        <v>0</v>
      </c>
      <c r="E284" s="166">
        <v>0</v>
      </c>
      <c r="F284" s="166">
        <v>0</v>
      </c>
      <c r="G284" s="167">
        <v>0</v>
      </c>
    </row>
    <row r="285" spans="1:7" ht="27" customHeight="1" x14ac:dyDescent="0.25">
      <c r="A285" s="95">
        <v>37538</v>
      </c>
      <c r="B285" s="116" t="s">
        <v>417</v>
      </c>
      <c r="C285" s="116">
        <v>3250</v>
      </c>
      <c r="D285" s="166">
        <v>0</v>
      </c>
      <c r="E285" s="166">
        <v>0</v>
      </c>
      <c r="F285" s="166">
        <v>0</v>
      </c>
      <c r="G285" s="167">
        <v>0</v>
      </c>
    </row>
    <row r="286" spans="1:7" ht="27" customHeight="1" x14ac:dyDescent="0.25">
      <c r="A286" s="95">
        <v>37539</v>
      </c>
      <c r="B286" s="116" t="s">
        <v>417</v>
      </c>
      <c r="C286" s="116">
        <v>3250</v>
      </c>
      <c r="D286" s="166">
        <v>0</v>
      </c>
      <c r="E286" s="166">
        <v>0</v>
      </c>
      <c r="F286" s="166">
        <v>0</v>
      </c>
      <c r="G286" s="167">
        <v>0</v>
      </c>
    </row>
    <row r="287" spans="1:7" ht="27" customHeight="1" x14ac:dyDescent="0.25">
      <c r="A287" s="95">
        <v>37540</v>
      </c>
      <c r="B287" s="116" t="s">
        <v>319</v>
      </c>
      <c r="C287" s="116">
        <v>3450</v>
      </c>
      <c r="D287" s="166">
        <v>0</v>
      </c>
      <c r="E287" s="166">
        <v>0</v>
      </c>
      <c r="F287" s="166">
        <v>0</v>
      </c>
      <c r="G287" s="167">
        <v>0</v>
      </c>
    </row>
    <row r="288" spans="1:7" ht="27" customHeight="1" x14ac:dyDescent="0.25">
      <c r="A288" s="95">
        <v>37541</v>
      </c>
      <c r="B288" s="116" t="s">
        <v>319</v>
      </c>
      <c r="C288" s="116">
        <v>3450</v>
      </c>
      <c r="D288" s="166">
        <v>0</v>
      </c>
      <c r="E288" s="166">
        <v>0</v>
      </c>
      <c r="F288" s="166">
        <v>0</v>
      </c>
      <c r="G288" s="167">
        <v>0</v>
      </c>
    </row>
    <row r="289" spans="1:7" ht="27" customHeight="1" x14ac:dyDescent="0.25">
      <c r="A289" s="95">
        <v>37542</v>
      </c>
      <c r="B289" s="116" t="s">
        <v>319</v>
      </c>
      <c r="C289" s="116">
        <v>3450</v>
      </c>
      <c r="D289" s="166">
        <v>0</v>
      </c>
      <c r="E289" s="166">
        <v>0</v>
      </c>
      <c r="F289" s="166">
        <v>0</v>
      </c>
      <c r="G289" s="167">
        <v>0</v>
      </c>
    </row>
    <row r="290" spans="1:7" ht="27" customHeight="1" x14ac:dyDescent="0.25">
      <c r="A290" s="95">
        <v>37543</v>
      </c>
      <c r="B290" s="116" t="s">
        <v>319</v>
      </c>
      <c r="C290" s="116">
        <v>3450</v>
      </c>
      <c r="D290" s="166">
        <v>0</v>
      </c>
      <c r="E290" s="166">
        <v>0</v>
      </c>
      <c r="F290" s="166">
        <v>0</v>
      </c>
      <c r="G290" s="167">
        <v>0</v>
      </c>
    </row>
    <row r="291" spans="1:7" ht="27" customHeight="1" x14ac:dyDescent="0.25">
      <c r="A291" s="95">
        <v>37544</v>
      </c>
      <c r="B291" s="116" t="s">
        <v>319</v>
      </c>
      <c r="C291" s="116">
        <v>3450</v>
      </c>
      <c r="D291" s="166">
        <v>0</v>
      </c>
      <c r="E291" s="166">
        <v>0</v>
      </c>
      <c r="F291" s="166">
        <v>0</v>
      </c>
      <c r="G291" s="167">
        <v>0</v>
      </c>
    </row>
    <row r="292" spans="1:7" ht="27" customHeight="1" x14ac:dyDescent="0.25">
      <c r="A292" s="95">
        <v>37545</v>
      </c>
      <c r="B292" s="116" t="s">
        <v>319</v>
      </c>
      <c r="C292" s="116">
        <v>3450</v>
      </c>
      <c r="D292" s="166">
        <v>0</v>
      </c>
      <c r="E292" s="166">
        <v>0</v>
      </c>
      <c r="F292" s="166">
        <v>0</v>
      </c>
      <c r="G292" s="167">
        <v>0</v>
      </c>
    </row>
    <row r="293" spans="1:7" ht="27" customHeight="1" x14ac:dyDescent="0.25">
      <c r="A293" s="95">
        <v>37546</v>
      </c>
      <c r="B293" s="116" t="s">
        <v>319</v>
      </c>
      <c r="C293" s="116">
        <v>3450</v>
      </c>
      <c r="D293" s="166">
        <v>0</v>
      </c>
      <c r="E293" s="166">
        <v>0</v>
      </c>
      <c r="F293" s="166">
        <v>0</v>
      </c>
      <c r="G293" s="167">
        <v>0</v>
      </c>
    </row>
    <row r="294" spans="1:7" ht="27" customHeight="1" x14ac:dyDescent="0.25">
      <c r="A294" s="95">
        <v>37547</v>
      </c>
      <c r="B294" s="116" t="s">
        <v>426</v>
      </c>
      <c r="C294" s="116">
        <v>3300</v>
      </c>
      <c r="D294" s="166">
        <v>0</v>
      </c>
      <c r="E294" s="166">
        <v>0</v>
      </c>
      <c r="F294" s="166">
        <v>0</v>
      </c>
      <c r="G294" s="167">
        <v>0</v>
      </c>
    </row>
    <row r="295" spans="1:7" ht="27" customHeight="1" x14ac:dyDescent="0.25">
      <c r="A295" s="95">
        <v>37548</v>
      </c>
      <c r="B295" s="116" t="s">
        <v>426</v>
      </c>
      <c r="C295" s="116">
        <v>3300</v>
      </c>
      <c r="D295" s="166">
        <v>0</v>
      </c>
      <c r="E295" s="166">
        <v>0</v>
      </c>
      <c r="F295" s="166">
        <v>0</v>
      </c>
      <c r="G295" s="167">
        <v>0</v>
      </c>
    </row>
    <row r="296" spans="1:7" ht="27" customHeight="1" x14ac:dyDescent="0.25">
      <c r="A296" s="95">
        <v>37549</v>
      </c>
      <c r="B296" s="116" t="s">
        <v>426</v>
      </c>
      <c r="C296" s="116">
        <v>3300</v>
      </c>
      <c r="D296" s="166">
        <v>0</v>
      </c>
      <c r="E296" s="166">
        <v>0</v>
      </c>
      <c r="F296" s="166">
        <v>0</v>
      </c>
      <c r="G296" s="167">
        <v>0</v>
      </c>
    </row>
    <row r="297" spans="1:7" ht="27" customHeight="1" x14ac:dyDescent="0.25">
      <c r="A297" s="95">
        <v>37550</v>
      </c>
      <c r="B297" s="116" t="s">
        <v>321</v>
      </c>
      <c r="C297" s="116">
        <v>3400</v>
      </c>
      <c r="D297" s="166">
        <v>0</v>
      </c>
      <c r="E297" s="166">
        <v>0</v>
      </c>
      <c r="F297" s="166">
        <v>0</v>
      </c>
      <c r="G297" s="167">
        <v>0</v>
      </c>
    </row>
    <row r="298" spans="1:7" ht="27" customHeight="1" x14ac:dyDescent="0.25">
      <c r="A298" s="95">
        <v>37551</v>
      </c>
      <c r="B298" s="116" t="s">
        <v>321</v>
      </c>
      <c r="C298" s="116">
        <v>3400</v>
      </c>
      <c r="D298" s="166">
        <v>0</v>
      </c>
      <c r="E298" s="166">
        <v>0</v>
      </c>
      <c r="F298" s="166">
        <v>0</v>
      </c>
      <c r="G298" s="167">
        <v>0</v>
      </c>
    </row>
    <row r="299" spans="1:7" ht="27" customHeight="1" x14ac:dyDescent="0.25">
      <c r="A299" s="95">
        <v>37552</v>
      </c>
      <c r="B299" s="116" t="s">
        <v>321</v>
      </c>
      <c r="C299" s="116">
        <v>3400</v>
      </c>
      <c r="D299" s="166">
        <v>0</v>
      </c>
      <c r="E299" s="166">
        <v>0</v>
      </c>
      <c r="F299" s="166">
        <v>0</v>
      </c>
      <c r="G299" s="167">
        <v>0</v>
      </c>
    </row>
    <row r="300" spans="1:7" ht="27" customHeight="1" x14ac:dyDescent="0.25">
      <c r="A300" s="95">
        <v>37553</v>
      </c>
      <c r="B300" s="116" t="s">
        <v>321</v>
      </c>
      <c r="C300" s="116">
        <v>3400</v>
      </c>
      <c r="D300" s="166">
        <v>0</v>
      </c>
      <c r="E300" s="166">
        <v>0</v>
      </c>
      <c r="F300" s="166">
        <v>0</v>
      </c>
      <c r="G300" s="167">
        <v>0</v>
      </c>
    </row>
    <row r="301" spans="1:7" ht="27" customHeight="1" x14ac:dyDescent="0.25">
      <c r="A301" s="95">
        <v>37554</v>
      </c>
      <c r="B301" s="116" t="s">
        <v>321</v>
      </c>
      <c r="C301" s="116">
        <v>3400</v>
      </c>
      <c r="D301" s="166">
        <v>0</v>
      </c>
      <c r="E301" s="166">
        <v>0</v>
      </c>
      <c r="F301" s="166">
        <v>0</v>
      </c>
      <c r="G301" s="167">
        <v>0</v>
      </c>
    </row>
    <row r="302" spans="1:7" ht="27" customHeight="1" x14ac:dyDescent="0.25">
      <c r="A302" s="95">
        <v>37555</v>
      </c>
      <c r="B302" s="116" t="s">
        <v>321</v>
      </c>
      <c r="C302" s="116">
        <v>3400</v>
      </c>
      <c r="D302" s="166">
        <v>0</v>
      </c>
      <c r="E302" s="166">
        <v>0</v>
      </c>
      <c r="F302" s="166">
        <v>0</v>
      </c>
      <c r="G302" s="167">
        <v>0</v>
      </c>
    </row>
    <row r="303" spans="1:7" ht="27" customHeight="1" x14ac:dyDescent="0.25">
      <c r="A303" s="95">
        <v>37556</v>
      </c>
      <c r="B303" s="116" t="s">
        <v>1444</v>
      </c>
      <c r="C303" s="116">
        <v>3350</v>
      </c>
      <c r="D303" s="166">
        <v>0</v>
      </c>
      <c r="E303" s="166">
        <v>0</v>
      </c>
      <c r="F303" s="166">
        <v>0</v>
      </c>
      <c r="G303" s="167">
        <v>0</v>
      </c>
    </row>
    <row r="304" spans="1:7" ht="27" customHeight="1" x14ac:dyDescent="0.25">
      <c r="A304" s="95">
        <v>37557</v>
      </c>
      <c r="B304" s="116" t="s">
        <v>1444</v>
      </c>
      <c r="C304" s="116">
        <v>3350</v>
      </c>
      <c r="D304" s="166">
        <v>0</v>
      </c>
      <c r="E304" s="166">
        <v>0</v>
      </c>
      <c r="F304" s="166">
        <v>0</v>
      </c>
      <c r="G304" s="167">
        <v>0</v>
      </c>
    </row>
    <row r="305" spans="1:7" ht="27" customHeight="1" x14ac:dyDescent="0.25">
      <c r="A305" s="95">
        <v>37558</v>
      </c>
      <c r="B305" s="116" t="s">
        <v>1444</v>
      </c>
      <c r="C305" s="116">
        <v>3350</v>
      </c>
      <c r="D305" s="166">
        <v>0</v>
      </c>
      <c r="E305" s="166">
        <v>0</v>
      </c>
      <c r="F305" s="166">
        <v>0</v>
      </c>
      <c r="G305" s="167">
        <v>0</v>
      </c>
    </row>
    <row r="306" spans="1:7" ht="27" customHeight="1" x14ac:dyDescent="0.25">
      <c r="A306" s="95">
        <v>37559</v>
      </c>
      <c r="B306" s="116" t="s">
        <v>1444</v>
      </c>
      <c r="C306" s="116">
        <v>3350</v>
      </c>
      <c r="D306" s="166">
        <v>0</v>
      </c>
      <c r="E306" s="166">
        <v>0</v>
      </c>
      <c r="F306" s="166">
        <v>0</v>
      </c>
      <c r="G306" s="167">
        <v>0</v>
      </c>
    </row>
    <row r="307" spans="1:7" ht="27" customHeight="1" x14ac:dyDescent="0.25">
      <c r="A307" s="95">
        <v>37560</v>
      </c>
      <c r="B307" s="116" t="s">
        <v>1444</v>
      </c>
      <c r="C307" s="116">
        <v>3350</v>
      </c>
      <c r="D307" s="166">
        <v>0</v>
      </c>
      <c r="E307" s="166">
        <v>0</v>
      </c>
      <c r="F307" s="166">
        <v>0</v>
      </c>
      <c r="G307" s="167">
        <v>0</v>
      </c>
    </row>
    <row r="308" spans="1:7" ht="27" customHeight="1" x14ac:dyDescent="0.25">
      <c r="A308" s="95">
        <v>37561</v>
      </c>
      <c r="B308" s="116" t="s">
        <v>319</v>
      </c>
      <c r="C308" s="116">
        <v>3450</v>
      </c>
      <c r="D308" s="166">
        <v>0</v>
      </c>
      <c r="E308" s="166">
        <v>0</v>
      </c>
      <c r="F308" s="166">
        <v>0</v>
      </c>
      <c r="G308" s="167">
        <v>0</v>
      </c>
    </row>
    <row r="309" spans="1:7" ht="27" customHeight="1" x14ac:dyDescent="0.25">
      <c r="A309" s="95">
        <v>37562</v>
      </c>
      <c r="B309" s="116" t="s">
        <v>311</v>
      </c>
      <c r="C309" s="96">
        <v>3550</v>
      </c>
      <c r="D309" s="166">
        <v>0</v>
      </c>
      <c r="E309" s="166">
        <v>0</v>
      </c>
      <c r="F309" s="166">
        <v>0</v>
      </c>
      <c r="G309" s="167">
        <v>0</v>
      </c>
    </row>
    <row r="310" spans="1:7" ht="27" customHeight="1" x14ac:dyDescent="0.25">
      <c r="A310" s="95">
        <v>37563</v>
      </c>
      <c r="B310" s="116" t="s">
        <v>510</v>
      </c>
      <c r="C310" s="96">
        <v>3600</v>
      </c>
      <c r="D310" s="166">
        <v>0</v>
      </c>
      <c r="E310" s="166">
        <v>0</v>
      </c>
      <c r="F310" s="166">
        <v>0</v>
      </c>
      <c r="G310" s="167">
        <v>0</v>
      </c>
    </row>
    <row r="311" spans="1:7" ht="27" customHeight="1" x14ac:dyDescent="0.25">
      <c r="A311" s="95">
        <v>37564</v>
      </c>
      <c r="B311" s="116" t="s">
        <v>294</v>
      </c>
      <c r="C311" s="96">
        <v>3800</v>
      </c>
      <c r="D311" s="166">
        <v>0</v>
      </c>
      <c r="E311" s="166">
        <v>0</v>
      </c>
      <c r="F311" s="166">
        <v>0</v>
      </c>
      <c r="G311" s="167">
        <v>0</v>
      </c>
    </row>
    <row r="312" spans="1:7" ht="27" customHeight="1" x14ac:dyDescent="0.25">
      <c r="A312" s="95">
        <v>37565</v>
      </c>
      <c r="B312" s="116" t="s">
        <v>124</v>
      </c>
      <c r="C312" s="96">
        <v>4000</v>
      </c>
      <c r="D312" s="166">
        <v>0</v>
      </c>
      <c r="E312" s="166">
        <v>0</v>
      </c>
      <c r="F312" s="166">
        <v>0</v>
      </c>
      <c r="G312" s="167">
        <v>0</v>
      </c>
    </row>
    <row r="313" spans="1:7" ht="27" customHeight="1" x14ac:dyDescent="0.25">
      <c r="A313" s="95">
        <v>37566</v>
      </c>
      <c r="B313" s="116" t="s">
        <v>127</v>
      </c>
      <c r="C313" s="96">
        <v>4200</v>
      </c>
      <c r="D313" s="166">
        <v>0</v>
      </c>
      <c r="E313" s="166">
        <v>0</v>
      </c>
      <c r="F313" s="166">
        <v>0</v>
      </c>
      <c r="G313" s="167">
        <v>0</v>
      </c>
    </row>
    <row r="314" spans="1:7" ht="27" customHeight="1" x14ac:dyDescent="0.25">
      <c r="A314" s="95">
        <v>37567</v>
      </c>
      <c r="B314" s="116" t="s">
        <v>127</v>
      </c>
      <c r="C314" s="96" t="s">
        <v>1445</v>
      </c>
      <c r="D314" s="166">
        <v>0</v>
      </c>
      <c r="E314" s="166">
        <v>0</v>
      </c>
      <c r="F314" s="166">
        <v>0</v>
      </c>
      <c r="G314" s="167">
        <v>0</v>
      </c>
    </row>
    <row r="315" spans="1:7" ht="27" customHeight="1" x14ac:dyDescent="0.25">
      <c r="A315" s="95">
        <v>37568</v>
      </c>
      <c r="B315" s="116" t="s">
        <v>127</v>
      </c>
      <c r="C315" s="96">
        <v>4200</v>
      </c>
      <c r="D315" s="166">
        <v>0</v>
      </c>
      <c r="E315" s="166">
        <v>0</v>
      </c>
      <c r="F315" s="166">
        <v>0</v>
      </c>
      <c r="G315" s="167">
        <v>0</v>
      </c>
    </row>
    <row r="316" spans="1:7" ht="27" customHeight="1" x14ac:dyDescent="0.25">
      <c r="A316" s="95">
        <v>37569</v>
      </c>
      <c r="B316" s="116" t="s">
        <v>132</v>
      </c>
      <c r="C316" s="96">
        <v>4250</v>
      </c>
      <c r="D316" s="166">
        <v>0</v>
      </c>
      <c r="E316" s="166">
        <v>0</v>
      </c>
      <c r="F316" s="166">
        <v>0</v>
      </c>
      <c r="G316" s="167">
        <v>0</v>
      </c>
    </row>
    <row r="317" spans="1:7" ht="27" customHeight="1" x14ac:dyDescent="0.25">
      <c r="A317" s="95">
        <v>37570</v>
      </c>
      <c r="B317" s="116" t="s">
        <v>128</v>
      </c>
      <c r="C317" s="96">
        <v>4300</v>
      </c>
      <c r="D317" s="166">
        <v>0</v>
      </c>
      <c r="E317" s="166">
        <v>0</v>
      </c>
      <c r="F317" s="166">
        <v>0</v>
      </c>
      <c r="G317" s="167">
        <v>0</v>
      </c>
    </row>
    <row r="318" spans="1:7" ht="27" customHeight="1" x14ac:dyDescent="0.25">
      <c r="A318" s="95">
        <v>37571</v>
      </c>
      <c r="B318" s="116" t="s">
        <v>425</v>
      </c>
      <c r="C318" s="96">
        <v>4350</v>
      </c>
      <c r="D318" s="166">
        <v>0</v>
      </c>
      <c r="E318" s="166">
        <v>0</v>
      </c>
      <c r="F318" s="166">
        <v>0</v>
      </c>
      <c r="G318" s="167">
        <v>0</v>
      </c>
    </row>
    <row r="319" spans="1:7" ht="27" customHeight="1" x14ac:dyDescent="0.25">
      <c r="A319" s="95">
        <v>37572</v>
      </c>
      <c r="B319" s="116" t="s">
        <v>424</v>
      </c>
      <c r="C319" s="96">
        <v>4400</v>
      </c>
      <c r="D319" s="166">
        <v>0</v>
      </c>
      <c r="E319" s="166">
        <v>0</v>
      </c>
      <c r="F319" s="166">
        <v>0</v>
      </c>
      <c r="G319" s="167">
        <v>0</v>
      </c>
    </row>
    <row r="320" spans="1:7" ht="27" customHeight="1" x14ac:dyDescent="0.25">
      <c r="A320" s="95">
        <v>37573</v>
      </c>
      <c r="B320" s="116" t="s">
        <v>284</v>
      </c>
      <c r="C320" s="96" t="s">
        <v>1380</v>
      </c>
      <c r="D320" s="166">
        <v>0</v>
      </c>
      <c r="E320" s="166">
        <v>0</v>
      </c>
      <c r="F320" s="166">
        <v>0</v>
      </c>
      <c r="G320" s="167">
        <v>0</v>
      </c>
    </row>
    <row r="321" spans="1:7" ht="27" customHeight="1" x14ac:dyDescent="0.25">
      <c r="A321" s="95">
        <v>37574</v>
      </c>
      <c r="B321" s="116" t="s">
        <v>284</v>
      </c>
      <c r="C321" s="96" t="s">
        <v>1380</v>
      </c>
      <c r="D321" s="166">
        <v>0</v>
      </c>
      <c r="E321" s="166">
        <v>0</v>
      </c>
      <c r="F321" s="166">
        <v>0</v>
      </c>
      <c r="G321" s="167">
        <v>0</v>
      </c>
    </row>
    <row r="322" spans="1:7" ht="27" customHeight="1" x14ac:dyDescent="0.25">
      <c r="A322" s="95">
        <v>37575</v>
      </c>
      <c r="B322" s="116" t="s">
        <v>284</v>
      </c>
      <c r="C322" s="96">
        <v>4450</v>
      </c>
      <c r="D322" s="166">
        <v>0</v>
      </c>
      <c r="E322" s="166">
        <v>0</v>
      </c>
      <c r="F322" s="166">
        <v>0</v>
      </c>
      <c r="G322" s="167">
        <v>0</v>
      </c>
    </row>
    <row r="323" spans="1:7" ht="27" customHeight="1" x14ac:dyDescent="0.25">
      <c r="A323" s="95">
        <v>37576</v>
      </c>
      <c r="B323" s="116" t="s">
        <v>133</v>
      </c>
      <c r="C323" s="96">
        <v>4500</v>
      </c>
      <c r="D323" s="166">
        <v>0</v>
      </c>
      <c r="E323" s="166">
        <v>0</v>
      </c>
      <c r="F323" s="166">
        <v>0</v>
      </c>
      <c r="G323" s="167">
        <v>0</v>
      </c>
    </row>
    <row r="324" spans="1:7" ht="27" customHeight="1" x14ac:dyDescent="0.25">
      <c r="A324" s="95">
        <v>37577</v>
      </c>
      <c r="B324" s="116" t="s">
        <v>133</v>
      </c>
      <c r="C324" s="96" t="s">
        <v>1379</v>
      </c>
      <c r="D324" s="166">
        <v>0</v>
      </c>
      <c r="E324" s="166">
        <v>0</v>
      </c>
      <c r="F324" s="166">
        <v>0</v>
      </c>
      <c r="G324" s="167">
        <v>0</v>
      </c>
    </row>
    <row r="325" spans="1:7" ht="27" customHeight="1" x14ac:dyDescent="0.25">
      <c r="A325" s="95">
        <v>37578</v>
      </c>
      <c r="B325" s="116" t="s">
        <v>135</v>
      </c>
      <c r="C325" s="96" t="s">
        <v>1378</v>
      </c>
      <c r="D325" s="166">
        <v>0</v>
      </c>
      <c r="E325" s="166">
        <v>0</v>
      </c>
      <c r="F325" s="166">
        <v>0</v>
      </c>
      <c r="G325" s="167">
        <v>0</v>
      </c>
    </row>
    <row r="326" spans="1:7" ht="27" customHeight="1" x14ac:dyDescent="0.25">
      <c r="A326" s="95">
        <v>37579</v>
      </c>
      <c r="B326" s="116" t="s">
        <v>135</v>
      </c>
      <c r="C326" s="96" t="s">
        <v>1378</v>
      </c>
      <c r="D326" s="166">
        <v>0</v>
      </c>
      <c r="E326" s="166">
        <v>0</v>
      </c>
      <c r="F326" s="166">
        <v>0</v>
      </c>
      <c r="G326" s="167">
        <v>0</v>
      </c>
    </row>
    <row r="327" spans="1:7" ht="27" customHeight="1" x14ac:dyDescent="0.25">
      <c r="A327" s="95">
        <v>37580</v>
      </c>
      <c r="B327" s="116" t="s">
        <v>157</v>
      </c>
      <c r="C327" s="96" t="s">
        <v>1369</v>
      </c>
      <c r="D327" s="166">
        <v>0</v>
      </c>
      <c r="E327" s="166">
        <v>0</v>
      </c>
      <c r="F327" s="166">
        <v>0</v>
      </c>
      <c r="G327" s="167">
        <v>0</v>
      </c>
    </row>
    <row r="328" spans="1:7" ht="27" customHeight="1" x14ac:dyDescent="0.25">
      <c r="A328" s="95">
        <v>37581</v>
      </c>
      <c r="B328" s="116" t="s">
        <v>201</v>
      </c>
      <c r="C328" s="96" t="s">
        <v>1354</v>
      </c>
      <c r="D328" s="166">
        <v>0</v>
      </c>
      <c r="E328" s="166">
        <v>0</v>
      </c>
      <c r="F328" s="166">
        <v>0</v>
      </c>
      <c r="G328" s="167">
        <v>0</v>
      </c>
    </row>
    <row r="329" spans="1:7" ht="27" customHeight="1" x14ac:dyDescent="0.25">
      <c r="A329" s="95">
        <v>37582</v>
      </c>
      <c r="B329" s="116" t="s">
        <v>102</v>
      </c>
      <c r="C329" s="96">
        <v>7600</v>
      </c>
      <c r="D329" s="166">
        <v>0</v>
      </c>
      <c r="E329" s="166">
        <v>0</v>
      </c>
      <c r="F329" s="166">
        <v>0</v>
      </c>
      <c r="G329" s="167">
        <v>0</v>
      </c>
    </row>
    <row r="330" spans="1:7" ht="27" customHeight="1" x14ac:dyDescent="0.25">
      <c r="A330" s="95">
        <v>37583</v>
      </c>
      <c r="B330" s="116" t="s">
        <v>92</v>
      </c>
      <c r="C330" s="96">
        <v>8200</v>
      </c>
      <c r="D330" s="166">
        <v>0</v>
      </c>
      <c r="E330" s="166">
        <v>0</v>
      </c>
      <c r="F330" s="166">
        <v>0</v>
      </c>
      <c r="G330" s="167">
        <v>0</v>
      </c>
    </row>
    <row r="331" spans="1:7" ht="27" customHeight="1" x14ac:dyDescent="0.25">
      <c r="A331" s="95">
        <v>37584</v>
      </c>
      <c r="B331" s="116" t="s">
        <v>86</v>
      </c>
      <c r="C331" s="96">
        <v>8400</v>
      </c>
      <c r="D331" s="166">
        <v>0</v>
      </c>
      <c r="E331" s="166">
        <v>0</v>
      </c>
      <c r="F331" s="166">
        <v>0</v>
      </c>
      <c r="G331" s="167">
        <v>0</v>
      </c>
    </row>
    <row r="332" spans="1:7" ht="27" customHeight="1" x14ac:dyDescent="0.25">
      <c r="A332" s="95">
        <v>37585</v>
      </c>
      <c r="B332" s="116" t="s">
        <v>403</v>
      </c>
      <c r="C332" s="96">
        <v>8600</v>
      </c>
      <c r="D332" s="166">
        <v>0</v>
      </c>
      <c r="E332" s="166">
        <v>0</v>
      </c>
      <c r="F332" s="166">
        <v>0</v>
      </c>
      <c r="G332" s="167">
        <v>0</v>
      </c>
    </row>
    <row r="333" spans="1:7" ht="27" customHeight="1" x14ac:dyDescent="0.25">
      <c r="A333" s="95">
        <v>37586</v>
      </c>
      <c r="B333" s="116" t="s">
        <v>82</v>
      </c>
      <c r="C333" s="96">
        <v>8800</v>
      </c>
      <c r="D333" s="166">
        <v>0</v>
      </c>
      <c r="E333" s="166">
        <v>0</v>
      </c>
      <c r="F333" s="166">
        <v>0</v>
      </c>
      <c r="G333" s="167">
        <v>0</v>
      </c>
    </row>
    <row r="334" spans="1:7" ht="27" customHeight="1" x14ac:dyDescent="0.25">
      <c r="A334" s="95">
        <v>37587</v>
      </c>
      <c r="B334" s="116" t="s">
        <v>80</v>
      </c>
      <c r="C334" s="96">
        <v>9000</v>
      </c>
      <c r="D334" s="166">
        <v>0</v>
      </c>
      <c r="E334" s="166">
        <v>0</v>
      </c>
      <c r="F334" s="166">
        <v>0</v>
      </c>
      <c r="G334" s="167">
        <v>0</v>
      </c>
    </row>
    <row r="335" spans="1:7" ht="27" customHeight="1" x14ac:dyDescent="0.25">
      <c r="A335" s="95">
        <v>37588</v>
      </c>
      <c r="B335" s="116" t="s">
        <v>80</v>
      </c>
      <c r="C335" s="96">
        <v>9000</v>
      </c>
      <c r="D335" s="166">
        <v>0</v>
      </c>
      <c r="E335" s="166">
        <v>0</v>
      </c>
      <c r="F335" s="166">
        <v>0</v>
      </c>
      <c r="G335" s="167">
        <v>0</v>
      </c>
    </row>
    <row r="336" spans="1:7" ht="27" customHeight="1" x14ac:dyDescent="0.25">
      <c r="A336" s="95">
        <v>37589</v>
      </c>
      <c r="B336" s="116" t="s">
        <v>80</v>
      </c>
      <c r="C336" s="96">
        <v>9000</v>
      </c>
      <c r="D336" s="166">
        <v>0</v>
      </c>
      <c r="E336" s="166">
        <v>0</v>
      </c>
      <c r="F336" s="166">
        <v>0</v>
      </c>
      <c r="G336" s="167">
        <v>0</v>
      </c>
    </row>
    <row r="337" spans="1:7" ht="27" customHeight="1" x14ac:dyDescent="0.25">
      <c r="A337" s="95">
        <v>37590</v>
      </c>
      <c r="B337" s="116" t="s">
        <v>80</v>
      </c>
      <c r="C337" s="96">
        <v>9000</v>
      </c>
      <c r="D337" s="166">
        <v>0</v>
      </c>
      <c r="E337" s="166">
        <v>0</v>
      </c>
      <c r="F337" s="166">
        <v>0</v>
      </c>
      <c r="G337" s="167">
        <v>0</v>
      </c>
    </row>
    <row r="338" spans="1:7" ht="27" customHeight="1" x14ac:dyDescent="0.25">
      <c r="A338" s="95">
        <v>37591</v>
      </c>
      <c r="B338" s="116" t="s">
        <v>80</v>
      </c>
      <c r="C338" s="96">
        <v>9000</v>
      </c>
      <c r="D338" s="166">
        <v>0</v>
      </c>
      <c r="E338" s="166">
        <v>0</v>
      </c>
      <c r="F338" s="166">
        <v>0</v>
      </c>
      <c r="G338" s="167">
        <v>0</v>
      </c>
    </row>
    <row r="339" spans="1:7" ht="27" customHeight="1" x14ac:dyDescent="0.25">
      <c r="A339" s="95">
        <v>37592</v>
      </c>
      <c r="B339" s="116" t="s">
        <v>80</v>
      </c>
      <c r="C339" s="116">
        <v>9000</v>
      </c>
      <c r="D339" s="166">
        <v>0</v>
      </c>
      <c r="E339" s="166">
        <v>0</v>
      </c>
      <c r="F339" s="166">
        <v>0</v>
      </c>
      <c r="G339" s="167">
        <v>0</v>
      </c>
    </row>
    <row r="340" spans="1:7" ht="27" customHeight="1" x14ac:dyDescent="0.25">
      <c r="A340" s="95">
        <v>37593</v>
      </c>
      <c r="B340" s="116" t="s">
        <v>80</v>
      </c>
      <c r="C340" s="116">
        <v>8800</v>
      </c>
      <c r="D340" s="166">
        <v>0</v>
      </c>
      <c r="E340" s="166">
        <v>0</v>
      </c>
      <c r="F340" s="166">
        <v>0</v>
      </c>
      <c r="G340" s="167">
        <v>0</v>
      </c>
    </row>
    <row r="341" spans="1:7" ht="27" customHeight="1" x14ac:dyDescent="0.25">
      <c r="A341" s="95">
        <v>37594</v>
      </c>
      <c r="B341" s="116" t="s">
        <v>80</v>
      </c>
      <c r="C341" s="116">
        <v>9000</v>
      </c>
      <c r="D341" s="166">
        <v>0</v>
      </c>
      <c r="E341" s="166">
        <v>0</v>
      </c>
      <c r="F341" s="166">
        <v>0</v>
      </c>
      <c r="G341" s="167">
        <v>0</v>
      </c>
    </row>
    <row r="342" spans="1:7" ht="27" customHeight="1" x14ac:dyDescent="0.25">
      <c r="A342" s="95">
        <v>37595</v>
      </c>
      <c r="B342" s="116" t="s">
        <v>80</v>
      </c>
      <c r="C342" s="116">
        <v>9000</v>
      </c>
      <c r="D342" s="166">
        <v>0</v>
      </c>
      <c r="E342" s="166">
        <v>0</v>
      </c>
      <c r="F342" s="166">
        <v>0</v>
      </c>
      <c r="G342" s="167">
        <v>0</v>
      </c>
    </row>
    <row r="343" spans="1:7" ht="27" customHeight="1" x14ac:dyDescent="0.25">
      <c r="A343" s="95">
        <v>37596</v>
      </c>
      <c r="B343" s="116" t="s">
        <v>70</v>
      </c>
      <c r="C343" s="116">
        <v>9300</v>
      </c>
      <c r="D343" s="166">
        <v>0</v>
      </c>
      <c r="E343" s="166">
        <v>0</v>
      </c>
      <c r="F343" s="166">
        <v>0</v>
      </c>
      <c r="G343" s="167">
        <v>0</v>
      </c>
    </row>
    <row r="344" spans="1:7" ht="27" customHeight="1" x14ac:dyDescent="0.25">
      <c r="A344" s="95">
        <v>37597</v>
      </c>
      <c r="B344" s="116" t="s">
        <v>62</v>
      </c>
      <c r="C344" s="116">
        <v>9600</v>
      </c>
      <c r="D344" s="166">
        <v>0</v>
      </c>
      <c r="E344" s="166">
        <v>0</v>
      </c>
      <c r="F344" s="166">
        <v>0</v>
      </c>
      <c r="G344" s="167">
        <v>0</v>
      </c>
    </row>
    <row r="345" spans="1:7" ht="27" customHeight="1" x14ac:dyDescent="0.25">
      <c r="A345" s="95">
        <v>37598</v>
      </c>
      <c r="B345" s="116" t="s">
        <v>56</v>
      </c>
      <c r="C345" s="116">
        <v>9900</v>
      </c>
      <c r="D345" s="166">
        <v>0</v>
      </c>
      <c r="E345" s="166">
        <v>0</v>
      </c>
      <c r="F345" s="166">
        <v>0</v>
      </c>
      <c r="G345" s="167">
        <v>0</v>
      </c>
    </row>
    <row r="346" spans="1:7" ht="27" customHeight="1" x14ac:dyDescent="0.25">
      <c r="A346" s="95">
        <v>37599</v>
      </c>
      <c r="B346" s="116" t="s">
        <v>395</v>
      </c>
      <c r="C346" s="116">
        <v>10400</v>
      </c>
      <c r="D346" s="166">
        <v>0</v>
      </c>
      <c r="E346" s="166">
        <v>0</v>
      </c>
      <c r="F346" s="166">
        <v>0</v>
      </c>
      <c r="G346" s="167">
        <v>0</v>
      </c>
    </row>
    <row r="347" spans="1:7" ht="27" customHeight="1" x14ac:dyDescent="0.25">
      <c r="A347" s="95">
        <v>37600</v>
      </c>
      <c r="B347" s="116" t="s">
        <v>9</v>
      </c>
      <c r="C347" s="116">
        <v>10700</v>
      </c>
      <c r="D347" s="166">
        <v>0</v>
      </c>
      <c r="E347" s="166">
        <v>0</v>
      </c>
      <c r="F347" s="166">
        <v>0</v>
      </c>
      <c r="G347" s="167">
        <v>0</v>
      </c>
    </row>
    <row r="348" spans="1:7" ht="27" customHeight="1" x14ac:dyDescent="0.25">
      <c r="A348" s="95">
        <v>37601</v>
      </c>
      <c r="B348" s="116" t="s">
        <v>332</v>
      </c>
      <c r="C348" s="116">
        <v>12200</v>
      </c>
      <c r="D348" s="166">
        <v>0</v>
      </c>
      <c r="E348" s="166">
        <v>0</v>
      </c>
      <c r="F348" s="166">
        <v>0</v>
      </c>
      <c r="G348" s="167">
        <v>0</v>
      </c>
    </row>
    <row r="349" spans="1:7" ht="27" customHeight="1" x14ac:dyDescent="0.25">
      <c r="A349" s="95">
        <v>37602</v>
      </c>
      <c r="B349" s="116" t="s">
        <v>386</v>
      </c>
      <c r="C349" s="116">
        <v>13000</v>
      </c>
      <c r="D349" s="166">
        <v>0</v>
      </c>
      <c r="E349" s="166">
        <v>0</v>
      </c>
      <c r="F349" s="166">
        <v>0</v>
      </c>
      <c r="G349" s="167">
        <v>0</v>
      </c>
    </row>
    <row r="350" spans="1:7" ht="27" customHeight="1" x14ac:dyDescent="0.25">
      <c r="A350" s="95">
        <v>37603</v>
      </c>
      <c r="B350" s="116" t="s">
        <v>506</v>
      </c>
      <c r="C350" s="116">
        <v>13700</v>
      </c>
      <c r="D350" s="166">
        <v>0</v>
      </c>
      <c r="E350" s="166">
        <v>0</v>
      </c>
      <c r="F350" s="166">
        <v>0</v>
      </c>
      <c r="G350" s="167">
        <v>0</v>
      </c>
    </row>
    <row r="351" spans="1:7" ht="27" customHeight="1" x14ac:dyDescent="0.25">
      <c r="A351" s="95">
        <v>37604</v>
      </c>
      <c r="B351" s="116" t="s">
        <v>316</v>
      </c>
      <c r="C351" s="116">
        <v>15200</v>
      </c>
      <c r="D351" s="166">
        <v>0</v>
      </c>
      <c r="E351" s="166">
        <v>0</v>
      </c>
      <c r="F351" s="166">
        <v>0</v>
      </c>
      <c r="G351" s="167">
        <v>0</v>
      </c>
    </row>
    <row r="352" spans="1:7" ht="27" customHeight="1" x14ac:dyDescent="0.25">
      <c r="A352" s="95">
        <v>37605</v>
      </c>
      <c r="B352" s="116" t="s">
        <v>340</v>
      </c>
      <c r="C352" s="116">
        <v>18000</v>
      </c>
      <c r="D352" s="166">
        <v>0</v>
      </c>
      <c r="E352" s="166">
        <v>0</v>
      </c>
      <c r="F352" s="166">
        <v>0</v>
      </c>
      <c r="G352" s="167">
        <v>0</v>
      </c>
    </row>
    <row r="353" spans="1:7" ht="27" customHeight="1" x14ac:dyDescent="0.25">
      <c r="A353" s="95">
        <v>37606</v>
      </c>
      <c r="B353" s="116" t="s">
        <v>363</v>
      </c>
      <c r="C353" s="116">
        <v>20000</v>
      </c>
      <c r="D353" s="166">
        <v>0</v>
      </c>
      <c r="E353" s="166">
        <v>0</v>
      </c>
      <c r="F353" s="166">
        <v>0</v>
      </c>
      <c r="G353" s="167">
        <v>0</v>
      </c>
    </row>
    <row r="354" spans="1:7" ht="27" customHeight="1" x14ac:dyDescent="0.25">
      <c r="A354" s="95">
        <v>37607</v>
      </c>
      <c r="B354" s="116" t="s">
        <v>353</v>
      </c>
      <c r="C354" s="116">
        <v>22300</v>
      </c>
      <c r="D354" s="166">
        <v>0</v>
      </c>
      <c r="E354" s="166">
        <v>0</v>
      </c>
      <c r="F354" s="166">
        <v>0</v>
      </c>
      <c r="G354" s="167">
        <v>0</v>
      </c>
    </row>
    <row r="355" spans="1:7" ht="27" customHeight="1" x14ac:dyDescent="0.25">
      <c r="A355" s="95">
        <v>37608</v>
      </c>
      <c r="B355" s="116" t="s">
        <v>458</v>
      </c>
      <c r="C355" s="116">
        <v>33900</v>
      </c>
      <c r="D355" s="166">
        <v>0</v>
      </c>
      <c r="E355" s="166">
        <v>0</v>
      </c>
      <c r="F355" s="166">
        <v>0</v>
      </c>
      <c r="G355" s="167">
        <v>0</v>
      </c>
    </row>
    <row r="356" spans="1:7" ht="27" customHeight="1" x14ac:dyDescent="0.25">
      <c r="A356" s="95">
        <v>37609</v>
      </c>
      <c r="B356" s="116" t="s">
        <v>467</v>
      </c>
      <c r="C356" s="116">
        <v>31500</v>
      </c>
      <c r="D356" s="166">
        <v>0</v>
      </c>
      <c r="E356" s="166">
        <v>0</v>
      </c>
      <c r="F356" s="166">
        <v>0</v>
      </c>
      <c r="G356" s="167">
        <v>0</v>
      </c>
    </row>
    <row r="357" spans="1:7" ht="27" customHeight="1" x14ac:dyDescent="0.25">
      <c r="A357" s="95">
        <v>37610</v>
      </c>
      <c r="B357" s="116" t="s">
        <v>445</v>
      </c>
      <c r="C357" s="116" t="s">
        <v>539</v>
      </c>
      <c r="D357" s="166">
        <v>0</v>
      </c>
      <c r="E357" s="166">
        <v>0</v>
      </c>
      <c r="F357" s="166">
        <v>0</v>
      </c>
      <c r="G357" s="167">
        <v>0</v>
      </c>
    </row>
    <row r="358" spans="1:7" ht="27" customHeight="1" x14ac:dyDescent="0.25">
      <c r="A358" s="95">
        <v>37611</v>
      </c>
      <c r="B358" s="116" t="s">
        <v>375</v>
      </c>
      <c r="C358" s="116" t="s">
        <v>539</v>
      </c>
      <c r="D358" s="166">
        <v>0</v>
      </c>
      <c r="E358" s="166">
        <v>0</v>
      </c>
      <c r="F358" s="166">
        <v>0</v>
      </c>
      <c r="G358" s="167">
        <v>0</v>
      </c>
    </row>
    <row r="359" spans="1:7" ht="27" customHeight="1" x14ac:dyDescent="0.25">
      <c r="A359" s="95">
        <v>37612</v>
      </c>
      <c r="B359" s="116" t="s">
        <v>378</v>
      </c>
      <c r="C359" s="116" t="s">
        <v>539</v>
      </c>
      <c r="D359" s="166">
        <v>0</v>
      </c>
      <c r="E359" s="166">
        <v>0</v>
      </c>
      <c r="F359" s="166">
        <v>0</v>
      </c>
      <c r="G359" s="167">
        <v>0</v>
      </c>
    </row>
    <row r="360" spans="1:7" ht="27" customHeight="1" x14ac:dyDescent="0.25">
      <c r="A360" s="95">
        <v>37613</v>
      </c>
      <c r="B360" s="116" t="s">
        <v>378</v>
      </c>
      <c r="C360" s="116" t="s">
        <v>539</v>
      </c>
      <c r="D360" s="166">
        <v>0</v>
      </c>
      <c r="E360" s="166">
        <v>0</v>
      </c>
      <c r="F360" s="166">
        <v>0</v>
      </c>
      <c r="G360" s="167">
        <v>0</v>
      </c>
    </row>
    <row r="361" spans="1:7" ht="27" customHeight="1" x14ac:dyDescent="0.25">
      <c r="A361" s="95">
        <v>37614</v>
      </c>
      <c r="B361" s="116" t="s">
        <v>379</v>
      </c>
      <c r="C361" s="116" t="s">
        <v>539</v>
      </c>
      <c r="D361" s="166">
        <v>0</v>
      </c>
      <c r="E361" s="166">
        <v>0</v>
      </c>
      <c r="F361" s="166">
        <v>0</v>
      </c>
      <c r="G361" s="167">
        <v>0</v>
      </c>
    </row>
    <row r="362" spans="1:7" ht="27" customHeight="1" x14ac:dyDescent="0.25">
      <c r="A362" s="95">
        <v>37615</v>
      </c>
      <c r="B362" s="116" t="s">
        <v>445</v>
      </c>
      <c r="C362" s="116" t="s">
        <v>539</v>
      </c>
      <c r="D362" s="166">
        <v>0</v>
      </c>
      <c r="E362" s="166">
        <v>0</v>
      </c>
      <c r="F362" s="166">
        <v>0</v>
      </c>
      <c r="G362" s="167">
        <v>0</v>
      </c>
    </row>
    <row r="363" spans="1:7" ht="27" customHeight="1" x14ac:dyDescent="0.25">
      <c r="A363" s="95">
        <v>37616</v>
      </c>
      <c r="B363" s="116" t="s">
        <v>450</v>
      </c>
      <c r="C363" s="116" t="s">
        <v>539</v>
      </c>
      <c r="D363" s="166">
        <v>0</v>
      </c>
      <c r="E363" s="166">
        <v>0</v>
      </c>
      <c r="F363" s="166">
        <v>0</v>
      </c>
      <c r="G363" s="167">
        <v>0</v>
      </c>
    </row>
    <row r="364" spans="1:7" ht="27" customHeight="1" x14ac:dyDescent="0.25">
      <c r="A364" s="95">
        <v>37617</v>
      </c>
      <c r="B364" s="116" t="s">
        <v>450</v>
      </c>
      <c r="C364" s="116" t="s">
        <v>539</v>
      </c>
      <c r="D364" s="166">
        <v>0</v>
      </c>
      <c r="E364" s="166">
        <v>0</v>
      </c>
      <c r="F364" s="166">
        <v>0</v>
      </c>
      <c r="G364" s="167">
        <v>0</v>
      </c>
    </row>
    <row r="365" spans="1:7" ht="27" customHeight="1" x14ac:dyDescent="0.25">
      <c r="A365" s="95">
        <v>37618</v>
      </c>
      <c r="B365" s="116" t="s">
        <v>450</v>
      </c>
      <c r="C365" s="116" t="s">
        <v>539</v>
      </c>
      <c r="D365" s="166">
        <v>8</v>
      </c>
      <c r="E365" s="166">
        <v>0</v>
      </c>
      <c r="F365" s="168" t="s">
        <v>824</v>
      </c>
      <c r="G365" s="167">
        <v>0</v>
      </c>
    </row>
    <row r="366" spans="1:7" ht="27" customHeight="1" x14ac:dyDescent="0.25">
      <c r="A366" s="95">
        <v>37619</v>
      </c>
      <c r="B366" s="116" t="s">
        <v>459</v>
      </c>
      <c r="C366" s="116" t="s">
        <v>539</v>
      </c>
      <c r="D366" s="168" t="s">
        <v>1061</v>
      </c>
      <c r="E366" s="166">
        <v>0</v>
      </c>
      <c r="F366" s="168" t="s">
        <v>824</v>
      </c>
      <c r="G366" s="167">
        <v>0</v>
      </c>
    </row>
    <row r="367" spans="1:7" ht="27" customHeight="1" x14ac:dyDescent="0.25">
      <c r="A367" s="95">
        <v>37620</v>
      </c>
      <c r="B367" s="116" t="s">
        <v>452</v>
      </c>
      <c r="C367" s="116" t="s">
        <v>539</v>
      </c>
      <c r="D367" s="168" t="s">
        <v>1061</v>
      </c>
      <c r="E367" s="166">
        <v>0</v>
      </c>
      <c r="F367" s="168" t="s">
        <v>824</v>
      </c>
      <c r="G367" s="167">
        <v>0</v>
      </c>
    </row>
    <row r="368" spans="1:7" ht="27" customHeight="1" thickBot="1" x14ac:dyDescent="0.3">
      <c r="A368" s="97">
        <v>37621</v>
      </c>
      <c r="B368" s="176" t="s">
        <v>453</v>
      </c>
      <c r="C368" s="176">
        <v>36250</v>
      </c>
      <c r="D368" s="171" t="s">
        <v>1061</v>
      </c>
      <c r="E368" s="172">
        <v>0</v>
      </c>
      <c r="F368" s="171" t="s">
        <v>824</v>
      </c>
      <c r="G368" s="173">
        <v>0</v>
      </c>
    </row>
    <row r="369" spans="1:7" x14ac:dyDescent="0.25">
      <c r="A369" s="409" t="s">
        <v>1759</v>
      </c>
      <c r="B369" s="410"/>
      <c r="C369" s="410"/>
      <c r="D369" s="410"/>
      <c r="E369" s="410"/>
      <c r="F369" s="410"/>
      <c r="G369" s="410"/>
    </row>
  </sheetData>
  <mergeCells count="6">
    <mergeCell ref="A369:G369"/>
    <mergeCell ref="A1:G1"/>
    <mergeCell ref="B2:B3"/>
    <mergeCell ref="C2:C3"/>
    <mergeCell ref="A2:A3"/>
    <mergeCell ref="D2:G2"/>
  </mergeCells>
  <printOptions horizontalCentered="1"/>
  <pageMargins left="1" right="0.75" top="0.75" bottom="0.25" header="0.3" footer="0.3"/>
  <pageSetup paperSize="9" orientation="portrait" r:id="rId1"/>
  <ignoredErrors>
    <ignoredError sqref="B122 B334:B342 B308:B313 B5:B6 B16:B17 B36 B57:B60 B68 B79:B82 B105 B151 B139 B188:B191 B204 B219:B220 B233 B251:B252 B315:B319" twoDigitTextYear="1"/>
    <ignoredError sqref="C5 D13:F33 C40 B63 C63 D34:F34 D35:F63 C112:C118 C138:C139 C131:C132 C125 F130:F155 F156:F185 F186:F216 F217:F247 F248:F277 C314 C324:C328 C320:C321 D366:D368 F365:F368"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pane ySplit="3" topLeftCell="A346" activePane="bottomLeft" state="frozen"/>
      <selection pane="bottomLeft" activeCell="A2" sqref="A2:G3"/>
    </sheetView>
  </sheetViews>
  <sheetFormatPr defaultColWidth="9.140625" defaultRowHeight="15" x14ac:dyDescent="0.25"/>
  <cols>
    <col min="1" max="1" width="11.7109375" style="14" customWidth="1"/>
    <col min="2" max="2" width="9.140625" style="177"/>
    <col min="3" max="3" width="9" style="177" customWidth="1"/>
    <col min="4" max="4" width="9.28515625" style="177" customWidth="1"/>
    <col min="5" max="5" width="6.28515625" style="177" customWidth="1"/>
    <col min="6" max="6" width="9.28515625" style="177" customWidth="1"/>
    <col min="7" max="7" width="8.85546875" style="177" customWidth="1"/>
    <col min="8" max="16384" width="9.140625" style="14"/>
  </cols>
  <sheetData>
    <row r="1" spans="1:7" s="74" customFormat="1" ht="30.75" customHeight="1" thickBot="1" x14ac:dyDescent="0.35">
      <c r="A1" s="435" t="s">
        <v>2691</v>
      </c>
      <c r="B1" s="435"/>
      <c r="C1" s="435"/>
      <c r="D1" s="435"/>
      <c r="E1" s="435"/>
      <c r="F1" s="435"/>
      <c r="G1" s="435"/>
    </row>
    <row r="2" spans="1:7" ht="19.5" customHeight="1" x14ac:dyDescent="0.25">
      <c r="A2" s="425" t="s">
        <v>0</v>
      </c>
      <c r="B2" s="423" t="s">
        <v>2684</v>
      </c>
      <c r="C2" s="423" t="s">
        <v>2689</v>
      </c>
      <c r="D2" s="437" t="s">
        <v>2686</v>
      </c>
      <c r="E2" s="438"/>
      <c r="F2" s="438"/>
      <c r="G2" s="439"/>
    </row>
    <row r="3" spans="1:7" ht="51" customHeight="1" thickBot="1" x14ac:dyDescent="0.3">
      <c r="A3" s="436"/>
      <c r="B3" s="424"/>
      <c r="C3" s="424"/>
      <c r="D3" s="181" t="s">
        <v>2687</v>
      </c>
      <c r="E3" s="184" t="s">
        <v>735</v>
      </c>
      <c r="F3" s="181" t="s">
        <v>2688</v>
      </c>
      <c r="G3" s="183" t="s">
        <v>735</v>
      </c>
    </row>
    <row r="4" spans="1:7" ht="22.5" customHeight="1" x14ac:dyDescent="0.25">
      <c r="A4" s="159">
        <v>37622</v>
      </c>
      <c r="B4" s="174" t="s">
        <v>454</v>
      </c>
      <c r="C4" s="112">
        <v>35750</v>
      </c>
      <c r="D4" s="112">
        <v>8</v>
      </c>
      <c r="E4" s="112">
        <v>0</v>
      </c>
      <c r="F4" s="112">
        <v>9</v>
      </c>
      <c r="G4" s="189">
        <v>0</v>
      </c>
    </row>
    <row r="5" spans="1:7" ht="22.5" customHeight="1" x14ac:dyDescent="0.25">
      <c r="A5" s="163">
        <v>37623</v>
      </c>
      <c r="B5" s="116" t="s">
        <v>454</v>
      </c>
      <c r="C5" s="96">
        <v>35750</v>
      </c>
      <c r="D5" s="96">
        <v>8</v>
      </c>
      <c r="E5" s="96">
        <v>0</v>
      </c>
      <c r="F5" s="96">
        <v>9</v>
      </c>
      <c r="G5" s="186">
        <v>0</v>
      </c>
    </row>
    <row r="6" spans="1:7" ht="22.5" customHeight="1" x14ac:dyDescent="0.25">
      <c r="A6" s="163">
        <v>37624</v>
      </c>
      <c r="B6" s="116" t="s">
        <v>455</v>
      </c>
      <c r="C6" s="96">
        <v>35250</v>
      </c>
      <c r="D6" s="96">
        <v>8</v>
      </c>
      <c r="E6" s="96">
        <v>0</v>
      </c>
      <c r="F6" s="96">
        <v>10</v>
      </c>
      <c r="G6" s="186">
        <v>0</v>
      </c>
    </row>
    <row r="7" spans="1:7" ht="22.5" customHeight="1" x14ac:dyDescent="0.25">
      <c r="A7" s="163">
        <v>37625</v>
      </c>
      <c r="B7" s="116" t="s">
        <v>457</v>
      </c>
      <c r="C7" s="96">
        <v>34250</v>
      </c>
      <c r="D7" s="96">
        <v>0</v>
      </c>
      <c r="E7" s="96">
        <v>0</v>
      </c>
      <c r="F7" s="96">
        <v>10</v>
      </c>
      <c r="G7" s="186">
        <v>0</v>
      </c>
    </row>
    <row r="8" spans="1:7" ht="22.5" customHeight="1" x14ac:dyDescent="0.25">
      <c r="A8" s="163">
        <v>37626</v>
      </c>
      <c r="B8" s="116" t="s">
        <v>457</v>
      </c>
      <c r="C8" s="96">
        <v>34250</v>
      </c>
      <c r="D8" s="96">
        <v>0</v>
      </c>
      <c r="E8" s="96">
        <v>0</v>
      </c>
      <c r="F8" s="96">
        <v>10</v>
      </c>
      <c r="G8" s="186">
        <v>0</v>
      </c>
    </row>
    <row r="9" spans="1:7" ht="22.5" customHeight="1" x14ac:dyDescent="0.25">
      <c r="A9" s="163">
        <v>37627</v>
      </c>
      <c r="B9" s="116" t="s">
        <v>455</v>
      </c>
      <c r="C9" s="96">
        <v>35250</v>
      </c>
      <c r="D9" s="96">
        <v>0</v>
      </c>
      <c r="E9" s="96">
        <v>0</v>
      </c>
      <c r="F9" s="96">
        <v>0</v>
      </c>
      <c r="G9" s="186">
        <v>0</v>
      </c>
    </row>
    <row r="10" spans="1:7" ht="22.5" customHeight="1" x14ac:dyDescent="0.25">
      <c r="A10" s="163">
        <v>37628</v>
      </c>
      <c r="B10" s="96" t="s">
        <v>444</v>
      </c>
      <c r="C10" s="96" t="s">
        <v>539</v>
      </c>
      <c r="D10" s="96">
        <v>0</v>
      </c>
      <c r="E10" s="96">
        <v>0</v>
      </c>
      <c r="F10" s="96">
        <v>0</v>
      </c>
      <c r="G10" s="186">
        <v>0</v>
      </c>
    </row>
    <row r="11" spans="1:7" ht="22.5" customHeight="1" x14ac:dyDescent="0.25">
      <c r="A11" s="163">
        <v>37629</v>
      </c>
      <c r="B11" s="116" t="s">
        <v>378</v>
      </c>
      <c r="C11" s="96" t="s">
        <v>539</v>
      </c>
      <c r="D11" s="96">
        <v>0</v>
      </c>
      <c r="E11" s="96">
        <v>0</v>
      </c>
      <c r="F11" s="96">
        <v>0</v>
      </c>
      <c r="G11" s="186">
        <v>0</v>
      </c>
    </row>
    <row r="12" spans="1:7" ht="22.5" customHeight="1" x14ac:dyDescent="0.25">
      <c r="A12" s="163">
        <v>37630</v>
      </c>
      <c r="B12" s="116" t="s">
        <v>379</v>
      </c>
      <c r="C12" s="96" t="s">
        <v>539</v>
      </c>
      <c r="D12" s="96">
        <v>0</v>
      </c>
      <c r="E12" s="96">
        <v>0</v>
      </c>
      <c r="F12" s="96">
        <v>0</v>
      </c>
      <c r="G12" s="186">
        <v>0</v>
      </c>
    </row>
    <row r="13" spans="1:7" ht="22.5" customHeight="1" x14ac:dyDescent="0.25">
      <c r="A13" s="163">
        <v>37631</v>
      </c>
      <c r="B13" s="116" t="s">
        <v>379</v>
      </c>
      <c r="C13" s="96" t="s">
        <v>539</v>
      </c>
      <c r="D13" s="96">
        <v>0</v>
      </c>
      <c r="E13" s="96">
        <v>0</v>
      </c>
      <c r="F13" s="96">
        <v>0</v>
      </c>
      <c r="G13" s="186">
        <v>0</v>
      </c>
    </row>
    <row r="14" spans="1:7" ht="22.5" customHeight="1" x14ac:dyDescent="0.25">
      <c r="A14" s="163">
        <v>37632</v>
      </c>
      <c r="B14" s="116" t="s">
        <v>379</v>
      </c>
      <c r="C14" s="96" t="s">
        <v>539</v>
      </c>
      <c r="D14" s="96">
        <v>0</v>
      </c>
      <c r="E14" s="96">
        <v>0</v>
      </c>
      <c r="F14" s="96">
        <v>0</v>
      </c>
      <c r="G14" s="186">
        <v>0</v>
      </c>
    </row>
    <row r="15" spans="1:7" ht="22.5" customHeight="1" x14ac:dyDescent="0.25">
      <c r="A15" s="163">
        <v>37633</v>
      </c>
      <c r="B15" s="116" t="s">
        <v>444</v>
      </c>
      <c r="C15" s="96" t="s">
        <v>539</v>
      </c>
      <c r="D15" s="96">
        <v>8</v>
      </c>
      <c r="E15" s="96">
        <v>0</v>
      </c>
      <c r="F15" s="96">
        <v>10</v>
      </c>
      <c r="G15" s="186">
        <v>0</v>
      </c>
    </row>
    <row r="16" spans="1:7" ht="22.5" customHeight="1" x14ac:dyDescent="0.25">
      <c r="A16" s="163">
        <v>37634</v>
      </c>
      <c r="B16" s="116" t="s">
        <v>443</v>
      </c>
      <c r="C16" s="96" t="s">
        <v>539</v>
      </c>
      <c r="D16" s="96">
        <v>8</v>
      </c>
      <c r="E16" s="96">
        <v>0</v>
      </c>
      <c r="F16" s="96">
        <v>10</v>
      </c>
      <c r="G16" s="186">
        <v>0</v>
      </c>
    </row>
    <row r="17" spans="1:7" ht="22.5" customHeight="1" x14ac:dyDescent="0.25">
      <c r="A17" s="163">
        <v>37635</v>
      </c>
      <c r="B17" s="116" t="s">
        <v>445</v>
      </c>
      <c r="C17" s="96" t="s">
        <v>539</v>
      </c>
      <c r="D17" s="96">
        <v>8</v>
      </c>
      <c r="E17" s="96">
        <v>0</v>
      </c>
      <c r="F17" s="96">
        <v>10</v>
      </c>
      <c r="G17" s="186">
        <v>0</v>
      </c>
    </row>
    <row r="18" spans="1:7" ht="22.5" customHeight="1" x14ac:dyDescent="0.25">
      <c r="A18" s="163">
        <v>37636</v>
      </c>
      <c r="B18" s="116" t="s">
        <v>450</v>
      </c>
      <c r="C18" s="96" t="s">
        <v>539</v>
      </c>
      <c r="D18" s="96">
        <v>8</v>
      </c>
      <c r="E18" s="96">
        <v>0</v>
      </c>
      <c r="F18" s="96">
        <v>10</v>
      </c>
      <c r="G18" s="186">
        <v>0</v>
      </c>
    </row>
    <row r="19" spans="1:7" ht="22.5" customHeight="1" x14ac:dyDescent="0.25">
      <c r="A19" s="163">
        <v>37637</v>
      </c>
      <c r="B19" s="116" t="s">
        <v>459</v>
      </c>
      <c r="C19" s="96" t="s">
        <v>539</v>
      </c>
      <c r="D19" s="96">
        <v>8</v>
      </c>
      <c r="E19" s="96">
        <v>0</v>
      </c>
      <c r="F19" s="96">
        <v>10</v>
      </c>
      <c r="G19" s="186">
        <v>0</v>
      </c>
    </row>
    <row r="20" spans="1:7" ht="22.5" customHeight="1" x14ac:dyDescent="0.25">
      <c r="A20" s="163">
        <v>37638</v>
      </c>
      <c r="B20" s="116" t="s">
        <v>452</v>
      </c>
      <c r="C20" s="96" t="s">
        <v>539</v>
      </c>
      <c r="D20" s="96">
        <v>8</v>
      </c>
      <c r="E20" s="96">
        <v>0</v>
      </c>
      <c r="F20" s="96">
        <v>10</v>
      </c>
      <c r="G20" s="186">
        <v>0</v>
      </c>
    </row>
    <row r="21" spans="1:7" ht="22.5" customHeight="1" x14ac:dyDescent="0.25">
      <c r="A21" s="163">
        <v>37639</v>
      </c>
      <c r="B21" s="116" t="s">
        <v>452</v>
      </c>
      <c r="C21" s="96" t="s">
        <v>539</v>
      </c>
      <c r="D21" s="96">
        <v>8</v>
      </c>
      <c r="E21" s="96">
        <v>0</v>
      </c>
      <c r="F21" s="96">
        <v>10</v>
      </c>
      <c r="G21" s="186">
        <v>0</v>
      </c>
    </row>
    <row r="22" spans="1:7" ht="22.5" customHeight="1" x14ac:dyDescent="0.25">
      <c r="A22" s="163">
        <v>37640</v>
      </c>
      <c r="B22" s="116" t="s">
        <v>459</v>
      </c>
      <c r="C22" s="96" t="s">
        <v>539</v>
      </c>
      <c r="D22" s="96">
        <v>8</v>
      </c>
      <c r="E22" s="96">
        <v>0</v>
      </c>
      <c r="F22" s="96">
        <v>10</v>
      </c>
      <c r="G22" s="186">
        <v>0</v>
      </c>
    </row>
    <row r="23" spans="1:7" ht="22.5" customHeight="1" x14ac:dyDescent="0.25">
      <c r="A23" s="163">
        <v>37641</v>
      </c>
      <c r="B23" s="116" t="s">
        <v>459</v>
      </c>
      <c r="C23" s="96" t="s">
        <v>539</v>
      </c>
      <c r="D23" s="96">
        <v>8</v>
      </c>
      <c r="E23" s="96">
        <v>0</v>
      </c>
      <c r="F23" s="96">
        <v>10</v>
      </c>
      <c r="G23" s="186">
        <v>0</v>
      </c>
    </row>
    <row r="24" spans="1:7" ht="22.5" customHeight="1" x14ac:dyDescent="0.25">
      <c r="A24" s="163">
        <v>37642</v>
      </c>
      <c r="B24" s="116" t="s">
        <v>459</v>
      </c>
      <c r="C24" s="96" t="s">
        <v>539</v>
      </c>
      <c r="D24" s="96">
        <v>8</v>
      </c>
      <c r="E24" s="96">
        <v>0</v>
      </c>
      <c r="F24" s="96">
        <v>10</v>
      </c>
      <c r="G24" s="186">
        <v>0</v>
      </c>
    </row>
    <row r="25" spans="1:7" ht="22.5" customHeight="1" x14ac:dyDescent="0.25">
      <c r="A25" s="163">
        <v>37643</v>
      </c>
      <c r="B25" s="116" t="s">
        <v>459</v>
      </c>
      <c r="C25" s="96" t="s">
        <v>539</v>
      </c>
      <c r="D25" s="96">
        <v>8</v>
      </c>
      <c r="E25" s="96">
        <v>0</v>
      </c>
      <c r="F25" s="96">
        <v>10</v>
      </c>
      <c r="G25" s="186">
        <v>0</v>
      </c>
    </row>
    <row r="26" spans="1:7" ht="22.5" customHeight="1" x14ac:dyDescent="0.25">
      <c r="A26" s="163">
        <v>37644</v>
      </c>
      <c r="B26" s="116" t="s">
        <v>452</v>
      </c>
      <c r="C26" s="96" t="s">
        <v>539</v>
      </c>
      <c r="D26" s="96">
        <v>8</v>
      </c>
      <c r="E26" s="96">
        <v>0</v>
      </c>
      <c r="F26" s="96">
        <v>10</v>
      </c>
      <c r="G26" s="186">
        <v>0</v>
      </c>
    </row>
    <row r="27" spans="1:7" ht="22.5" customHeight="1" x14ac:dyDescent="0.25">
      <c r="A27" s="163">
        <v>37645</v>
      </c>
      <c r="B27" s="116" t="s">
        <v>452</v>
      </c>
      <c r="C27" s="96" t="s">
        <v>539</v>
      </c>
      <c r="D27" s="96">
        <v>8</v>
      </c>
      <c r="E27" s="96">
        <v>0</v>
      </c>
      <c r="F27" s="96">
        <v>10</v>
      </c>
      <c r="G27" s="186">
        <v>0</v>
      </c>
    </row>
    <row r="28" spans="1:7" ht="22.5" customHeight="1" x14ac:dyDescent="0.25">
      <c r="A28" s="163">
        <v>37646</v>
      </c>
      <c r="B28" s="116" t="s">
        <v>452</v>
      </c>
      <c r="C28" s="96" t="s">
        <v>539</v>
      </c>
      <c r="D28" s="96">
        <v>8</v>
      </c>
      <c r="E28" s="96">
        <v>0</v>
      </c>
      <c r="F28" s="96">
        <v>10</v>
      </c>
      <c r="G28" s="186">
        <v>0</v>
      </c>
    </row>
    <row r="29" spans="1:7" ht="22.5" customHeight="1" x14ac:dyDescent="0.25">
      <c r="A29" s="163">
        <v>37647</v>
      </c>
      <c r="B29" s="116" t="s">
        <v>453</v>
      </c>
      <c r="C29" s="96">
        <v>36250</v>
      </c>
      <c r="D29" s="96">
        <v>8</v>
      </c>
      <c r="E29" s="96">
        <v>0</v>
      </c>
      <c r="F29" s="96">
        <v>10</v>
      </c>
      <c r="G29" s="186">
        <v>0</v>
      </c>
    </row>
    <row r="30" spans="1:7" ht="22.5" customHeight="1" x14ac:dyDescent="0.25">
      <c r="A30" s="163">
        <v>37648</v>
      </c>
      <c r="B30" s="116" t="s">
        <v>453</v>
      </c>
      <c r="C30" s="96">
        <v>36250</v>
      </c>
      <c r="D30" s="96">
        <v>8</v>
      </c>
      <c r="E30" s="96">
        <v>0</v>
      </c>
      <c r="F30" s="96">
        <v>10</v>
      </c>
      <c r="G30" s="186">
        <v>0</v>
      </c>
    </row>
    <row r="31" spans="1:7" ht="22.5" customHeight="1" x14ac:dyDescent="0.25">
      <c r="A31" s="163">
        <v>37649</v>
      </c>
      <c r="B31" s="116" t="s">
        <v>454</v>
      </c>
      <c r="C31" s="96">
        <v>35750</v>
      </c>
      <c r="D31" s="96">
        <v>8</v>
      </c>
      <c r="E31" s="96">
        <v>0</v>
      </c>
      <c r="F31" s="96">
        <v>10</v>
      </c>
      <c r="G31" s="186">
        <v>0</v>
      </c>
    </row>
    <row r="32" spans="1:7" ht="22.5" customHeight="1" x14ac:dyDescent="0.25">
      <c r="A32" s="163">
        <v>37650</v>
      </c>
      <c r="B32" s="116" t="s">
        <v>455</v>
      </c>
      <c r="C32" s="96">
        <v>35250</v>
      </c>
      <c r="D32" s="96">
        <v>8</v>
      </c>
      <c r="E32" s="96">
        <v>0</v>
      </c>
      <c r="F32" s="96">
        <v>10</v>
      </c>
      <c r="G32" s="186">
        <v>0</v>
      </c>
    </row>
    <row r="33" spans="1:7" ht="22.5" customHeight="1" x14ac:dyDescent="0.25">
      <c r="A33" s="163">
        <v>37651</v>
      </c>
      <c r="B33" s="116" t="s">
        <v>456</v>
      </c>
      <c r="C33" s="96">
        <v>34750</v>
      </c>
      <c r="D33" s="96">
        <v>8</v>
      </c>
      <c r="E33" s="96">
        <v>0</v>
      </c>
      <c r="F33" s="96">
        <v>10</v>
      </c>
      <c r="G33" s="186">
        <v>0</v>
      </c>
    </row>
    <row r="34" spans="1:7" ht="22.5" customHeight="1" x14ac:dyDescent="0.25">
      <c r="A34" s="163">
        <v>37652</v>
      </c>
      <c r="B34" s="116" t="s">
        <v>457</v>
      </c>
      <c r="C34" s="96">
        <v>34250</v>
      </c>
      <c r="D34" s="96">
        <v>8</v>
      </c>
      <c r="E34" s="96">
        <v>0</v>
      </c>
      <c r="F34" s="96">
        <v>10</v>
      </c>
      <c r="G34" s="186">
        <v>0</v>
      </c>
    </row>
    <row r="35" spans="1:7" ht="22.5" customHeight="1" x14ac:dyDescent="0.25">
      <c r="A35" s="163">
        <v>37653</v>
      </c>
      <c r="B35" s="116" t="s">
        <v>460</v>
      </c>
      <c r="C35" s="96">
        <v>33800</v>
      </c>
      <c r="D35" s="96">
        <v>0</v>
      </c>
      <c r="E35" s="96">
        <v>0</v>
      </c>
      <c r="F35" s="96">
        <v>0</v>
      </c>
      <c r="G35" s="186">
        <v>0</v>
      </c>
    </row>
    <row r="36" spans="1:7" ht="22.5" customHeight="1" x14ac:dyDescent="0.25">
      <c r="A36" s="163">
        <v>37654</v>
      </c>
      <c r="B36" s="116" t="s">
        <v>460</v>
      </c>
      <c r="C36" s="96">
        <v>33800</v>
      </c>
      <c r="D36" s="96">
        <v>0</v>
      </c>
      <c r="E36" s="96">
        <v>0</v>
      </c>
      <c r="F36" s="96">
        <v>0</v>
      </c>
      <c r="G36" s="186">
        <v>0</v>
      </c>
    </row>
    <row r="37" spans="1:7" ht="22.5" customHeight="1" x14ac:dyDescent="0.25">
      <c r="A37" s="163">
        <v>37655</v>
      </c>
      <c r="B37" s="116" t="s">
        <v>460</v>
      </c>
      <c r="C37" s="96">
        <v>33800</v>
      </c>
      <c r="D37" s="96">
        <v>0</v>
      </c>
      <c r="E37" s="96">
        <v>0</v>
      </c>
      <c r="F37" s="96">
        <v>0</v>
      </c>
      <c r="G37" s="186">
        <v>0</v>
      </c>
    </row>
    <row r="38" spans="1:7" ht="22.5" customHeight="1" x14ac:dyDescent="0.25">
      <c r="A38" s="163">
        <v>37656</v>
      </c>
      <c r="B38" s="116" t="s">
        <v>460</v>
      </c>
      <c r="C38" s="96">
        <v>33800</v>
      </c>
      <c r="D38" s="96">
        <v>0</v>
      </c>
      <c r="E38" s="96">
        <v>0</v>
      </c>
      <c r="F38" s="96">
        <v>0</v>
      </c>
      <c r="G38" s="186">
        <v>0</v>
      </c>
    </row>
    <row r="39" spans="1:7" ht="22.5" customHeight="1" x14ac:dyDescent="0.25">
      <c r="A39" s="163">
        <v>37657</v>
      </c>
      <c r="B39" s="116" t="s">
        <v>460</v>
      </c>
      <c r="C39" s="96">
        <v>33800</v>
      </c>
      <c r="D39" s="96">
        <v>0</v>
      </c>
      <c r="E39" s="96">
        <v>0</v>
      </c>
      <c r="F39" s="96">
        <v>0</v>
      </c>
      <c r="G39" s="186">
        <v>0</v>
      </c>
    </row>
    <row r="40" spans="1:7" ht="22.5" customHeight="1" x14ac:dyDescent="0.25">
      <c r="A40" s="163">
        <v>37658</v>
      </c>
      <c r="B40" s="116" t="s">
        <v>460</v>
      </c>
      <c r="C40" s="96">
        <v>33800</v>
      </c>
      <c r="D40" s="96">
        <v>0</v>
      </c>
      <c r="E40" s="96">
        <v>0</v>
      </c>
      <c r="F40" s="96">
        <v>0</v>
      </c>
      <c r="G40" s="186">
        <v>0</v>
      </c>
    </row>
    <row r="41" spans="1:7" ht="22.5" customHeight="1" x14ac:dyDescent="0.25">
      <c r="A41" s="163">
        <v>37659</v>
      </c>
      <c r="B41" s="116" t="s">
        <v>458</v>
      </c>
      <c r="C41" s="96">
        <v>33900</v>
      </c>
      <c r="D41" s="96">
        <v>0</v>
      </c>
      <c r="E41" s="96">
        <v>0</v>
      </c>
      <c r="F41" s="96">
        <v>0</v>
      </c>
      <c r="G41" s="186">
        <v>0</v>
      </c>
    </row>
    <row r="42" spans="1:7" ht="22.5" customHeight="1" x14ac:dyDescent="0.25">
      <c r="A42" s="163">
        <v>37660</v>
      </c>
      <c r="B42" s="116" t="s">
        <v>458</v>
      </c>
      <c r="C42" s="96">
        <v>33900</v>
      </c>
      <c r="D42" s="96">
        <v>0</v>
      </c>
      <c r="E42" s="96">
        <v>0</v>
      </c>
      <c r="F42" s="96">
        <v>0</v>
      </c>
      <c r="G42" s="186">
        <v>0</v>
      </c>
    </row>
    <row r="43" spans="1:7" ht="22.5" customHeight="1" x14ac:dyDescent="0.25">
      <c r="A43" s="163">
        <v>37661</v>
      </c>
      <c r="B43" s="116" t="s">
        <v>458</v>
      </c>
      <c r="C43" s="96">
        <v>33900</v>
      </c>
      <c r="D43" s="96">
        <v>0</v>
      </c>
      <c r="E43" s="96">
        <v>0</v>
      </c>
      <c r="F43" s="96">
        <v>0</v>
      </c>
      <c r="G43" s="186">
        <v>0</v>
      </c>
    </row>
    <row r="44" spans="1:7" ht="22.5" customHeight="1" x14ac:dyDescent="0.25">
      <c r="A44" s="163">
        <v>37662</v>
      </c>
      <c r="B44" s="116" t="s">
        <v>458</v>
      </c>
      <c r="C44" s="96">
        <v>33900</v>
      </c>
      <c r="D44" s="96">
        <v>0</v>
      </c>
      <c r="E44" s="96">
        <v>0</v>
      </c>
      <c r="F44" s="96">
        <v>0</v>
      </c>
      <c r="G44" s="186">
        <v>0</v>
      </c>
    </row>
    <row r="45" spans="1:7" ht="22.5" customHeight="1" x14ac:dyDescent="0.25">
      <c r="A45" s="163">
        <v>37663</v>
      </c>
      <c r="B45" s="116" t="s">
        <v>460</v>
      </c>
      <c r="C45" s="96">
        <v>33800</v>
      </c>
      <c r="D45" s="96">
        <v>0</v>
      </c>
      <c r="E45" s="96">
        <v>0</v>
      </c>
      <c r="F45" s="96">
        <v>0</v>
      </c>
      <c r="G45" s="186">
        <v>0</v>
      </c>
    </row>
    <row r="46" spans="1:7" ht="22.5" customHeight="1" x14ac:dyDescent="0.25">
      <c r="A46" s="163">
        <v>37664</v>
      </c>
      <c r="B46" s="116" t="s">
        <v>460</v>
      </c>
      <c r="C46" s="96">
        <v>33800</v>
      </c>
      <c r="D46" s="96">
        <v>0</v>
      </c>
      <c r="E46" s="96">
        <v>0</v>
      </c>
      <c r="F46" s="96">
        <v>0</v>
      </c>
      <c r="G46" s="186">
        <v>0</v>
      </c>
    </row>
    <row r="47" spans="1:7" ht="22.5" customHeight="1" x14ac:dyDescent="0.25">
      <c r="A47" s="163">
        <v>37665</v>
      </c>
      <c r="B47" s="116" t="s">
        <v>460</v>
      </c>
      <c r="C47" s="96">
        <v>33800</v>
      </c>
      <c r="D47" s="96">
        <v>0</v>
      </c>
      <c r="E47" s="96">
        <v>0</v>
      </c>
      <c r="F47" s="96">
        <v>0</v>
      </c>
      <c r="G47" s="186">
        <v>0</v>
      </c>
    </row>
    <row r="48" spans="1:7" ht="22.5" customHeight="1" x14ac:dyDescent="0.25">
      <c r="A48" s="163">
        <v>37666</v>
      </c>
      <c r="B48" s="116" t="s">
        <v>461</v>
      </c>
      <c r="C48" s="96">
        <v>33500</v>
      </c>
      <c r="D48" s="96">
        <v>0</v>
      </c>
      <c r="E48" s="96">
        <v>0</v>
      </c>
      <c r="F48" s="96">
        <v>0</v>
      </c>
      <c r="G48" s="186">
        <v>0</v>
      </c>
    </row>
    <row r="49" spans="1:7" ht="22.5" customHeight="1" x14ac:dyDescent="0.25">
      <c r="A49" s="163">
        <v>37667</v>
      </c>
      <c r="B49" s="116" t="s">
        <v>461</v>
      </c>
      <c r="C49" s="96">
        <v>33500</v>
      </c>
      <c r="D49" s="96">
        <v>0</v>
      </c>
      <c r="E49" s="96">
        <v>0</v>
      </c>
      <c r="F49" s="96">
        <v>0</v>
      </c>
      <c r="G49" s="186">
        <v>0</v>
      </c>
    </row>
    <row r="50" spans="1:7" ht="22.5" customHeight="1" x14ac:dyDescent="0.25">
      <c r="A50" s="163">
        <v>37668</v>
      </c>
      <c r="B50" s="116" t="s">
        <v>462</v>
      </c>
      <c r="C50" s="96">
        <v>33500</v>
      </c>
      <c r="D50" s="96">
        <v>0</v>
      </c>
      <c r="E50" s="96">
        <v>0</v>
      </c>
      <c r="F50" s="96">
        <v>0</v>
      </c>
      <c r="G50" s="186">
        <v>0</v>
      </c>
    </row>
    <row r="51" spans="1:7" ht="22.5" customHeight="1" x14ac:dyDescent="0.25">
      <c r="A51" s="163">
        <v>37669</v>
      </c>
      <c r="B51" s="116" t="s">
        <v>460</v>
      </c>
      <c r="C51" s="96">
        <v>33800</v>
      </c>
      <c r="D51" s="96">
        <v>0</v>
      </c>
      <c r="E51" s="96">
        <v>0</v>
      </c>
      <c r="F51" s="96">
        <v>0</v>
      </c>
      <c r="G51" s="186">
        <v>0</v>
      </c>
    </row>
    <row r="52" spans="1:7" ht="22.5" customHeight="1" x14ac:dyDescent="0.25">
      <c r="A52" s="163">
        <v>37670</v>
      </c>
      <c r="B52" s="116" t="s">
        <v>460</v>
      </c>
      <c r="C52" s="96">
        <v>33800</v>
      </c>
      <c r="D52" s="96">
        <v>6</v>
      </c>
      <c r="E52" s="96">
        <v>0</v>
      </c>
      <c r="F52" s="96">
        <v>6</v>
      </c>
      <c r="G52" s="186">
        <v>0</v>
      </c>
    </row>
    <row r="53" spans="1:7" ht="22.5" customHeight="1" x14ac:dyDescent="0.25">
      <c r="A53" s="163">
        <v>37671</v>
      </c>
      <c r="B53" s="116" t="s">
        <v>460</v>
      </c>
      <c r="C53" s="96">
        <v>33800</v>
      </c>
      <c r="D53" s="96">
        <v>0</v>
      </c>
      <c r="E53" s="96">
        <v>0</v>
      </c>
      <c r="F53" s="96">
        <v>0</v>
      </c>
      <c r="G53" s="186">
        <v>0</v>
      </c>
    </row>
    <row r="54" spans="1:7" ht="22.5" customHeight="1" x14ac:dyDescent="0.25">
      <c r="A54" s="163">
        <v>37672</v>
      </c>
      <c r="B54" s="116" t="s">
        <v>460</v>
      </c>
      <c r="C54" s="96">
        <v>33800</v>
      </c>
      <c r="D54" s="96">
        <v>0</v>
      </c>
      <c r="E54" s="96">
        <v>0</v>
      </c>
      <c r="F54" s="96">
        <v>0</v>
      </c>
      <c r="G54" s="186">
        <v>0</v>
      </c>
    </row>
    <row r="55" spans="1:7" ht="22.5" customHeight="1" x14ac:dyDescent="0.25">
      <c r="A55" s="163">
        <v>37673</v>
      </c>
      <c r="B55" s="116" t="s">
        <v>461</v>
      </c>
      <c r="C55" s="96">
        <v>33500</v>
      </c>
      <c r="D55" s="96">
        <v>0</v>
      </c>
      <c r="E55" s="96">
        <v>0</v>
      </c>
      <c r="F55" s="96">
        <v>0</v>
      </c>
      <c r="G55" s="186">
        <v>0</v>
      </c>
    </row>
    <row r="56" spans="1:7" ht="22.5" customHeight="1" x14ac:dyDescent="0.25">
      <c r="A56" s="163">
        <v>37674</v>
      </c>
      <c r="B56" s="116" t="s">
        <v>461</v>
      </c>
      <c r="C56" s="96">
        <v>33500</v>
      </c>
      <c r="D56" s="96">
        <v>0</v>
      </c>
      <c r="E56" s="96">
        <v>0</v>
      </c>
      <c r="F56" s="96">
        <v>0</v>
      </c>
      <c r="G56" s="186">
        <v>0</v>
      </c>
    </row>
    <row r="57" spans="1:7" ht="22.5" customHeight="1" x14ac:dyDescent="0.25">
      <c r="A57" s="163">
        <v>37675</v>
      </c>
      <c r="B57" s="116" t="s">
        <v>461</v>
      </c>
      <c r="C57" s="96">
        <v>33500</v>
      </c>
      <c r="D57" s="96">
        <v>0</v>
      </c>
      <c r="E57" s="96">
        <v>0</v>
      </c>
      <c r="F57" s="96">
        <v>0</v>
      </c>
      <c r="G57" s="186">
        <v>0</v>
      </c>
    </row>
    <row r="58" spans="1:7" ht="22.5" customHeight="1" x14ac:dyDescent="0.25">
      <c r="A58" s="163">
        <v>37676</v>
      </c>
      <c r="B58" s="116" t="s">
        <v>1446</v>
      </c>
      <c r="C58" s="96">
        <v>33250</v>
      </c>
      <c r="D58" s="96">
        <v>6</v>
      </c>
      <c r="E58" s="96">
        <v>0</v>
      </c>
      <c r="F58" s="96">
        <v>0</v>
      </c>
      <c r="G58" s="186">
        <v>0</v>
      </c>
    </row>
    <row r="59" spans="1:7" ht="22.5" customHeight="1" x14ac:dyDescent="0.25">
      <c r="A59" s="163">
        <v>37677</v>
      </c>
      <c r="B59" s="116" t="s">
        <v>462</v>
      </c>
      <c r="C59" s="96">
        <v>33000</v>
      </c>
      <c r="D59" s="96">
        <v>10</v>
      </c>
      <c r="E59" s="96">
        <v>0</v>
      </c>
      <c r="F59" s="96">
        <v>12</v>
      </c>
      <c r="G59" s="186">
        <v>0</v>
      </c>
    </row>
    <row r="60" spans="1:7" ht="22.5" customHeight="1" x14ac:dyDescent="0.25">
      <c r="A60" s="163">
        <v>37678</v>
      </c>
      <c r="B60" s="116" t="s">
        <v>463</v>
      </c>
      <c r="C60" s="96">
        <v>32800</v>
      </c>
      <c r="D60" s="96">
        <v>10</v>
      </c>
      <c r="E60" s="96">
        <v>0</v>
      </c>
      <c r="F60" s="96">
        <v>12</v>
      </c>
      <c r="G60" s="186">
        <v>0</v>
      </c>
    </row>
    <row r="61" spans="1:7" ht="22.5" customHeight="1" x14ac:dyDescent="0.25">
      <c r="A61" s="163">
        <v>37679</v>
      </c>
      <c r="B61" s="116" t="s">
        <v>554</v>
      </c>
      <c r="C61" s="96">
        <v>32600</v>
      </c>
      <c r="D61" s="96">
        <v>10</v>
      </c>
      <c r="E61" s="96">
        <v>0</v>
      </c>
      <c r="F61" s="96">
        <v>12</v>
      </c>
      <c r="G61" s="186">
        <v>0</v>
      </c>
    </row>
    <row r="62" spans="1:7" ht="22.5" customHeight="1" x14ac:dyDescent="0.25">
      <c r="A62" s="163">
        <v>37680</v>
      </c>
      <c r="B62" s="116" t="s">
        <v>464</v>
      </c>
      <c r="C62" s="96">
        <v>32400</v>
      </c>
      <c r="D62" s="96">
        <v>10</v>
      </c>
      <c r="E62" s="96">
        <v>0</v>
      </c>
      <c r="F62" s="96">
        <v>12</v>
      </c>
      <c r="G62" s="186">
        <v>0</v>
      </c>
    </row>
    <row r="63" spans="1:7" ht="22.5" customHeight="1" x14ac:dyDescent="0.25">
      <c r="A63" s="163">
        <v>37681</v>
      </c>
      <c r="B63" s="96"/>
      <c r="C63" s="96"/>
      <c r="D63" s="96"/>
      <c r="E63" s="96"/>
      <c r="F63" s="96"/>
      <c r="G63" s="186"/>
    </row>
    <row r="64" spans="1:7" ht="22.5" customHeight="1" x14ac:dyDescent="0.25">
      <c r="A64" s="163">
        <v>37682</v>
      </c>
      <c r="B64" s="116" t="s">
        <v>465</v>
      </c>
      <c r="C64" s="96">
        <v>32100</v>
      </c>
      <c r="D64" s="96">
        <v>10</v>
      </c>
      <c r="E64" s="96">
        <v>0</v>
      </c>
      <c r="F64" s="96">
        <v>12</v>
      </c>
      <c r="G64" s="186">
        <v>0</v>
      </c>
    </row>
    <row r="65" spans="1:7" ht="22.5" customHeight="1" x14ac:dyDescent="0.25">
      <c r="A65" s="163">
        <v>37683</v>
      </c>
      <c r="B65" s="116" t="s">
        <v>466</v>
      </c>
      <c r="C65" s="96">
        <v>32000</v>
      </c>
      <c r="D65" s="96">
        <v>10</v>
      </c>
      <c r="E65" s="96">
        <v>0</v>
      </c>
      <c r="F65" s="96">
        <v>12</v>
      </c>
      <c r="G65" s="186">
        <v>0</v>
      </c>
    </row>
    <row r="66" spans="1:7" ht="22.5" customHeight="1" x14ac:dyDescent="0.25">
      <c r="A66" s="163">
        <v>37684</v>
      </c>
      <c r="B66" s="116" t="s">
        <v>467</v>
      </c>
      <c r="C66" s="96">
        <v>31500</v>
      </c>
      <c r="D66" s="96">
        <v>10</v>
      </c>
      <c r="E66" s="96">
        <v>0</v>
      </c>
      <c r="F66" s="96">
        <v>12</v>
      </c>
      <c r="G66" s="186">
        <v>0</v>
      </c>
    </row>
    <row r="67" spans="1:7" ht="22.5" customHeight="1" x14ac:dyDescent="0.25">
      <c r="A67" s="163">
        <v>37685</v>
      </c>
      <c r="B67" s="116" t="s">
        <v>468</v>
      </c>
      <c r="C67" s="96">
        <v>31000</v>
      </c>
      <c r="D67" s="96">
        <v>10</v>
      </c>
      <c r="E67" s="96">
        <v>0</v>
      </c>
      <c r="F67" s="96">
        <v>12</v>
      </c>
      <c r="G67" s="186">
        <v>0</v>
      </c>
    </row>
    <row r="68" spans="1:7" ht="22.5" customHeight="1" x14ac:dyDescent="0.25">
      <c r="A68" s="163">
        <v>37686</v>
      </c>
      <c r="B68" s="116" t="s">
        <v>468</v>
      </c>
      <c r="C68" s="96">
        <v>31000</v>
      </c>
      <c r="D68" s="96">
        <v>10</v>
      </c>
      <c r="E68" s="96">
        <v>0</v>
      </c>
      <c r="F68" s="96">
        <v>12</v>
      </c>
      <c r="G68" s="186">
        <v>0</v>
      </c>
    </row>
    <row r="69" spans="1:7" ht="22.5" customHeight="1" x14ac:dyDescent="0.25">
      <c r="A69" s="163">
        <v>37687</v>
      </c>
      <c r="B69" s="116" t="s">
        <v>442</v>
      </c>
      <c r="C69" s="96">
        <v>30500</v>
      </c>
      <c r="D69" s="96">
        <v>0</v>
      </c>
      <c r="E69" s="96">
        <v>0</v>
      </c>
      <c r="F69" s="96">
        <v>0</v>
      </c>
      <c r="G69" s="186">
        <v>0</v>
      </c>
    </row>
    <row r="70" spans="1:7" ht="22.5" customHeight="1" x14ac:dyDescent="0.25">
      <c r="A70" s="163">
        <v>37688</v>
      </c>
      <c r="B70" s="116" t="s">
        <v>442</v>
      </c>
      <c r="C70" s="96">
        <v>30500</v>
      </c>
      <c r="D70" s="96">
        <v>0</v>
      </c>
      <c r="E70" s="96">
        <v>0</v>
      </c>
      <c r="F70" s="96">
        <v>0</v>
      </c>
      <c r="G70" s="186">
        <v>0</v>
      </c>
    </row>
    <row r="71" spans="1:7" ht="22.5" customHeight="1" x14ac:dyDescent="0.25">
      <c r="A71" s="163">
        <v>37689</v>
      </c>
      <c r="B71" s="116" t="s">
        <v>471</v>
      </c>
      <c r="C71" s="96">
        <v>30300</v>
      </c>
      <c r="D71" s="96">
        <v>0</v>
      </c>
      <c r="E71" s="96">
        <v>0</v>
      </c>
      <c r="F71" s="96">
        <v>0</v>
      </c>
      <c r="G71" s="186">
        <v>0</v>
      </c>
    </row>
    <row r="72" spans="1:7" ht="22.5" customHeight="1" x14ac:dyDescent="0.25">
      <c r="A72" s="163">
        <v>37690</v>
      </c>
      <c r="B72" s="116" t="s">
        <v>470</v>
      </c>
      <c r="C72" s="96">
        <v>30200</v>
      </c>
      <c r="D72" s="96">
        <v>0</v>
      </c>
      <c r="E72" s="96">
        <v>0</v>
      </c>
      <c r="F72" s="96">
        <v>0</v>
      </c>
      <c r="G72" s="186">
        <v>0</v>
      </c>
    </row>
    <row r="73" spans="1:7" ht="22.5" customHeight="1" x14ac:dyDescent="0.25">
      <c r="A73" s="163">
        <v>37691</v>
      </c>
      <c r="B73" s="116" t="s">
        <v>472</v>
      </c>
      <c r="C73" s="96">
        <v>30000</v>
      </c>
      <c r="D73" s="96">
        <v>0</v>
      </c>
      <c r="E73" s="96">
        <v>0</v>
      </c>
      <c r="F73" s="96">
        <v>0</v>
      </c>
      <c r="G73" s="186">
        <v>0</v>
      </c>
    </row>
    <row r="74" spans="1:7" ht="22.5" customHeight="1" x14ac:dyDescent="0.25">
      <c r="A74" s="163">
        <v>37692</v>
      </c>
      <c r="B74" s="116" t="s">
        <v>473</v>
      </c>
      <c r="C74" s="96">
        <v>28850</v>
      </c>
      <c r="D74" s="96">
        <v>12</v>
      </c>
      <c r="E74" s="96">
        <v>0</v>
      </c>
      <c r="F74" s="96">
        <v>12</v>
      </c>
      <c r="G74" s="186">
        <v>0</v>
      </c>
    </row>
    <row r="75" spans="1:7" ht="22.5" customHeight="1" x14ac:dyDescent="0.25">
      <c r="A75" s="163">
        <v>37693</v>
      </c>
      <c r="B75" s="116" t="s">
        <v>441</v>
      </c>
      <c r="C75" s="96">
        <v>28750</v>
      </c>
      <c r="D75" s="96">
        <v>12</v>
      </c>
      <c r="E75" s="96">
        <v>0</v>
      </c>
      <c r="F75" s="96">
        <v>12</v>
      </c>
      <c r="G75" s="186">
        <v>0</v>
      </c>
    </row>
    <row r="76" spans="1:7" ht="22.5" customHeight="1" x14ac:dyDescent="0.25">
      <c r="A76" s="163">
        <v>37694</v>
      </c>
      <c r="B76" s="116" t="s">
        <v>474</v>
      </c>
      <c r="C76" s="96">
        <v>28600</v>
      </c>
      <c r="D76" s="96">
        <v>1</v>
      </c>
      <c r="E76" s="96">
        <v>0</v>
      </c>
      <c r="F76" s="96">
        <v>1</v>
      </c>
      <c r="G76" s="186">
        <v>0</v>
      </c>
    </row>
    <row r="77" spans="1:7" ht="22.5" customHeight="1" x14ac:dyDescent="0.25">
      <c r="A77" s="163">
        <v>37695</v>
      </c>
      <c r="B77" s="116" t="s">
        <v>475</v>
      </c>
      <c r="C77" s="96">
        <v>28500</v>
      </c>
      <c r="D77" s="96">
        <v>10</v>
      </c>
      <c r="E77" s="96">
        <v>0</v>
      </c>
      <c r="F77" s="96">
        <v>10</v>
      </c>
      <c r="G77" s="186">
        <v>0</v>
      </c>
    </row>
    <row r="78" spans="1:7" ht="22.5" customHeight="1" x14ac:dyDescent="0.25">
      <c r="A78" s="163">
        <v>37696</v>
      </c>
      <c r="B78" s="116" t="s">
        <v>440</v>
      </c>
      <c r="C78" s="96">
        <v>28200</v>
      </c>
      <c r="D78" s="96">
        <v>0</v>
      </c>
      <c r="E78" s="96">
        <v>0</v>
      </c>
      <c r="F78" s="96">
        <v>0</v>
      </c>
      <c r="G78" s="186">
        <v>0</v>
      </c>
    </row>
    <row r="79" spans="1:7" ht="22.5" customHeight="1" x14ac:dyDescent="0.25">
      <c r="A79" s="163">
        <v>37697</v>
      </c>
      <c r="B79" s="116" t="s">
        <v>477</v>
      </c>
      <c r="C79" s="96">
        <v>28000</v>
      </c>
      <c r="D79" s="96">
        <v>0</v>
      </c>
      <c r="E79" s="96">
        <v>0</v>
      </c>
      <c r="F79" s="96">
        <v>0</v>
      </c>
      <c r="G79" s="186">
        <v>0</v>
      </c>
    </row>
    <row r="80" spans="1:7" ht="22.5" customHeight="1" x14ac:dyDescent="0.25">
      <c r="A80" s="163">
        <v>37698</v>
      </c>
      <c r="B80" s="116" t="s">
        <v>477</v>
      </c>
      <c r="C80" s="96">
        <v>28000</v>
      </c>
      <c r="D80" s="96">
        <v>0</v>
      </c>
      <c r="E80" s="96">
        <v>0</v>
      </c>
      <c r="F80" s="96">
        <v>0</v>
      </c>
      <c r="G80" s="186">
        <v>0</v>
      </c>
    </row>
    <row r="81" spans="1:7" ht="22.5" customHeight="1" x14ac:dyDescent="0.25">
      <c r="A81" s="163">
        <v>37699</v>
      </c>
      <c r="B81" s="116" t="s">
        <v>477</v>
      </c>
      <c r="C81" s="96">
        <v>28000</v>
      </c>
      <c r="D81" s="96">
        <v>0</v>
      </c>
      <c r="E81" s="96">
        <v>0</v>
      </c>
      <c r="F81" s="96">
        <v>0</v>
      </c>
      <c r="G81" s="186">
        <v>0</v>
      </c>
    </row>
    <row r="82" spans="1:7" ht="22.5" customHeight="1" x14ac:dyDescent="0.25">
      <c r="A82" s="163">
        <v>37700</v>
      </c>
      <c r="B82" s="116" t="s">
        <v>477</v>
      </c>
      <c r="C82" s="96">
        <v>28000</v>
      </c>
      <c r="D82" s="96">
        <v>0</v>
      </c>
      <c r="E82" s="96">
        <v>0</v>
      </c>
      <c r="F82" s="96">
        <v>0</v>
      </c>
      <c r="G82" s="186">
        <v>0</v>
      </c>
    </row>
    <row r="83" spans="1:7" ht="22.5" customHeight="1" x14ac:dyDescent="0.25">
      <c r="A83" s="163">
        <v>37701</v>
      </c>
      <c r="B83" s="116" t="s">
        <v>477</v>
      </c>
      <c r="C83" s="96">
        <v>28000</v>
      </c>
      <c r="D83" s="96">
        <v>0</v>
      </c>
      <c r="E83" s="96">
        <v>0</v>
      </c>
      <c r="F83" s="96">
        <v>0</v>
      </c>
      <c r="G83" s="186">
        <v>0</v>
      </c>
    </row>
    <row r="84" spans="1:7" ht="22.5" customHeight="1" x14ac:dyDescent="0.25">
      <c r="A84" s="163">
        <v>37702</v>
      </c>
      <c r="B84" s="116" t="s">
        <v>477</v>
      </c>
      <c r="C84" s="96">
        <v>28000</v>
      </c>
      <c r="D84" s="96">
        <v>0</v>
      </c>
      <c r="E84" s="96">
        <v>0</v>
      </c>
      <c r="F84" s="96">
        <v>0</v>
      </c>
      <c r="G84" s="186">
        <v>0</v>
      </c>
    </row>
    <row r="85" spans="1:7" ht="22.5" customHeight="1" x14ac:dyDescent="0.25">
      <c r="A85" s="163">
        <v>37703</v>
      </c>
      <c r="B85" s="116" t="s">
        <v>475</v>
      </c>
      <c r="C85" s="96">
        <v>28500</v>
      </c>
      <c r="D85" s="96">
        <v>0</v>
      </c>
      <c r="E85" s="96">
        <v>0</v>
      </c>
      <c r="F85" s="96">
        <v>0</v>
      </c>
      <c r="G85" s="186">
        <v>0</v>
      </c>
    </row>
    <row r="86" spans="1:7" ht="22.5" customHeight="1" x14ac:dyDescent="0.25">
      <c r="A86" s="163">
        <v>37704</v>
      </c>
      <c r="B86" s="116" t="s">
        <v>475</v>
      </c>
      <c r="C86" s="96">
        <v>28500</v>
      </c>
      <c r="D86" s="96">
        <v>0</v>
      </c>
      <c r="E86" s="96">
        <v>0</v>
      </c>
      <c r="F86" s="96">
        <v>0</v>
      </c>
      <c r="G86" s="186">
        <v>0</v>
      </c>
    </row>
    <row r="87" spans="1:7" ht="22.5" customHeight="1" x14ac:dyDescent="0.25">
      <c r="A87" s="163">
        <v>37705</v>
      </c>
      <c r="B87" s="116" t="s">
        <v>474</v>
      </c>
      <c r="C87" s="96">
        <v>28600</v>
      </c>
      <c r="D87" s="96">
        <v>0</v>
      </c>
      <c r="E87" s="96">
        <v>0</v>
      </c>
      <c r="F87" s="96">
        <v>0</v>
      </c>
      <c r="G87" s="186">
        <v>0</v>
      </c>
    </row>
    <row r="88" spans="1:7" ht="22.5" customHeight="1" x14ac:dyDescent="0.25">
      <c r="A88" s="163">
        <v>37706</v>
      </c>
      <c r="B88" s="116" t="s">
        <v>441</v>
      </c>
      <c r="C88" s="96">
        <v>28750</v>
      </c>
      <c r="D88" s="96">
        <v>0</v>
      </c>
      <c r="E88" s="96">
        <v>0</v>
      </c>
      <c r="F88" s="96">
        <v>0</v>
      </c>
      <c r="G88" s="186">
        <v>0</v>
      </c>
    </row>
    <row r="89" spans="1:7" ht="22.5" customHeight="1" x14ac:dyDescent="0.25">
      <c r="A89" s="163">
        <v>37707</v>
      </c>
      <c r="B89" s="116" t="s">
        <v>441</v>
      </c>
      <c r="C89" s="96">
        <v>28750</v>
      </c>
      <c r="D89" s="96">
        <v>0</v>
      </c>
      <c r="E89" s="96">
        <v>0</v>
      </c>
      <c r="F89" s="96">
        <v>0</v>
      </c>
      <c r="G89" s="186">
        <v>0</v>
      </c>
    </row>
    <row r="90" spans="1:7" ht="22.5" customHeight="1" x14ac:dyDescent="0.25">
      <c r="A90" s="163">
        <v>37708</v>
      </c>
      <c r="B90" s="116" t="s">
        <v>474</v>
      </c>
      <c r="C90" s="96">
        <v>28600</v>
      </c>
      <c r="D90" s="96">
        <v>0</v>
      </c>
      <c r="E90" s="96">
        <v>0</v>
      </c>
      <c r="F90" s="96">
        <v>0</v>
      </c>
      <c r="G90" s="186">
        <v>0</v>
      </c>
    </row>
    <row r="91" spans="1:7" ht="22.5" customHeight="1" x14ac:dyDescent="0.25">
      <c r="A91" s="163">
        <v>37709</v>
      </c>
      <c r="B91" s="116" t="s">
        <v>474</v>
      </c>
      <c r="C91" s="96">
        <v>28600</v>
      </c>
      <c r="D91" s="96">
        <v>0</v>
      </c>
      <c r="E91" s="96">
        <v>0</v>
      </c>
      <c r="F91" s="96">
        <v>0</v>
      </c>
      <c r="G91" s="186">
        <v>0</v>
      </c>
    </row>
    <row r="92" spans="1:7" ht="22.5" customHeight="1" x14ac:dyDescent="0.25">
      <c r="A92" s="163">
        <v>37710</v>
      </c>
      <c r="B92" s="116" t="s">
        <v>474</v>
      </c>
      <c r="C92" s="96">
        <v>28600</v>
      </c>
      <c r="D92" s="96">
        <v>0</v>
      </c>
      <c r="E92" s="96">
        <v>0</v>
      </c>
      <c r="F92" s="96">
        <v>0</v>
      </c>
      <c r="G92" s="186">
        <v>0</v>
      </c>
    </row>
    <row r="93" spans="1:7" ht="22.5" customHeight="1" x14ac:dyDescent="0.25">
      <c r="A93" s="163">
        <v>37711</v>
      </c>
      <c r="B93" s="116" t="s">
        <v>475</v>
      </c>
      <c r="C93" s="96">
        <v>28500</v>
      </c>
      <c r="D93" s="96">
        <v>0</v>
      </c>
      <c r="E93" s="96">
        <v>0</v>
      </c>
      <c r="F93" s="96">
        <v>0</v>
      </c>
      <c r="G93" s="186">
        <v>0</v>
      </c>
    </row>
    <row r="94" spans="1:7" ht="22.5" customHeight="1" x14ac:dyDescent="0.25">
      <c r="A94" s="163">
        <v>37712</v>
      </c>
      <c r="B94" s="116" t="s">
        <v>475</v>
      </c>
      <c r="C94" s="96">
        <v>28500</v>
      </c>
      <c r="D94" s="96">
        <v>0</v>
      </c>
      <c r="E94" s="96">
        <v>0</v>
      </c>
      <c r="F94" s="96">
        <v>0</v>
      </c>
      <c r="G94" s="186">
        <v>0</v>
      </c>
    </row>
    <row r="95" spans="1:7" ht="22.5" customHeight="1" x14ac:dyDescent="0.25">
      <c r="A95" s="163">
        <v>37713</v>
      </c>
      <c r="B95" s="116" t="s">
        <v>475</v>
      </c>
      <c r="C95" s="116">
        <v>28500</v>
      </c>
      <c r="D95" s="96">
        <v>0</v>
      </c>
      <c r="E95" s="96">
        <v>0</v>
      </c>
      <c r="F95" s="96">
        <v>0</v>
      </c>
      <c r="G95" s="186">
        <v>0</v>
      </c>
    </row>
    <row r="96" spans="1:7" ht="22.5" customHeight="1" x14ac:dyDescent="0.25">
      <c r="A96" s="163">
        <v>37714</v>
      </c>
      <c r="B96" s="116" t="s">
        <v>475</v>
      </c>
      <c r="C96" s="116">
        <v>28500</v>
      </c>
      <c r="D96" s="96">
        <v>0</v>
      </c>
      <c r="E96" s="96">
        <v>0</v>
      </c>
      <c r="F96" s="96">
        <v>0</v>
      </c>
      <c r="G96" s="186">
        <v>0</v>
      </c>
    </row>
    <row r="97" spans="1:7" ht="22.5" customHeight="1" x14ac:dyDescent="0.25">
      <c r="A97" s="163">
        <v>37715</v>
      </c>
      <c r="B97" s="116" t="s">
        <v>476</v>
      </c>
      <c r="C97" s="116">
        <v>28400</v>
      </c>
      <c r="D97" s="96">
        <v>0</v>
      </c>
      <c r="E97" s="96">
        <v>0</v>
      </c>
      <c r="F97" s="96">
        <v>0</v>
      </c>
      <c r="G97" s="186">
        <v>0</v>
      </c>
    </row>
    <row r="98" spans="1:7" ht="22.5" customHeight="1" x14ac:dyDescent="0.25">
      <c r="A98" s="163">
        <v>37716</v>
      </c>
      <c r="B98" s="116" t="s">
        <v>476</v>
      </c>
      <c r="C98" s="116">
        <v>28400</v>
      </c>
      <c r="D98" s="96">
        <v>0</v>
      </c>
      <c r="E98" s="96">
        <v>0</v>
      </c>
      <c r="F98" s="96">
        <v>0</v>
      </c>
      <c r="G98" s="186">
        <v>0</v>
      </c>
    </row>
    <row r="99" spans="1:7" ht="22.5" customHeight="1" x14ac:dyDescent="0.25">
      <c r="A99" s="163">
        <v>37717</v>
      </c>
      <c r="B99" s="116" t="s">
        <v>476</v>
      </c>
      <c r="C99" s="116">
        <v>28400</v>
      </c>
      <c r="D99" s="96">
        <v>0</v>
      </c>
      <c r="E99" s="96">
        <v>0</v>
      </c>
      <c r="F99" s="96">
        <v>0</v>
      </c>
      <c r="G99" s="186">
        <v>0</v>
      </c>
    </row>
    <row r="100" spans="1:7" ht="22.5" customHeight="1" x14ac:dyDescent="0.25">
      <c r="A100" s="163">
        <v>37718</v>
      </c>
      <c r="B100" s="116" t="s">
        <v>476</v>
      </c>
      <c r="C100" s="116">
        <v>28400</v>
      </c>
      <c r="D100" s="96">
        <v>0</v>
      </c>
      <c r="E100" s="96">
        <v>0</v>
      </c>
      <c r="F100" s="96">
        <v>0</v>
      </c>
      <c r="G100" s="186">
        <v>0</v>
      </c>
    </row>
    <row r="101" spans="1:7" ht="22.5" customHeight="1" x14ac:dyDescent="0.25">
      <c r="A101" s="163">
        <v>37719</v>
      </c>
      <c r="B101" s="116" t="s">
        <v>476</v>
      </c>
      <c r="C101" s="116">
        <v>28400</v>
      </c>
      <c r="D101" s="96">
        <v>0</v>
      </c>
      <c r="E101" s="96">
        <v>0</v>
      </c>
      <c r="F101" s="96">
        <v>0</v>
      </c>
      <c r="G101" s="186">
        <v>0</v>
      </c>
    </row>
    <row r="102" spans="1:7" ht="22.5" customHeight="1" x14ac:dyDescent="0.25">
      <c r="A102" s="163">
        <v>37720</v>
      </c>
      <c r="B102" s="116" t="s">
        <v>440</v>
      </c>
      <c r="C102" s="116">
        <v>28200</v>
      </c>
      <c r="D102" s="96">
        <v>0</v>
      </c>
      <c r="E102" s="96">
        <v>0</v>
      </c>
      <c r="F102" s="96">
        <v>0</v>
      </c>
      <c r="G102" s="186">
        <v>0</v>
      </c>
    </row>
    <row r="103" spans="1:7" ht="22.5" customHeight="1" x14ac:dyDescent="0.25">
      <c r="A103" s="163">
        <v>37721</v>
      </c>
      <c r="B103" s="116" t="s">
        <v>440</v>
      </c>
      <c r="C103" s="96">
        <v>28200</v>
      </c>
      <c r="D103" s="96">
        <v>0</v>
      </c>
      <c r="E103" s="96">
        <v>0</v>
      </c>
      <c r="F103" s="96">
        <v>0</v>
      </c>
      <c r="G103" s="186">
        <v>0</v>
      </c>
    </row>
    <row r="104" spans="1:7" ht="22.5" customHeight="1" x14ac:dyDescent="0.25">
      <c r="A104" s="163">
        <v>37722</v>
      </c>
      <c r="B104" s="116" t="s">
        <v>440</v>
      </c>
      <c r="C104" s="96">
        <v>28200</v>
      </c>
      <c r="D104" s="96">
        <v>0</v>
      </c>
      <c r="E104" s="96">
        <v>0</v>
      </c>
      <c r="F104" s="96">
        <v>0</v>
      </c>
      <c r="G104" s="186">
        <v>0</v>
      </c>
    </row>
    <row r="105" spans="1:7" ht="22.5" customHeight="1" x14ac:dyDescent="0.25">
      <c r="A105" s="163">
        <v>37723</v>
      </c>
      <c r="B105" s="116" t="s">
        <v>440</v>
      </c>
      <c r="C105" s="96">
        <v>28200</v>
      </c>
      <c r="D105" s="96">
        <v>0</v>
      </c>
      <c r="E105" s="96">
        <v>0</v>
      </c>
      <c r="F105" s="96">
        <v>0</v>
      </c>
      <c r="G105" s="186">
        <v>0</v>
      </c>
    </row>
    <row r="106" spans="1:7" ht="22.5" customHeight="1" x14ac:dyDescent="0.25">
      <c r="A106" s="163">
        <v>37724</v>
      </c>
      <c r="B106" s="116" t="s">
        <v>440</v>
      </c>
      <c r="C106" s="96">
        <v>28200</v>
      </c>
      <c r="D106" s="96">
        <v>0</v>
      </c>
      <c r="E106" s="96">
        <v>0</v>
      </c>
      <c r="F106" s="96">
        <v>0</v>
      </c>
      <c r="G106" s="186">
        <v>0</v>
      </c>
    </row>
    <row r="107" spans="1:7" ht="22.5" customHeight="1" x14ac:dyDescent="0.25">
      <c r="A107" s="163">
        <v>37725</v>
      </c>
      <c r="B107" s="116" t="s">
        <v>440</v>
      </c>
      <c r="C107" s="96">
        <v>28200</v>
      </c>
      <c r="D107" s="96">
        <v>0</v>
      </c>
      <c r="E107" s="96">
        <v>0</v>
      </c>
      <c r="F107" s="96">
        <v>0</v>
      </c>
      <c r="G107" s="186">
        <v>0</v>
      </c>
    </row>
    <row r="108" spans="1:7" ht="22.5" customHeight="1" x14ac:dyDescent="0.25">
      <c r="A108" s="163">
        <v>37726</v>
      </c>
      <c r="B108" s="116" t="s">
        <v>440</v>
      </c>
      <c r="C108" s="96">
        <v>28200</v>
      </c>
      <c r="D108" s="96">
        <v>0</v>
      </c>
      <c r="E108" s="96">
        <v>0</v>
      </c>
      <c r="F108" s="96">
        <v>0</v>
      </c>
      <c r="G108" s="186">
        <v>0</v>
      </c>
    </row>
    <row r="109" spans="1:7" ht="22.5" customHeight="1" x14ac:dyDescent="0.25">
      <c r="A109" s="163">
        <v>37727</v>
      </c>
      <c r="B109" s="116" t="s">
        <v>440</v>
      </c>
      <c r="C109" s="96">
        <v>28200</v>
      </c>
      <c r="D109" s="96">
        <v>0</v>
      </c>
      <c r="E109" s="96">
        <v>0</v>
      </c>
      <c r="F109" s="96">
        <v>0</v>
      </c>
      <c r="G109" s="186">
        <v>0</v>
      </c>
    </row>
    <row r="110" spans="1:7" ht="22.5" customHeight="1" x14ac:dyDescent="0.25">
      <c r="A110" s="163">
        <v>37728</v>
      </c>
      <c r="B110" s="116" t="s">
        <v>440</v>
      </c>
      <c r="C110" s="96">
        <v>28200</v>
      </c>
      <c r="D110" s="96">
        <v>0</v>
      </c>
      <c r="E110" s="96">
        <v>0</v>
      </c>
      <c r="F110" s="96">
        <v>0</v>
      </c>
      <c r="G110" s="186">
        <v>0</v>
      </c>
    </row>
    <row r="111" spans="1:7" ht="22.5" customHeight="1" x14ac:dyDescent="0.25">
      <c r="A111" s="163">
        <v>37729</v>
      </c>
      <c r="B111" s="116" t="s">
        <v>440</v>
      </c>
      <c r="C111" s="96">
        <v>28200</v>
      </c>
      <c r="D111" s="96">
        <v>0</v>
      </c>
      <c r="E111" s="96">
        <v>0</v>
      </c>
      <c r="F111" s="96">
        <v>0</v>
      </c>
      <c r="G111" s="186">
        <v>0</v>
      </c>
    </row>
    <row r="112" spans="1:7" ht="22.5" customHeight="1" x14ac:dyDescent="0.25">
      <c r="A112" s="163">
        <v>37730</v>
      </c>
      <c r="B112" s="116" t="s">
        <v>440</v>
      </c>
      <c r="C112" s="96">
        <v>28200</v>
      </c>
      <c r="D112" s="96">
        <v>0</v>
      </c>
      <c r="E112" s="96">
        <v>0</v>
      </c>
      <c r="F112" s="96">
        <v>0</v>
      </c>
      <c r="G112" s="186">
        <v>0</v>
      </c>
    </row>
    <row r="113" spans="1:7" ht="22.5" customHeight="1" x14ac:dyDescent="0.25">
      <c r="A113" s="163">
        <v>37731</v>
      </c>
      <c r="B113" s="116" t="s">
        <v>440</v>
      </c>
      <c r="C113" s="96">
        <v>28200</v>
      </c>
      <c r="D113" s="96">
        <v>0</v>
      </c>
      <c r="E113" s="96">
        <v>0</v>
      </c>
      <c r="F113" s="96">
        <v>0</v>
      </c>
      <c r="G113" s="186">
        <v>0</v>
      </c>
    </row>
    <row r="114" spans="1:7" ht="22.5" customHeight="1" x14ac:dyDescent="0.25">
      <c r="A114" s="163">
        <v>37732</v>
      </c>
      <c r="B114" s="116" t="s">
        <v>440</v>
      </c>
      <c r="C114" s="96">
        <v>28200</v>
      </c>
      <c r="D114" s="96">
        <v>0</v>
      </c>
      <c r="E114" s="96">
        <v>0</v>
      </c>
      <c r="F114" s="96">
        <v>0</v>
      </c>
      <c r="G114" s="186">
        <v>0</v>
      </c>
    </row>
    <row r="115" spans="1:7" ht="22.5" customHeight="1" x14ac:dyDescent="0.25">
      <c r="A115" s="163">
        <v>37733</v>
      </c>
      <c r="B115" s="116" t="s">
        <v>440</v>
      </c>
      <c r="C115" s="96">
        <v>28200</v>
      </c>
      <c r="D115" s="96">
        <v>0</v>
      </c>
      <c r="E115" s="96">
        <v>0</v>
      </c>
      <c r="F115" s="96">
        <v>0</v>
      </c>
      <c r="G115" s="186">
        <v>0</v>
      </c>
    </row>
    <row r="116" spans="1:7" ht="22.5" customHeight="1" x14ac:dyDescent="0.25">
      <c r="A116" s="163">
        <v>37734</v>
      </c>
      <c r="B116" s="116" t="s">
        <v>475</v>
      </c>
      <c r="C116" s="116">
        <v>28900</v>
      </c>
      <c r="D116" s="96">
        <v>0</v>
      </c>
      <c r="E116" s="96">
        <v>0</v>
      </c>
      <c r="F116" s="96">
        <v>0</v>
      </c>
      <c r="G116" s="186">
        <v>0</v>
      </c>
    </row>
    <row r="117" spans="1:7" ht="22.5" customHeight="1" x14ac:dyDescent="0.25">
      <c r="A117" s="163">
        <v>37735</v>
      </c>
      <c r="B117" s="116" t="s">
        <v>475</v>
      </c>
      <c r="C117" s="116">
        <v>28900</v>
      </c>
      <c r="D117" s="96">
        <v>0</v>
      </c>
      <c r="E117" s="96">
        <v>0</v>
      </c>
      <c r="F117" s="96">
        <v>0</v>
      </c>
      <c r="G117" s="186">
        <v>0</v>
      </c>
    </row>
    <row r="118" spans="1:7" ht="22.5" customHeight="1" x14ac:dyDescent="0.25">
      <c r="A118" s="163">
        <v>37736</v>
      </c>
      <c r="B118" s="116" t="s">
        <v>476</v>
      </c>
      <c r="C118" s="116">
        <v>28400</v>
      </c>
      <c r="D118" s="96">
        <v>0</v>
      </c>
      <c r="E118" s="96">
        <v>0</v>
      </c>
      <c r="F118" s="96">
        <v>0</v>
      </c>
      <c r="G118" s="186">
        <v>0</v>
      </c>
    </row>
    <row r="119" spans="1:7" ht="22.5" customHeight="1" x14ac:dyDescent="0.25">
      <c r="A119" s="163">
        <v>37737</v>
      </c>
      <c r="B119" s="116" t="s">
        <v>476</v>
      </c>
      <c r="C119" s="116">
        <v>28400</v>
      </c>
      <c r="D119" s="96">
        <v>8</v>
      </c>
      <c r="E119" s="96">
        <v>0</v>
      </c>
      <c r="F119" s="96">
        <v>10</v>
      </c>
      <c r="G119" s="186">
        <v>0</v>
      </c>
    </row>
    <row r="120" spans="1:7" ht="22.5" customHeight="1" x14ac:dyDescent="0.25">
      <c r="A120" s="163">
        <v>37738</v>
      </c>
      <c r="B120" s="116" t="s">
        <v>440</v>
      </c>
      <c r="C120" s="116">
        <v>28200</v>
      </c>
      <c r="D120" s="96">
        <v>8</v>
      </c>
      <c r="E120" s="96">
        <v>0</v>
      </c>
      <c r="F120" s="96">
        <v>10</v>
      </c>
      <c r="G120" s="186">
        <v>0</v>
      </c>
    </row>
    <row r="121" spans="1:7" ht="22.5" customHeight="1" x14ac:dyDescent="0.25">
      <c r="A121" s="163">
        <v>37739</v>
      </c>
      <c r="B121" s="116" t="s">
        <v>477</v>
      </c>
      <c r="C121" s="116" t="s">
        <v>1448</v>
      </c>
      <c r="D121" s="96">
        <v>8</v>
      </c>
      <c r="E121" s="96">
        <v>0</v>
      </c>
      <c r="F121" s="96">
        <v>10</v>
      </c>
      <c r="G121" s="186">
        <v>0</v>
      </c>
    </row>
    <row r="122" spans="1:7" ht="22.5" customHeight="1" x14ac:dyDescent="0.25">
      <c r="A122" s="163">
        <v>37740</v>
      </c>
      <c r="B122" s="116" t="s">
        <v>478</v>
      </c>
      <c r="C122" s="116">
        <v>27850</v>
      </c>
      <c r="D122" s="96">
        <v>4</v>
      </c>
      <c r="E122" s="96">
        <v>0</v>
      </c>
      <c r="F122" s="96">
        <v>6</v>
      </c>
      <c r="G122" s="186">
        <v>0</v>
      </c>
    </row>
    <row r="123" spans="1:7" ht="22.5" customHeight="1" x14ac:dyDescent="0.25">
      <c r="A123" s="163">
        <v>37741</v>
      </c>
      <c r="B123" s="116" t="s">
        <v>476</v>
      </c>
      <c r="C123" s="116">
        <v>28400</v>
      </c>
      <c r="D123" s="96">
        <v>4</v>
      </c>
      <c r="E123" s="96">
        <v>0</v>
      </c>
      <c r="F123" s="96">
        <v>6</v>
      </c>
      <c r="G123" s="186">
        <v>0</v>
      </c>
    </row>
    <row r="124" spans="1:7" ht="22.5" customHeight="1" x14ac:dyDescent="0.25">
      <c r="A124" s="163">
        <v>37742</v>
      </c>
      <c r="B124" s="116" t="s">
        <v>476</v>
      </c>
      <c r="C124" s="116">
        <v>28400</v>
      </c>
      <c r="D124" s="96">
        <v>4</v>
      </c>
      <c r="E124" s="96">
        <v>0</v>
      </c>
      <c r="F124" s="96">
        <v>6</v>
      </c>
      <c r="G124" s="186">
        <v>0</v>
      </c>
    </row>
    <row r="125" spans="1:7" ht="22.5" customHeight="1" x14ac:dyDescent="0.25">
      <c r="A125" s="163">
        <v>37743</v>
      </c>
      <c r="B125" s="116" t="s">
        <v>476</v>
      </c>
      <c r="C125" s="116">
        <v>28400</v>
      </c>
      <c r="D125" s="96">
        <v>4</v>
      </c>
      <c r="E125" s="96">
        <v>0</v>
      </c>
      <c r="F125" s="96">
        <v>6</v>
      </c>
      <c r="G125" s="186">
        <v>0</v>
      </c>
    </row>
    <row r="126" spans="1:7" ht="22.5" customHeight="1" x14ac:dyDescent="0.25">
      <c r="A126" s="163">
        <v>37744</v>
      </c>
      <c r="B126" s="116" t="s">
        <v>472</v>
      </c>
      <c r="C126" s="116" t="s">
        <v>784</v>
      </c>
      <c r="D126" s="96">
        <v>0</v>
      </c>
      <c r="E126" s="96">
        <v>0</v>
      </c>
      <c r="F126" s="96">
        <v>2</v>
      </c>
      <c r="G126" s="186">
        <v>0</v>
      </c>
    </row>
    <row r="127" spans="1:7" ht="22.5" customHeight="1" x14ac:dyDescent="0.25">
      <c r="A127" s="163">
        <v>37745</v>
      </c>
      <c r="B127" s="116" t="s">
        <v>472</v>
      </c>
      <c r="C127" s="116" t="s">
        <v>784</v>
      </c>
      <c r="D127" s="96">
        <v>2</v>
      </c>
      <c r="E127" s="96">
        <v>0</v>
      </c>
      <c r="F127" s="96">
        <v>10</v>
      </c>
      <c r="G127" s="186">
        <v>0</v>
      </c>
    </row>
    <row r="128" spans="1:7" ht="22.5" customHeight="1" x14ac:dyDescent="0.25">
      <c r="A128" s="163">
        <v>37746</v>
      </c>
      <c r="B128" s="116" t="s">
        <v>470</v>
      </c>
      <c r="C128" s="116" t="s">
        <v>781</v>
      </c>
      <c r="D128" s="96">
        <v>4</v>
      </c>
      <c r="E128" s="96">
        <v>0</v>
      </c>
      <c r="F128" s="96">
        <v>10</v>
      </c>
      <c r="G128" s="186">
        <v>0</v>
      </c>
    </row>
    <row r="129" spans="1:7" ht="22.5" customHeight="1" x14ac:dyDescent="0.25">
      <c r="A129" s="163">
        <v>37747</v>
      </c>
      <c r="B129" s="116" t="s">
        <v>472</v>
      </c>
      <c r="C129" s="116" t="s">
        <v>784</v>
      </c>
      <c r="D129" s="96">
        <v>7</v>
      </c>
      <c r="E129" s="96">
        <v>0</v>
      </c>
      <c r="F129" s="96">
        <v>10</v>
      </c>
      <c r="G129" s="186">
        <v>0</v>
      </c>
    </row>
    <row r="130" spans="1:7" ht="22.5" customHeight="1" x14ac:dyDescent="0.25">
      <c r="A130" s="163">
        <v>37748</v>
      </c>
      <c r="B130" s="116" t="s">
        <v>473</v>
      </c>
      <c r="C130" s="116" t="s">
        <v>1449</v>
      </c>
      <c r="D130" s="96">
        <v>7</v>
      </c>
      <c r="E130" s="96">
        <v>0</v>
      </c>
      <c r="F130" s="96">
        <v>10</v>
      </c>
      <c r="G130" s="186">
        <v>0</v>
      </c>
    </row>
    <row r="131" spans="1:7" ht="22.5" customHeight="1" x14ac:dyDescent="0.25">
      <c r="A131" s="163">
        <v>37749</v>
      </c>
      <c r="B131" s="116" t="s">
        <v>441</v>
      </c>
      <c r="C131" s="116" t="s">
        <v>1450</v>
      </c>
      <c r="D131" s="96">
        <v>7</v>
      </c>
      <c r="E131" s="96">
        <v>0</v>
      </c>
      <c r="F131" s="96">
        <v>10</v>
      </c>
      <c r="G131" s="186">
        <v>0</v>
      </c>
    </row>
    <row r="132" spans="1:7" ht="22.5" customHeight="1" x14ac:dyDescent="0.25">
      <c r="A132" s="163">
        <v>37750</v>
      </c>
      <c r="B132" s="116" t="s">
        <v>441</v>
      </c>
      <c r="C132" s="116" t="s">
        <v>1450</v>
      </c>
      <c r="D132" s="96">
        <v>9</v>
      </c>
      <c r="E132" s="96">
        <v>0</v>
      </c>
      <c r="F132" s="96">
        <v>10</v>
      </c>
      <c r="G132" s="186">
        <v>0</v>
      </c>
    </row>
    <row r="133" spans="1:7" ht="22.5" customHeight="1" x14ac:dyDescent="0.25">
      <c r="A133" s="163">
        <v>37751</v>
      </c>
      <c r="B133" s="116" t="s">
        <v>474</v>
      </c>
      <c r="C133" s="116" t="s">
        <v>1451</v>
      </c>
      <c r="D133" s="96">
        <v>9</v>
      </c>
      <c r="E133" s="96">
        <v>0</v>
      </c>
      <c r="F133" s="96">
        <v>10</v>
      </c>
      <c r="G133" s="186">
        <v>0</v>
      </c>
    </row>
    <row r="134" spans="1:7" ht="22.5" customHeight="1" x14ac:dyDescent="0.25">
      <c r="A134" s="163">
        <v>37752</v>
      </c>
      <c r="B134" s="116" t="s">
        <v>474</v>
      </c>
      <c r="C134" s="116" t="s">
        <v>1451</v>
      </c>
      <c r="D134" s="96">
        <v>6</v>
      </c>
      <c r="E134" s="96">
        <v>0</v>
      </c>
      <c r="F134" s="96">
        <v>10</v>
      </c>
      <c r="G134" s="186">
        <v>0</v>
      </c>
    </row>
    <row r="135" spans="1:7" ht="22.5" customHeight="1" x14ac:dyDescent="0.25">
      <c r="A135" s="163">
        <v>37753</v>
      </c>
      <c r="B135" s="116" t="s">
        <v>476</v>
      </c>
      <c r="C135" s="116" t="s">
        <v>1452</v>
      </c>
      <c r="D135" s="96">
        <v>6</v>
      </c>
      <c r="E135" s="96">
        <v>0</v>
      </c>
      <c r="F135" s="96">
        <v>10</v>
      </c>
      <c r="G135" s="186">
        <v>0</v>
      </c>
    </row>
    <row r="136" spans="1:7" ht="22.5" customHeight="1" x14ac:dyDescent="0.25">
      <c r="A136" s="163">
        <v>37754</v>
      </c>
      <c r="B136" s="116" t="s">
        <v>440</v>
      </c>
      <c r="C136" s="116" t="s">
        <v>1453</v>
      </c>
      <c r="D136" s="96">
        <v>6</v>
      </c>
      <c r="E136" s="96">
        <v>0</v>
      </c>
      <c r="F136" s="96">
        <v>10</v>
      </c>
      <c r="G136" s="186">
        <v>0</v>
      </c>
    </row>
    <row r="137" spans="1:7" ht="22.5" customHeight="1" x14ac:dyDescent="0.25">
      <c r="A137" s="163">
        <v>37755</v>
      </c>
      <c r="B137" s="116" t="s">
        <v>477</v>
      </c>
      <c r="C137" s="116" t="s">
        <v>1448</v>
      </c>
      <c r="D137" s="96">
        <v>0</v>
      </c>
      <c r="E137" s="96">
        <v>0</v>
      </c>
      <c r="F137" s="96">
        <v>6</v>
      </c>
      <c r="G137" s="186">
        <v>0</v>
      </c>
    </row>
    <row r="138" spans="1:7" ht="22.5" customHeight="1" x14ac:dyDescent="0.25">
      <c r="A138" s="163">
        <v>37756</v>
      </c>
      <c r="B138" s="116" t="s">
        <v>478</v>
      </c>
      <c r="C138" s="116" t="s">
        <v>1454</v>
      </c>
      <c r="D138" s="96">
        <v>3</v>
      </c>
      <c r="E138" s="96">
        <v>0</v>
      </c>
      <c r="F138" s="96">
        <v>6</v>
      </c>
      <c r="G138" s="186">
        <v>0</v>
      </c>
    </row>
    <row r="139" spans="1:7" ht="22.5" customHeight="1" x14ac:dyDescent="0.25">
      <c r="A139" s="163">
        <v>37757</v>
      </c>
      <c r="B139" s="116" t="s">
        <v>439</v>
      </c>
      <c r="C139" s="96" t="s">
        <v>1455</v>
      </c>
      <c r="D139" s="96">
        <v>3</v>
      </c>
      <c r="E139" s="96">
        <v>0</v>
      </c>
      <c r="F139" s="96">
        <v>6</v>
      </c>
      <c r="G139" s="186">
        <v>0</v>
      </c>
    </row>
    <row r="140" spans="1:7" ht="22.5" customHeight="1" x14ac:dyDescent="0.25">
      <c r="A140" s="163">
        <v>37758</v>
      </c>
      <c r="B140" s="116" t="s">
        <v>538</v>
      </c>
      <c r="C140" s="96">
        <v>27000</v>
      </c>
      <c r="D140" s="96">
        <v>3</v>
      </c>
      <c r="E140" s="96">
        <v>0</v>
      </c>
      <c r="F140" s="96">
        <v>6</v>
      </c>
      <c r="G140" s="186">
        <v>0</v>
      </c>
    </row>
    <row r="141" spans="1:7" ht="22.5" customHeight="1" x14ac:dyDescent="0.25">
      <c r="A141" s="163">
        <v>37759</v>
      </c>
      <c r="B141" s="116" t="s">
        <v>538</v>
      </c>
      <c r="C141" s="96">
        <v>27000</v>
      </c>
      <c r="D141" s="96">
        <v>0</v>
      </c>
      <c r="E141" s="96">
        <v>0</v>
      </c>
      <c r="F141" s="96">
        <v>0</v>
      </c>
      <c r="G141" s="186">
        <v>0</v>
      </c>
    </row>
    <row r="142" spans="1:7" ht="22.5" customHeight="1" x14ac:dyDescent="0.25">
      <c r="A142" s="163">
        <v>37760</v>
      </c>
      <c r="B142" s="116" t="s">
        <v>538</v>
      </c>
      <c r="C142" s="96">
        <v>27000</v>
      </c>
      <c r="D142" s="96">
        <v>0</v>
      </c>
      <c r="E142" s="96">
        <v>0</v>
      </c>
      <c r="F142" s="96">
        <v>0</v>
      </c>
      <c r="G142" s="186">
        <v>0</v>
      </c>
    </row>
    <row r="143" spans="1:7" ht="22.5" customHeight="1" x14ac:dyDescent="0.25">
      <c r="A143" s="163">
        <v>37761</v>
      </c>
      <c r="B143" s="116" t="s">
        <v>538</v>
      </c>
      <c r="C143" s="96">
        <v>27000</v>
      </c>
      <c r="D143" s="96">
        <v>8</v>
      </c>
      <c r="E143" s="96">
        <v>0</v>
      </c>
      <c r="F143" s="96">
        <v>10</v>
      </c>
      <c r="G143" s="186">
        <v>0</v>
      </c>
    </row>
    <row r="144" spans="1:7" ht="22.5" customHeight="1" x14ac:dyDescent="0.25">
      <c r="A144" s="163">
        <v>37762</v>
      </c>
      <c r="B144" s="116" t="s">
        <v>480</v>
      </c>
      <c r="C144" s="96" t="s">
        <v>1456</v>
      </c>
      <c r="D144" s="96">
        <v>9</v>
      </c>
      <c r="E144" s="96">
        <v>0</v>
      </c>
      <c r="F144" s="96">
        <v>10</v>
      </c>
      <c r="G144" s="186">
        <v>0</v>
      </c>
    </row>
    <row r="145" spans="1:7" ht="22.5" customHeight="1" x14ac:dyDescent="0.25">
      <c r="A145" s="163">
        <v>37763</v>
      </c>
      <c r="B145" s="116" t="s">
        <v>438</v>
      </c>
      <c r="C145" s="96" t="s">
        <v>1457</v>
      </c>
      <c r="D145" s="96">
        <v>9</v>
      </c>
      <c r="E145" s="96">
        <v>0</v>
      </c>
      <c r="F145" s="96">
        <v>10</v>
      </c>
      <c r="G145" s="186">
        <v>0</v>
      </c>
    </row>
    <row r="146" spans="1:7" ht="22.5" customHeight="1" x14ac:dyDescent="0.25">
      <c r="A146" s="163">
        <v>37764</v>
      </c>
      <c r="B146" s="116" t="s">
        <v>721</v>
      </c>
      <c r="C146" s="116" t="s">
        <v>795</v>
      </c>
      <c r="D146" s="96">
        <v>9</v>
      </c>
      <c r="E146" s="96">
        <v>0</v>
      </c>
      <c r="F146" s="96">
        <v>10</v>
      </c>
      <c r="G146" s="186">
        <v>0</v>
      </c>
    </row>
    <row r="147" spans="1:7" ht="22.5" customHeight="1" x14ac:dyDescent="0.25">
      <c r="A147" s="163">
        <v>37765</v>
      </c>
      <c r="B147" s="116" t="s">
        <v>540</v>
      </c>
      <c r="C147" s="116" t="s">
        <v>1458</v>
      </c>
      <c r="D147" s="96">
        <v>8</v>
      </c>
      <c r="E147" s="96">
        <v>0</v>
      </c>
      <c r="F147" s="96">
        <v>10</v>
      </c>
      <c r="G147" s="186">
        <v>0</v>
      </c>
    </row>
    <row r="148" spans="1:7" ht="22.5" customHeight="1" x14ac:dyDescent="0.25">
      <c r="A148" s="163">
        <v>37766</v>
      </c>
      <c r="B148" s="116" t="s">
        <v>722</v>
      </c>
      <c r="C148" s="116" t="s">
        <v>1458</v>
      </c>
      <c r="D148" s="96">
        <v>0</v>
      </c>
      <c r="E148" s="96">
        <v>0</v>
      </c>
      <c r="F148" s="96">
        <v>0</v>
      </c>
      <c r="G148" s="186">
        <v>0</v>
      </c>
    </row>
    <row r="149" spans="1:7" ht="22.5" customHeight="1" x14ac:dyDescent="0.25">
      <c r="A149" s="163">
        <v>37767</v>
      </c>
      <c r="B149" s="116" t="s">
        <v>722</v>
      </c>
      <c r="C149" s="116" t="s">
        <v>1458</v>
      </c>
      <c r="D149" s="96">
        <v>0</v>
      </c>
      <c r="E149" s="96">
        <v>0</v>
      </c>
      <c r="F149" s="96">
        <v>0</v>
      </c>
      <c r="G149" s="186">
        <v>0</v>
      </c>
    </row>
    <row r="150" spans="1:7" ht="22.5" customHeight="1" x14ac:dyDescent="0.25">
      <c r="A150" s="163">
        <v>37768</v>
      </c>
      <c r="B150" s="116" t="s">
        <v>722</v>
      </c>
      <c r="C150" s="116" t="s">
        <v>1458</v>
      </c>
      <c r="D150" s="96">
        <v>0</v>
      </c>
      <c r="E150" s="96">
        <v>0</v>
      </c>
      <c r="F150" s="96">
        <v>0</v>
      </c>
      <c r="G150" s="186">
        <v>0</v>
      </c>
    </row>
    <row r="151" spans="1:7" ht="22.5" customHeight="1" x14ac:dyDescent="0.25">
      <c r="A151" s="163">
        <v>37769</v>
      </c>
      <c r="B151" s="116" t="s">
        <v>722</v>
      </c>
      <c r="C151" s="116" t="s">
        <v>1458</v>
      </c>
      <c r="D151" s="96">
        <v>0</v>
      </c>
      <c r="E151" s="96">
        <v>0</v>
      </c>
      <c r="F151" s="96">
        <v>0</v>
      </c>
      <c r="G151" s="186">
        <v>0</v>
      </c>
    </row>
    <row r="152" spans="1:7" ht="22.5" customHeight="1" x14ac:dyDescent="0.25">
      <c r="A152" s="163">
        <v>37770</v>
      </c>
      <c r="B152" s="116" t="s">
        <v>722</v>
      </c>
      <c r="C152" s="116" t="s">
        <v>1458</v>
      </c>
      <c r="D152" s="96">
        <v>9</v>
      </c>
      <c r="E152" s="96">
        <v>0</v>
      </c>
      <c r="F152" s="96">
        <v>0</v>
      </c>
      <c r="G152" s="186">
        <v>0</v>
      </c>
    </row>
    <row r="153" spans="1:7" ht="22.5" customHeight="1" x14ac:dyDescent="0.25">
      <c r="A153" s="163">
        <v>37771</v>
      </c>
      <c r="B153" s="116" t="s">
        <v>482</v>
      </c>
      <c r="C153" s="116">
        <v>25500</v>
      </c>
      <c r="D153" s="96">
        <v>10</v>
      </c>
      <c r="E153" s="96">
        <v>0</v>
      </c>
      <c r="F153" s="96">
        <v>11</v>
      </c>
      <c r="G153" s="186">
        <v>0</v>
      </c>
    </row>
    <row r="154" spans="1:7" ht="22.5" customHeight="1" x14ac:dyDescent="0.25">
      <c r="A154" s="163">
        <v>37772</v>
      </c>
      <c r="B154" s="116" t="s">
        <v>1447</v>
      </c>
      <c r="C154" s="116">
        <v>25300</v>
      </c>
      <c r="D154" s="96">
        <v>10</v>
      </c>
      <c r="E154" s="96">
        <v>0</v>
      </c>
      <c r="F154" s="96">
        <v>11</v>
      </c>
      <c r="G154" s="186">
        <v>0</v>
      </c>
    </row>
    <row r="155" spans="1:7" ht="22.5" customHeight="1" x14ac:dyDescent="0.25">
      <c r="A155" s="163">
        <v>37773</v>
      </c>
      <c r="B155" s="116" t="s">
        <v>484</v>
      </c>
      <c r="C155" s="96">
        <v>25000</v>
      </c>
      <c r="D155" s="96">
        <v>0</v>
      </c>
      <c r="E155" s="96">
        <v>0</v>
      </c>
      <c r="F155" s="96">
        <v>12</v>
      </c>
      <c r="G155" s="186">
        <v>0</v>
      </c>
    </row>
    <row r="156" spans="1:7" ht="22.5" customHeight="1" x14ac:dyDescent="0.25">
      <c r="A156" s="163">
        <v>37774</v>
      </c>
      <c r="B156" s="116" t="s">
        <v>345</v>
      </c>
      <c r="C156" s="116">
        <v>24000</v>
      </c>
      <c r="D156" s="96">
        <v>10</v>
      </c>
      <c r="E156" s="96">
        <v>0</v>
      </c>
      <c r="F156" s="96">
        <v>12</v>
      </c>
      <c r="G156" s="186">
        <v>0</v>
      </c>
    </row>
    <row r="157" spans="1:7" ht="22.5" customHeight="1" x14ac:dyDescent="0.25">
      <c r="A157" s="163">
        <v>37775</v>
      </c>
      <c r="B157" s="116" t="s">
        <v>348</v>
      </c>
      <c r="C157" s="116" t="s">
        <v>1459</v>
      </c>
      <c r="D157" s="96">
        <v>10</v>
      </c>
      <c r="E157" s="96">
        <v>0</v>
      </c>
      <c r="F157" s="96">
        <v>12</v>
      </c>
      <c r="G157" s="186">
        <v>0</v>
      </c>
    </row>
    <row r="158" spans="1:7" ht="22.5" customHeight="1" x14ac:dyDescent="0.25">
      <c r="A158" s="163">
        <v>37776</v>
      </c>
      <c r="B158" s="116" t="s">
        <v>348</v>
      </c>
      <c r="C158" s="116" t="s">
        <v>1459</v>
      </c>
      <c r="D158" s="96">
        <v>0</v>
      </c>
      <c r="E158" s="96">
        <v>0</v>
      </c>
      <c r="F158" s="96">
        <v>0</v>
      </c>
      <c r="G158" s="186">
        <v>0</v>
      </c>
    </row>
    <row r="159" spans="1:7" ht="22.5" customHeight="1" x14ac:dyDescent="0.25">
      <c r="A159" s="163">
        <v>37777</v>
      </c>
      <c r="B159" s="116" t="s">
        <v>349</v>
      </c>
      <c r="C159" s="116">
        <v>23470</v>
      </c>
      <c r="D159" s="96">
        <v>0</v>
      </c>
      <c r="E159" s="96">
        <v>0</v>
      </c>
      <c r="F159" s="96">
        <v>0</v>
      </c>
      <c r="G159" s="186">
        <v>0</v>
      </c>
    </row>
    <row r="160" spans="1:7" ht="22.5" customHeight="1" x14ac:dyDescent="0.25">
      <c r="A160" s="163">
        <v>37778</v>
      </c>
      <c r="B160" s="116" t="s">
        <v>349</v>
      </c>
      <c r="C160" s="116">
        <v>23470</v>
      </c>
      <c r="D160" s="96">
        <v>0</v>
      </c>
      <c r="E160" s="96">
        <v>0</v>
      </c>
      <c r="F160" s="96">
        <v>0</v>
      </c>
      <c r="G160" s="186">
        <v>0</v>
      </c>
    </row>
    <row r="161" spans="1:7" ht="22.5" customHeight="1" x14ac:dyDescent="0.25">
      <c r="A161" s="163">
        <v>37779</v>
      </c>
      <c r="B161" s="116" t="s">
        <v>349</v>
      </c>
      <c r="C161" s="116">
        <v>23470</v>
      </c>
      <c r="D161" s="96">
        <v>12</v>
      </c>
      <c r="E161" s="96">
        <v>0</v>
      </c>
      <c r="F161" s="96">
        <v>12</v>
      </c>
      <c r="G161" s="186">
        <v>0</v>
      </c>
    </row>
    <row r="162" spans="1:7" ht="22.5" customHeight="1" x14ac:dyDescent="0.25">
      <c r="A162" s="163">
        <v>37780</v>
      </c>
      <c r="B162" s="116" t="s">
        <v>1460</v>
      </c>
      <c r="C162" s="116" t="s">
        <v>1465</v>
      </c>
      <c r="D162" s="96">
        <v>10</v>
      </c>
      <c r="E162" s="96">
        <v>0</v>
      </c>
      <c r="F162" s="96">
        <v>12</v>
      </c>
      <c r="G162" s="186">
        <v>0</v>
      </c>
    </row>
    <row r="163" spans="1:7" ht="22.5" customHeight="1" x14ac:dyDescent="0.25">
      <c r="A163" s="163">
        <v>37781</v>
      </c>
      <c r="B163" s="116" t="s">
        <v>344</v>
      </c>
      <c r="C163" s="116" t="s">
        <v>1412</v>
      </c>
      <c r="D163" s="96">
        <v>10</v>
      </c>
      <c r="E163" s="96">
        <v>0</v>
      </c>
      <c r="F163" s="96">
        <v>12</v>
      </c>
      <c r="G163" s="186">
        <v>0</v>
      </c>
    </row>
    <row r="164" spans="1:7" ht="22.5" customHeight="1" x14ac:dyDescent="0.25">
      <c r="A164" s="163">
        <v>37782</v>
      </c>
      <c r="B164" s="116" t="s">
        <v>488</v>
      </c>
      <c r="C164" s="116" t="s">
        <v>1405</v>
      </c>
      <c r="D164" s="96">
        <v>10</v>
      </c>
      <c r="E164" s="96">
        <v>0</v>
      </c>
      <c r="F164" s="96">
        <v>12</v>
      </c>
      <c r="G164" s="186">
        <v>0</v>
      </c>
    </row>
    <row r="165" spans="1:7" ht="22.5" customHeight="1" x14ac:dyDescent="0.25">
      <c r="A165" s="163">
        <v>37783</v>
      </c>
      <c r="B165" s="116" t="s">
        <v>1461</v>
      </c>
      <c r="C165" s="96">
        <v>21625</v>
      </c>
      <c r="D165" s="96">
        <v>10</v>
      </c>
      <c r="E165" s="96">
        <v>0</v>
      </c>
      <c r="F165" s="96">
        <v>12</v>
      </c>
      <c r="G165" s="186">
        <v>0</v>
      </c>
    </row>
    <row r="166" spans="1:7" ht="22.5" customHeight="1" x14ac:dyDescent="0.25">
      <c r="A166" s="163">
        <v>37784</v>
      </c>
      <c r="B166" s="116" t="s">
        <v>358</v>
      </c>
      <c r="C166" s="96" t="s">
        <v>1235</v>
      </c>
      <c r="D166" s="96">
        <v>0</v>
      </c>
      <c r="E166" s="96">
        <v>0</v>
      </c>
      <c r="F166" s="96">
        <v>9</v>
      </c>
      <c r="G166" s="186">
        <v>0</v>
      </c>
    </row>
    <row r="167" spans="1:7" ht="22.5" customHeight="1" x14ac:dyDescent="0.25">
      <c r="A167" s="163">
        <v>37785</v>
      </c>
      <c r="B167" s="116" t="s">
        <v>542</v>
      </c>
      <c r="C167" s="116" t="s">
        <v>1234</v>
      </c>
      <c r="D167" s="96">
        <v>0</v>
      </c>
      <c r="E167" s="96">
        <v>0</v>
      </c>
      <c r="F167" s="96">
        <v>0</v>
      </c>
      <c r="G167" s="186">
        <v>0</v>
      </c>
    </row>
    <row r="168" spans="1:7" ht="22.5" customHeight="1" x14ac:dyDescent="0.25">
      <c r="A168" s="163">
        <v>37786</v>
      </c>
      <c r="B168" s="116" t="s">
        <v>542</v>
      </c>
      <c r="C168" s="116" t="s">
        <v>1234</v>
      </c>
      <c r="D168" s="96">
        <v>0</v>
      </c>
      <c r="E168" s="96">
        <v>0</v>
      </c>
      <c r="F168" s="96">
        <v>0</v>
      </c>
      <c r="G168" s="186">
        <v>0</v>
      </c>
    </row>
    <row r="169" spans="1:7" ht="22.5" customHeight="1" x14ac:dyDescent="0.25">
      <c r="A169" s="163">
        <v>37787</v>
      </c>
      <c r="B169" s="116" t="s">
        <v>360</v>
      </c>
      <c r="C169" s="116" t="s">
        <v>1239</v>
      </c>
      <c r="D169" s="96">
        <v>0</v>
      </c>
      <c r="E169" s="96">
        <v>0</v>
      </c>
      <c r="F169" s="96">
        <v>0</v>
      </c>
      <c r="G169" s="186">
        <v>0</v>
      </c>
    </row>
    <row r="170" spans="1:7" ht="22.5" customHeight="1" x14ac:dyDescent="0.25">
      <c r="A170" s="163">
        <v>37788</v>
      </c>
      <c r="B170" s="116" t="s">
        <v>360</v>
      </c>
      <c r="C170" s="116" t="s">
        <v>1239</v>
      </c>
      <c r="D170" s="96">
        <v>0</v>
      </c>
      <c r="E170" s="96">
        <v>0</v>
      </c>
      <c r="F170" s="96">
        <v>0</v>
      </c>
      <c r="G170" s="186">
        <v>0</v>
      </c>
    </row>
    <row r="171" spans="1:7" ht="22.5" customHeight="1" x14ac:dyDescent="0.25">
      <c r="A171" s="163">
        <v>37789</v>
      </c>
      <c r="B171" s="116" t="s">
        <v>361</v>
      </c>
      <c r="C171" s="116" t="s">
        <v>1233</v>
      </c>
      <c r="D171" s="96">
        <v>10</v>
      </c>
      <c r="E171" s="96">
        <v>0</v>
      </c>
      <c r="F171" s="96">
        <v>11</v>
      </c>
      <c r="G171" s="186">
        <v>0</v>
      </c>
    </row>
    <row r="172" spans="1:7" ht="22.5" customHeight="1" x14ac:dyDescent="0.25">
      <c r="A172" s="163">
        <v>37790</v>
      </c>
      <c r="B172" s="116" t="s">
        <v>1462</v>
      </c>
      <c r="C172" s="116" t="s">
        <v>1466</v>
      </c>
      <c r="D172" s="96">
        <v>10</v>
      </c>
      <c r="E172" s="96">
        <v>0</v>
      </c>
      <c r="F172" s="96">
        <v>12</v>
      </c>
      <c r="G172" s="186">
        <v>0</v>
      </c>
    </row>
    <row r="173" spans="1:7" ht="22.5" customHeight="1" x14ac:dyDescent="0.25">
      <c r="A173" s="163">
        <v>37791</v>
      </c>
      <c r="B173" s="116" t="s">
        <v>551</v>
      </c>
      <c r="C173" s="116" t="s">
        <v>1244</v>
      </c>
      <c r="D173" s="96">
        <v>10</v>
      </c>
      <c r="E173" s="96">
        <v>0</v>
      </c>
      <c r="F173" s="96">
        <v>12</v>
      </c>
      <c r="G173" s="186">
        <v>0</v>
      </c>
    </row>
    <row r="174" spans="1:7" ht="22.5" customHeight="1" x14ac:dyDescent="0.25">
      <c r="A174" s="163">
        <v>37792</v>
      </c>
      <c r="B174" s="116" t="s">
        <v>491</v>
      </c>
      <c r="C174" s="116" t="s">
        <v>1232</v>
      </c>
      <c r="D174" s="96">
        <v>10</v>
      </c>
      <c r="E174" s="96">
        <v>0</v>
      </c>
      <c r="F174" s="96">
        <v>12</v>
      </c>
      <c r="G174" s="186">
        <v>0</v>
      </c>
    </row>
    <row r="175" spans="1:7" ht="22.5" customHeight="1" x14ac:dyDescent="0.25">
      <c r="A175" s="163">
        <v>37793</v>
      </c>
      <c r="B175" s="116" t="s">
        <v>436</v>
      </c>
      <c r="C175" s="116" t="s">
        <v>1254</v>
      </c>
      <c r="D175" s="96">
        <v>10</v>
      </c>
      <c r="E175" s="96">
        <v>0</v>
      </c>
      <c r="F175" s="96">
        <v>12</v>
      </c>
      <c r="G175" s="186">
        <v>0</v>
      </c>
    </row>
    <row r="176" spans="1:7" ht="22.5" customHeight="1" x14ac:dyDescent="0.25">
      <c r="A176" s="163">
        <v>37794</v>
      </c>
      <c r="B176" s="116" t="s">
        <v>492</v>
      </c>
      <c r="C176" s="116" t="s">
        <v>1255</v>
      </c>
      <c r="D176" s="96">
        <v>0</v>
      </c>
      <c r="E176" s="96">
        <v>0</v>
      </c>
      <c r="F176" s="96">
        <v>12</v>
      </c>
      <c r="G176" s="186">
        <v>0</v>
      </c>
    </row>
    <row r="177" spans="1:7" ht="22.5" customHeight="1" x14ac:dyDescent="0.25">
      <c r="A177" s="163">
        <v>37795</v>
      </c>
      <c r="B177" s="116" t="s">
        <v>1463</v>
      </c>
      <c r="C177" s="116" t="s">
        <v>1467</v>
      </c>
      <c r="D177" s="96">
        <v>0</v>
      </c>
      <c r="E177" s="96">
        <v>0</v>
      </c>
      <c r="F177" s="96">
        <v>0</v>
      </c>
      <c r="G177" s="186">
        <v>0</v>
      </c>
    </row>
    <row r="178" spans="1:7" ht="22.5" customHeight="1" x14ac:dyDescent="0.25">
      <c r="A178" s="163">
        <v>37796</v>
      </c>
      <c r="B178" s="116" t="s">
        <v>1464</v>
      </c>
      <c r="C178" s="116" t="s">
        <v>1468</v>
      </c>
      <c r="D178" s="96">
        <v>0</v>
      </c>
      <c r="E178" s="96">
        <v>0</v>
      </c>
      <c r="F178" s="96">
        <v>0</v>
      </c>
      <c r="G178" s="186">
        <v>0</v>
      </c>
    </row>
    <row r="179" spans="1:7" ht="22.5" customHeight="1" x14ac:dyDescent="0.25">
      <c r="A179" s="163">
        <v>37797</v>
      </c>
      <c r="B179" s="116" t="s">
        <v>1464</v>
      </c>
      <c r="C179" s="116" t="s">
        <v>1468</v>
      </c>
      <c r="D179" s="96">
        <v>0</v>
      </c>
      <c r="E179" s="96">
        <v>0</v>
      </c>
      <c r="F179" s="96">
        <v>0</v>
      </c>
      <c r="G179" s="186">
        <v>0</v>
      </c>
    </row>
    <row r="180" spans="1:7" ht="22.5" customHeight="1" x14ac:dyDescent="0.25">
      <c r="A180" s="163">
        <v>37798</v>
      </c>
      <c r="B180" s="116" t="s">
        <v>495</v>
      </c>
      <c r="C180" s="116" t="s">
        <v>1231</v>
      </c>
      <c r="D180" s="96">
        <v>0</v>
      </c>
      <c r="E180" s="96">
        <v>0</v>
      </c>
      <c r="F180" s="96">
        <v>0</v>
      </c>
      <c r="G180" s="186">
        <v>0</v>
      </c>
    </row>
    <row r="181" spans="1:7" ht="22.5" customHeight="1" x14ac:dyDescent="0.25">
      <c r="A181" s="163">
        <v>37799</v>
      </c>
      <c r="B181" s="116" t="s">
        <v>495</v>
      </c>
      <c r="C181" s="116" t="s">
        <v>1231</v>
      </c>
      <c r="D181" s="96">
        <v>0</v>
      </c>
      <c r="E181" s="96">
        <v>0</v>
      </c>
      <c r="F181" s="96">
        <v>0</v>
      </c>
      <c r="G181" s="186">
        <v>0</v>
      </c>
    </row>
    <row r="182" spans="1:7" ht="22.5" customHeight="1" x14ac:dyDescent="0.25">
      <c r="A182" s="163">
        <v>37800</v>
      </c>
      <c r="B182" s="116" t="s">
        <v>495</v>
      </c>
      <c r="C182" s="116" t="s">
        <v>1231</v>
      </c>
      <c r="D182" s="96">
        <v>0</v>
      </c>
      <c r="E182" s="96">
        <v>0</v>
      </c>
      <c r="F182" s="96">
        <v>0</v>
      </c>
      <c r="G182" s="186">
        <v>0</v>
      </c>
    </row>
    <row r="183" spans="1:7" ht="22.5" customHeight="1" x14ac:dyDescent="0.25">
      <c r="A183" s="163">
        <v>37801</v>
      </c>
      <c r="B183" s="116" t="s">
        <v>341</v>
      </c>
      <c r="C183" s="116" t="s">
        <v>1258</v>
      </c>
      <c r="D183" s="96">
        <v>12</v>
      </c>
      <c r="E183" s="96">
        <v>0</v>
      </c>
      <c r="F183" s="96">
        <v>12</v>
      </c>
      <c r="G183" s="186">
        <v>0</v>
      </c>
    </row>
    <row r="184" spans="1:7" ht="22.5" customHeight="1" x14ac:dyDescent="0.25">
      <c r="A184" s="163">
        <v>37802</v>
      </c>
      <c r="B184" s="116" t="s">
        <v>340</v>
      </c>
      <c r="C184" s="116" t="s">
        <v>1259</v>
      </c>
      <c r="D184" s="96">
        <v>11</v>
      </c>
      <c r="E184" s="96">
        <v>0</v>
      </c>
      <c r="F184" s="96">
        <v>12</v>
      </c>
      <c r="G184" s="186">
        <v>0</v>
      </c>
    </row>
    <row r="185" spans="1:7" ht="22.5" customHeight="1" x14ac:dyDescent="0.25">
      <c r="A185" s="163">
        <v>37803</v>
      </c>
      <c r="B185" s="116" t="s">
        <v>555</v>
      </c>
      <c r="C185" s="116" t="s">
        <v>980</v>
      </c>
      <c r="D185" s="96">
        <v>11</v>
      </c>
      <c r="E185" s="96">
        <v>0</v>
      </c>
      <c r="F185" s="96">
        <v>12</v>
      </c>
      <c r="G185" s="186">
        <v>0</v>
      </c>
    </row>
    <row r="186" spans="1:7" ht="22.5" customHeight="1" x14ac:dyDescent="0.25">
      <c r="A186" s="163">
        <v>37804</v>
      </c>
      <c r="B186" s="116" t="s">
        <v>338</v>
      </c>
      <c r="C186" s="116">
        <v>17500</v>
      </c>
      <c r="D186" s="96">
        <v>10</v>
      </c>
      <c r="E186" s="96">
        <v>0</v>
      </c>
      <c r="F186" s="96">
        <v>12</v>
      </c>
      <c r="G186" s="186">
        <v>0</v>
      </c>
    </row>
    <row r="187" spans="1:7" ht="22.5" customHeight="1" x14ac:dyDescent="0.25">
      <c r="A187" s="163">
        <v>37805</v>
      </c>
      <c r="B187" s="116" t="s">
        <v>497</v>
      </c>
      <c r="C187" s="116" t="s">
        <v>978</v>
      </c>
      <c r="D187" s="96">
        <v>10</v>
      </c>
      <c r="E187" s="96">
        <v>0</v>
      </c>
      <c r="F187" s="96">
        <v>12</v>
      </c>
      <c r="G187" s="186">
        <v>0</v>
      </c>
    </row>
    <row r="188" spans="1:7" ht="22.5" customHeight="1" x14ac:dyDescent="0.25">
      <c r="A188" s="163">
        <v>37806</v>
      </c>
      <c r="B188" s="116" t="s">
        <v>514</v>
      </c>
      <c r="C188" s="116" t="s">
        <v>979</v>
      </c>
      <c r="D188" s="96">
        <v>0</v>
      </c>
      <c r="E188" s="96">
        <v>0</v>
      </c>
      <c r="F188" s="96">
        <v>12</v>
      </c>
      <c r="G188" s="186">
        <v>0</v>
      </c>
    </row>
    <row r="189" spans="1:7" ht="22.5" customHeight="1" x14ac:dyDescent="0.25">
      <c r="A189" s="163">
        <v>37807</v>
      </c>
      <c r="B189" s="116" t="s">
        <v>498</v>
      </c>
      <c r="C189" s="116">
        <v>17000</v>
      </c>
      <c r="D189" s="96">
        <v>0</v>
      </c>
      <c r="E189" s="96">
        <v>0</v>
      </c>
      <c r="F189" s="96">
        <v>12</v>
      </c>
      <c r="G189" s="186">
        <v>0</v>
      </c>
    </row>
    <row r="190" spans="1:7" ht="22.5" customHeight="1" x14ac:dyDescent="0.25">
      <c r="A190" s="163">
        <v>37808</v>
      </c>
      <c r="B190" s="116" t="s">
        <v>499</v>
      </c>
      <c r="C190" s="116">
        <v>16900</v>
      </c>
      <c r="D190" s="96">
        <v>0</v>
      </c>
      <c r="E190" s="96">
        <v>0</v>
      </c>
      <c r="F190" s="96">
        <v>0</v>
      </c>
      <c r="G190" s="186">
        <v>0</v>
      </c>
    </row>
    <row r="191" spans="1:7" ht="22.5" customHeight="1" x14ac:dyDescent="0.25">
      <c r="A191" s="163">
        <v>37809</v>
      </c>
      <c r="B191" s="116" t="s">
        <v>499</v>
      </c>
      <c r="C191" s="116">
        <v>16900</v>
      </c>
      <c r="D191" s="96">
        <v>0</v>
      </c>
      <c r="E191" s="96">
        <v>0</v>
      </c>
      <c r="F191" s="96">
        <v>0</v>
      </c>
      <c r="G191" s="186">
        <v>0</v>
      </c>
    </row>
    <row r="192" spans="1:7" ht="22.5" customHeight="1" x14ac:dyDescent="0.25">
      <c r="A192" s="163">
        <v>37810</v>
      </c>
      <c r="B192" s="116" t="s">
        <v>499</v>
      </c>
      <c r="C192" s="116">
        <v>16900</v>
      </c>
      <c r="D192" s="96">
        <v>0</v>
      </c>
      <c r="E192" s="96">
        <v>0</v>
      </c>
      <c r="F192" s="96">
        <v>0</v>
      </c>
      <c r="G192" s="186">
        <v>0</v>
      </c>
    </row>
    <row r="193" spans="1:7" ht="22.5" customHeight="1" x14ac:dyDescent="0.25">
      <c r="A193" s="163">
        <v>37811</v>
      </c>
      <c r="B193" s="116" t="s">
        <v>517</v>
      </c>
      <c r="C193" s="116" t="s">
        <v>1413</v>
      </c>
      <c r="D193" s="96">
        <v>0</v>
      </c>
      <c r="E193" s="96">
        <v>0</v>
      </c>
      <c r="F193" s="96">
        <v>0</v>
      </c>
      <c r="G193" s="186">
        <v>0</v>
      </c>
    </row>
    <row r="194" spans="1:7" ht="22.5" customHeight="1" x14ac:dyDescent="0.25">
      <c r="A194" s="163">
        <v>37812</v>
      </c>
      <c r="B194" s="116" t="s">
        <v>336</v>
      </c>
      <c r="C194" s="116" t="s">
        <v>1227</v>
      </c>
      <c r="D194" s="96">
        <v>12</v>
      </c>
      <c r="E194" s="96">
        <v>0</v>
      </c>
      <c r="F194" s="96">
        <v>12</v>
      </c>
      <c r="G194" s="186">
        <v>0</v>
      </c>
    </row>
    <row r="195" spans="1:7" ht="22.5" customHeight="1" x14ac:dyDescent="0.25">
      <c r="A195" s="163">
        <v>37813</v>
      </c>
      <c r="B195" s="116" t="s">
        <v>500</v>
      </c>
      <c r="C195" s="116" t="s">
        <v>1263</v>
      </c>
      <c r="D195" s="96">
        <v>12</v>
      </c>
      <c r="E195" s="96">
        <v>0</v>
      </c>
      <c r="F195" s="96">
        <v>15</v>
      </c>
      <c r="G195" s="186">
        <v>0</v>
      </c>
    </row>
    <row r="196" spans="1:7" ht="22.5" customHeight="1" x14ac:dyDescent="0.25">
      <c r="A196" s="163">
        <v>37814</v>
      </c>
      <c r="B196" s="116" t="s">
        <v>1469</v>
      </c>
      <c r="C196" s="116">
        <v>16450</v>
      </c>
      <c r="D196" s="96">
        <v>10</v>
      </c>
      <c r="E196" s="96">
        <v>0</v>
      </c>
      <c r="F196" s="96">
        <v>15</v>
      </c>
      <c r="G196" s="186">
        <v>0</v>
      </c>
    </row>
    <row r="197" spans="1:7" ht="22.5" customHeight="1" x14ac:dyDescent="0.25">
      <c r="A197" s="163">
        <v>37815</v>
      </c>
      <c r="B197" s="116" t="s">
        <v>435</v>
      </c>
      <c r="C197" s="116">
        <v>16200</v>
      </c>
      <c r="D197" s="96">
        <v>10</v>
      </c>
      <c r="E197" s="96">
        <v>0</v>
      </c>
      <c r="F197" s="96">
        <v>15</v>
      </c>
      <c r="G197" s="186">
        <v>0</v>
      </c>
    </row>
    <row r="198" spans="1:7" ht="22.5" customHeight="1" x14ac:dyDescent="0.25">
      <c r="A198" s="163">
        <v>37816</v>
      </c>
      <c r="B198" s="116" t="s">
        <v>1470</v>
      </c>
      <c r="C198" s="96">
        <v>15875</v>
      </c>
      <c r="D198" s="96">
        <v>10</v>
      </c>
      <c r="E198" s="96">
        <v>0</v>
      </c>
      <c r="F198" s="96">
        <v>15</v>
      </c>
      <c r="G198" s="186">
        <v>0</v>
      </c>
    </row>
    <row r="199" spans="1:7" ht="22.5" customHeight="1" x14ac:dyDescent="0.25">
      <c r="A199" s="163">
        <v>37817</v>
      </c>
      <c r="B199" s="116" t="s">
        <v>1252</v>
      </c>
      <c r="C199" s="116">
        <v>15675</v>
      </c>
      <c r="D199" s="96">
        <v>0</v>
      </c>
      <c r="E199" s="96">
        <v>0</v>
      </c>
      <c r="F199" s="96">
        <v>15</v>
      </c>
      <c r="G199" s="186">
        <v>0</v>
      </c>
    </row>
    <row r="200" spans="1:7" ht="22.5" customHeight="1" x14ac:dyDescent="0.25">
      <c r="A200" s="163">
        <v>37818</v>
      </c>
      <c r="B200" s="116" t="s">
        <v>518</v>
      </c>
      <c r="C200" s="116">
        <v>15600</v>
      </c>
      <c r="D200" s="96">
        <v>0</v>
      </c>
      <c r="E200" s="96">
        <v>0</v>
      </c>
      <c r="F200" s="96">
        <v>0</v>
      </c>
      <c r="G200" s="186">
        <v>0</v>
      </c>
    </row>
    <row r="201" spans="1:7" ht="22.5" customHeight="1" x14ac:dyDescent="0.25">
      <c r="A201" s="163">
        <v>37819</v>
      </c>
      <c r="B201" s="116" t="s">
        <v>518</v>
      </c>
      <c r="C201" s="96">
        <v>15600</v>
      </c>
      <c r="D201" s="96">
        <v>0</v>
      </c>
      <c r="E201" s="96">
        <v>0</v>
      </c>
      <c r="F201" s="96">
        <v>0</v>
      </c>
      <c r="G201" s="186">
        <v>0</v>
      </c>
    </row>
    <row r="202" spans="1:7" ht="22.5" customHeight="1" x14ac:dyDescent="0.25">
      <c r="A202" s="163">
        <v>37820</v>
      </c>
      <c r="B202" s="116" t="s">
        <v>518</v>
      </c>
      <c r="C202" s="116" t="s">
        <v>1005</v>
      </c>
      <c r="D202" s="96">
        <v>13</v>
      </c>
      <c r="E202" s="96">
        <v>0</v>
      </c>
      <c r="F202" s="96">
        <v>15</v>
      </c>
      <c r="G202" s="186">
        <v>0</v>
      </c>
    </row>
    <row r="203" spans="1:7" ht="22.5" customHeight="1" x14ac:dyDescent="0.25">
      <c r="A203" s="163">
        <v>37821</v>
      </c>
      <c r="B203" s="116" t="s">
        <v>518</v>
      </c>
      <c r="C203" s="116" t="s">
        <v>1005</v>
      </c>
      <c r="D203" s="96">
        <v>13</v>
      </c>
      <c r="E203" s="96">
        <v>0</v>
      </c>
      <c r="F203" s="96">
        <v>15</v>
      </c>
      <c r="G203" s="186">
        <v>0</v>
      </c>
    </row>
    <row r="204" spans="1:7" ht="22.5" customHeight="1" x14ac:dyDescent="0.25">
      <c r="A204" s="163">
        <v>37822</v>
      </c>
      <c r="B204" s="116" t="s">
        <v>1471</v>
      </c>
      <c r="C204" s="116" t="s">
        <v>1007</v>
      </c>
      <c r="D204" s="96">
        <v>13</v>
      </c>
      <c r="E204" s="96">
        <v>0</v>
      </c>
      <c r="F204" s="96">
        <v>15</v>
      </c>
      <c r="G204" s="186">
        <v>0</v>
      </c>
    </row>
    <row r="205" spans="1:7" ht="22.5" customHeight="1" x14ac:dyDescent="0.25">
      <c r="A205" s="163">
        <v>37823</v>
      </c>
      <c r="B205" s="116" t="s">
        <v>316</v>
      </c>
      <c r="C205" s="116" t="s">
        <v>1268</v>
      </c>
      <c r="D205" s="96">
        <v>13</v>
      </c>
      <c r="E205" s="96">
        <v>0</v>
      </c>
      <c r="F205" s="96">
        <v>15</v>
      </c>
      <c r="G205" s="186">
        <v>0</v>
      </c>
    </row>
    <row r="206" spans="1:7" ht="22.5" customHeight="1" x14ac:dyDescent="0.25">
      <c r="A206" s="163">
        <v>37824</v>
      </c>
      <c r="B206" s="116" t="s">
        <v>512</v>
      </c>
      <c r="C206" s="116" t="s">
        <v>1269</v>
      </c>
      <c r="D206" s="96">
        <v>13</v>
      </c>
      <c r="E206" s="96">
        <v>0</v>
      </c>
      <c r="F206" s="96">
        <v>15</v>
      </c>
      <c r="G206" s="186">
        <v>0</v>
      </c>
    </row>
    <row r="207" spans="1:7" ht="22.5" customHeight="1" x14ac:dyDescent="0.25">
      <c r="A207" s="163">
        <v>37825</v>
      </c>
      <c r="B207" s="116" t="s">
        <v>380</v>
      </c>
      <c r="C207" s="116" t="s">
        <v>1274</v>
      </c>
      <c r="D207" s="96">
        <v>13</v>
      </c>
      <c r="E207" s="96">
        <v>0</v>
      </c>
      <c r="F207" s="96">
        <v>15</v>
      </c>
      <c r="G207" s="186">
        <v>0</v>
      </c>
    </row>
    <row r="208" spans="1:7" ht="22.5" customHeight="1" x14ac:dyDescent="0.25">
      <c r="A208" s="163">
        <v>37826</v>
      </c>
      <c r="B208" s="116" t="s">
        <v>504</v>
      </c>
      <c r="C208" s="116" t="s">
        <v>1224</v>
      </c>
      <c r="D208" s="96">
        <v>13</v>
      </c>
      <c r="E208" s="96">
        <v>0</v>
      </c>
      <c r="F208" s="96">
        <v>15</v>
      </c>
      <c r="G208" s="186">
        <v>0</v>
      </c>
    </row>
    <row r="209" spans="1:7" ht="22.5" customHeight="1" x14ac:dyDescent="0.25">
      <c r="A209" s="163">
        <v>37827</v>
      </c>
      <c r="B209" s="116" t="s">
        <v>505</v>
      </c>
      <c r="C209" s="116" t="s">
        <v>1428</v>
      </c>
      <c r="D209" s="96">
        <v>0</v>
      </c>
      <c r="E209" s="96">
        <v>0</v>
      </c>
      <c r="F209" s="96">
        <v>15</v>
      </c>
      <c r="G209" s="186">
        <v>0</v>
      </c>
    </row>
    <row r="210" spans="1:7" ht="22.5" customHeight="1" x14ac:dyDescent="0.25">
      <c r="A210" s="163">
        <v>37828</v>
      </c>
      <c r="B210" s="116" t="s">
        <v>506</v>
      </c>
      <c r="C210" s="116" t="s">
        <v>1275</v>
      </c>
      <c r="D210" s="96">
        <v>0</v>
      </c>
      <c r="E210" s="96">
        <v>0</v>
      </c>
      <c r="F210" s="96">
        <v>0</v>
      </c>
      <c r="G210" s="186">
        <v>0</v>
      </c>
    </row>
    <row r="211" spans="1:7" ht="22.5" customHeight="1" x14ac:dyDescent="0.25">
      <c r="A211" s="163">
        <v>37829</v>
      </c>
      <c r="B211" s="116" t="s">
        <v>506</v>
      </c>
      <c r="C211" s="116">
        <v>13700</v>
      </c>
      <c r="D211" s="96">
        <v>0</v>
      </c>
      <c r="E211" s="96">
        <v>0</v>
      </c>
      <c r="F211" s="96">
        <v>0</v>
      </c>
      <c r="G211" s="186">
        <v>0</v>
      </c>
    </row>
    <row r="212" spans="1:7" ht="22.5" customHeight="1" x14ac:dyDescent="0.25">
      <c r="A212" s="163">
        <v>37830</v>
      </c>
      <c r="B212" s="116" t="s">
        <v>506</v>
      </c>
      <c r="C212" s="116">
        <v>13700</v>
      </c>
      <c r="D212" s="96">
        <v>0</v>
      </c>
      <c r="E212" s="96">
        <v>0</v>
      </c>
      <c r="F212" s="96">
        <v>0</v>
      </c>
      <c r="G212" s="186">
        <v>0</v>
      </c>
    </row>
    <row r="213" spans="1:7" ht="22.5" customHeight="1" x14ac:dyDescent="0.25">
      <c r="A213" s="163">
        <v>37831</v>
      </c>
      <c r="B213" s="116" t="s">
        <v>384</v>
      </c>
      <c r="C213" s="116" t="s">
        <v>1402</v>
      </c>
      <c r="D213" s="96">
        <v>13</v>
      </c>
      <c r="E213" s="96">
        <v>0</v>
      </c>
      <c r="F213" s="96">
        <v>15</v>
      </c>
      <c r="G213" s="186">
        <v>0</v>
      </c>
    </row>
    <row r="214" spans="1:7" ht="22.5" customHeight="1" x14ac:dyDescent="0.25">
      <c r="A214" s="163">
        <v>37832</v>
      </c>
      <c r="B214" s="116" t="s">
        <v>524</v>
      </c>
      <c r="C214" s="116" t="s">
        <v>859</v>
      </c>
      <c r="D214" s="96">
        <v>13</v>
      </c>
      <c r="E214" s="96">
        <v>0</v>
      </c>
      <c r="F214" s="96">
        <v>15</v>
      </c>
      <c r="G214" s="186">
        <v>0</v>
      </c>
    </row>
    <row r="215" spans="1:7" ht="22.5" customHeight="1" x14ac:dyDescent="0.25">
      <c r="A215" s="163">
        <v>37833</v>
      </c>
      <c r="B215" s="116" t="s">
        <v>507</v>
      </c>
      <c r="C215" s="116" t="s">
        <v>1277</v>
      </c>
      <c r="D215" s="96">
        <v>14</v>
      </c>
      <c r="E215" s="96">
        <v>0</v>
      </c>
      <c r="F215" s="96">
        <v>18</v>
      </c>
      <c r="G215" s="186">
        <v>0</v>
      </c>
    </row>
    <row r="216" spans="1:7" ht="22.5" customHeight="1" x14ac:dyDescent="0.25">
      <c r="A216" s="163">
        <v>37834</v>
      </c>
      <c r="B216" s="116" t="s">
        <v>525</v>
      </c>
      <c r="C216" s="116" t="s">
        <v>736</v>
      </c>
      <c r="D216" s="96">
        <v>0</v>
      </c>
      <c r="E216" s="96">
        <v>0</v>
      </c>
      <c r="F216" s="96">
        <v>0</v>
      </c>
      <c r="G216" s="186">
        <v>0</v>
      </c>
    </row>
    <row r="217" spans="1:7" ht="22.5" customHeight="1" x14ac:dyDescent="0.25">
      <c r="A217" s="163">
        <v>37835</v>
      </c>
      <c r="B217" s="116" t="s">
        <v>526</v>
      </c>
      <c r="C217" s="96">
        <v>12400</v>
      </c>
      <c r="D217" s="96">
        <v>0</v>
      </c>
      <c r="E217" s="96">
        <v>0</v>
      </c>
      <c r="F217" s="96">
        <v>0</v>
      </c>
      <c r="G217" s="186">
        <v>0</v>
      </c>
    </row>
    <row r="218" spans="1:7" ht="22.5" customHeight="1" x14ac:dyDescent="0.25">
      <c r="A218" s="163">
        <v>37836</v>
      </c>
      <c r="B218" s="116" t="s">
        <v>390</v>
      </c>
      <c r="C218" s="96">
        <v>12300</v>
      </c>
      <c r="D218" s="96">
        <v>0</v>
      </c>
      <c r="E218" s="96">
        <v>0</v>
      </c>
      <c r="F218" s="96">
        <v>0</v>
      </c>
      <c r="G218" s="186">
        <v>0</v>
      </c>
    </row>
    <row r="219" spans="1:7" ht="22.5" customHeight="1" x14ac:dyDescent="0.25">
      <c r="A219" s="163">
        <v>37837</v>
      </c>
      <c r="B219" s="116" t="s">
        <v>390</v>
      </c>
      <c r="C219" s="96">
        <v>12300</v>
      </c>
      <c r="D219" s="96">
        <v>0</v>
      </c>
      <c r="E219" s="96">
        <v>0</v>
      </c>
      <c r="F219" s="96">
        <v>0</v>
      </c>
      <c r="G219" s="186">
        <v>0</v>
      </c>
    </row>
    <row r="220" spans="1:7" ht="22.5" customHeight="1" x14ac:dyDescent="0.25">
      <c r="A220" s="163">
        <v>37838</v>
      </c>
      <c r="B220" s="116" t="s">
        <v>390</v>
      </c>
      <c r="C220" s="96">
        <v>12300</v>
      </c>
      <c r="D220" s="96">
        <v>0</v>
      </c>
      <c r="E220" s="96">
        <v>0</v>
      </c>
      <c r="F220" s="96">
        <v>0</v>
      </c>
      <c r="G220" s="186">
        <v>0</v>
      </c>
    </row>
    <row r="221" spans="1:7" ht="22.5" customHeight="1" x14ac:dyDescent="0.25">
      <c r="A221" s="163">
        <v>37839</v>
      </c>
      <c r="B221" s="116" t="s">
        <v>390</v>
      </c>
      <c r="C221" s="96">
        <v>12300</v>
      </c>
      <c r="D221" s="96">
        <v>0</v>
      </c>
      <c r="E221" s="96">
        <v>0</v>
      </c>
      <c r="F221" s="96">
        <v>0</v>
      </c>
      <c r="G221" s="186">
        <v>0</v>
      </c>
    </row>
    <row r="222" spans="1:7" ht="22.5" customHeight="1" x14ac:dyDescent="0.25">
      <c r="A222" s="163">
        <v>37840</v>
      </c>
      <c r="B222" s="116" t="s">
        <v>390</v>
      </c>
      <c r="C222" s="96">
        <v>12300</v>
      </c>
      <c r="D222" s="96">
        <v>0</v>
      </c>
      <c r="E222" s="96">
        <v>0</v>
      </c>
      <c r="F222" s="96">
        <v>0</v>
      </c>
      <c r="G222" s="186">
        <v>0</v>
      </c>
    </row>
    <row r="223" spans="1:7" ht="22.5" customHeight="1" x14ac:dyDescent="0.25">
      <c r="A223" s="163">
        <v>37841</v>
      </c>
      <c r="B223" s="116" t="s">
        <v>390</v>
      </c>
      <c r="C223" s="96">
        <v>12300</v>
      </c>
      <c r="D223" s="96">
        <v>1.3</v>
      </c>
      <c r="E223" s="96">
        <v>0</v>
      </c>
      <c r="F223" s="96">
        <v>1.6</v>
      </c>
      <c r="G223" s="186">
        <v>0</v>
      </c>
    </row>
    <row r="224" spans="1:7" ht="22.5" customHeight="1" x14ac:dyDescent="0.25">
      <c r="A224" s="163">
        <v>37842</v>
      </c>
      <c r="B224" s="116" t="s">
        <v>433</v>
      </c>
      <c r="C224" s="96" t="s">
        <v>18</v>
      </c>
      <c r="D224" s="96">
        <v>1.3</v>
      </c>
      <c r="E224" s="96">
        <v>0</v>
      </c>
      <c r="F224" s="96">
        <v>1.6</v>
      </c>
      <c r="G224" s="186">
        <v>0</v>
      </c>
    </row>
    <row r="225" spans="1:7" ht="22.5" customHeight="1" x14ac:dyDescent="0.25">
      <c r="A225" s="163">
        <v>37843</v>
      </c>
      <c r="B225" s="116" t="s">
        <v>17</v>
      </c>
      <c r="C225" s="96" t="s">
        <v>1284</v>
      </c>
      <c r="D225" s="96">
        <v>1.3</v>
      </c>
      <c r="E225" s="96">
        <v>0</v>
      </c>
      <c r="F225" s="96">
        <v>1.6</v>
      </c>
      <c r="G225" s="186">
        <v>0</v>
      </c>
    </row>
    <row r="226" spans="1:7" ht="22.5" customHeight="1" x14ac:dyDescent="0.25">
      <c r="A226" s="163">
        <v>37844</v>
      </c>
      <c r="B226" s="116" t="s">
        <v>20</v>
      </c>
      <c r="C226" s="96" t="s">
        <v>1416</v>
      </c>
      <c r="D226" s="96">
        <v>1.3</v>
      </c>
      <c r="E226" s="96">
        <v>0</v>
      </c>
      <c r="F226" s="96">
        <v>1.6</v>
      </c>
      <c r="G226" s="186">
        <v>0</v>
      </c>
    </row>
    <row r="227" spans="1:7" ht="22.5" customHeight="1" x14ac:dyDescent="0.25">
      <c r="A227" s="163">
        <v>37845</v>
      </c>
      <c r="B227" s="116" t="s">
        <v>36</v>
      </c>
      <c r="C227" s="96" t="s">
        <v>10</v>
      </c>
      <c r="D227" s="96">
        <v>1.3</v>
      </c>
      <c r="E227" s="96">
        <v>0</v>
      </c>
      <c r="F227" s="96">
        <v>1.6</v>
      </c>
      <c r="G227" s="186">
        <v>0</v>
      </c>
    </row>
    <row r="228" spans="1:7" ht="22.5" customHeight="1" x14ac:dyDescent="0.25">
      <c r="A228" s="163">
        <v>37846</v>
      </c>
      <c r="B228" s="116" t="s">
        <v>508</v>
      </c>
      <c r="C228" s="96" t="s">
        <v>1285</v>
      </c>
      <c r="D228" s="96" t="s">
        <v>981</v>
      </c>
      <c r="E228" s="96">
        <v>0</v>
      </c>
      <c r="F228" s="96">
        <v>1.6</v>
      </c>
      <c r="G228" s="186">
        <v>0</v>
      </c>
    </row>
    <row r="229" spans="1:7" ht="22.5" customHeight="1" x14ac:dyDescent="0.25">
      <c r="A229" s="163">
        <v>37847</v>
      </c>
      <c r="B229" s="116" t="s">
        <v>45</v>
      </c>
      <c r="C229" s="116" t="s">
        <v>8</v>
      </c>
      <c r="D229" s="96">
        <v>0</v>
      </c>
      <c r="E229" s="96">
        <v>0</v>
      </c>
      <c r="F229" s="96">
        <v>0</v>
      </c>
      <c r="G229" s="186">
        <v>0</v>
      </c>
    </row>
    <row r="230" spans="1:7" ht="22.5" customHeight="1" x14ac:dyDescent="0.25">
      <c r="A230" s="163">
        <v>37848</v>
      </c>
      <c r="B230" s="116" t="s">
        <v>45</v>
      </c>
      <c r="C230" s="116" t="s">
        <v>8</v>
      </c>
      <c r="D230" s="96">
        <v>0</v>
      </c>
      <c r="E230" s="96">
        <v>0</v>
      </c>
      <c r="F230" s="96">
        <v>0</v>
      </c>
      <c r="G230" s="186">
        <v>0</v>
      </c>
    </row>
    <row r="231" spans="1:7" ht="22.5" customHeight="1" x14ac:dyDescent="0.25">
      <c r="A231" s="163">
        <v>37849</v>
      </c>
      <c r="B231" s="116" t="s">
        <v>509</v>
      </c>
      <c r="C231" s="96">
        <v>10500</v>
      </c>
      <c r="D231" s="96">
        <v>0</v>
      </c>
      <c r="E231" s="96">
        <v>0</v>
      </c>
      <c r="F231" s="96">
        <v>0</v>
      </c>
      <c r="G231" s="186">
        <v>0</v>
      </c>
    </row>
    <row r="232" spans="1:7" ht="22.5" customHeight="1" x14ac:dyDescent="0.25">
      <c r="A232" s="163">
        <v>37850</v>
      </c>
      <c r="B232" s="116" t="s">
        <v>49</v>
      </c>
      <c r="C232" s="96">
        <v>10300</v>
      </c>
      <c r="D232" s="96">
        <v>0</v>
      </c>
      <c r="E232" s="96">
        <v>0</v>
      </c>
      <c r="F232" s="96">
        <v>0</v>
      </c>
      <c r="G232" s="186">
        <v>0</v>
      </c>
    </row>
    <row r="233" spans="1:7" ht="22.5" customHeight="1" x14ac:dyDescent="0.25">
      <c r="A233" s="163">
        <v>37851</v>
      </c>
      <c r="B233" s="116" t="s">
        <v>51</v>
      </c>
      <c r="C233" s="96">
        <v>10100</v>
      </c>
      <c r="D233" s="96">
        <v>0</v>
      </c>
      <c r="E233" s="96">
        <v>0</v>
      </c>
      <c r="F233" s="96">
        <v>0</v>
      </c>
      <c r="G233" s="186">
        <v>0</v>
      </c>
    </row>
    <row r="234" spans="1:7" ht="22.5" customHeight="1" x14ac:dyDescent="0.25">
      <c r="A234" s="163">
        <v>37852</v>
      </c>
      <c r="B234" s="116" t="s">
        <v>51</v>
      </c>
      <c r="C234" s="96">
        <v>10100</v>
      </c>
      <c r="D234" s="96">
        <v>0</v>
      </c>
      <c r="E234" s="96">
        <v>0</v>
      </c>
      <c r="F234" s="96">
        <v>0</v>
      </c>
      <c r="G234" s="186">
        <v>0</v>
      </c>
    </row>
    <row r="235" spans="1:7" ht="22.5" customHeight="1" x14ac:dyDescent="0.25">
      <c r="A235" s="163">
        <v>37853</v>
      </c>
      <c r="B235" s="116" t="s">
        <v>51</v>
      </c>
      <c r="C235" s="96">
        <v>10100</v>
      </c>
      <c r="D235" s="96">
        <v>6</v>
      </c>
      <c r="E235" s="96">
        <v>0</v>
      </c>
      <c r="F235" s="96">
        <v>0</v>
      </c>
      <c r="G235" s="186">
        <v>0</v>
      </c>
    </row>
    <row r="236" spans="1:7" ht="22.5" customHeight="1" x14ac:dyDescent="0.25">
      <c r="A236" s="163">
        <v>37854</v>
      </c>
      <c r="B236" s="116" t="s">
        <v>7</v>
      </c>
      <c r="C236" s="96">
        <v>10100</v>
      </c>
      <c r="D236" s="96">
        <v>6</v>
      </c>
      <c r="E236" s="96">
        <v>0</v>
      </c>
      <c r="F236" s="96">
        <v>0</v>
      </c>
      <c r="G236" s="186">
        <v>0</v>
      </c>
    </row>
    <row r="237" spans="1:7" ht="22.5" customHeight="1" x14ac:dyDescent="0.25">
      <c r="A237" s="163">
        <v>37855</v>
      </c>
      <c r="B237" s="116" t="s">
        <v>7</v>
      </c>
      <c r="C237" s="96">
        <v>10000</v>
      </c>
      <c r="D237" s="96">
        <v>0</v>
      </c>
      <c r="E237" s="96">
        <v>0</v>
      </c>
      <c r="F237" s="96">
        <v>0</v>
      </c>
      <c r="G237" s="186">
        <v>0</v>
      </c>
    </row>
    <row r="238" spans="1:7" ht="22.5" customHeight="1" x14ac:dyDescent="0.25">
      <c r="A238" s="163">
        <v>37856</v>
      </c>
      <c r="B238" s="116" t="s">
        <v>736</v>
      </c>
      <c r="C238" s="190">
        <v>0</v>
      </c>
      <c r="D238" s="96">
        <v>0</v>
      </c>
      <c r="E238" s="96">
        <v>0</v>
      </c>
      <c r="F238" s="96">
        <v>0</v>
      </c>
      <c r="G238" s="186">
        <v>0</v>
      </c>
    </row>
    <row r="239" spans="1:7" ht="22.5" customHeight="1" x14ac:dyDescent="0.25">
      <c r="A239" s="163">
        <v>37857</v>
      </c>
      <c r="B239" s="116" t="s">
        <v>736</v>
      </c>
      <c r="C239" s="190">
        <v>0</v>
      </c>
      <c r="D239" s="96">
        <v>0</v>
      </c>
      <c r="E239" s="96">
        <v>0</v>
      </c>
      <c r="F239" s="96">
        <v>0</v>
      </c>
      <c r="G239" s="186">
        <v>0</v>
      </c>
    </row>
    <row r="240" spans="1:7" ht="22.5" customHeight="1" x14ac:dyDescent="0.25">
      <c r="A240" s="163">
        <v>37858</v>
      </c>
      <c r="B240" s="116" t="s">
        <v>736</v>
      </c>
      <c r="C240" s="190">
        <v>0</v>
      </c>
      <c r="D240" s="96">
        <v>0</v>
      </c>
      <c r="E240" s="96">
        <v>0</v>
      </c>
      <c r="F240" s="96">
        <v>0</v>
      </c>
      <c r="G240" s="186">
        <v>0</v>
      </c>
    </row>
    <row r="241" spans="1:7" ht="22.5" customHeight="1" x14ac:dyDescent="0.25">
      <c r="A241" s="163">
        <v>37859</v>
      </c>
      <c r="B241" s="116" t="s">
        <v>736</v>
      </c>
      <c r="C241" s="190">
        <v>0</v>
      </c>
      <c r="D241" s="96">
        <v>0</v>
      </c>
      <c r="E241" s="96">
        <v>0</v>
      </c>
      <c r="F241" s="96">
        <v>0</v>
      </c>
      <c r="G241" s="186">
        <v>0</v>
      </c>
    </row>
    <row r="242" spans="1:7" ht="22.5" customHeight="1" x14ac:dyDescent="0.25">
      <c r="A242" s="163">
        <v>37860</v>
      </c>
      <c r="B242" s="116" t="s">
        <v>56</v>
      </c>
      <c r="C242" s="190">
        <v>0</v>
      </c>
      <c r="D242" s="96">
        <v>0</v>
      </c>
      <c r="E242" s="96">
        <v>0</v>
      </c>
      <c r="F242" s="96">
        <v>0</v>
      </c>
      <c r="G242" s="186">
        <v>0</v>
      </c>
    </row>
    <row r="243" spans="1:7" ht="22.5" customHeight="1" x14ac:dyDescent="0.25">
      <c r="A243" s="163">
        <v>37861</v>
      </c>
      <c r="B243" s="116" t="s">
        <v>56</v>
      </c>
      <c r="C243" s="190">
        <v>0</v>
      </c>
      <c r="D243" s="96">
        <v>0</v>
      </c>
      <c r="E243" s="96">
        <v>0</v>
      </c>
      <c r="F243" s="96">
        <v>0</v>
      </c>
      <c r="G243" s="186">
        <v>0</v>
      </c>
    </row>
    <row r="244" spans="1:7" ht="22.5" customHeight="1" x14ac:dyDescent="0.25">
      <c r="A244" s="163">
        <v>37862</v>
      </c>
      <c r="B244" s="116" t="s">
        <v>58</v>
      </c>
      <c r="C244" s="190">
        <v>0</v>
      </c>
      <c r="D244" s="96">
        <v>0</v>
      </c>
      <c r="E244" s="96">
        <v>0</v>
      </c>
      <c r="F244" s="96">
        <v>0</v>
      </c>
      <c r="G244" s="186">
        <v>0</v>
      </c>
    </row>
    <row r="245" spans="1:7" ht="22.5" customHeight="1" x14ac:dyDescent="0.25">
      <c r="A245" s="163">
        <v>37863</v>
      </c>
      <c r="B245" s="116" t="s">
        <v>60</v>
      </c>
      <c r="C245" s="190">
        <v>0</v>
      </c>
      <c r="D245" s="96">
        <v>0</v>
      </c>
      <c r="E245" s="96">
        <v>0</v>
      </c>
      <c r="F245" s="96">
        <v>0</v>
      </c>
      <c r="G245" s="186">
        <v>0</v>
      </c>
    </row>
    <row r="246" spans="1:7" ht="22.5" customHeight="1" x14ac:dyDescent="0.25">
      <c r="A246" s="163">
        <v>37864</v>
      </c>
      <c r="B246" s="116" t="s">
        <v>60</v>
      </c>
      <c r="C246" s="190">
        <v>0</v>
      </c>
      <c r="D246" s="96">
        <v>0</v>
      </c>
      <c r="E246" s="96">
        <v>0</v>
      </c>
      <c r="F246" s="96">
        <v>0</v>
      </c>
      <c r="G246" s="186">
        <v>0</v>
      </c>
    </row>
    <row r="247" spans="1:7" ht="22.5" customHeight="1" x14ac:dyDescent="0.25">
      <c r="A247" s="163">
        <v>37865</v>
      </c>
      <c r="B247" s="116" t="s">
        <v>60</v>
      </c>
      <c r="C247" s="190">
        <v>0</v>
      </c>
      <c r="D247" s="96">
        <v>0</v>
      </c>
      <c r="E247" s="96">
        <v>0</v>
      </c>
      <c r="F247" s="96">
        <v>0</v>
      </c>
      <c r="G247" s="186">
        <v>0</v>
      </c>
    </row>
    <row r="248" spans="1:7" ht="22.5" customHeight="1" x14ac:dyDescent="0.25">
      <c r="A248" s="163">
        <v>37866</v>
      </c>
      <c r="B248" s="116" t="s">
        <v>62</v>
      </c>
      <c r="C248" s="116" t="s">
        <v>1396</v>
      </c>
      <c r="D248" s="96">
        <v>0</v>
      </c>
      <c r="E248" s="96">
        <v>0</v>
      </c>
      <c r="F248" s="96">
        <v>0</v>
      </c>
      <c r="G248" s="186">
        <v>0</v>
      </c>
    </row>
    <row r="249" spans="1:7" ht="22.5" customHeight="1" x14ac:dyDescent="0.25">
      <c r="A249" s="163">
        <v>37867</v>
      </c>
      <c r="B249" s="116" t="s">
        <v>62</v>
      </c>
      <c r="C249" s="116" t="s">
        <v>1396</v>
      </c>
      <c r="D249" s="96">
        <v>0</v>
      </c>
      <c r="E249" s="96">
        <v>0</v>
      </c>
      <c r="F249" s="96">
        <v>0</v>
      </c>
      <c r="G249" s="186">
        <v>0</v>
      </c>
    </row>
    <row r="250" spans="1:7" ht="22.5" customHeight="1" x14ac:dyDescent="0.25">
      <c r="A250" s="163">
        <v>37868</v>
      </c>
      <c r="B250" s="116" t="s">
        <v>62</v>
      </c>
      <c r="C250" s="116" t="s">
        <v>1396</v>
      </c>
      <c r="D250" s="96">
        <v>0</v>
      </c>
      <c r="E250" s="96">
        <v>0</v>
      </c>
      <c r="F250" s="96">
        <v>0</v>
      </c>
      <c r="G250" s="186">
        <v>0</v>
      </c>
    </row>
    <row r="251" spans="1:7" ht="22.5" customHeight="1" x14ac:dyDescent="0.25">
      <c r="A251" s="163">
        <v>37869</v>
      </c>
      <c r="B251" s="116" t="s">
        <v>64</v>
      </c>
      <c r="C251" s="116" t="s">
        <v>1043</v>
      </c>
      <c r="D251" s="96">
        <v>0</v>
      </c>
      <c r="E251" s="96">
        <v>0</v>
      </c>
      <c r="F251" s="96">
        <v>0</v>
      </c>
      <c r="G251" s="186">
        <v>0</v>
      </c>
    </row>
    <row r="252" spans="1:7" ht="22.5" customHeight="1" x14ac:dyDescent="0.25">
      <c r="A252" s="163">
        <v>37870</v>
      </c>
      <c r="B252" s="116" t="s">
        <v>64</v>
      </c>
      <c r="C252" s="116" t="s">
        <v>1043</v>
      </c>
      <c r="D252" s="96">
        <v>0</v>
      </c>
      <c r="E252" s="96">
        <v>0</v>
      </c>
      <c r="F252" s="96">
        <v>0</v>
      </c>
      <c r="G252" s="186">
        <v>0</v>
      </c>
    </row>
    <row r="253" spans="1:7" ht="22.5" customHeight="1" x14ac:dyDescent="0.25">
      <c r="A253" s="163">
        <v>37871</v>
      </c>
      <c r="B253" s="116" t="s">
        <v>64</v>
      </c>
      <c r="C253" s="116" t="s">
        <v>1043</v>
      </c>
      <c r="D253" s="96">
        <v>0</v>
      </c>
      <c r="E253" s="96">
        <v>0</v>
      </c>
      <c r="F253" s="96">
        <v>0</v>
      </c>
      <c r="G253" s="186">
        <v>0</v>
      </c>
    </row>
    <row r="254" spans="1:7" ht="22.5" customHeight="1" x14ac:dyDescent="0.25">
      <c r="A254" s="163">
        <v>37872</v>
      </c>
      <c r="B254" s="116" t="s">
        <v>64</v>
      </c>
      <c r="C254" s="116" t="s">
        <v>1043</v>
      </c>
      <c r="D254" s="96">
        <v>0</v>
      </c>
      <c r="E254" s="96">
        <v>0</v>
      </c>
      <c r="F254" s="96">
        <v>0</v>
      </c>
      <c r="G254" s="186">
        <v>0</v>
      </c>
    </row>
    <row r="255" spans="1:7" ht="22.5" customHeight="1" x14ac:dyDescent="0.25">
      <c r="A255" s="163">
        <v>37873</v>
      </c>
      <c r="B255" s="116" t="s">
        <v>68</v>
      </c>
      <c r="C255" s="116" t="s">
        <v>1300</v>
      </c>
      <c r="D255" s="96">
        <v>0</v>
      </c>
      <c r="E255" s="96">
        <v>0</v>
      </c>
      <c r="F255" s="96">
        <v>0</v>
      </c>
      <c r="G255" s="186">
        <v>0</v>
      </c>
    </row>
    <row r="256" spans="1:7" ht="22.5" customHeight="1" x14ac:dyDescent="0.25">
      <c r="A256" s="163">
        <v>37874</v>
      </c>
      <c r="B256" s="116" t="s">
        <v>68</v>
      </c>
      <c r="C256" s="116" t="s">
        <v>1300</v>
      </c>
      <c r="D256" s="96">
        <v>0</v>
      </c>
      <c r="E256" s="96">
        <v>0</v>
      </c>
      <c r="F256" s="96">
        <v>0</v>
      </c>
      <c r="G256" s="186">
        <v>0</v>
      </c>
    </row>
    <row r="257" spans="1:7" ht="22.5" customHeight="1" x14ac:dyDescent="0.25">
      <c r="A257" s="163">
        <v>37875</v>
      </c>
      <c r="B257" s="116" t="s">
        <v>68</v>
      </c>
      <c r="C257" s="116" t="s">
        <v>1300</v>
      </c>
      <c r="D257" s="96">
        <v>0</v>
      </c>
      <c r="E257" s="96">
        <v>0</v>
      </c>
      <c r="F257" s="96">
        <v>0</v>
      </c>
      <c r="G257" s="186">
        <v>0</v>
      </c>
    </row>
    <row r="258" spans="1:7" ht="22.5" customHeight="1" x14ac:dyDescent="0.25">
      <c r="A258" s="163">
        <v>37876</v>
      </c>
      <c r="B258" s="116" t="s">
        <v>68</v>
      </c>
      <c r="C258" s="116" t="s">
        <v>1300</v>
      </c>
      <c r="D258" s="96">
        <v>0</v>
      </c>
      <c r="E258" s="96">
        <v>0</v>
      </c>
      <c r="F258" s="96">
        <v>0</v>
      </c>
      <c r="G258" s="186">
        <v>0</v>
      </c>
    </row>
    <row r="259" spans="1:7" ht="22.5" customHeight="1" x14ac:dyDescent="0.25">
      <c r="A259" s="163">
        <v>37877</v>
      </c>
      <c r="B259" s="116" t="s">
        <v>68</v>
      </c>
      <c r="C259" s="116" t="s">
        <v>1300</v>
      </c>
      <c r="D259" s="96">
        <v>0</v>
      </c>
      <c r="E259" s="96">
        <v>0</v>
      </c>
      <c r="F259" s="96">
        <v>0</v>
      </c>
      <c r="G259" s="186">
        <v>0</v>
      </c>
    </row>
    <row r="260" spans="1:7" ht="22.5" customHeight="1" x14ac:dyDescent="0.25">
      <c r="A260" s="163">
        <v>37878</v>
      </c>
      <c r="B260" s="116" t="s">
        <v>70</v>
      </c>
      <c r="C260" s="116" t="s">
        <v>1395</v>
      </c>
      <c r="D260" s="96">
        <v>0</v>
      </c>
      <c r="E260" s="96">
        <v>0</v>
      </c>
      <c r="F260" s="96">
        <v>0</v>
      </c>
      <c r="G260" s="186">
        <v>0</v>
      </c>
    </row>
    <row r="261" spans="1:7" ht="22.5" customHeight="1" x14ac:dyDescent="0.25">
      <c r="A261" s="163">
        <v>37879</v>
      </c>
      <c r="B261" s="116" t="s">
        <v>70</v>
      </c>
      <c r="C261" s="116">
        <v>9300</v>
      </c>
      <c r="D261" s="96">
        <v>0</v>
      </c>
      <c r="E261" s="96">
        <v>0</v>
      </c>
      <c r="F261" s="96">
        <v>0</v>
      </c>
      <c r="G261" s="186">
        <v>0</v>
      </c>
    </row>
    <row r="262" spans="1:7" ht="22.5" customHeight="1" x14ac:dyDescent="0.25">
      <c r="A262" s="163">
        <v>37880</v>
      </c>
      <c r="B262" s="116" t="s">
        <v>70</v>
      </c>
      <c r="C262" s="116">
        <v>9300</v>
      </c>
      <c r="D262" s="96">
        <v>0</v>
      </c>
      <c r="E262" s="96">
        <v>0</v>
      </c>
      <c r="F262" s="96">
        <v>0</v>
      </c>
      <c r="G262" s="186">
        <v>0</v>
      </c>
    </row>
    <row r="263" spans="1:7" ht="22.5" customHeight="1" x14ac:dyDescent="0.25">
      <c r="A263" s="163">
        <v>37881</v>
      </c>
      <c r="B263" s="116" t="s">
        <v>72</v>
      </c>
      <c r="C263" s="116" t="s">
        <v>1423</v>
      </c>
      <c r="D263" s="96">
        <v>0</v>
      </c>
      <c r="E263" s="96">
        <v>0</v>
      </c>
      <c r="F263" s="96">
        <v>0</v>
      </c>
      <c r="G263" s="186">
        <v>0</v>
      </c>
    </row>
    <row r="264" spans="1:7" ht="22.5" customHeight="1" x14ac:dyDescent="0.25">
      <c r="A264" s="163">
        <v>37882</v>
      </c>
      <c r="B264" s="116" t="s">
        <v>72</v>
      </c>
      <c r="C264" s="116" t="s">
        <v>1423</v>
      </c>
      <c r="D264" s="96">
        <v>0</v>
      </c>
      <c r="E264" s="96">
        <v>0</v>
      </c>
      <c r="F264" s="96">
        <v>0</v>
      </c>
      <c r="G264" s="186">
        <v>0</v>
      </c>
    </row>
    <row r="265" spans="1:7" ht="22.5" customHeight="1" x14ac:dyDescent="0.25">
      <c r="A265" s="163">
        <v>37883</v>
      </c>
      <c r="B265" s="116" t="s">
        <v>72</v>
      </c>
      <c r="C265" s="116" t="s">
        <v>1423</v>
      </c>
      <c r="D265" s="96">
        <v>0</v>
      </c>
      <c r="E265" s="96">
        <v>0</v>
      </c>
      <c r="F265" s="96">
        <v>0</v>
      </c>
      <c r="G265" s="186">
        <v>0</v>
      </c>
    </row>
    <row r="266" spans="1:7" ht="22.5" customHeight="1" x14ac:dyDescent="0.25">
      <c r="A266" s="163">
        <v>37884</v>
      </c>
      <c r="B266" s="116" t="s">
        <v>76</v>
      </c>
      <c r="C266" s="116">
        <v>9100</v>
      </c>
      <c r="D266" s="96">
        <v>0</v>
      </c>
      <c r="E266" s="96">
        <v>0</v>
      </c>
      <c r="F266" s="96">
        <v>0</v>
      </c>
      <c r="G266" s="186">
        <v>0</v>
      </c>
    </row>
    <row r="267" spans="1:7" ht="22.5" customHeight="1" x14ac:dyDescent="0.25">
      <c r="A267" s="163">
        <v>37885</v>
      </c>
      <c r="B267" s="116" t="s">
        <v>76</v>
      </c>
      <c r="C267" s="116">
        <v>9100</v>
      </c>
      <c r="D267" s="96">
        <v>0</v>
      </c>
      <c r="E267" s="96">
        <v>0</v>
      </c>
      <c r="F267" s="96">
        <v>0</v>
      </c>
      <c r="G267" s="186">
        <v>0</v>
      </c>
    </row>
    <row r="268" spans="1:7" ht="22.5" customHeight="1" x14ac:dyDescent="0.25">
      <c r="A268" s="163">
        <v>37886</v>
      </c>
      <c r="B268" s="116" t="s">
        <v>76</v>
      </c>
      <c r="C268" s="116">
        <v>9100</v>
      </c>
      <c r="D268" s="96">
        <v>0</v>
      </c>
      <c r="E268" s="96">
        <v>0</v>
      </c>
      <c r="F268" s="96">
        <v>0</v>
      </c>
      <c r="G268" s="186">
        <v>0</v>
      </c>
    </row>
    <row r="269" spans="1:7" ht="22.5" customHeight="1" x14ac:dyDescent="0.25">
      <c r="A269" s="163">
        <v>37887</v>
      </c>
      <c r="B269" s="116" t="s">
        <v>80</v>
      </c>
      <c r="C269" s="116" t="s">
        <v>1303</v>
      </c>
      <c r="D269" s="96">
        <v>0</v>
      </c>
      <c r="E269" s="96">
        <v>0</v>
      </c>
      <c r="F269" s="96">
        <v>0</v>
      </c>
      <c r="G269" s="186">
        <v>0</v>
      </c>
    </row>
    <row r="270" spans="1:7" ht="22.5" customHeight="1" x14ac:dyDescent="0.25">
      <c r="A270" s="163">
        <v>37888</v>
      </c>
      <c r="B270" s="116" t="s">
        <v>5</v>
      </c>
      <c r="C270" s="116" t="s">
        <v>1305</v>
      </c>
      <c r="D270" s="96">
        <v>0</v>
      </c>
      <c r="E270" s="96">
        <v>0</v>
      </c>
      <c r="F270" s="96">
        <v>0</v>
      </c>
      <c r="G270" s="186">
        <v>0</v>
      </c>
    </row>
    <row r="271" spans="1:7" ht="22.5" customHeight="1" x14ac:dyDescent="0.25">
      <c r="A271" s="163">
        <v>37889</v>
      </c>
      <c r="B271" s="116" t="s">
        <v>5</v>
      </c>
      <c r="C271" s="116" t="s">
        <v>1305</v>
      </c>
      <c r="D271" s="96">
        <v>0</v>
      </c>
      <c r="E271" s="96">
        <v>0</v>
      </c>
      <c r="F271" s="96">
        <v>0</v>
      </c>
      <c r="G271" s="186">
        <v>0</v>
      </c>
    </row>
    <row r="272" spans="1:7" ht="22.5" customHeight="1" x14ac:dyDescent="0.25">
      <c r="A272" s="163">
        <v>37890</v>
      </c>
      <c r="B272" s="116" t="s">
        <v>5</v>
      </c>
      <c r="C272" s="116" t="s">
        <v>1305</v>
      </c>
      <c r="D272" s="96">
        <v>0</v>
      </c>
      <c r="E272" s="96">
        <v>0</v>
      </c>
      <c r="F272" s="96">
        <v>0</v>
      </c>
      <c r="G272" s="186">
        <v>0</v>
      </c>
    </row>
    <row r="273" spans="1:7" ht="22.5" customHeight="1" x14ac:dyDescent="0.25">
      <c r="A273" s="163">
        <v>37891</v>
      </c>
      <c r="B273" s="116" t="s">
        <v>5</v>
      </c>
      <c r="C273" s="116">
        <v>8900</v>
      </c>
      <c r="D273" s="96">
        <v>0</v>
      </c>
      <c r="E273" s="96">
        <v>0</v>
      </c>
      <c r="F273" s="96">
        <v>0</v>
      </c>
      <c r="G273" s="186">
        <v>0</v>
      </c>
    </row>
    <row r="274" spans="1:7" ht="22.5" customHeight="1" x14ac:dyDescent="0.25">
      <c r="A274" s="163">
        <v>37892</v>
      </c>
      <c r="B274" s="116" t="s">
        <v>82</v>
      </c>
      <c r="C274" s="116">
        <v>8800</v>
      </c>
      <c r="D274" s="96">
        <v>0</v>
      </c>
      <c r="E274" s="96">
        <v>0</v>
      </c>
      <c r="F274" s="96">
        <v>0</v>
      </c>
      <c r="G274" s="186">
        <v>0</v>
      </c>
    </row>
    <row r="275" spans="1:7" ht="22.5" customHeight="1" x14ac:dyDescent="0.25">
      <c r="A275" s="163">
        <v>37893</v>
      </c>
      <c r="B275" s="116" t="s">
        <v>82</v>
      </c>
      <c r="C275" s="116">
        <v>8800</v>
      </c>
      <c r="D275" s="96">
        <v>0</v>
      </c>
      <c r="E275" s="96">
        <v>0</v>
      </c>
      <c r="F275" s="96">
        <v>0</v>
      </c>
      <c r="G275" s="186">
        <v>0</v>
      </c>
    </row>
    <row r="276" spans="1:7" ht="22.5" customHeight="1" x14ac:dyDescent="0.25">
      <c r="A276" s="163">
        <v>37894</v>
      </c>
      <c r="B276" s="116" t="s">
        <v>82</v>
      </c>
      <c r="C276" s="116">
        <v>8800</v>
      </c>
      <c r="D276" s="96">
        <v>0</v>
      </c>
      <c r="E276" s="96">
        <v>0</v>
      </c>
      <c r="F276" s="96">
        <v>0</v>
      </c>
      <c r="G276" s="186">
        <v>0</v>
      </c>
    </row>
    <row r="277" spans="1:7" ht="22.5" customHeight="1" x14ac:dyDescent="0.25">
      <c r="A277" s="163">
        <v>37895</v>
      </c>
      <c r="B277" s="116" t="s">
        <v>82</v>
      </c>
      <c r="C277" s="116">
        <v>8800</v>
      </c>
      <c r="D277" s="96">
        <v>0</v>
      </c>
      <c r="E277" s="96">
        <v>0</v>
      </c>
      <c r="F277" s="96">
        <v>0</v>
      </c>
      <c r="G277" s="186">
        <v>0</v>
      </c>
    </row>
    <row r="278" spans="1:7" ht="22.5" customHeight="1" x14ac:dyDescent="0.25">
      <c r="A278" s="163">
        <v>37896</v>
      </c>
      <c r="B278" s="116" t="s">
        <v>5</v>
      </c>
      <c r="C278" s="116">
        <v>8900</v>
      </c>
      <c r="D278" s="96">
        <v>0</v>
      </c>
      <c r="E278" s="96">
        <v>0</v>
      </c>
      <c r="F278" s="96">
        <v>0</v>
      </c>
      <c r="G278" s="186">
        <v>0</v>
      </c>
    </row>
    <row r="279" spans="1:7" ht="22.5" customHeight="1" x14ac:dyDescent="0.25">
      <c r="A279" s="163">
        <v>37897</v>
      </c>
      <c r="B279" s="116" t="s">
        <v>80</v>
      </c>
      <c r="C279" s="116" t="s">
        <v>1303</v>
      </c>
      <c r="D279" s="96">
        <v>0</v>
      </c>
      <c r="E279" s="96">
        <v>0</v>
      </c>
      <c r="F279" s="96">
        <v>0</v>
      </c>
      <c r="G279" s="186">
        <v>0</v>
      </c>
    </row>
    <row r="280" spans="1:7" ht="22.5" customHeight="1" x14ac:dyDescent="0.25">
      <c r="A280" s="163">
        <v>37898</v>
      </c>
      <c r="B280" s="116" t="s">
        <v>72</v>
      </c>
      <c r="C280" s="116">
        <v>9200</v>
      </c>
      <c r="D280" s="96">
        <v>0</v>
      </c>
      <c r="E280" s="96">
        <v>0</v>
      </c>
      <c r="F280" s="96">
        <v>0</v>
      </c>
      <c r="G280" s="186">
        <v>0</v>
      </c>
    </row>
    <row r="281" spans="1:7" ht="22.5" customHeight="1" x14ac:dyDescent="0.25">
      <c r="A281" s="163">
        <v>37899</v>
      </c>
      <c r="B281" s="116" t="s">
        <v>72</v>
      </c>
      <c r="C281" s="116">
        <v>9200</v>
      </c>
      <c r="D281" s="96">
        <v>0</v>
      </c>
      <c r="E281" s="96">
        <v>0</v>
      </c>
      <c r="F281" s="96">
        <v>0</v>
      </c>
      <c r="G281" s="186">
        <v>0</v>
      </c>
    </row>
    <row r="282" spans="1:7" ht="22.5" customHeight="1" x14ac:dyDescent="0.25">
      <c r="A282" s="163">
        <v>37900</v>
      </c>
      <c r="B282" s="116" t="s">
        <v>72</v>
      </c>
      <c r="C282" s="116">
        <v>9200</v>
      </c>
      <c r="D282" s="96">
        <v>0</v>
      </c>
      <c r="E282" s="96">
        <v>0</v>
      </c>
      <c r="F282" s="96">
        <v>0</v>
      </c>
      <c r="G282" s="186">
        <v>0</v>
      </c>
    </row>
    <row r="283" spans="1:7" ht="22.5" customHeight="1" x14ac:dyDescent="0.25">
      <c r="A283" s="163">
        <v>37901</v>
      </c>
      <c r="B283" s="116" t="s">
        <v>72</v>
      </c>
      <c r="C283" s="116">
        <v>9200</v>
      </c>
      <c r="D283" s="96">
        <v>0</v>
      </c>
      <c r="E283" s="96">
        <v>0</v>
      </c>
      <c r="F283" s="96">
        <v>0</v>
      </c>
      <c r="G283" s="186">
        <v>0</v>
      </c>
    </row>
    <row r="284" spans="1:7" ht="22.5" customHeight="1" x14ac:dyDescent="0.25">
      <c r="A284" s="163">
        <v>37902</v>
      </c>
      <c r="B284" s="116" t="s">
        <v>72</v>
      </c>
      <c r="C284" s="116">
        <v>9200</v>
      </c>
      <c r="D284" s="96">
        <v>0</v>
      </c>
      <c r="E284" s="96">
        <v>0</v>
      </c>
      <c r="F284" s="96">
        <v>0</v>
      </c>
      <c r="G284" s="186">
        <v>0</v>
      </c>
    </row>
    <row r="285" spans="1:7" ht="22.5" customHeight="1" x14ac:dyDescent="0.25">
      <c r="A285" s="163">
        <v>37903</v>
      </c>
      <c r="B285" s="116" t="s">
        <v>72</v>
      </c>
      <c r="C285" s="116">
        <v>9200</v>
      </c>
      <c r="D285" s="96">
        <v>0</v>
      </c>
      <c r="E285" s="96">
        <v>0</v>
      </c>
      <c r="F285" s="96">
        <v>0</v>
      </c>
      <c r="G285" s="186">
        <v>0</v>
      </c>
    </row>
    <row r="286" spans="1:7" ht="22.5" customHeight="1" x14ac:dyDescent="0.25">
      <c r="A286" s="163">
        <v>37904</v>
      </c>
      <c r="B286" s="116" t="s">
        <v>72</v>
      </c>
      <c r="C286" s="116">
        <v>9200</v>
      </c>
      <c r="D286" s="96">
        <v>0</v>
      </c>
      <c r="E286" s="96">
        <v>0</v>
      </c>
      <c r="F286" s="96">
        <v>0</v>
      </c>
      <c r="G286" s="186">
        <v>0</v>
      </c>
    </row>
    <row r="287" spans="1:7" ht="22.5" customHeight="1" x14ac:dyDescent="0.25">
      <c r="A287" s="163">
        <v>37905</v>
      </c>
      <c r="B287" s="116" t="s">
        <v>72</v>
      </c>
      <c r="C287" s="116">
        <v>9200</v>
      </c>
      <c r="D287" s="96">
        <v>0</v>
      </c>
      <c r="E287" s="96">
        <v>0</v>
      </c>
      <c r="F287" s="96">
        <v>0</v>
      </c>
      <c r="G287" s="186">
        <v>0</v>
      </c>
    </row>
    <row r="288" spans="1:7" ht="22.5" customHeight="1" x14ac:dyDescent="0.25">
      <c r="A288" s="163">
        <v>37906</v>
      </c>
      <c r="B288" s="116" t="s">
        <v>72</v>
      </c>
      <c r="C288" s="116">
        <v>9200</v>
      </c>
      <c r="D288" s="96">
        <v>0</v>
      </c>
      <c r="E288" s="96">
        <v>0</v>
      </c>
      <c r="F288" s="96">
        <v>0</v>
      </c>
      <c r="G288" s="186">
        <v>0</v>
      </c>
    </row>
    <row r="289" spans="1:7" ht="22.5" customHeight="1" x14ac:dyDescent="0.25">
      <c r="A289" s="163">
        <v>37907</v>
      </c>
      <c r="B289" s="116" t="s">
        <v>76</v>
      </c>
      <c r="C289" s="116">
        <v>9100</v>
      </c>
      <c r="D289" s="96">
        <v>0</v>
      </c>
      <c r="E289" s="96">
        <v>0</v>
      </c>
      <c r="F289" s="96">
        <v>0</v>
      </c>
      <c r="G289" s="186">
        <v>0</v>
      </c>
    </row>
    <row r="290" spans="1:7" ht="22.5" customHeight="1" x14ac:dyDescent="0.25">
      <c r="A290" s="163">
        <v>37908</v>
      </c>
      <c r="B290" s="116" t="s">
        <v>72</v>
      </c>
      <c r="C290" s="116">
        <v>9200</v>
      </c>
      <c r="D290" s="96">
        <v>0</v>
      </c>
      <c r="E290" s="96">
        <v>0</v>
      </c>
      <c r="F290" s="96">
        <v>0</v>
      </c>
      <c r="G290" s="186">
        <v>0</v>
      </c>
    </row>
    <row r="291" spans="1:7" ht="22.5" customHeight="1" x14ac:dyDescent="0.25">
      <c r="A291" s="163">
        <v>37909</v>
      </c>
      <c r="B291" s="116" t="s">
        <v>72</v>
      </c>
      <c r="C291" s="116">
        <v>9200</v>
      </c>
      <c r="D291" s="96">
        <v>0</v>
      </c>
      <c r="E291" s="96">
        <v>0</v>
      </c>
      <c r="F291" s="96">
        <v>0</v>
      </c>
      <c r="G291" s="186">
        <v>0</v>
      </c>
    </row>
    <row r="292" spans="1:7" ht="22.5" customHeight="1" x14ac:dyDescent="0.25">
      <c r="A292" s="163">
        <v>37910</v>
      </c>
      <c r="B292" s="116" t="s">
        <v>72</v>
      </c>
      <c r="C292" s="116">
        <v>9200</v>
      </c>
      <c r="D292" s="96">
        <v>0</v>
      </c>
      <c r="E292" s="96">
        <v>0</v>
      </c>
      <c r="F292" s="96">
        <v>0</v>
      </c>
      <c r="G292" s="186">
        <v>0</v>
      </c>
    </row>
    <row r="293" spans="1:7" ht="22.5" customHeight="1" x14ac:dyDescent="0.25">
      <c r="A293" s="163">
        <v>37911</v>
      </c>
      <c r="B293" s="116" t="s">
        <v>72</v>
      </c>
      <c r="C293" s="116">
        <v>9200</v>
      </c>
      <c r="D293" s="96">
        <v>0</v>
      </c>
      <c r="E293" s="96">
        <v>0</v>
      </c>
      <c r="F293" s="96">
        <v>0</v>
      </c>
      <c r="G293" s="186">
        <v>0</v>
      </c>
    </row>
    <row r="294" spans="1:7" ht="22.5" customHeight="1" x14ac:dyDescent="0.25">
      <c r="A294" s="163">
        <v>37912</v>
      </c>
      <c r="B294" s="116" t="s">
        <v>72</v>
      </c>
      <c r="C294" s="116">
        <v>9200</v>
      </c>
      <c r="D294" s="96">
        <v>0</v>
      </c>
      <c r="E294" s="96">
        <v>0</v>
      </c>
      <c r="F294" s="96">
        <v>0</v>
      </c>
      <c r="G294" s="186">
        <v>0</v>
      </c>
    </row>
    <row r="295" spans="1:7" ht="22.5" customHeight="1" x14ac:dyDescent="0.25">
      <c r="A295" s="163">
        <v>37913</v>
      </c>
      <c r="B295" s="116" t="s">
        <v>72</v>
      </c>
      <c r="C295" s="116">
        <v>9200</v>
      </c>
      <c r="D295" s="96">
        <v>0</v>
      </c>
      <c r="E295" s="96">
        <v>0</v>
      </c>
      <c r="F295" s="96">
        <v>0</v>
      </c>
      <c r="G295" s="186">
        <v>0</v>
      </c>
    </row>
    <row r="296" spans="1:7" ht="22.5" customHeight="1" x14ac:dyDescent="0.25">
      <c r="A296" s="163">
        <v>37914</v>
      </c>
      <c r="B296" s="116" t="s">
        <v>72</v>
      </c>
      <c r="C296" s="116">
        <v>9200</v>
      </c>
      <c r="D296" s="96">
        <v>0</v>
      </c>
      <c r="E296" s="96">
        <v>0</v>
      </c>
      <c r="F296" s="96">
        <v>0</v>
      </c>
      <c r="G296" s="186">
        <v>0</v>
      </c>
    </row>
    <row r="297" spans="1:7" ht="22.5" customHeight="1" x14ac:dyDescent="0.25">
      <c r="A297" s="163">
        <v>37915</v>
      </c>
      <c r="B297" s="116" t="s">
        <v>72</v>
      </c>
      <c r="C297" s="116">
        <v>9200</v>
      </c>
      <c r="D297" s="96">
        <v>10</v>
      </c>
      <c r="E297" s="96">
        <v>0</v>
      </c>
      <c r="F297" s="96">
        <v>15</v>
      </c>
      <c r="G297" s="186">
        <v>0</v>
      </c>
    </row>
    <row r="298" spans="1:7" ht="22.5" customHeight="1" x14ac:dyDescent="0.25">
      <c r="A298" s="163">
        <v>37916</v>
      </c>
      <c r="B298" s="116" t="s">
        <v>80</v>
      </c>
      <c r="C298" s="96">
        <v>9000</v>
      </c>
      <c r="D298" s="96">
        <v>10</v>
      </c>
      <c r="E298" s="96">
        <v>0</v>
      </c>
      <c r="F298" s="96">
        <v>15</v>
      </c>
      <c r="G298" s="186">
        <v>0</v>
      </c>
    </row>
    <row r="299" spans="1:7" ht="22.5" customHeight="1" x14ac:dyDescent="0.25">
      <c r="A299" s="163">
        <v>37917</v>
      </c>
      <c r="B299" s="116" t="s">
        <v>82</v>
      </c>
      <c r="C299" s="96">
        <v>8800</v>
      </c>
      <c r="D299" s="96">
        <v>10</v>
      </c>
      <c r="E299" s="96">
        <v>0</v>
      </c>
      <c r="F299" s="96">
        <v>10</v>
      </c>
      <c r="G299" s="186">
        <v>0</v>
      </c>
    </row>
    <row r="300" spans="1:7" ht="22.5" customHeight="1" x14ac:dyDescent="0.25">
      <c r="A300" s="163">
        <v>37918</v>
      </c>
      <c r="B300" s="116" t="s">
        <v>403</v>
      </c>
      <c r="C300" s="96">
        <v>8600</v>
      </c>
      <c r="D300" s="96">
        <v>10</v>
      </c>
      <c r="E300" s="96">
        <v>0</v>
      </c>
      <c r="F300" s="96">
        <v>10</v>
      </c>
      <c r="G300" s="186">
        <v>0</v>
      </c>
    </row>
    <row r="301" spans="1:7" ht="22.5" customHeight="1" x14ac:dyDescent="0.25">
      <c r="A301" s="163">
        <v>37919</v>
      </c>
      <c r="B301" s="116" t="s">
        <v>86</v>
      </c>
      <c r="C301" s="96">
        <v>8400</v>
      </c>
      <c r="D301" s="96">
        <v>10</v>
      </c>
      <c r="E301" s="96">
        <v>0</v>
      </c>
      <c r="F301" s="96">
        <v>10</v>
      </c>
      <c r="G301" s="186">
        <v>0</v>
      </c>
    </row>
    <row r="302" spans="1:7" ht="22.5" customHeight="1" x14ac:dyDescent="0.25">
      <c r="A302" s="163">
        <v>37920</v>
      </c>
      <c r="B302" s="116" t="s">
        <v>90</v>
      </c>
      <c r="C302" s="116">
        <v>8250</v>
      </c>
      <c r="D302" s="96">
        <v>14</v>
      </c>
      <c r="E302" s="96">
        <v>0</v>
      </c>
      <c r="F302" s="96">
        <v>10</v>
      </c>
      <c r="G302" s="186">
        <v>0</v>
      </c>
    </row>
    <row r="303" spans="1:7" ht="22.5" customHeight="1" x14ac:dyDescent="0.25">
      <c r="A303" s="163">
        <v>37921</v>
      </c>
      <c r="B303" s="116" t="s">
        <v>94</v>
      </c>
      <c r="C303" s="116">
        <v>8100</v>
      </c>
      <c r="D303" s="96">
        <v>14</v>
      </c>
      <c r="E303" s="96">
        <v>0</v>
      </c>
      <c r="F303" s="96">
        <v>7</v>
      </c>
      <c r="G303" s="186">
        <v>0</v>
      </c>
    </row>
    <row r="304" spans="1:7" ht="22.5" customHeight="1" x14ac:dyDescent="0.25">
      <c r="A304" s="163">
        <v>37922</v>
      </c>
      <c r="B304" s="116" t="s">
        <v>96</v>
      </c>
      <c r="C304" s="116">
        <v>8000</v>
      </c>
      <c r="D304" s="96">
        <v>14</v>
      </c>
      <c r="E304" s="96">
        <v>0</v>
      </c>
      <c r="F304" s="96">
        <v>7</v>
      </c>
      <c r="G304" s="186">
        <v>0</v>
      </c>
    </row>
    <row r="305" spans="1:7" ht="22.5" customHeight="1" x14ac:dyDescent="0.25">
      <c r="A305" s="163">
        <v>37923</v>
      </c>
      <c r="B305" s="116" t="s">
        <v>511</v>
      </c>
      <c r="C305" s="116">
        <v>7800</v>
      </c>
      <c r="D305" s="96">
        <v>1.8</v>
      </c>
      <c r="E305" s="96">
        <v>0</v>
      </c>
      <c r="F305" s="96">
        <v>1.8</v>
      </c>
      <c r="G305" s="186">
        <v>0</v>
      </c>
    </row>
    <row r="306" spans="1:7" ht="22.5" customHeight="1" x14ac:dyDescent="0.25">
      <c r="A306" s="163">
        <v>37924</v>
      </c>
      <c r="B306" s="116" t="s">
        <v>112</v>
      </c>
      <c r="C306" s="116">
        <v>7500</v>
      </c>
      <c r="D306" s="96" t="s">
        <v>1472</v>
      </c>
      <c r="E306" s="96">
        <v>0</v>
      </c>
      <c r="F306" s="96">
        <v>1.8</v>
      </c>
      <c r="G306" s="186">
        <v>0</v>
      </c>
    </row>
    <row r="307" spans="1:7" ht="22.5" customHeight="1" x14ac:dyDescent="0.25">
      <c r="A307" s="163">
        <v>37925</v>
      </c>
      <c r="B307" s="116" t="s">
        <v>1</v>
      </c>
      <c r="C307" s="116" t="s">
        <v>122</v>
      </c>
      <c r="D307" s="96">
        <v>1.8</v>
      </c>
      <c r="E307" s="96">
        <v>0</v>
      </c>
      <c r="F307" s="96">
        <v>1.8</v>
      </c>
      <c r="G307" s="186">
        <v>0</v>
      </c>
    </row>
    <row r="308" spans="1:7" ht="22.5" customHeight="1" x14ac:dyDescent="0.25">
      <c r="A308" s="163">
        <v>37926</v>
      </c>
      <c r="B308" s="116" t="s">
        <v>108</v>
      </c>
      <c r="C308" s="116">
        <v>7000</v>
      </c>
      <c r="D308" s="96">
        <v>1.8</v>
      </c>
      <c r="E308" s="96">
        <v>0</v>
      </c>
      <c r="F308" s="96">
        <v>1.8</v>
      </c>
      <c r="G308" s="186">
        <v>0</v>
      </c>
    </row>
    <row r="309" spans="1:7" ht="22.5" customHeight="1" x14ac:dyDescent="0.25">
      <c r="A309" s="163">
        <v>37927</v>
      </c>
      <c r="B309" s="116" t="s">
        <v>192</v>
      </c>
      <c r="C309" s="96">
        <v>6900</v>
      </c>
      <c r="D309" s="96" t="s">
        <v>321</v>
      </c>
      <c r="E309" s="96">
        <v>0</v>
      </c>
      <c r="F309" s="96" t="s">
        <v>321</v>
      </c>
      <c r="G309" s="186">
        <v>0</v>
      </c>
    </row>
    <row r="310" spans="1:7" ht="22.5" customHeight="1" x14ac:dyDescent="0.25">
      <c r="A310" s="163">
        <v>37928</v>
      </c>
      <c r="B310" s="116" t="s">
        <v>422</v>
      </c>
      <c r="C310" s="96">
        <v>6700</v>
      </c>
      <c r="D310" s="96" t="s">
        <v>321</v>
      </c>
      <c r="E310" s="96">
        <v>0</v>
      </c>
      <c r="F310" s="96" t="s">
        <v>321</v>
      </c>
      <c r="G310" s="186">
        <v>0</v>
      </c>
    </row>
    <row r="311" spans="1:7" ht="22.5" customHeight="1" x14ac:dyDescent="0.25">
      <c r="A311" s="163">
        <v>37929</v>
      </c>
      <c r="B311" s="116" t="s">
        <v>208</v>
      </c>
      <c r="C311" s="96">
        <v>6450</v>
      </c>
      <c r="D311" s="96" t="s">
        <v>321</v>
      </c>
      <c r="E311" s="96">
        <v>0</v>
      </c>
      <c r="F311" s="96" t="s">
        <v>321</v>
      </c>
      <c r="G311" s="186">
        <v>0</v>
      </c>
    </row>
    <row r="312" spans="1:7" ht="22.5" customHeight="1" x14ac:dyDescent="0.25">
      <c r="A312" s="163">
        <v>37930</v>
      </c>
      <c r="B312" s="116" t="s">
        <v>171</v>
      </c>
      <c r="C312" s="116" t="s">
        <v>1358</v>
      </c>
      <c r="D312" s="96" t="s">
        <v>321</v>
      </c>
      <c r="E312" s="96">
        <v>0</v>
      </c>
      <c r="F312" s="96" t="s">
        <v>321</v>
      </c>
      <c r="G312" s="186">
        <v>0</v>
      </c>
    </row>
    <row r="313" spans="1:7" ht="22.5" customHeight="1" x14ac:dyDescent="0.25">
      <c r="A313" s="163">
        <v>37931</v>
      </c>
      <c r="B313" s="116" t="s">
        <v>169</v>
      </c>
      <c r="C313" s="116" t="s">
        <v>1360</v>
      </c>
      <c r="D313" s="96" t="s">
        <v>321</v>
      </c>
      <c r="E313" s="96">
        <v>0</v>
      </c>
      <c r="F313" s="96" t="s">
        <v>321</v>
      </c>
      <c r="G313" s="186">
        <v>0</v>
      </c>
    </row>
    <row r="314" spans="1:7" ht="22.5" customHeight="1" x14ac:dyDescent="0.25">
      <c r="A314" s="163">
        <v>37932</v>
      </c>
      <c r="B314" s="116" t="s">
        <v>229</v>
      </c>
      <c r="C314" s="116" t="s">
        <v>1363</v>
      </c>
      <c r="D314" s="96" t="s">
        <v>321</v>
      </c>
      <c r="E314" s="96">
        <v>0</v>
      </c>
      <c r="F314" s="96" t="s">
        <v>321</v>
      </c>
      <c r="G314" s="186">
        <v>0</v>
      </c>
    </row>
    <row r="315" spans="1:7" ht="22.5" customHeight="1" x14ac:dyDescent="0.25">
      <c r="A315" s="163">
        <v>37933</v>
      </c>
      <c r="B315" s="116" t="s">
        <v>236</v>
      </c>
      <c r="C315" s="96">
        <v>5800</v>
      </c>
      <c r="D315" s="96" t="s">
        <v>321</v>
      </c>
      <c r="E315" s="96">
        <v>0</v>
      </c>
      <c r="F315" s="96" t="s">
        <v>321</v>
      </c>
      <c r="G315" s="186">
        <v>0</v>
      </c>
    </row>
    <row r="316" spans="1:7" ht="22.5" customHeight="1" x14ac:dyDescent="0.25">
      <c r="A316" s="163">
        <v>37934</v>
      </c>
      <c r="B316" s="116" t="s">
        <v>242</v>
      </c>
      <c r="C316" s="96">
        <v>5600</v>
      </c>
      <c r="D316" s="96" t="s">
        <v>321</v>
      </c>
      <c r="E316" s="96">
        <v>0</v>
      </c>
      <c r="F316" s="96" t="s">
        <v>321</v>
      </c>
      <c r="G316" s="186">
        <v>0</v>
      </c>
    </row>
    <row r="317" spans="1:7" ht="22.5" customHeight="1" x14ac:dyDescent="0.25">
      <c r="A317" s="163">
        <v>37935</v>
      </c>
      <c r="B317" s="116" t="s">
        <v>248</v>
      </c>
      <c r="C317" s="96">
        <v>5400</v>
      </c>
      <c r="D317" s="96" t="s">
        <v>321</v>
      </c>
      <c r="E317" s="96">
        <v>0</v>
      </c>
      <c r="F317" s="96" t="s">
        <v>321</v>
      </c>
      <c r="G317" s="186">
        <v>0</v>
      </c>
    </row>
    <row r="318" spans="1:7" ht="22.5" customHeight="1" x14ac:dyDescent="0.25">
      <c r="A318" s="163">
        <v>37936</v>
      </c>
      <c r="B318" s="116" t="s">
        <v>153</v>
      </c>
      <c r="C318" s="96">
        <v>5350</v>
      </c>
      <c r="D318" s="96" t="s">
        <v>321</v>
      </c>
      <c r="E318" s="96">
        <v>0</v>
      </c>
      <c r="F318" s="96" t="s">
        <v>321</v>
      </c>
      <c r="G318" s="186">
        <v>0</v>
      </c>
    </row>
    <row r="319" spans="1:7" ht="22.5" customHeight="1" x14ac:dyDescent="0.25">
      <c r="A319" s="163">
        <v>37937</v>
      </c>
      <c r="B319" s="116" t="s">
        <v>151</v>
      </c>
      <c r="C319" s="116" t="s">
        <v>1065</v>
      </c>
      <c r="D319" s="96" t="s">
        <v>321</v>
      </c>
      <c r="E319" s="96">
        <v>0</v>
      </c>
      <c r="F319" s="96" t="s">
        <v>321</v>
      </c>
      <c r="G319" s="186">
        <v>0</v>
      </c>
    </row>
    <row r="320" spans="1:7" ht="22.5" customHeight="1" x14ac:dyDescent="0.25">
      <c r="A320" s="163">
        <v>37938</v>
      </c>
      <c r="B320" s="116" t="s">
        <v>258</v>
      </c>
      <c r="C320" s="116" t="s">
        <v>1065</v>
      </c>
      <c r="D320" s="96" t="s">
        <v>417</v>
      </c>
      <c r="E320" s="96">
        <v>0</v>
      </c>
      <c r="F320" s="96" t="s">
        <v>321</v>
      </c>
      <c r="G320" s="186">
        <v>0</v>
      </c>
    </row>
    <row r="321" spans="1:7" ht="22.5" customHeight="1" x14ac:dyDescent="0.25">
      <c r="A321" s="163">
        <v>37939</v>
      </c>
      <c r="B321" s="116" t="s">
        <v>262</v>
      </c>
      <c r="C321" s="116" t="s">
        <v>1082</v>
      </c>
      <c r="D321" s="96" t="s">
        <v>417</v>
      </c>
      <c r="E321" s="96">
        <v>0</v>
      </c>
      <c r="F321" s="96" t="s">
        <v>321</v>
      </c>
      <c r="G321" s="186">
        <v>0</v>
      </c>
    </row>
    <row r="322" spans="1:7" ht="22.5" customHeight="1" x14ac:dyDescent="0.25">
      <c r="A322" s="163">
        <v>37940</v>
      </c>
      <c r="B322" s="116" t="s">
        <v>423</v>
      </c>
      <c r="C322" s="116" t="s">
        <v>1373</v>
      </c>
      <c r="D322" s="96" t="s">
        <v>417</v>
      </c>
      <c r="E322" s="96">
        <v>0</v>
      </c>
      <c r="F322" s="96" t="s">
        <v>321</v>
      </c>
      <c r="G322" s="186">
        <v>0</v>
      </c>
    </row>
    <row r="323" spans="1:7" ht="22.5" customHeight="1" x14ac:dyDescent="0.25">
      <c r="A323" s="163">
        <v>37941</v>
      </c>
      <c r="B323" s="116" t="s">
        <v>143</v>
      </c>
      <c r="C323" s="116" t="s">
        <v>146</v>
      </c>
      <c r="D323" s="96" t="s">
        <v>417</v>
      </c>
      <c r="E323" s="96">
        <v>0</v>
      </c>
      <c r="F323" s="96" t="s">
        <v>321</v>
      </c>
      <c r="G323" s="186">
        <v>0</v>
      </c>
    </row>
    <row r="324" spans="1:7" ht="22.5" customHeight="1" x14ac:dyDescent="0.25">
      <c r="A324" s="163">
        <v>37942</v>
      </c>
      <c r="B324" s="116" t="s">
        <v>145</v>
      </c>
      <c r="C324" s="116" t="s">
        <v>1083</v>
      </c>
      <c r="D324" s="94">
        <v>0</v>
      </c>
      <c r="E324" s="96">
        <v>0</v>
      </c>
      <c r="F324" s="94">
        <v>0</v>
      </c>
      <c r="G324" s="186">
        <v>0</v>
      </c>
    </row>
    <row r="325" spans="1:7" ht="22.5" customHeight="1" x14ac:dyDescent="0.25">
      <c r="A325" s="163">
        <v>37943</v>
      </c>
      <c r="B325" s="116" t="s">
        <v>145</v>
      </c>
      <c r="C325" s="116" t="s">
        <v>1083</v>
      </c>
      <c r="D325" s="94">
        <v>0</v>
      </c>
      <c r="E325" s="96">
        <v>0</v>
      </c>
      <c r="F325" s="94">
        <v>0</v>
      </c>
      <c r="G325" s="186">
        <v>0</v>
      </c>
    </row>
    <row r="326" spans="1:7" ht="22.5" customHeight="1" x14ac:dyDescent="0.25">
      <c r="A326" s="163">
        <v>37944</v>
      </c>
      <c r="B326" s="116" t="s">
        <v>145</v>
      </c>
      <c r="C326" s="116" t="s">
        <v>1083</v>
      </c>
      <c r="D326" s="94">
        <v>0</v>
      </c>
      <c r="E326" s="96">
        <v>0</v>
      </c>
      <c r="F326" s="94">
        <v>0</v>
      </c>
      <c r="G326" s="186">
        <v>0</v>
      </c>
    </row>
    <row r="327" spans="1:7" ht="22.5" customHeight="1" x14ac:dyDescent="0.25">
      <c r="A327" s="163">
        <v>37945</v>
      </c>
      <c r="B327" s="116" t="s">
        <v>145</v>
      </c>
      <c r="C327" s="116" t="s">
        <v>1083</v>
      </c>
      <c r="D327" s="94">
        <v>0</v>
      </c>
      <c r="E327" s="96">
        <v>0</v>
      </c>
      <c r="F327" s="94">
        <v>0</v>
      </c>
      <c r="G327" s="186">
        <v>0</v>
      </c>
    </row>
    <row r="328" spans="1:7" ht="22.5" customHeight="1" x14ac:dyDescent="0.25">
      <c r="A328" s="163">
        <v>37946</v>
      </c>
      <c r="B328" s="116" t="s">
        <v>145</v>
      </c>
      <c r="C328" s="116" t="s">
        <v>1083</v>
      </c>
      <c r="D328" s="94">
        <v>0</v>
      </c>
      <c r="E328" s="96">
        <v>0</v>
      </c>
      <c r="F328" s="94">
        <v>0</v>
      </c>
      <c r="G328" s="186">
        <v>0</v>
      </c>
    </row>
    <row r="329" spans="1:7" ht="22.5" customHeight="1" x14ac:dyDescent="0.25">
      <c r="A329" s="163">
        <v>37947</v>
      </c>
      <c r="B329" s="116" t="s">
        <v>423</v>
      </c>
      <c r="C329" s="96">
        <v>5100</v>
      </c>
      <c r="D329" s="94">
        <v>0</v>
      </c>
      <c r="E329" s="96">
        <v>0</v>
      </c>
      <c r="F329" s="94">
        <v>0</v>
      </c>
      <c r="G329" s="186">
        <v>0</v>
      </c>
    </row>
    <row r="330" spans="1:7" ht="22.5" customHeight="1" x14ac:dyDescent="0.25">
      <c r="A330" s="163">
        <v>37948</v>
      </c>
      <c r="B330" s="116" t="s">
        <v>149</v>
      </c>
      <c r="C330" s="96">
        <v>5150</v>
      </c>
      <c r="D330" s="94">
        <v>0</v>
      </c>
      <c r="E330" s="96">
        <v>0</v>
      </c>
      <c r="F330" s="94">
        <v>0</v>
      </c>
      <c r="G330" s="186">
        <v>0</v>
      </c>
    </row>
    <row r="331" spans="1:7" ht="22.5" customHeight="1" x14ac:dyDescent="0.25">
      <c r="A331" s="163">
        <v>37949</v>
      </c>
      <c r="B331" s="116" t="s">
        <v>262</v>
      </c>
      <c r="C331" s="96">
        <v>5200</v>
      </c>
      <c r="D331" s="94">
        <v>0</v>
      </c>
      <c r="E331" s="96">
        <v>0</v>
      </c>
      <c r="F331" s="94">
        <v>0</v>
      </c>
      <c r="G331" s="186">
        <v>0</v>
      </c>
    </row>
    <row r="332" spans="1:7" ht="22.5" customHeight="1" x14ac:dyDescent="0.25">
      <c r="A332" s="163">
        <v>37950</v>
      </c>
      <c r="B332" s="116" t="s">
        <v>262</v>
      </c>
      <c r="C332" s="96">
        <v>5200</v>
      </c>
      <c r="D332" s="94">
        <v>0</v>
      </c>
      <c r="E332" s="96">
        <v>0</v>
      </c>
      <c r="F332" s="94">
        <v>0</v>
      </c>
      <c r="G332" s="186">
        <v>0</v>
      </c>
    </row>
    <row r="333" spans="1:7" ht="22.5" customHeight="1" x14ac:dyDescent="0.25">
      <c r="A333" s="163">
        <v>37951</v>
      </c>
      <c r="B333" s="116" t="s">
        <v>262</v>
      </c>
      <c r="C333" s="96">
        <v>5200</v>
      </c>
      <c r="D333" s="94">
        <v>0</v>
      </c>
      <c r="E333" s="96">
        <v>0</v>
      </c>
      <c r="F333" s="94">
        <v>0</v>
      </c>
      <c r="G333" s="186">
        <v>0</v>
      </c>
    </row>
    <row r="334" spans="1:7" ht="22.5" customHeight="1" x14ac:dyDescent="0.25">
      <c r="A334" s="163">
        <v>37952</v>
      </c>
      <c r="B334" s="116" t="s">
        <v>262</v>
      </c>
      <c r="C334" s="96">
        <v>5200</v>
      </c>
      <c r="D334" s="94">
        <v>0</v>
      </c>
      <c r="E334" s="96">
        <v>0</v>
      </c>
      <c r="F334" s="94">
        <v>0</v>
      </c>
      <c r="G334" s="186">
        <v>0</v>
      </c>
    </row>
    <row r="335" spans="1:7" ht="22.5" customHeight="1" x14ac:dyDescent="0.25">
      <c r="A335" s="163">
        <v>37953</v>
      </c>
      <c r="B335" s="116" t="s">
        <v>258</v>
      </c>
      <c r="C335" s="96">
        <v>5250</v>
      </c>
      <c r="D335" s="94">
        <v>0</v>
      </c>
      <c r="E335" s="96">
        <v>0</v>
      </c>
      <c r="F335" s="94">
        <v>0</v>
      </c>
      <c r="G335" s="186">
        <v>0</v>
      </c>
    </row>
    <row r="336" spans="1:7" ht="22.5" customHeight="1" x14ac:dyDescent="0.25">
      <c r="A336" s="163">
        <v>37954</v>
      </c>
      <c r="B336" s="116" t="s">
        <v>239</v>
      </c>
      <c r="C336" s="96">
        <v>5700</v>
      </c>
      <c r="D336" s="94">
        <v>0</v>
      </c>
      <c r="E336" s="96">
        <v>0</v>
      </c>
      <c r="F336" s="94">
        <v>0</v>
      </c>
      <c r="G336" s="186">
        <v>0</v>
      </c>
    </row>
    <row r="337" spans="1:7" ht="22.5" customHeight="1" x14ac:dyDescent="0.25">
      <c r="A337" s="163">
        <v>37955</v>
      </c>
      <c r="B337" s="116" t="s">
        <v>169</v>
      </c>
      <c r="C337" s="116">
        <v>6150</v>
      </c>
      <c r="D337" s="94">
        <v>0</v>
      </c>
      <c r="E337" s="96">
        <v>0</v>
      </c>
      <c r="F337" s="94">
        <v>0</v>
      </c>
      <c r="G337" s="186">
        <v>0</v>
      </c>
    </row>
    <row r="338" spans="1:7" ht="22.5" customHeight="1" x14ac:dyDescent="0.25">
      <c r="A338" s="163">
        <v>37956</v>
      </c>
      <c r="B338" s="116" t="s">
        <v>227</v>
      </c>
      <c r="C338" s="116">
        <v>6900</v>
      </c>
      <c r="D338" s="94">
        <v>0</v>
      </c>
      <c r="E338" s="96">
        <v>0</v>
      </c>
      <c r="F338" s="94">
        <v>0</v>
      </c>
      <c r="G338" s="186">
        <v>0</v>
      </c>
    </row>
    <row r="339" spans="1:7" ht="22.5" customHeight="1" x14ac:dyDescent="0.25">
      <c r="A339" s="163">
        <v>37957</v>
      </c>
      <c r="B339" s="116" t="s">
        <v>118</v>
      </c>
      <c r="C339" s="116">
        <v>6950</v>
      </c>
      <c r="D339" s="94">
        <v>0</v>
      </c>
      <c r="E339" s="96">
        <v>0</v>
      </c>
      <c r="F339" s="94">
        <v>0</v>
      </c>
      <c r="G339" s="186">
        <v>0</v>
      </c>
    </row>
    <row r="340" spans="1:7" ht="22.5" customHeight="1" x14ac:dyDescent="0.25">
      <c r="A340" s="163">
        <v>37958</v>
      </c>
      <c r="B340" s="116" t="s">
        <v>118</v>
      </c>
      <c r="C340" s="116">
        <v>6950</v>
      </c>
      <c r="D340" s="94">
        <v>0</v>
      </c>
      <c r="E340" s="96">
        <v>0</v>
      </c>
      <c r="F340" s="94">
        <v>0</v>
      </c>
      <c r="G340" s="186">
        <v>0</v>
      </c>
    </row>
    <row r="341" spans="1:7" ht="22.5" customHeight="1" x14ac:dyDescent="0.25">
      <c r="A341" s="163">
        <v>37959</v>
      </c>
      <c r="B341" s="116" t="s">
        <v>118</v>
      </c>
      <c r="C341" s="116">
        <v>6950</v>
      </c>
      <c r="D341" s="94">
        <v>0</v>
      </c>
      <c r="E341" s="96">
        <v>0</v>
      </c>
      <c r="F341" s="94">
        <v>0</v>
      </c>
      <c r="G341" s="186">
        <v>0</v>
      </c>
    </row>
    <row r="342" spans="1:7" ht="22.5" customHeight="1" x14ac:dyDescent="0.25">
      <c r="A342" s="163">
        <v>37960</v>
      </c>
      <c r="B342" s="116" t="s">
        <v>118</v>
      </c>
      <c r="C342" s="116">
        <v>6950</v>
      </c>
      <c r="D342" s="94">
        <v>0</v>
      </c>
      <c r="E342" s="96">
        <v>0</v>
      </c>
      <c r="F342" s="94">
        <v>0</v>
      </c>
      <c r="G342" s="186">
        <v>0</v>
      </c>
    </row>
    <row r="343" spans="1:7" ht="22.5" customHeight="1" x14ac:dyDescent="0.25">
      <c r="A343" s="163">
        <v>37961</v>
      </c>
      <c r="B343" s="116" t="s">
        <v>118</v>
      </c>
      <c r="C343" s="116">
        <v>6950</v>
      </c>
      <c r="D343" s="94">
        <v>0</v>
      </c>
      <c r="E343" s="96">
        <v>0</v>
      </c>
      <c r="F343" s="94">
        <v>0</v>
      </c>
      <c r="G343" s="186">
        <v>0</v>
      </c>
    </row>
    <row r="344" spans="1:7" ht="22.5" customHeight="1" x14ac:dyDescent="0.25">
      <c r="A344" s="163">
        <v>37962</v>
      </c>
      <c r="B344" s="116" t="s">
        <v>118</v>
      </c>
      <c r="C344" s="116">
        <v>6950</v>
      </c>
      <c r="D344" s="94">
        <v>0</v>
      </c>
      <c r="E344" s="96">
        <v>0</v>
      </c>
      <c r="F344" s="94">
        <v>0</v>
      </c>
      <c r="G344" s="186">
        <v>0</v>
      </c>
    </row>
    <row r="345" spans="1:7" ht="22.5" customHeight="1" x14ac:dyDescent="0.25">
      <c r="A345" s="163">
        <v>37963</v>
      </c>
      <c r="B345" s="116" t="s">
        <v>118</v>
      </c>
      <c r="C345" s="116">
        <v>6950</v>
      </c>
      <c r="D345" s="94">
        <v>0</v>
      </c>
      <c r="E345" s="96">
        <v>0</v>
      </c>
      <c r="F345" s="94">
        <v>0</v>
      </c>
      <c r="G345" s="186">
        <v>0</v>
      </c>
    </row>
    <row r="346" spans="1:7" ht="22.5" customHeight="1" x14ac:dyDescent="0.25">
      <c r="A346" s="163">
        <v>37964</v>
      </c>
      <c r="B346" s="116" t="s">
        <v>108</v>
      </c>
      <c r="C346" s="116">
        <v>7000</v>
      </c>
      <c r="D346" s="94">
        <v>0</v>
      </c>
      <c r="E346" s="96">
        <v>0</v>
      </c>
      <c r="F346" s="94">
        <v>0</v>
      </c>
      <c r="G346" s="186">
        <v>0</v>
      </c>
    </row>
    <row r="347" spans="1:7" ht="22.5" customHeight="1" x14ac:dyDescent="0.25">
      <c r="A347" s="163">
        <v>37965</v>
      </c>
      <c r="B347" s="116" t="s">
        <v>108</v>
      </c>
      <c r="C347" s="116">
        <v>7000</v>
      </c>
      <c r="D347" s="94">
        <v>0</v>
      </c>
      <c r="E347" s="96">
        <v>0</v>
      </c>
      <c r="F347" s="94">
        <v>0</v>
      </c>
      <c r="G347" s="186">
        <v>0</v>
      </c>
    </row>
    <row r="348" spans="1:7" ht="22.5" customHeight="1" x14ac:dyDescent="0.25">
      <c r="A348" s="163">
        <v>37966</v>
      </c>
      <c r="B348" s="116" t="s">
        <v>108</v>
      </c>
      <c r="C348" s="116">
        <v>7000</v>
      </c>
      <c r="D348" s="94">
        <v>0</v>
      </c>
      <c r="E348" s="96">
        <v>0</v>
      </c>
      <c r="F348" s="94">
        <v>0</v>
      </c>
      <c r="G348" s="186">
        <v>0</v>
      </c>
    </row>
    <row r="349" spans="1:7" ht="22.5" customHeight="1" x14ac:dyDescent="0.25">
      <c r="A349" s="163">
        <v>37967</v>
      </c>
      <c r="B349" s="116" t="s">
        <v>108</v>
      </c>
      <c r="C349" s="116" t="s">
        <v>121</v>
      </c>
      <c r="D349" s="116" t="s">
        <v>321</v>
      </c>
      <c r="E349" s="94">
        <v>0</v>
      </c>
      <c r="F349" s="96" t="s">
        <v>431</v>
      </c>
      <c r="G349" s="186">
        <v>0</v>
      </c>
    </row>
    <row r="350" spans="1:7" ht="22.5" customHeight="1" x14ac:dyDescent="0.25">
      <c r="A350" s="163">
        <v>37968</v>
      </c>
      <c r="B350" s="116" t="s">
        <v>192</v>
      </c>
      <c r="C350" s="116" t="s">
        <v>1351</v>
      </c>
      <c r="D350" s="116" t="s">
        <v>321</v>
      </c>
      <c r="E350" s="94">
        <v>0</v>
      </c>
      <c r="F350" s="96" t="s">
        <v>431</v>
      </c>
      <c r="G350" s="186">
        <v>0</v>
      </c>
    </row>
    <row r="351" spans="1:7" ht="22.5" customHeight="1" x14ac:dyDescent="0.25">
      <c r="A351" s="163">
        <v>37969</v>
      </c>
      <c r="B351" s="116" t="s">
        <v>422</v>
      </c>
      <c r="C351" s="116" t="s">
        <v>1353</v>
      </c>
      <c r="D351" s="116" t="s">
        <v>321</v>
      </c>
      <c r="E351" s="94">
        <v>0</v>
      </c>
      <c r="F351" s="96" t="s">
        <v>431</v>
      </c>
      <c r="G351" s="186">
        <v>0</v>
      </c>
    </row>
    <row r="352" spans="1:7" ht="22.5" customHeight="1" x14ac:dyDescent="0.25">
      <c r="A352" s="163">
        <v>37970</v>
      </c>
      <c r="B352" s="116" t="s">
        <v>177</v>
      </c>
      <c r="C352" s="116" t="s">
        <v>1355</v>
      </c>
      <c r="D352" s="116" t="s">
        <v>321</v>
      </c>
      <c r="E352" s="94">
        <v>0</v>
      </c>
      <c r="F352" s="96" t="s">
        <v>321</v>
      </c>
      <c r="G352" s="186">
        <v>0</v>
      </c>
    </row>
    <row r="353" spans="1:7" ht="22.5" customHeight="1" x14ac:dyDescent="0.25">
      <c r="A353" s="163">
        <v>37971</v>
      </c>
      <c r="B353" s="116" t="s">
        <v>208</v>
      </c>
      <c r="C353" s="116" t="s">
        <v>1356</v>
      </c>
      <c r="D353" s="116" t="s">
        <v>321</v>
      </c>
      <c r="E353" s="94">
        <v>0</v>
      </c>
      <c r="F353" s="96" t="s">
        <v>321</v>
      </c>
      <c r="G353" s="186">
        <v>0</v>
      </c>
    </row>
    <row r="354" spans="1:7" ht="22.5" customHeight="1" x14ac:dyDescent="0.25">
      <c r="A354" s="163">
        <v>37972</v>
      </c>
      <c r="B354" s="116" t="s">
        <v>171</v>
      </c>
      <c r="C354" s="116" t="s">
        <v>1358</v>
      </c>
      <c r="D354" s="116" t="s">
        <v>321</v>
      </c>
      <c r="E354" s="94">
        <v>0</v>
      </c>
      <c r="F354" s="96" t="s">
        <v>321</v>
      </c>
      <c r="G354" s="186">
        <v>0</v>
      </c>
    </row>
    <row r="355" spans="1:7" ht="22.5" customHeight="1" x14ac:dyDescent="0.25">
      <c r="A355" s="163">
        <v>37973</v>
      </c>
      <c r="B355" s="116" t="s">
        <v>169</v>
      </c>
      <c r="C355" s="116" t="s">
        <v>1360</v>
      </c>
      <c r="D355" s="116" t="s">
        <v>321</v>
      </c>
      <c r="E355" s="94">
        <v>0</v>
      </c>
      <c r="F355" s="96" t="s">
        <v>321</v>
      </c>
      <c r="G355" s="186">
        <v>0</v>
      </c>
    </row>
    <row r="356" spans="1:7" ht="22.5" customHeight="1" x14ac:dyDescent="0.25">
      <c r="A356" s="163">
        <v>37974</v>
      </c>
      <c r="B356" s="116" t="s">
        <v>227</v>
      </c>
      <c r="C356" s="116" t="s">
        <v>164</v>
      </c>
      <c r="D356" s="116" t="s">
        <v>321</v>
      </c>
      <c r="E356" s="94">
        <v>0</v>
      </c>
      <c r="F356" s="96" t="s">
        <v>321</v>
      </c>
      <c r="G356" s="186">
        <v>0</v>
      </c>
    </row>
    <row r="357" spans="1:7" ht="22.5" customHeight="1" x14ac:dyDescent="0.25">
      <c r="A357" s="163">
        <v>37975</v>
      </c>
      <c r="B357" s="116" t="s">
        <v>221</v>
      </c>
      <c r="C357" s="116">
        <v>6200</v>
      </c>
      <c r="D357" s="190">
        <v>0</v>
      </c>
      <c r="E357" s="94">
        <v>0</v>
      </c>
      <c r="F357" s="96" t="s">
        <v>321</v>
      </c>
      <c r="G357" s="186">
        <v>0</v>
      </c>
    </row>
    <row r="358" spans="1:7" ht="22.5" customHeight="1" x14ac:dyDescent="0.25">
      <c r="A358" s="163">
        <v>37976</v>
      </c>
      <c r="B358" s="116" t="s">
        <v>221</v>
      </c>
      <c r="C358" s="116">
        <v>6200</v>
      </c>
      <c r="D358" s="190">
        <v>0</v>
      </c>
      <c r="E358" s="94">
        <v>0</v>
      </c>
      <c r="F358" s="96" t="s">
        <v>321</v>
      </c>
      <c r="G358" s="186">
        <v>0</v>
      </c>
    </row>
    <row r="359" spans="1:7" ht="22.5" customHeight="1" x14ac:dyDescent="0.25">
      <c r="A359" s="163">
        <v>37977</v>
      </c>
      <c r="B359" s="116" t="s">
        <v>169</v>
      </c>
      <c r="C359" s="116">
        <v>6150</v>
      </c>
      <c r="D359" s="190">
        <v>0</v>
      </c>
      <c r="E359" s="94">
        <v>0</v>
      </c>
      <c r="F359" s="96" t="s">
        <v>321</v>
      </c>
      <c r="G359" s="186">
        <v>0</v>
      </c>
    </row>
    <row r="360" spans="1:7" ht="22.5" customHeight="1" x14ac:dyDescent="0.25">
      <c r="A360" s="163">
        <v>37978</v>
      </c>
      <c r="B360" s="116" t="s">
        <v>165</v>
      </c>
      <c r="C360" s="96">
        <v>6100</v>
      </c>
      <c r="D360" s="190">
        <v>0</v>
      </c>
      <c r="E360" s="94">
        <v>0</v>
      </c>
      <c r="F360" s="96" t="s">
        <v>321</v>
      </c>
      <c r="G360" s="186">
        <v>0</v>
      </c>
    </row>
    <row r="361" spans="1:7" ht="22.5" customHeight="1" x14ac:dyDescent="0.25">
      <c r="A361" s="163">
        <v>37979</v>
      </c>
      <c r="B361" s="116" t="s">
        <v>227</v>
      </c>
      <c r="C361" s="96">
        <v>6000</v>
      </c>
      <c r="D361" s="190">
        <v>0</v>
      </c>
      <c r="E361" s="94">
        <v>0</v>
      </c>
      <c r="F361" s="96" t="s">
        <v>321</v>
      </c>
      <c r="G361" s="186">
        <v>0</v>
      </c>
    </row>
    <row r="362" spans="1:7" ht="22.5" customHeight="1" x14ac:dyDescent="0.25">
      <c r="A362" s="163">
        <v>37980</v>
      </c>
      <c r="B362" s="116" t="s">
        <v>229</v>
      </c>
      <c r="C362" s="96">
        <v>5900</v>
      </c>
      <c r="D362" s="190">
        <v>0</v>
      </c>
      <c r="E362" s="94">
        <v>0</v>
      </c>
      <c r="F362" s="96" t="s">
        <v>321</v>
      </c>
      <c r="G362" s="186">
        <v>0</v>
      </c>
    </row>
    <row r="363" spans="1:7" ht="22.5" customHeight="1" x14ac:dyDescent="0.25">
      <c r="A363" s="163">
        <v>37981</v>
      </c>
      <c r="B363" s="116" t="s">
        <v>161</v>
      </c>
      <c r="C363" s="96">
        <v>5850</v>
      </c>
      <c r="D363" s="190">
        <v>0</v>
      </c>
      <c r="E363" s="94">
        <v>0</v>
      </c>
      <c r="F363" s="96" t="s">
        <v>321</v>
      </c>
      <c r="G363" s="186">
        <v>0</v>
      </c>
    </row>
    <row r="364" spans="1:7" ht="22.5" customHeight="1" x14ac:dyDescent="0.25">
      <c r="A364" s="163">
        <v>37982</v>
      </c>
      <c r="B364" s="116" t="s">
        <v>161</v>
      </c>
      <c r="C364" s="96">
        <v>5850</v>
      </c>
      <c r="D364" s="190">
        <v>0</v>
      </c>
      <c r="E364" s="94">
        <v>0</v>
      </c>
      <c r="F364" s="94">
        <v>0</v>
      </c>
      <c r="G364" s="186">
        <v>0</v>
      </c>
    </row>
    <row r="365" spans="1:7" ht="22.5" customHeight="1" x14ac:dyDescent="0.25">
      <c r="A365" s="163">
        <v>37983</v>
      </c>
      <c r="B365" s="116" t="s">
        <v>161</v>
      </c>
      <c r="C365" s="96">
        <v>5850</v>
      </c>
      <c r="D365" s="190">
        <v>0</v>
      </c>
      <c r="E365" s="94">
        <v>0</v>
      </c>
      <c r="F365" s="94">
        <v>0</v>
      </c>
      <c r="G365" s="186">
        <v>0</v>
      </c>
    </row>
    <row r="366" spans="1:7" ht="22.5" customHeight="1" x14ac:dyDescent="0.25">
      <c r="A366" s="163">
        <v>37984</v>
      </c>
      <c r="B366" s="116" t="s">
        <v>161</v>
      </c>
      <c r="C366" s="96">
        <v>5850</v>
      </c>
      <c r="D366" s="190">
        <v>0</v>
      </c>
      <c r="E366" s="94">
        <v>0</v>
      </c>
      <c r="F366" s="94">
        <v>0</v>
      </c>
      <c r="G366" s="186">
        <v>0</v>
      </c>
    </row>
    <row r="367" spans="1:7" ht="22.5" customHeight="1" x14ac:dyDescent="0.25">
      <c r="A367" s="163">
        <v>37985</v>
      </c>
      <c r="B367" s="116" t="s">
        <v>236</v>
      </c>
      <c r="C367" s="116">
        <v>5800</v>
      </c>
      <c r="D367" s="190">
        <v>0</v>
      </c>
      <c r="E367" s="94">
        <v>0</v>
      </c>
      <c r="F367" s="94">
        <v>0</v>
      </c>
      <c r="G367" s="186">
        <v>0</v>
      </c>
    </row>
    <row r="368" spans="1:7" ht="22.5" customHeight="1" thickBot="1" x14ac:dyDescent="0.3">
      <c r="A368" s="169">
        <v>37986</v>
      </c>
      <c r="B368" s="176" t="s">
        <v>236</v>
      </c>
      <c r="C368" s="176">
        <v>5800</v>
      </c>
      <c r="D368" s="191">
        <v>0</v>
      </c>
      <c r="E368" s="117">
        <v>0</v>
      </c>
      <c r="F368" s="117">
        <v>0</v>
      </c>
      <c r="G368" s="192">
        <v>0</v>
      </c>
    </row>
    <row r="369" spans="1:7" ht="13.9" x14ac:dyDescent="0.25">
      <c r="A369" s="409" t="s">
        <v>1759</v>
      </c>
      <c r="B369" s="410"/>
      <c r="C369" s="410"/>
      <c r="D369" s="410"/>
      <c r="E369" s="410"/>
      <c r="F369" s="410"/>
      <c r="G369" s="410"/>
    </row>
  </sheetData>
  <mergeCells count="6">
    <mergeCell ref="A369:G369"/>
    <mergeCell ref="A1:G1"/>
    <mergeCell ref="B2:B3"/>
    <mergeCell ref="C2:C3"/>
    <mergeCell ref="A2:A3"/>
    <mergeCell ref="D2:G2"/>
  </mergeCells>
  <printOptions horizontalCentered="1"/>
  <pageMargins left="1" right="0.75" top="0.75" bottom="0.25" header="0.3" footer="0.3"/>
  <pageSetup paperSize="9" orientation="portrait" r:id="rId1"/>
  <ignoredErrors>
    <ignoredError sqref="B330:B338 B309 B298 B225 B269 B279 B361 B356 B350" twoDigitTextYear="1"/>
    <ignoredError sqref="C121 C144:C152 C126:C139 C157:C158 C162:C185 C213:C216 C202:C210 C193:C195 C187:C188 B237:B241 C224:C230 D228 C248:C272 C279 D306 C319:C328 C312:C314 C349:C35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70"/>
  <sheetViews>
    <sheetView workbookViewId="0">
      <pane ySplit="3" topLeftCell="A115" activePane="bottomLeft" state="frozen"/>
      <selection pane="bottomLeft" sqref="A1:G3"/>
    </sheetView>
  </sheetViews>
  <sheetFormatPr defaultColWidth="9.140625" defaultRowHeight="15" x14ac:dyDescent="0.25"/>
  <cols>
    <col min="1" max="1" width="11" style="27" customWidth="1"/>
    <col min="2" max="2" width="7.85546875" style="177" customWidth="1"/>
    <col min="3" max="3" width="9" style="177" customWidth="1"/>
    <col min="4" max="4" width="9.140625" style="177" customWidth="1"/>
    <col min="5" max="5" width="8.5703125" style="177" customWidth="1"/>
    <col min="6" max="7" width="9.140625" style="177"/>
    <col min="8" max="16384" width="9.140625" style="14"/>
  </cols>
  <sheetData>
    <row r="1" spans="1:7" ht="29.25" customHeight="1" thickBot="1" x14ac:dyDescent="0.3">
      <c r="A1" s="440" t="s">
        <v>2692</v>
      </c>
      <c r="B1" s="440"/>
      <c r="C1" s="440"/>
      <c r="D1" s="440"/>
      <c r="E1" s="440"/>
      <c r="F1" s="440"/>
      <c r="G1" s="440"/>
    </row>
    <row r="2" spans="1:7" ht="21" customHeight="1" x14ac:dyDescent="0.25">
      <c r="A2" s="425" t="s">
        <v>0</v>
      </c>
      <c r="B2" s="423" t="s">
        <v>2684</v>
      </c>
      <c r="C2" s="423" t="s">
        <v>2689</v>
      </c>
      <c r="D2" s="437" t="s">
        <v>2686</v>
      </c>
      <c r="E2" s="438"/>
      <c r="F2" s="438"/>
      <c r="G2" s="439"/>
    </row>
    <row r="3" spans="1:7" ht="45.75" customHeight="1" thickBot="1" x14ac:dyDescent="0.3">
      <c r="A3" s="436"/>
      <c r="B3" s="441"/>
      <c r="C3" s="441"/>
      <c r="D3" s="180" t="s">
        <v>2687</v>
      </c>
      <c r="E3" s="193" t="s">
        <v>735</v>
      </c>
      <c r="F3" s="180" t="s">
        <v>2688</v>
      </c>
      <c r="G3" s="194" t="s">
        <v>735</v>
      </c>
    </row>
    <row r="4" spans="1:7" ht="19.5" customHeight="1" x14ac:dyDescent="0.25">
      <c r="A4" s="120">
        <v>37987</v>
      </c>
      <c r="B4" s="174" t="s">
        <v>239</v>
      </c>
      <c r="C4" s="112" t="s">
        <v>1366</v>
      </c>
      <c r="D4" s="112" t="s">
        <v>317</v>
      </c>
      <c r="E4" s="112" t="s">
        <v>736</v>
      </c>
      <c r="F4" s="112" t="s">
        <v>317</v>
      </c>
      <c r="G4" s="114">
        <v>0</v>
      </c>
    </row>
    <row r="5" spans="1:7" ht="19.5" customHeight="1" x14ac:dyDescent="0.25">
      <c r="A5" s="95">
        <v>37988</v>
      </c>
      <c r="B5" s="116" t="s">
        <v>242</v>
      </c>
      <c r="C5" s="96">
        <v>5600</v>
      </c>
      <c r="D5" s="96" t="s">
        <v>317</v>
      </c>
      <c r="E5" s="96" t="s">
        <v>736</v>
      </c>
      <c r="F5" s="96" t="s">
        <v>317</v>
      </c>
      <c r="G5" s="115">
        <v>0</v>
      </c>
    </row>
    <row r="6" spans="1:7" ht="19.5" customHeight="1" x14ac:dyDescent="0.25">
      <c r="A6" s="95">
        <v>37989</v>
      </c>
      <c r="B6" s="116" t="s">
        <v>153</v>
      </c>
      <c r="C6" s="96">
        <v>5350</v>
      </c>
      <c r="D6" s="96" t="s">
        <v>317</v>
      </c>
      <c r="E6" s="96" t="s">
        <v>736</v>
      </c>
      <c r="F6" s="96" t="s">
        <v>317</v>
      </c>
      <c r="G6" s="115">
        <v>0</v>
      </c>
    </row>
    <row r="7" spans="1:7" ht="19.5" customHeight="1" x14ac:dyDescent="0.25">
      <c r="A7" s="95">
        <v>37990</v>
      </c>
      <c r="B7" s="116" t="s">
        <v>258</v>
      </c>
      <c r="C7" s="96">
        <v>5250</v>
      </c>
      <c r="D7" s="96" t="s">
        <v>317</v>
      </c>
      <c r="E7" s="96" t="s">
        <v>736</v>
      </c>
      <c r="F7" s="96" t="s">
        <v>317</v>
      </c>
      <c r="G7" s="115">
        <v>0</v>
      </c>
    </row>
    <row r="8" spans="1:7" ht="19.5" customHeight="1" x14ac:dyDescent="0.25">
      <c r="A8" s="95">
        <v>37991</v>
      </c>
      <c r="B8" s="116" t="s">
        <v>423</v>
      </c>
      <c r="C8" s="96">
        <v>5100</v>
      </c>
      <c r="D8" s="96" t="s">
        <v>317</v>
      </c>
      <c r="E8" s="96" t="s">
        <v>736</v>
      </c>
      <c r="F8" s="96" t="s">
        <v>317</v>
      </c>
      <c r="G8" s="115">
        <v>0</v>
      </c>
    </row>
    <row r="9" spans="1:7" ht="19.5" customHeight="1" x14ac:dyDescent="0.25">
      <c r="A9" s="95">
        <v>37992</v>
      </c>
      <c r="B9" s="116" t="s">
        <v>143</v>
      </c>
      <c r="C9" s="96">
        <v>5000</v>
      </c>
      <c r="D9" s="96" t="s">
        <v>317</v>
      </c>
      <c r="E9" s="96" t="s">
        <v>736</v>
      </c>
      <c r="F9" s="96" t="s">
        <v>317</v>
      </c>
      <c r="G9" s="115">
        <v>0</v>
      </c>
    </row>
    <row r="10" spans="1:7" ht="19.5" customHeight="1" x14ac:dyDescent="0.25">
      <c r="A10" s="95">
        <v>37993</v>
      </c>
      <c r="B10" s="116" t="s">
        <v>141</v>
      </c>
      <c r="C10" s="96">
        <v>4900</v>
      </c>
      <c r="D10" s="96" t="s">
        <v>317</v>
      </c>
      <c r="E10" s="96" t="s">
        <v>736</v>
      </c>
      <c r="F10" s="96" t="s">
        <v>317</v>
      </c>
      <c r="G10" s="115">
        <v>0</v>
      </c>
    </row>
    <row r="11" spans="1:7" ht="19.5" customHeight="1" x14ac:dyDescent="0.25">
      <c r="A11" s="95">
        <v>37994</v>
      </c>
      <c r="B11" s="116" t="s">
        <v>139</v>
      </c>
      <c r="C11" s="96">
        <v>4800</v>
      </c>
      <c r="D11" s="96" t="s">
        <v>317</v>
      </c>
      <c r="E11" s="96" t="s">
        <v>736</v>
      </c>
      <c r="F11" s="96" t="s">
        <v>317</v>
      </c>
      <c r="G11" s="115">
        <v>0</v>
      </c>
    </row>
    <row r="12" spans="1:7" ht="19.5" customHeight="1" x14ac:dyDescent="0.25">
      <c r="A12" s="95">
        <v>37995</v>
      </c>
      <c r="B12" s="116" t="s">
        <v>279</v>
      </c>
      <c r="C12" s="96">
        <v>4750</v>
      </c>
      <c r="D12" s="96" t="s">
        <v>317</v>
      </c>
      <c r="E12" s="96" t="s">
        <v>736</v>
      </c>
      <c r="F12" s="96" t="s">
        <v>317</v>
      </c>
      <c r="G12" s="115">
        <v>0</v>
      </c>
    </row>
    <row r="13" spans="1:7" ht="19.5" customHeight="1" x14ac:dyDescent="0.25">
      <c r="A13" s="95">
        <v>37996</v>
      </c>
      <c r="B13" s="116" t="s">
        <v>135</v>
      </c>
      <c r="C13" s="96">
        <v>4600</v>
      </c>
      <c r="D13" s="96" t="s">
        <v>317</v>
      </c>
      <c r="E13" s="96" t="s">
        <v>736</v>
      </c>
      <c r="F13" s="96" t="s">
        <v>317</v>
      </c>
      <c r="G13" s="115">
        <v>0</v>
      </c>
    </row>
    <row r="14" spans="1:7" ht="19.5" customHeight="1" x14ac:dyDescent="0.25">
      <c r="A14" s="95">
        <v>37997</v>
      </c>
      <c r="B14" s="116" t="s">
        <v>284</v>
      </c>
      <c r="C14" s="96">
        <v>4450</v>
      </c>
      <c r="D14" s="96" t="s">
        <v>317</v>
      </c>
      <c r="E14" s="96" t="s">
        <v>736</v>
      </c>
      <c r="F14" s="96" t="s">
        <v>317</v>
      </c>
      <c r="G14" s="115">
        <v>0</v>
      </c>
    </row>
    <row r="15" spans="1:7" ht="19.5" customHeight="1" x14ac:dyDescent="0.25">
      <c r="A15" s="95">
        <v>37998</v>
      </c>
      <c r="B15" s="116" t="s">
        <v>425</v>
      </c>
      <c r="C15" s="96">
        <v>4350</v>
      </c>
      <c r="D15" s="96" t="s">
        <v>317</v>
      </c>
      <c r="E15" s="96" t="s">
        <v>736</v>
      </c>
      <c r="F15" s="96" t="s">
        <v>317</v>
      </c>
      <c r="G15" s="115">
        <v>0</v>
      </c>
    </row>
    <row r="16" spans="1:7" ht="19.5" customHeight="1" x14ac:dyDescent="0.25">
      <c r="A16" s="95">
        <v>37999</v>
      </c>
      <c r="B16" s="116" t="s">
        <v>132</v>
      </c>
      <c r="C16" s="116" t="s">
        <v>1382</v>
      </c>
      <c r="D16" s="96" t="s">
        <v>317</v>
      </c>
      <c r="E16" s="96" t="s">
        <v>736</v>
      </c>
      <c r="F16" s="96" t="s">
        <v>317</v>
      </c>
      <c r="G16" s="115">
        <v>0</v>
      </c>
    </row>
    <row r="17" spans="1:7" ht="19.5" customHeight="1" x14ac:dyDescent="0.25">
      <c r="A17" s="95">
        <v>38000</v>
      </c>
      <c r="B17" s="116" t="s">
        <v>132</v>
      </c>
      <c r="C17" s="116" t="s">
        <v>1382</v>
      </c>
      <c r="D17" s="96" t="s">
        <v>317</v>
      </c>
      <c r="E17" s="96" t="s">
        <v>736</v>
      </c>
      <c r="F17" s="96" t="s">
        <v>317</v>
      </c>
      <c r="G17" s="115">
        <v>0</v>
      </c>
    </row>
    <row r="18" spans="1:7" ht="19.5" customHeight="1" x14ac:dyDescent="0.25">
      <c r="A18" s="95">
        <v>38001</v>
      </c>
      <c r="B18" s="116" t="s">
        <v>124</v>
      </c>
      <c r="C18" s="116" t="s">
        <v>1095</v>
      </c>
      <c r="D18" s="96" t="s">
        <v>317</v>
      </c>
      <c r="E18" s="96" t="s">
        <v>736</v>
      </c>
      <c r="F18" s="96" t="s">
        <v>317</v>
      </c>
      <c r="G18" s="115">
        <v>0</v>
      </c>
    </row>
    <row r="19" spans="1:7" ht="19.5" customHeight="1" x14ac:dyDescent="0.25">
      <c r="A19" s="95">
        <v>38002</v>
      </c>
      <c r="B19" s="116" t="s">
        <v>123</v>
      </c>
      <c r="C19" s="96">
        <v>3900</v>
      </c>
      <c r="D19" s="96" t="s">
        <v>317</v>
      </c>
      <c r="E19" s="96" t="s">
        <v>736</v>
      </c>
      <c r="F19" s="96" t="s">
        <v>317</v>
      </c>
      <c r="G19" s="115">
        <v>0</v>
      </c>
    </row>
    <row r="20" spans="1:7" ht="19.5" customHeight="1" x14ac:dyDescent="0.25">
      <c r="A20" s="95">
        <v>38003</v>
      </c>
      <c r="B20" s="116" t="s">
        <v>294</v>
      </c>
      <c r="C20" s="96">
        <v>3800</v>
      </c>
      <c r="D20" s="96" t="s">
        <v>317</v>
      </c>
      <c r="E20" s="96" t="s">
        <v>736</v>
      </c>
      <c r="F20" s="96" t="s">
        <v>317</v>
      </c>
      <c r="G20" s="115">
        <v>0</v>
      </c>
    </row>
    <row r="21" spans="1:7" ht="19.5" customHeight="1" x14ac:dyDescent="0.25">
      <c r="A21" s="95">
        <v>38004</v>
      </c>
      <c r="B21" s="116" t="s">
        <v>296</v>
      </c>
      <c r="C21" s="96">
        <v>3750</v>
      </c>
      <c r="D21" s="96" t="s">
        <v>317</v>
      </c>
      <c r="E21" s="96" t="s">
        <v>736</v>
      </c>
      <c r="F21" s="96" t="s">
        <v>317</v>
      </c>
      <c r="G21" s="115">
        <v>0</v>
      </c>
    </row>
    <row r="22" spans="1:7" ht="19.5" customHeight="1" x14ac:dyDescent="0.25">
      <c r="A22" s="95">
        <v>38005</v>
      </c>
      <c r="B22" s="116" t="s">
        <v>300</v>
      </c>
      <c r="C22" s="96">
        <v>3700</v>
      </c>
      <c r="D22" s="96" t="s">
        <v>317</v>
      </c>
      <c r="E22" s="96" t="s">
        <v>736</v>
      </c>
      <c r="F22" s="96" t="s">
        <v>317</v>
      </c>
      <c r="G22" s="115">
        <v>0</v>
      </c>
    </row>
    <row r="23" spans="1:7" ht="19.5" customHeight="1" x14ac:dyDescent="0.25">
      <c r="A23" s="95">
        <v>38006</v>
      </c>
      <c r="B23" s="116" t="s">
        <v>1473</v>
      </c>
      <c r="C23" s="96" t="s">
        <v>1474</v>
      </c>
      <c r="D23" s="96" t="s">
        <v>317</v>
      </c>
      <c r="E23" s="96" t="s">
        <v>736</v>
      </c>
      <c r="F23" s="96" t="s">
        <v>317</v>
      </c>
      <c r="G23" s="115">
        <v>0</v>
      </c>
    </row>
    <row r="24" spans="1:7" ht="19.5" customHeight="1" x14ac:dyDescent="0.25">
      <c r="A24" s="95">
        <v>38007</v>
      </c>
      <c r="B24" s="116" t="s">
        <v>304</v>
      </c>
      <c r="C24" s="96" t="s">
        <v>1390</v>
      </c>
      <c r="D24" s="96" t="s">
        <v>317</v>
      </c>
      <c r="E24" s="96" t="s">
        <v>736</v>
      </c>
      <c r="F24" s="96" t="s">
        <v>317</v>
      </c>
      <c r="G24" s="115">
        <v>0</v>
      </c>
    </row>
    <row r="25" spans="1:7" ht="19.5" customHeight="1" x14ac:dyDescent="0.25">
      <c r="A25" s="95">
        <v>38008</v>
      </c>
      <c r="B25" s="116" t="s">
        <v>510</v>
      </c>
      <c r="C25" s="116" t="s">
        <v>1115</v>
      </c>
      <c r="D25" s="96" t="s">
        <v>317</v>
      </c>
      <c r="E25" s="96" t="s">
        <v>736</v>
      </c>
      <c r="F25" s="96" t="s">
        <v>317</v>
      </c>
      <c r="G25" s="115">
        <v>0</v>
      </c>
    </row>
    <row r="26" spans="1:7" ht="19.5" customHeight="1" x14ac:dyDescent="0.25">
      <c r="A26" s="95">
        <v>38009</v>
      </c>
      <c r="B26" s="116" t="s">
        <v>311</v>
      </c>
      <c r="C26" s="96">
        <v>3550</v>
      </c>
      <c r="D26" s="96" t="s">
        <v>317</v>
      </c>
      <c r="E26" s="96" t="s">
        <v>736</v>
      </c>
      <c r="F26" s="96" t="s">
        <v>317</v>
      </c>
      <c r="G26" s="115">
        <v>0</v>
      </c>
    </row>
    <row r="27" spans="1:7" ht="19.5" customHeight="1" x14ac:dyDescent="0.25">
      <c r="A27" s="95">
        <v>38010</v>
      </c>
      <c r="B27" s="116" t="s">
        <v>311</v>
      </c>
      <c r="C27" s="96">
        <v>3550</v>
      </c>
      <c r="D27" s="96" t="s">
        <v>317</v>
      </c>
      <c r="E27" s="96" t="s">
        <v>736</v>
      </c>
      <c r="F27" s="96" t="s">
        <v>317</v>
      </c>
      <c r="G27" s="115">
        <v>0</v>
      </c>
    </row>
    <row r="28" spans="1:7" ht="19.5" customHeight="1" x14ac:dyDescent="0.25">
      <c r="A28" s="95">
        <v>38011</v>
      </c>
      <c r="B28" s="116" t="s">
        <v>317</v>
      </c>
      <c r="C28" s="96" t="s">
        <v>1028</v>
      </c>
      <c r="D28" s="96" t="s">
        <v>317</v>
      </c>
      <c r="E28" s="96" t="s">
        <v>736</v>
      </c>
      <c r="F28" s="96" t="s">
        <v>317</v>
      </c>
      <c r="G28" s="115">
        <v>0</v>
      </c>
    </row>
    <row r="29" spans="1:7" ht="19.5" customHeight="1" x14ac:dyDescent="0.25">
      <c r="A29" s="95">
        <v>38012</v>
      </c>
      <c r="B29" s="116" t="s">
        <v>319</v>
      </c>
      <c r="C29" s="96">
        <v>3450</v>
      </c>
      <c r="D29" s="96" t="s">
        <v>317</v>
      </c>
      <c r="E29" s="96" t="s">
        <v>736</v>
      </c>
      <c r="F29" s="96" t="s">
        <v>317</v>
      </c>
      <c r="G29" s="115">
        <v>0</v>
      </c>
    </row>
    <row r="30" spans="1:7" ht="19.5" customHeight="1" x14ac:dyDescent="0.25">
      <c r="A30" s="95">
        <v>38013</v>
      </c>
      <c r="B30" s="116" t="s">
        <v>300</v>
      </c>
      <c r="C30" s="116" t="s">
        <v>966</v>
      </c>
      <c r="D30" s="96" t="s">
        <v>736</v>
      </c>
      <c r="E30" s="96" t="s">
        <v>736</v>
      </c>
      <c r="F30" s="96" t="s">
        <v>736</v>
      </c>
      <c r="G30" s="115">
        <v>0</v>
      </c>
    </row>
    <row r="31" spans="1:7" ht="19.5" customHeight="1" x14ac:dyDescent="0.25">
      <c r="A31" s="95">
        <v>38014</v>
      </c>
      <c r="B31" s="116" t="s">
        <v>300</v>
      </c>
      <c r="C31" s="116" t="s">
        <v>966</v>
      </c>
      <c r="D31" s="96" t="s">
        <v>736</v>
      </c>
      <c r="E31" s="96" t="s">
        <v>736</v>
      </c>
      <c r="F31" s="96" t="s">
        <v>736</v>
      </c>
      <c r="G31" s="115">
        <v>0</v>
      </c>
    </row>
    <row r="32" spans="1:7" ht="19.5" customHeight="1" x14ac:dyDescent="0.25">
      <c r="A32" s="95">
        <v>38015</v>
      </c>
      <c r="B32" s="116" t="s">
        <v>300</v>
      </c>
      <c r="C32" s="116" t="s">
        <v>966</v>
      </c>
      <c r="D32" s="96" t="s">
        <v>736</v>
      </c>
      <c r="E32" s="96" t="s">
        <v>736</v>
      </c>
      <c r="F32" s="96" t="s">
        <v>736</v>
      </c>
      <c r="G32" s="115">
        <v>0</v>
      </c>
    </row>
    <row r="33" spans="1:7" ht="19.5" customHeight="1" x14ac:dyDescent="0.25">
      <c r="A33" s="95">
        <v>38016</v>
      </c>
      <c r="B33" s="116" t="s">
        <v>300</v>
      </c>
      <c r="C33" s="116" t="s">
        <v>966</v>
      </c>
      <c r="D33" s="96" t="s">
        <v>736</v>
      </c>
      <c r="E33" s="96" t="s">
        <v>736</v>
      </c>
      <c r="F33" s="96" t="s">
        <v>736</v>
      </c>
      <c r="G33" s="115">
        <v>0</v>
      </c>
    </row>
    <row r="34" spans="1:7" ht="19.5" customHeight="1" x14ac:dyDescent="0.25">
      <c r="A34" s="95">
        <v>38017</v>
      </c>
      <c r="B34" s="116" t="s">
        <v>300</v>
      </c>
      <c r="C34" s="116" t="s">
        <v>966</v>
      </c>
      <c r="D34" s="96" t="s">
        <v>736</v>
      </c>
      <c r="E34" s="96" t="s">
        <v>736</v>
      </c>
      <c r="F34" s="96" t="s">
        <v>736</v>
      </c>
      <c r="G34" s="115">
        <v>0</v>
      </c>
    </row>
    <row r="35" spans="1:7" ht="19.5" customHeight="1" x14ac:dyDescent="0.25">
      <c r="A35" s="95">
        <v>38018</v>
      </c>
      <c r="B35" s="116" t="s">
        <v>304</v>
      </c>
      <c r="C35" s="96" t="s">
        <v>1390</v>
      </c>
      <c r="D35" s="96" t="s">
        <v>736</v>
      </c>
      <c r="E35" s="96" t="s">
        <v>736</v>
      </c>
      <c r="F35" s="96" t="s">
        <v>736</v>
      </c>
      <c r="G35" s="115">
        <v>0</v>
      </c>
    </row>
    <row r="36" spans="1:7" ht="19.5" customHeight="1" x14ac:dyDescent="0.25">
      <c r="A36" s="95">
        <v>38019</v>
      </c>
      <c r="B36" s="116" t="s">
        <v>304</v>
      </c>
      <c r="C36" s="96" t="s">
        <v>1390</v>
      </c>
      <c r="D36" s="96" t="s">
        <v>736</v>
      </c>
      <c r="E36" s="96" t="s">
        <v>736</v>
      </c>
      <c r="F36" s="96" t="s">
        <v>736</v>
      </c>
      <c r="G36" s="115">
        <v>0</v>
      </c>
    </row>
    <row r="37" spans="1:7" ht="19.5" customHeight="1" x14ac:dyDescent="0.25">
      <c r="A37" s="95">
        <v>38020</v>
      </c>
      <c r="B37" s="116" t="s">
        <v>304</v>
      </c>
      <c r="C37" s="96" t="s">
        <v>1390</v>
      </c>
      <c r="D37" s="96" t="s">
        <v>736</v>
      </c>
      <c r="E37" s="96" t="s">
        <v>736</v>
      </c>
      <c r="F37" s="96" t="s">
        <v>736</v>
      </c>
      <c r="G37" s="115">
        <v>0</v>
      </c>
    </row>
    <row r="38" spans="1:7" ht="19.5" customHeight="1" x14ac:dyDescent="0.25">
      <c r="A38" s="95">
        <v>38021</v>
      </c>
      <c r="B38" s="116" t="s">
        <v>510</v>
      </c>
      <c r="C38" s="116" t="s">
        <v>1115</v>
      </c>
      <c r="D38" s="96" t="s">
        <v>824</v>
      </c>
      <c r="E38" s="96" t="s">
        <v>1475</v>
      </c>
      <c r="F38" s="96" t="s">
        <v>824</v>
      </c>
      <c r="G38" s="115">
        <v>0</v>
      </c>
    </row>
    <row r="39" spans="1:7" ht="19.5" customHeight="1" x14ac:dyDescent="0.25">
      <c r="A39" s="95">
        <v>38022</v>
      </c>
      <c r="B39" s="116" t="s">
        <v>311</v>
      </c>
      <c r="C39" s="116" t="s">
        <v>1391</v>
      </c>
      <c r="D39" s="96" t="s">
        <v>824</v>
      </c>
      <c r="E39" s="96" t="s">
        <v>1476</v>
      </c>
      <c r="F39" s="96" t="s">
        <v>824</v>
      </c>
      <c r="G39" s="115">
        <v>0</v>
      </c>
    </row>
    <row r="40" spans="1:7" ht="19.5" customHeight="1" x14ac:dyDescent="0.25">
      <c r="A40" s="95">
        <v>38023</v>
      </c>
      <c r="B40" s="116" t="s">
        <v>317</v>
      </c>
      <c r="C40" s="96">
        <v>3500</v>
      </c>
      <c r="D40" s="96" t="s">
        <v>824</v>
      </c>
      <c r="E40" s="96" t="s">
        <v>1477</v>
      </c>
      <c r="F40" s="96" t="s">
        <v>824</v>
      </c>
      <c r="G40" s="115">
        <v>0</v>
      </c>
    </row>
    <row r="41" spans="1:7" ht="19.5" customHeight="1" x14ac:dyDescent="0.25">
      <c r="A41" s="95">
        <v>38024</v>
      </c>
      <c r="B41" s="116" t="s">
        <v>319</v>
      </c>
      <c r="C41" s="96">
        <v>3450</v>
      </c>
      <c r="D41" s="96" t="s">
        <v>824</v>
      </c>
      <c r="E41" s="96" t="s">
        <v>1478</v>
      </c>
      <c r="F41" s="96" t="s">
        <v>824</v>
      </c>
      <c r="G41" s="115">
        <v>0</v>
      </c>
    </row>
    <row r="42" spans="1:7" ht="19.5" customHeight="1" x14ac:dyDescent="0.25">
      <c r="A42" s="95">
        <v>38025</v>
      </c>
      <c r="B42" s="116" t="s">
        <v>300</v>
      </c>
      <c r="C42" s="96">
        <v>3700</v>
      </c>
      <c r="D42" s="96" t="s">
        <v>736</v>
      </c>
      <c r="E42" s="96" t="s">
        <v>736</v>
      </c>
      <c r="F42" s="96" t="s">
        <v>824</v>
      </c>
      <c r="G42" s="115">
        <v>0</v>
      </c>
    </row>
    <row r="43" spans="1:7" ht="19.5" customHeight="1" x14ac:dyDescent="0.25">
      <c r="A43" s="95">
        <v>38026</v>
      </c>
      <c r="B43" s="116" t="s">
        <v>300</v>
      </c>
      <c r="C43" s="96">
        <v>3700</v>
      </c>
      <c r="D43" s="96" t="s">
        <v>736</v>
      </c>
      <c r="E43" s="96" t="s">
        <v>736</v>
      </c>
      <c r="F43" s="96" t="s">
        <v>824</v>
      </c>
      <c r="G43" s="115">
        <v>0</v>
      </c>
    </row>
    <row r="44" spans="1:7" ht="19.5" customHeight="1" x14ac:dyDescent="0.25">
      <c r="A44" s="95">
        <v>38027</v>
      </c>
      <c r="B44" s="116" t="s">
        <v>300</v>
      </c>
      <c r="C44" s="96">
        <v>3700</v>
      </c>
      <c r="D44" s="96" t="s">
        <v>736</v>
      </c>
      <c r="E44" s="96" t="s">
        <v>736</v>
      </c>
      <c r="F44" s="96" t="s">
        <v>824</v>
      </c>
      <c r="G44" s="115">
        <v>0</v>
      </c>
    </row>
    <row r="45" spans="1:7" ht="19.5" customHeight="1" x14ac:dyDescent="0.25">
      <c r="A45" s="95">
        <v>38028</v>
      </c>
      <c r="B45" s="116" t="s">
        <v>304</v>
      </c>
      <c r="C45" s="96">
        <v>3650</v>
      </c>
      <c r="D45" s="96" t="s">
        <v>824</v>
      </c>
      <c r="E45" s="96" t="s">
        <v>1479</v>
      </c>
      <c r="F45" s="96" t="s">
        <v>824</v>
      </c>
      <c r="G45" s="115">
        <v>0</v>
      </c>
    </row>
    <row r="46" spans="1:7" ht="19.5" customHeight="1" x14ac:dyDescent="0.25">
      <c r="A46" s="95">
        <v>38029</v>
      </c>
      <c r="B46" s="116" t="s">
        <v>510</v>
      </c>
      <c r="C46" s="96">
        <v>3600</v>
      </c>
      <c r="D46" s="96" t="s">
        <v>824</v>
      </c>
      <c r="E46" s="96" t="s">
        <v>1475</v>
      </c>
      <c r="F46" s="96" t="s">
        <v>824</v>
      </c>
      <c r="G46" s="115">
        <v>0</v>
      </c>
    </row>
    <row r="47" spans="1:7" ht="19.5" customHeight="1" x14ac:dyDescent="0.25">
      <c r="A47" s="95">
        <v>38030</v>
      </c>
      <c r="B47" s="116" t="s">
        <v>311</v>
      </c>
      <c r="C47" s="96">
        <v>3550</v>
      </c>
      <c r="D47" s="96" t="s">
        <v>824</v>
      </c>
      <c r="E47" s="96" t="s">
        <v>1476</v>
      </c>
      <c r="F47" s="96" t="s">
        <v>824</v>
      </c>
      <c r="G47" s="115">
        <v>0</v>
      </c>
    </row>
    <row r="48" spans="1:7" ht="19.5" customHeight="1" x14ac:dyDescent="0.25">
      <c r="A48" s="95">
        <v>38031</v>
      </c>
      <c r="B48" s="116" t="s">
        <v>317</v>
      </c>
      <c r="C48" s="96">
        <v>3500</v>
      </c>
      <c r="D48" s="96" t="s">
        <v>824</v>
      </c>
      <c r="E48" s="96" t="s">
        <v>1480</v>
      </c>
      <c r="F48" s="96" t="s">
        <v>824</v>
      </c>
      <c r="G48" s="115">
        <v>0</v>
      </c>
    </row>
    <row r="49" spans="1:7" ht="19.5" customHeight="1" x14ac:dyDescent="0.25">
      <c r="A49" s="95">
        <v>38032</v>
      </c>
      <c r="B49" s="116" t="s">
        <v>319</v>
      </c>
      <c r="C49" s="96">
        <v>3450</v>
      </c>
      <c r="D49" s="96" t="s">
        <v>824</v>
      </c>
      <c r="E49" s="96" t="s">
        <v>1478</v>
      </c>
      <c r="F49" s="96" t="s">
        <v>824</v>
      </c>
      <c r="G49" s="115">
        <v>0</v>
      </c>
    </row>
    <row r="50" spans="1:7" ht="19.5" customHeight="1" x14ac:dyDescent="0.25">
      <c r="A50" s="95">
        <v>38033</v>
      </c>
      <c r="B50" s="116" t="s">
        <v>321</v>
      </c>
      <c r="C50" s="96">
        <v>3400</v>
      </c>
      <c r="D50" s="96" t="s">
        <v>824</v>
      </c>
      <c r="E50" s="96" t="s">
        <v>1481</v>
      </c>
      <c r="F50" s="96" t="s">
        <v>824</v>
      </c>
      <c r="G50" s="115">
        <v>0</v>
      </c>
    </row>
    <row r="51" spans="1:7" ht="19.5" customHeight="1" x14ac:dyDescent="0.25">
      <c r="A51" s="95">
        <v>38034</v>
      </c>
      <c r="B51" s="116" t="s">
        <v>321</v>
      </c>
      <c r="C51" s="96">
        <v>3400</v>
      </c>
      <c r="D51" s="96" t="s">
        <v>736</v>
      </c>
      <c r="E51" s="96" t="s">
        <v>736</v>
      </c>
      <c r="F51" s="96" t="s">
        <v>736</v>
      </c>
      <c r="G51" s="115">
        <v>0</v>
      </c>
    </row>
    <row r="52" spans="1:7" ht="19.5" customHeight="1" x14ac:dyDescent="0.25">
      <c r="A52" s="95">
        <v>38035</v>
      </c>
      <c r="B52" s="116" t="s">
        <v>321</v>
      </c>
      <c r="C52" s="96">
        <v>3400</v>
      </c>
      <c r="D52" s="96" t="s">
        <v>736</v>
      </c>
      <c r="E52" s="96" t="s">
        <v>736</v>
      </c>
      <c r="F52" s="96" t="s">
        <v>736</v>
      </c>
      <c r="G52" s="115">
        <v>0</v>
      </c>
    </row>
    <row r="53" spans="1:7" ht="19.5" customHeight="1" x14ac:dyDescent="0.25">
      <c r="A53" s="95">
        <v>38036</v>
      </c>
      <c r="B53" s="116" t="s">
        <v>321</v>
      </c>
      <c r="C53" s="96">
        <v>3400</v>
      </c>
      <c r="D53" s="96" t="s">
        <v>736</v>
      </c>
      <c r="E53" s="96" t="s">
        <v>736</v>
      </c>
      <c r="F53" s="96" t="s">
        <v>736</v>
      </c>
      <c r="G53" s="115">
        <v>0</v>
      </c>
    </row>
    <row r="54" spans="1:7" ht="19.5" customHeight="1" x14ac:dyDescent="0.25">
      <c r="A54" s="95">
        <v>38037</v>
      </c>
      <c r="B54" s="116" t="s">
        <v>427</v>
      </c>
      <c r="C54" s="96">
        <v>3200</v>
      </c>
      <c r="D54" s="96" t="s">
        <v>824</v>
      </c>
      <c r="E54" s="96" t="s">
        <v>1149</v>
      </c>
      <c r="F54" s="96" t="s">
        <v>824</v>
      </c>
      <c r="G54" s="115">
        <v>0</v>
      </c>
    </row>
    <row r="55" spans="1:7" ht="19.5" customHeight="1" x14ac:dyDescent="0.25">
      <c r="A55" s="95">
        <v>38038</v>
      </c>
      <c r="B55" s="116" t="s">
        <v>427</v>
      </c>
      <c r="C55" s="96">
        <v>3200</v>
      </c>
      <c r="D55" s="96" t="s">
        <v>736</v>
      </c>
      <c r="E55" s="96" t="s">
        <v>736</v>
      </c>
      <c r="F55" s="96" t="s">
        <v>736</v>
      </c>
      <c r="G55" s="115">
        <v>0</v>
      </c>
    </row>
    <row r="56" spans="1:7" ht="19.5" customHeight="1" x14ac:dyDescent="0.25">
      <c r="A56" s="95">
        <v>38039</v>
      </c>
      <c r="B56" s="116" t="s">
        <v>427</v>
      </c>
      <c r="C56" s="96">
        <v>3200</v>
      </c>
      <c r="D56" s="96" t="s">
        <v>736</v>
      </c>
      <c r="E56" s="96" t="s">
        <v>736</v>
      </c>
      <c r="F56" s="96" t="s">
        <v>736</v>
      </c>
      <c r="G56" s="115">
        <v>0</v>
      </c>
    </row>
    <row r="57" spans="1:7" ht="19.5" customHeight="1" x14ac:dyDescent="0.25">
      <c r="A57" s="95">
        <v>38040</v>
      </c>
      <c r="B57" s="116" t="s">
        <v>427</v>
      </c>
      <c r="C57" s="96">
        <v>3200</v>
      </c>
      <c r="D57" s="96" t="s">
        <v>736</v>
      </c>
      <c r="E57" s="96" t="s">
        <v>736</v>
      </c>
      <c r="F57" s="96" t="s">
        <v>736</v>
      </c>
      <c r="G57" s="115">
        <v>0</v>
      </c>
    </row>
    <row r="58" spans="1:7" ht="19.5" customHeight="1" x14ac:dyDescent="0.25">
      <c r="A58" s="95">
        <v>38041</v>
      </c>
      <c r="B58" s="116" t="s">
        <v>427</v>
      </c>
      <c r="C58" s="96">
        <v>3200</v>
      </c>
      <c r="D58" s="96" t="s">
        <v>736</v>
      </c>
      <c r="E58" s="96" t="s">
        <v>736</v>
      </c>
      <c r="F58" s="96" t="s">
        <v>736</v>
      </c>
      <c r="G58" s="115">
        <v>0</v>
      </c>
    </row>
    <row r="59" spans="1:7" ht="19.5" customHeight="1" x14ac:dyDescent="0.25">
      <c r="A59" s="95">
        <v>38042</v>
      </c>
      <c r="B59" s="116" t="s">
        <v>416</v>
      </c>
      <c r="C59" s="96">
        <v>3100</v>
      </c>
      <c r="D59" s="96" t="s">
        <v>736</v>
      </c>
      <c r="E59" s="96" t="s">
        <v>736</v>
      </c>
      <c r="F59" s="96" t="s">
        <v>736</v>
      </c>
      <c r="G59" s="115">
        <v>0</v>
      </c>
    </row>
    <row r="60" spans="1:7" ht="19.5" customHeight="1" x14ac:dyDescent="0.25">
      <c r="A60" s="95">
        <v>38043</v>
      </c>
      <c r="B60" s="116" t="s">
        <v>416</v>
      </c>
      <c r="C60" s="96">
        <v>3100</v>
      </c>
      <c r="D60" s="96" t="s">
        <v>736</v>
      </c>
      <c r="E60" s="96" t="s">
        <v>736</v>
      </c>
      <c r="F60" s="96" t="s">
        <v>736</v>
      </c>
      <c r="G60" s="115">
        <v>0</v>
      </c>
    </row>
    <row r="61" spans="1:7" ht="19.5" customHeight="1" x14ac:dyDescent="0.25">
      <c r="A61" s="95">
        <v>38044</v>
      </c>
      <c r="B61" s="116" t="s">
        <v>416</v>
      </c>
      <c r="C61" s="96">
        <v>3100</v>
      </c>
      <c r="D61" s="96" t="s">
        <v>736</v>
      </c>
      <c r="E61" s="96" t="s">
        <v>736</v>
      </c>
      <c r="F61" s="96" t="s">
        <v>736</v>
      </c>
      <c r="G61" s="115">
        <v>0</v>
      </c>
    </row>
    <row r="62" spans="1:7" ht="19.5" customHeight="1" x14ac:dyDescent="0.25">
      <c r="A62" s="95">
        <v>38045</v>
      </c>
      <c r="B62" s="116" t="s">
        <v>416</v>
      </c>
      <c r="C62" s="96">
        <v>3100</v>
      </c>
      <c r="D62" s="96" t="s">
        <v>736</v>
      </c>
      <c r="E62" s="96" t="s">
        <v>736</v>
      </c>
      <c r="F62" s="96" t="s">
        <v>736</v>
      </c>
      <c r="G62" s="115">
        <v>0</v>
      </c>
    </row>
    <row r="63" spans="1:7" ht="19.5" customHeight="1" x14ac:dyDescent="0.25">
      <c r="A63" s="95">
        <v>38046</v>
      </c>
      <c r="B63" s="116" t="s">
        <v>416</v>
      </c>
      <c r="C63" s="96">
        <v>3100</v>
      </c>
      <c r="D63" s="96" t="s">
        <v>736</v>
      </c>
      <c r="E63" s="96" t="s">
        <v>736</v>
      </c>
      <c r="F63" s="96" t="s">
        <v>736</v>
      </c>
      <c r="G63" s="115">
        <v>0</v>
      </c>
    </row>
    <row r="64" spans="1:7" ht="19.5" customHeight="1" x14ac:dyDescent="0.25">
      <c r="A64" s="95">
        <v>38047</v>
      </c>
      <c r="B64" s="116" t="s">
        <v>415</v>
      </c>
      <c r="C64" s="116" t="s">
        <v>1034</v>
      </c>
      <c r="D64" s="96" t="s">
        <v>736</v>
      </c>
      <c r="E64" s="96" t="s">
        <v>736</v>
      </c>
      <c r="F64" s="96" t="s">
        <v>736</v>
      </c>
      <c r="G64" s="186" t="s">
        <v>736</v>
      </c>
    </row>
    <row r="65" spans="1:7" ht="19.5" customHeight="1" x14ac:dyDescent="0.25">
      <c r="A65" s="95">
        <v>38048</v>
      </c>
      <c r="B65" s="116" t="s">
        <v>415</v>
      </c>
      <c r="C65" s="116" t="s">
        <v>1034</v>
      </c>
      <c r="D65" s="96" t="s">
        <v>736</v>
      </c>
      <c r="E65" s="96" t="s">
        <v>736</v>
      </c>
      <c r="F65" s="96" t="s">
        <v>736</v>
      </c>
      <c r="G65" s="186" t="s">
        <v>736</v>
      </c>
    </row>
    <row r="66" spans="1:7" ht="19.5" customHeight="1" x14ac:dyDescent="0.25">
      <c r="A66" s="95">
        <v>38049</v>
      </c>
      <c r="B66" s="116" t="s">
        <v>415</v>
      </c>
      <c r="C66" s="116" t="s">
        <v>1034</v>
      </c>
      <c r="D66" s="96" t="s">
        <v>736</v>
      </c>
      <c r="E66" s="96" t="s">
        <v>736</v>
      </c>
      <c r="F66" s="96" t="s">
        <v>736</v>
      </c>
      <c r="G66" s="186" t="s">
        <v>736</v>
      </c>
    </row>
    <row r="67" spans="1:7" ht="19.5" customHeight="1" x14ac:dyDescent="0.25">
      <c r="A67" s="95">
        <v>38050</v>
      </c>
      <c r="B67" s="116" t="s">
        <v>414</v>
      </c>
      <c r="C67" s="116" t="s">
        <v>1482</v>
      </c>
      <c r="D67" s="96" t="s">
        <v>736</v>
      </c>
      <c r="E67" s="96" t="s">
        <v>736</v>
      </c>
      <c r="F67" s="96" t="s">
        <v>736</v>
      </c>
      <c r="G67" s="186" t="s">
        <v>736</v>
      </c>
    </row>
    <row r="68" spans="1:7" ht="19.5" customHeight="1" x14ac:dyDescent="0.25">
      <c r="A68" s="95">
        <v>38051</v>
      </c>
      <c r="B68" s="116" t="s">
        <v>414</v>
      </c>
      <c r="C68" s="96">
        <v>2900</v>
      </c>
      <c r="D68" s="96" t="s">
        <v>736</v>
      </c>
      <c r="E68" s="96" t="s">
        <v>736</v>
      </c>
      <c r="F68" s="96" t="s">
        <v>736</v>
      </c>
      <c r="G68" s="186" t="s">
        <v>736</v>
      </c>
    </row>
    <row r="69" spans="1:7" ht="19.5" customHeight="1" x14ac:dyDescent="0.25">
      <c r="A69" s="95">
        <v>38052</v>
      </c>
      <c r="B69" s="116" t="s">
        <v>414</v>
      </c>
      <c r="C69" s="96">
        <v>2900</v>
      </c>
      <c r="D69" s="96" t="s">
        <v>736</v>
      </c>
      <c r="E69" s="96" t="s">
        <v>736</v>
      </c>
      <c r="F69" s="96" t="s">
        <v>736</v>
      </c>
      <c r="G69" s="186" t="s">
        <v>736</v>
      </c>
    </row>
    <row r="70" spans="1:7" ht="19.5" customHeight="1" x14ac:dyDescent="0.25">
      <c r="A70" s="95">
        <v>38053</v>
      </c>
      <c r="B70" s="116" t="s">
        <v>414</v>
      </c>
      <c r="C70" s="96">
        <v>2900</v>
      </c>
      <c r="D70" s="96" t="s">
        <v>736</v>
      </c>
      <c r="E70" s="96" t="s">
        <v>736</v>
      </c>
      <c r="F70" s="96" t="s">
        <v>736</v>
      </c>
      <c r="G70" s="186" t="s">
        <v>736</v>
      </c>
    </row>
    <row r="71" spans="1:7" ht="19.5" customHeight="1" x14ac:dyDescent="0.25">
      <c r="A71" s="95">
        <v>38054</v>
      </c>
      <c r="B71" s="116" t="s">
        <v>413</v>
      </c>
      <c r="C71" s="96" t="s">
        <v>1020</v>
      </c>
      <c r="D71" s="96" t="s">
        <v>736</v>
      </c>
      <c r="E71" s="96" t="s">
        <v>736</v>
      </c>
      <c r="F71" s="96" t="s">
        <v>736</v>
      </c>
      <c r="G71" s="186" t="s">
        <v>736</v>
      </c>
    </row>
    <row r="72" spans="1:7" ht="19.5" customHeight="1" x14ac:dyDescent="0.25">
      <c r="A72" s="95">
        <v>38055</v>
      </c>
      <c r="B72" s="116" t="s">
        <v>413</v>
      </c>
      <c r="C72" s="96">
        <v>2800</v>
      </c>
      <c r="D72" s="96" t="s">
        <v>736</v>
      </c>
      <c r="E72" s="96" t="s">
        <v>736</v>
      </c>
      <c r="F72" s="96" t="s">
        <v>736</v>
      </c>
      <c r="G72" s="186" t="s">
        <v>736</v>
      </c>
    </row>
    <row r="73" spans="1:7" ht="19.5" customHeight="1" x14ac:dyDescent="0.25">
      <c r="A73" s="95">
        <v>38056</v>
      </c>
      <c r="B73" s="116" t="s">
        <v>413</v>
      </c>
      <c r="C73" s="96">
        <v>2800</v>
      </c>
      <c r="D73" s="96" t="s">
        <v>736</v>
      </c>
      <c r="E73" s="96" t="s">
        <v>736</v>
      </c>
      <c r="F73" s="96" t="s">
        <v>736</v>
      </c>
      <c r="G73" s="186" t="s">
        <v>736</v>
      </c>
    </row>
    <row r="74" spans="1:7" ht="19.5" customHeight="1" x14ac:dyDescent="0.25">
      <c r="A74" s="95">
        <v>38057</v>
      </c>
      <c r="B74" s="116" t="s">
        <v>413</v>
      </c>
      <c r="C74" s="96">
        <v>2800</v>
      </c>
      <c r="D74" s="96" t="s">
        <v>736</v>
      </c>
      <c r="E74" s="96" t="s">
        <v>736</v>
      </c>
      <c r="F74" s="96" t="s">
        <v>736</v>
      </c>
      <c r="G74" s="186" t="s">
        <v>736</v>
      </c>
    </row>
    <row r="75" spans="1:7" ht="19.5" customHeight="1" x14ac:dyDescent="0.25">
      <c r="A75" s="95">
        <v>38058</v>
      </c>
      <c r="B75" s="116" t="s">
        <v>413</v>
      </c>
      <c r="C75" s="96">
        <v>2800</v>
      </c>
      <c r="D75" s="96" t="s">
        <v>736</v>
      </c>
      <c r="E75" s="96" t="s">
        <v>736</v>
      </c>
      <c r="F75" s="96" t="s">
        <v>736</v>
      </c>
      <c r="G75" s="186" t="s">
        <v>736</v>
      </c>
    </row>
    <row r="76" spans="1:7" ht="19.5" customHeight="1" x14ac:dyDescent="0.25">
      <c r="A76" s="95">
        <v>38059</v>
      </c>
      <c r="B76" s="116" t="s">
        <v>527</v>
      </c>
      <c r="C76" s="96">
        <v>2700</v>
      </c>
      <c r="D76" s="96" t="s">
        <v>736</v>
      </c>
      <c r="E76" s="96" t="s">
        <v>736</v>
      </c>
      <c r="F76" s="96" t="s">
        <v>736</v>
      </c>
      <c r="G76" s="186" t="s">
        <v>736</v>
      </c>
    </row>
    <row r="77" spans="1:7" ht="19.5" customHeight="1" x14ac:dyDescent="0.25">
      <c r="A77" s="95">
        <v>38060</v>
      </c>
      <c r="B77" s="116" t="s">
        <v>527</v>
      </c>
      <c r="C77" s="96">
        <v>2700</v>
      </c>
      <c r="D77" s="96" t="s">
        <v>736</v>
      </c>
      <c r="E77" s="96" t="s">
        <v>736</v>
      </c>
      <c r="F77" s="96" t="s">
        <v>736</v>
      </c>
      <c r="G77" s="186" t="s">
        <v>736</v>
      </c>
    </row>
    <row r="78" spans="1:7" ht="19.5" customHeight="1" x14ac:dyDescent="0.25">
      <c r="A78" s="95">
        <v>38061</v>
      </c>
      <c r="B78" s="116" t="s">
        <v>428</v>
      </c>
      <c r="C78" s="116" t="s">
        <v>736</v>
      </c>
      <c r="D78" s="96" t="s">
        <v>736</v>
      </c>
      <c r="E78" s="96" t="s">
        <v>736</v>
      </c>
      <c r="F78" s="96" t="s">
        <v>736</v>
      </c>
      <c r="G78" s="186" t="s">
        <v>736</v>
      </c>
    </row>
    <row r="79" spans="1:7" ht="19.5" customHeight="1" x14ac:dyDescent="0.25">
      <c r="A79" s="95">
        <v>38062</v>
      </c>
      <c r="B79" s="116" t="s">
        <v>428</v>
      </c>
      <c r="C79" s="116" t="s">
        <v>736</v>
      </c>
      <c r="D79" s="96" t="s">
        <v>736</v>
      </c>
      <c r="E79" s="96" t="s">
        <v>736</v>
      </c>
      <c r="F79" s="96" t="s">
        <v>736</v>
      </c>
      <c r="G79" s="186" t="s">
        <v>736</v>
      </c>
    </row>
    <row r="80" spans="1:7" ht="19.5" customHeight="1" x14ac:dyDescent="0.25">
      <c r="A80" s="95">
        <v>38063</v>
      </c>
      <c r="B80" s="116" t="s">
        <v>736</v>
      </c>
      <c r="C80" s="116" t="s">
        <v>736</v>
      </c>
      <c r="D80" s="96" t="s">
        <v>736</v>
      </c>
      <c r="E80" s="96" t="s">
        <v>736</v>
      </c>
      <c r="F80" s="96" t="s">
        <v>736</v>
      </c>
      <c r="G80" s="186" t="s">
        <v>736</v>
      </c>
    </row>
    <row r="81" spans="1:7" ht="19.5" customHeight="1" x14ac:dyDescent="0.25">
      <c r="A81" s="95">
        <v>38064</v>
      </c>
      <c r="B81" s="116" t="s">
        <v>736</v>
      </c>
      <c r="C81" s="116" t="s">
        <v>736</v>
      </c>
      <c r="D81" s="96" t="s">
        <v>736</v>
      </c>
      <c r="E81" s="96" t="s">
        <v>736</v>
      </c>
      <c r="F81" s="96" t="s">
        <v>736</v>
      </c>
      <c r="G81" s="186" t="s">
        <v>736</v>
      </c>
    </row>
    <row r="82" spans="1:7" ht="19.5" customHeight="1" x14ac:dyDescent="0.25">
      <c r="A82" s="95">
        <v>38065</v>
      </c>
      <c r="B82" s="116" t="s">
        <v>429</v>
      </c>
      <c r="C82" s="116" t="s">
        <v>736</v>
      </c>
      <c r="D82" s="96" t="s">
        <v>736</v>
      </c>
      <c r="E82" s="96" t="s">
        <v>736</v>
      </c>
      <c r="F82" s="96" t="s">
        <v>736</v>
      </c>
      <c r="G82" s="186" t="s">
        <v>736</v>
      </c>
    </row>
    <row r="83" spans="1:7" ht="19.5" customHeight="1" x14ac:dyDescent="0.25">
      <c r="A83" s="95">
        <v>38066</v>
      </c>
      <c r="B83" s="116" t="s">
        <v>428</v>
      </c>
      <c r="C83" s="116" t="s">
        <v>736</v>
      </c>
      <c r="D83" s="96" t="s">
        <v>736</v>
      </c>
      <c r="E83" s="96" t="s">
        <v>736</v>
      </c>
      <c r="F83" s="96" t="s">
        <v>736</v>
      </c>
      <c r="G83" s="186" t="s">
        <v>736</v>
      </c>
    </row>
    <row r="84" spans="1:7" ht="19.5" customHeight="1" x14ac:dyDescent="0.25">
      <c r="A84" s="95">
        <v>38067</v>
      </c>
      <c r="B84" s="116" t="s">
        <v>527</v>
      </c>
      <c r="C84" s="96">
        <v>2700</v>
      </c>
      <c r="D84" s="96" t="s">
        <v>736</v>
      </c>
      <c r="E84" s="96" t="s">
        <v>736</v>
      </c>
      <c r="F84" s="96" t="s">
        <v>736</v>
      </c>
      <c r="G84" s="186" t="s">
        <v>736</v>
      </c>
    </row>
    <row r="85" spans="1:7" ht="19.5" customHeight="1" x14ac:dyDescent="0.25">
      <c r="A85" s="95">
        <v>38068</v>
      </c>
      <c r="B85" s="116" t="s">
        <v>527</v>
      </c>
      <c r="C85" s="96">
        <v>2700</v>
      </c>
      <c r="D85" s="96" t="s">
        <v>736</v>
      </c>
      <c r="E85" s="96" t="s">
        <v>736</v>
      </c>
      <c r="F85" s="96" t="s">
        <v>736</v>
      </c>
      <c r="G85" s="186" t="s">
        <v>736</v>
      </c>
    </row>
    <row r="86" spans="1:7" ht="19.5" customHeight="1" x14ac:dyDescent="0.25">
      <c r="A86" s="95">
        <v>38069</v>
      </c>
      <c r="B86" s="116" t="s">
        <v>527</v>
      </c>
      <c r="C86" s="96">
        <v>2700</v>
      </c>
      <c r="D86" s="96" t="s">
        <v>736</v>
      </c>
      <c r="E86" s="96" t="s">
        <v>736</v>
      </c>
      <c r="F86" s="96" t="s">
        <v>736</v>
      </c>
      <c r="G86" s="186" t="s">
        <v>736</v>
      </c>
    </row>
    <row r="87" spans="1:7" ht="19.5" customHeight="1" x14ac:dyDescent="0.25">
      <c r="A87" s="95">
        <v>38070</v>
      </c>
      <c r="B87" s="116" t="s">
        <v>413</v>
      </c>
      <c r="C87" s="96">
        <v>2800</v>
      </c>
      <c r="D87" s="96" t="s">
        <v>736</v>
      </c>
      <c r="E87" s="96" t="s">
        <v>736</v>
      </c>
      <c r="F87" s="96" t="s">
        <v>736</v>
      </c>
      <c r="G87" s="186" t="s">
        <v>736</v>
      </c>
    </row>
    <row r="88" spans="1:7" ht="19.5" customHeight="1" x14ac:dyDescent="0.25">
      <c r="A88" s="95">
        <v>38071</v>
      </c>
      <c r="B88" s="116" t="s">
        <v>413</v>
      </c>
      <c r="C88" s="96">
        <v>2800</v>
      </c>
      <c r="D88" s="96" t="s">
        <v>736</v>
      </c>
      <c r="E88" s="96" t="s">
        <v>736</v>
      </c>
      <c r="F88" s="96" t="s">
        <v>736</v>
      </c>
      <c r="G88" s="186" t="s">
        <v>736</v>
      </c>
    </row>
    <row r="89" spans="1:7" ht="19.5" customHeight="1" x14ac:dyDescent="0.25">
      <c r="A89" s="95">
        <v>38072</v>
      </c>
      <c r="B89" s="116" t="s">
        <v>736</v>
      </c>
      <c r="C89" s="116" t="s">
        <v>736</v>
      </c>
      <c r="D89" s="96" t="s">
        <v>736</v>
      </c>
      <c r="E89" s="96" t="s">
        <v>736</v>
      </c>
      <c r="F89" s="96" t="s">
        <v>736</v>
      </c>
      <c r="G89" s="186" t="s">
        <v>736</v>
      </c>
    </row>
    <row r="90" spans="1:7" ht="19.5" customHeight="1" x14ac:dyDescent="0.25">
      <c r="A90" s="95">
        <v>38073</v>
      </c>
      <c r="B90" s="116" t="s">
        <v>736</v>
      </c>
      <c r="C90" s="116" t="s">
        <v>736</v>
      </c>
      <c r="D90" s="96" t="s">
        <v>736</v>
      </c>
      <c r="E90" s="96" t="s">
        <v>736</v>
      </c>
      <c r="F90" s="96" t="s">
        <v>736</v>
      </c>
      <c r="G90" s="186" t="s">
        <v>736</v>
      </c>
    </row>
    <row r="91" spans="1:7" ht="19.5" customHeight="1" x14ac:dyDescent="0.25">
      <c r="A91" s="95">
        <v>38074</v>
      </c>
      <c r="B91" s="116" t="s">
        <v>736</v>
      </c>
      <c r="C91" s="116" t="s">
        <v>736</v>
      </c>
      <c r="D91" s="96" t="s">
        <v>736</v>
      </c>
      <c r="E91" s="96" t="s">
        <v>736</v>
      </c>
      <c r="F91" s="96" t="s">
        <v>736</v>
      </c>
      <c r="G91" s="186" t="s">
        <v>736</v>
      </c>
    </row>
    <row r="92" spans="1:7" ht="19.5" customHeight="1" x14ac:dyDescent="0.25">
      <c r="A92" s="95">
        <v>38075</v>
      </c>
      <c r="B92" s="116" t="s">
        <v>736</v>
      </c>
      <c r="C92" s="116" t="s">
        <v>736</v>
      </c>
      <c r="D92" s="96" t="s">
        <v>736</v>
      </c>
      <c r="E92" s="96" t="s">
        <v>736</v>
      </c>
      <c r="F92" s="96" t="s">
        <v>736</v>
      </c>
      <c r="G92" s="186" t="s">
        <v>736</v>
      </c>
    </row>
    <row r="93" spans="1:7" ht="19.5" customHeight="1" x14ac:dyDescent="0.25">
      <c r="A93" s="95">
        <v>38076</v>
      </c>
      <c r="B93" s="116" t="s">
        <v>736</v>
      </c>
      <c r="C93" s="116" t="s">
        <v>736</v>
      </c>
      <c r="D93" s="96" t="s">
        <v>736</v>
      </c>
      <c r="E93" s="96" t="s">
        <v>736</v>
      </c>
      <c r="F93" s="96" t="s">
        <v>736</v>
      </c>
      <c r="G93" s="186" t="s">
        <v>736</v>
      </c>
    </row>
    <row r="94" spans="1:7" ht="19.5" customHeight="1" x14ac:dyDescent="0.25">
      <c r="A94" s="95">
        <v>38077</v>
      </c>
      <c r="B94" s="116" t="s">
        <v>736</v>
      </c>
      <c r="C94" s="116" t="s">
        <v>736</v>
      </c>
      <c r="D94" s="96" t="s">
        <v>736</v>
      </c>
      <c r="E94" s="96" t="s">
        <v>736</v>
      </c>
      <c r="F94" s="96" t="s">
        <v>736</v>
      </c>
      <c r="G94" s="186" t="s">
        <v>736</v>
      </c>
    </row>
    <row r="95" spans="1:7" ht="19.5" customHeight="1" x14ac:dyDescent="0.25">
      <c r="A95" s="95">
        <v>38078</v>
      </c>
      <c r="B95" s="116" t="s">
        <v>527</v>
      </c>
      <c r="C95" s="116" t="s">
        <v>1021</v>
      </c>
      <c r="D95" s="96" t="s">
        <v>736</v>
      </c>
      <c r="E95" s="96" t="s">
        <v>736</v>
      </c>
      <c r="F95" s="96" t="s">
        <v>736</v>
      </c>
      <c r="G95" s="186" t="s">
        <v>736</v>
      </c>
    </row>
    <row r="96" spans="1:7" ht="19.5" customHeight="1" x14ac:dyDescent="0.25">
      <c r="A96" s="95">
        <v>38079</v>
      </c>
      <c r="B96" s="116" t="s">
        <v>527</v>
      </c>
      <c r="C96" s="116" t="s">
        <v>1021</v>
      </c>
      <c r="D96" s="96" t="s">
        <v>736</v>
      </c>
      <c r="E96" s="96" t="s">
        <v>736</v>
      </c>
      <c r="F96" s="96" t="s">
        <v>736</v>
      </c>
      <c r="G96" s="186" t="s">
        <v>736</v>
      </c>
    </row>
    <row r="97" spans="1:7" ht="19.5" customHeight="1" x14ac:dyDescent="0.25">
      <c r="A97" s="95">
        <v>38080</v>
      </c>
      <c r="B97" s="116" t="s">
        <v>527</v>
      </c>
      <c r="C97" s="116" t="s">
        <v>1021</v>
      </c>
      <c r="D97" s="96" t="s">
        <v>736</v>
      </c>
      <c r="E97" s="96" t="s">
        <v>736</v>
      </c>
      <c r="F97" s="96" t="s">
        <v>736</v>
      </c>
      <c r="G97" s="186" t="s">
        <v>736</v>
      </c>
    </row>
    <row r="98" spans="1:7" ht="19.5" customHeight="1" x14ac:dyDescent="0.25">
      <c r="A98" s="95">
        <v>38081</v>
      </c>
      <c r="B98" s="116" t="s">
        <v>527</v>
      </c>
      <c r="C98" s="116" t="s">
        <v>1021</v>
      </c>
      <c r="D98" s="96" t="s">
        <v>736</v>
      </c>
      <c r="E98" s="96" t="s">
        <v>736</v>
      </c>
      <c r="F98" s="96" t="s">
        <v>736</v>
      </c>
      <c r="G98" s="186" t="s">
        <v>736</v>
      </c>
    </row>
    <row r="99" spans="1:7" ht="19.5" customHeight="1" x14ac:dyDescent="0.25">
      <c r="A99" s="95">
        <v>38082</v>
      </c>
      <c r="B99" s="116" t="s">
        <v>527</v>
      </c>
      <c r="C99" s="116" t="s">
        <v>1021</v>
      </c>
      <c r="D99" s="96" t="s">
        <v>736</v>
      </c>
      <c r="E99" s="96" t="s">
        <v>736</v>
      </c>
      <c r="F99" s="96" t="s">
        <v>736</v>
      </c>
      <c r="G99" s="186" t="s">
        <v>736</v>
      </c>
    </row>
    <row r="100" spans="1:7" ht="19.5" customHeight="1" x14ac:dyDescent="0.25">
      <c r="A100" s="95">
        <v>38083</v>
      </c>
      <c r="B100" s="116" t="s">
        <v>527</v>
      </c>
      <c r="C100" s="116" t="s">
        <v>1021</v>
      </c>
      <c r="D100" s="96" t="s">
        <v>736</v>
      </c>
      <c r="E100" s="96" t="s">
        <v>736</v>
      </c>
      <c r="F100" s="96" t="s">
        <v>736</v>
      </c>
      <c r="G100" s="186" t="s">
        <v>736</v>
      </c>
    </row>
    <row r="101" spans="1:7" ht="19.5" customHeight="1" x14ac:dyDescent="0.25">
      <c r="A101" s="95">
        <v>38084</v>
      </c>
      <c r="B101" s="116" t="s">
        <v>527</v>
      </c>
      <c r="C101" s="116" t="s">
        <v>1021</v>
      </c>
      <c r="D101" s="96" t="s">
        <v>736</v>
      </c>
      <c r="E101" s="96" t="s">
        <v>736</v>
      </c>
      <c r="F101" s="96" t="s">
        <v>736</v>
      </c>
      <c r="G101" s="186" t="s">
        <v>736</v>
      </c>
    </row>
    <row r="102" spans="1:7" ht="19.5" customHeight="1" x14ac:dyDescent="0.25">
      <c r="A102" s="95">
        <v>38085</v>
      </c>
      <c r="B102" s="116" t="s">
        <v>527</v>
      </c>
      <c r="C102" s="116" t="s">
        <v>1021</v>
      </c>
      <c r="D102" s="96" t="s">
        <v>736</v>
      </c>
      <c r="E102" s="96" t="s">
        <v>736</v>
      </c>
      <c r="F102" s="96" t="s">
        <v>736</v>
      </c>
      <c r="G102" s="186" t="s">
        <v>736</v>
      </c>
    </row>
    <row r="103" spans="1:7" ht="19.5" customHeight="1" x14ac:dyDescent="0.25">
      <c r="A103" s="95">
        <v>38086</v>
      </c>
      <c r="B103" s="116" t="s">
        <v>527</v>
      </c>
      <c r="C103" s="116" t="s">
        <v>1021</v>
      </c>
      <c r="D103" s="96" t="s">
        <v>736</v>
      </c>
      <c r="E103" s="96" t="s">
        <v>736</v>
      </c>
      <c r="F103" s="96" t="s">
        <v>736</v>
      </c>
      <c r="G103" s="186" t="s">
        <v>736</v>
      </c>
    </row>
    <row r="104" spans="1:7" ht="19.5" customHeight="1" x14ac:dyDescent="0.25">
      <c r="A104" s="95">
        <v>38087</v>
      </c>
      <c r="B104" s="116" t="s">
        <v>527</v>
      </c>
      <c r="C104" s="116" t="s">
        <v>1021</v>
      </c>
      <c r="D104" s="96" t="s">
        <v>736</v>
      </c>
      <c r="E104" s="96" t="s">
        <v>736</v>
      </c>
      <c r="F104" s="96" t="s">
        <v>736</v>
      </c>
      <c r="G104" s="186" t="s">
        <v>736</v>
      </c>
    </row>
    <row r="105" spans="1:7" ht="19.5" customHeight="1" x14ac:dyDescent="0.25">
      <c r="A105" s="95">
        <v>38088</v>
      </c>
      <c r="B105" s="116" t="s">
        <v>527</v>
      </c>
      <c r="C105" s="116" t="s">
        <v>1021</v>
      </c>
      <c r="D105" s="96" t="s">
        <v>736</v>
      </c>
      <c r="E105" s="96" t="s">
        <v>736</v>
      </c>
      <c r="F105" s="96" t="s">
        <v>736</v>
      </c>
      <c r="G105" s="186" t="s">
        <v>736</v>
      </c>
    </row>
    <row r="106" spans="1:7" ht="19.5" customHeight="1" x14ac:dyDescent="0.25">
      <c r="A106" s="95">
        <v>38089</v>
      </c>
      <c r="B106" s="116" t="s">
        <v>527</v>
      </c>
      <c r="C106" s="116" t="s">
        <v>1021</v>
      </c>
      <c r="D106" s="96" t="s">
        <v>736</v>
      </c>
      <c r="E106" s="96" t="s">
        <v>736</v>
      </c>
      <c r="F106" s="96" t="s">
        <v>736</v>
      </c>
      <c r="G106" s="186" t="s">
        <v>736</v>
      </c>
    </row>
    <row r="107" spans="1:7" ht="19.5" customHeight="1" x14ac:dyDescent="0.25">
      <c r="A107" s="95">
        <v>38090</v>
      </c>
      <c r="B107" s="116" t="s">
        <v>527</v>
      </c>
      <c r="C107" s="116" t="s">
        <v>1021</v>
      </c>
      <c r="D107" s="96" t="s">
        <v>736</v>
      </c>
      <c r="E107" s="96" t="s">
        <v>736</v>
      </c>
      <c r="F107" s="96" t="s">
        <v>736</v>
      </c>
      <c r="G107" s="186" t="s">
        <v>736</v>
      </c>
    </row>
    <row r="108" spans="1:7" ht="19.5" customHeight="1" x14ac:dyDescent="0.25">
      <c r="A108" s="95">
        <v>38091</v>
      </c>
      <c r="B108" s="116" t="s">
        <v>527</v>
      </c>
      <c r="C108" s="116" t="s">
        <v>1021</v>
      </c>
      <c r="D108" s="96" t="s">
        <v>736</v>
      </c>
      <c r="E108" s="96" t="s">
        <v>736</v>
      </c>
      <c r="F108" s="96" t="s">
        <v>736</v>
      </c>
      <c r="G108" s="186" t="s">
        <v>736</v>
      </c>
    </row>
    <row r="109" spans="1:7" ht="19.5" customHeight="1" x14ac:dyDescent="0.25">
      <c r="A109" s="95">
        <v>38092</v>
      </c>
      <c r="B109" s="116" t="s">
        <v>527</v>
      </c>
      <c r="C109" s="116" t="s">
        <v>1021</v>
      </c>
      <c r="D109" s="96" t="s">
        <v>736</v>
      </c>
      <c r="E109" s="96" t="s">
        <v>736</v>
      </c>
      <c r="F109" s="96" t="s">
        <v>736</v>
      </c>
      <c r="G109" s="186" t="s">
        <v>736</v>
      </c>
    </row>
    <row r="110" spans="1:7" ht="19.5" customHeight="1" x14ac:dyDescent="0.25">
      <c r="A110" s="95">
        <v>38093</v>
      </c>
      <c r="B110" s="116" t="s">
        <v>428</v>
      </c>
      <c r="C110" s="116" t="s">
        <v>736</v>
      </c>
      <c r="D110" s="96" t="s">
        <v>736</v>
      </c>
      <c r="E110" s="96" t="s">
        <v>736</v>
      </c>
      <c r="F110" s="96" t="s">
        <v>736</v>
      </c>
      <c r="G110" s="186" t="s">
        <v>736</v>
      </c>
    </row>
    <row r="111" spans="1:7" ht="19.5" customHeight="1" x14ac:dyDescent="0.25">
      <c r="A111" s="95">
        <v>38094</v>
      </c>
      <c r="B111" s="116" t="s">
        <v>428</v>
      </c>
      <c r="C111" s="116" t="s">
        <v>736</v>
      </c>
      <c r="D111" s="96" t="s">
        <v>736</v>
      </c>
      <c r="E111" s="96" t="s">
        <v>736</v>
      </c>
      <c r="F111" s="96" t="s">
        <v>736</v>
      </c>
      <c r="G111" s="186" t="s">
        <v>736</v>
      </c>
    </row>
    <row r="112" spans="1:7" ht="19.5" customHeight="1" x14ac:dyDescent="0.25">
      <c r="A112" s="95">
        <v>38095</v>
      </c>
      <c r="B112" s="116" t="s">
        <v>428</v>
      </c>
      <c r="C112" s="116" t="s">
        <v>736</v>
      </c>
      <c r="D112" s="96" t="s">
        <v>736</v>
      </c>
      <c r="E112" s="96" t="s">
        <v>736</v>
      </c>
      <c r="F112" s="96" t="s">
        <v>736</v>
      </c>
      <c r="G112" s="186" t="s">
        <v>736</v>
      </c>
    </row>
    <row r="113" spans="1:7" ht="19.5" customHeight="1" x14ac:dyDescent="0.25">
      <c r="A113" s="95">
        <v>38096</v>
      </c>
      <c r="B113" s="116" t="s">
        <v>428</v>
      </c>
      <c r="C113" s="116" t="s">
        <v>736</v>
      </c>
      <c r="D113" s="96" t="s">
        <v>736</v>
      </c>
      <c r="E113" s="96" t="s">
        <v>736</v>
      </c>
      <c r="F113" s="96" t="s">
        <v>736</v>
      </c>
      <c r="G113" s="186" t="s">
        <v>736</v>
      </c>
    </row>
    <row r="114" spans="1:7" ht="19.5" customHeight="1" x14ac:dyDescent="0.25">
      <c r="A114" s="95">
        <v>38097</v>
      </c>
      <c r="B114" s="116" t="s">
        <v>428</v>
      </c>
      <c r="C114" s="116" t="s">
        <v>736</v>
      </c>
      <c r="D114" s="96" t="s">
        <v>736</v>
      </c>
      <c r="E114" s="96" t="s">
        <v>736</v>
      </c>
      <c r="F114" s="96" t="s">
        <v>736</v>
      </c>
      <c r="G114" s="186" t="s">
        <v>736</v>
      </c>
    </row>
    <row r="115" spans="1:7" ht="19.5" customHeight="1" x14ac:dyDescent="0.25">
      <c r="A115" s="95">
        <v>38098</v>
      </c>
      <c r="B115" s="116" t="s">
        <v>428</v>
      </c>
      <c r="C115" s="116" t="s">
        <v>736</v>
      </c>
      <c r="D115" s="96" t="s">
        <v>736</v>
      </c>
      <c r="E115" s="96" t="s">
        <v>736</v>
      </c>
      <c r="F115" s="96" t="s">
        <v>736</v>
      </c>
      <c r="G115" s="186" t="s">
        <v>736</v>
      </c>
    </row>
    <row r="116" spans="1:7" ht="19.5" customHeight="1" x14ac:dyDescent="0.25">
      <c r="A116" s="95">
        <v>38099</v>
      </c>
      <c r="B116" s="116" t="s">
        <v>428</v>
      </c>
      <c r="C116" s="116" t="s">
        <v>736</v>
      </c>
      <c r="D116" s="96" t="s">
        <v>736</v>
      </c>
      <c r="E116" s="96" t="s">
        <v>736</v>
      </c>
      <c r="F116" s="96" t="s">
        <v>736</v>
      </c>
      <c r="G116" s="186" t="s">
        <v>736</v>
      </c>
    </row>
    <row r="117" spans="1:7" ht="19.5" customHeight="1" x14ac:dyDescent="0.25">
      <c r="A117" s="95">
        <v>38100</v>
      </c>
      <c r="B117" s="116" t="s">
        <v>428</v>
      </c>
      <c r="C117" s="116" t="s">
        <v>736</v>
      </c>
      <c r="D117" s="96" t="s">
        <v>736</v>
      </c>
      <c r="E117" s="96" t="s">
        <v>736</v>
      </c>
      <c r="F117" s="96" t="s">
        <v>736</v>
      </c>
      <c r="G117" s="186" t="s">
        <v>736</v>
      </c>
    </row>
    <row r="118" spans="1:7" ht="19.5" customHeight="1" x14ac:dyDescent="0.25">
      <c r="A118" s="95">
        <v>38101</v>
      </c>
      <c r="B118" s="116" t="s">
        <v>527</v>
      </c>
      <c r="C118" s="116" t="s">
        <v>1021</v>
      </c>
      <c r="D118" s="96" t="s">
        <v>736</v>
      </c>
      <c r="E118" s="96" t="s">
        <v>736</v>
      </c>
      <c r="F118" s="96" t="s">
        <v>736</v>
      </c>
      <c r="G118" s="186" t="s">
        <v>736</v>
      </c>
    </row>
    <row r="119" spans="1:7" ht="19.5" customHeight="1" x14ac:dyDescent="0.25">
      <c r="A119" s="95">
        <v>38102</v>
      </c>
      <c r="B119" s="116" t="s">
        <v>527</v>
      </c>
      <c r="C119" s="116" t="s">
        <v>1021</v>
      </c>
      <c r="D119" s="96" t="s">
        <v>736</v>
      </c>
      <c r="E119" s="96" t="s">
        <v>736</v>
      </c>
      <c r="F119" s="96" t="s">
        <v>736</v>
      </c>
      <c r="G119" s="186" t="s">
        <v>736</v>
      </c>
    </row>
    <row r="120" spans="1:7" ht="19.5" customHeight="1" x14ac:dyDescent="0.25">
      <c r="A120" s="95">
        <v>38103</v>
      </c>
      <c r="B120" s="116" t="s">
        <v>527</v>
      </c>
      <c r="C120" s="116" t="s">
        <v>1021</v>
      </c>
      <c r="D120" s="96" t="s">
        <v>736</v>
      </c>
      <c r="E120" s="96" t="s">
        <v>736</v>
      </c>
      <c r="F120" s="96" t="s">
        <v>736</v>
      </c>
      <c r="G120" s="186" t="s">
        <v>736</v>
      </c>
    </row>
    <row r="121" spans="1:7" ht="19.5" customHeight="1" x14ac:dyDescent="0.25">
      <c r="A121" s="95">
        <v>38104</v>
      </c>
      <c r="B121" s="116" t="s">
        <v>527</v>
      </c>
      <c r="C121" s="116" t="s">
        <v>1021</v>
      </c>
      <c r="D121" s="96" t="s">
        <v>736</v>
      </c>
      <c r="E121" s="96" t="s">
        <v>736</v>
      </c>
      <c r="F121" s="96" t="s">
        <v>736</v>
      </c>
      <c r="G121" s="186" t="s">
        <v>736</v>
      </c>
    </row>
    <row r="122" spans="1:7" ht="19.5" customHeight="1" x14ac:dyDescent="0.25">
      <c r="A122" s="95">
        <v>38105</v>
      </c>
      <c r="B122" s="116" t="s">
        <v>527</v>
      </c>
      <c r="C122" s="116" t="s">
        <v>1021</v>
      </c>
      <c r="D122" s="96" t="s">
        <v>736</v>
      </c>
      <c r="E122" s="96" t="s">
        <v>736</v>
      </c>
      <c r="F122" s="96" t="s">
        <v>736</v>
      </c>
      <c r="G122" s="186" t="s">
        <v>736</v>
      </c>
    </row>
    <row r="123" spans="1:7" ht="19.5" customHeight="1" x14ac:dyDescent="0.25">
      <c r="A123" s="95">
        <v>38106</v>
      </c>
      <c r="B123" s="116" t="s">
        <v>527</v>
      </c>
      <c r="C123" s="116" t="s">
        <v>1021</v>
      </c>
      <c r="D123" s="96" t="s">
        <v>736</v>
      </c>
      <c r="E123" s="96" t="s">
        <v>736</v>
      </c>
      <c r="F123" s="96" t="s">
        <v>736</v>
      </c>
      <c r="G123" s="186" t="s">
        <v>736</v>
      </c>
    </row>
    <row r="124" spans="1:7" ht="19.5" customHeight="1" x14ac:dyDescent="0.25">
      <c r="A124" s="95">
        <v>38107</v>
      </c>
      <c r="B124" s="116" t="s">
        <v>527</v>
      </c>
      <c r="C124" s="116" t="s">
        <v>1021</v>
      </c>
      <c r="D124" s="96" t="s">
        <v>736</v>
      </c>
      <c r="E124" s="96" t="s">
        <v>736</v>
      </c>
      <c r="F124" s="96" t="s">
        <v>736</v>
      </c>
      <c r="G124" s="186" t="s">
        <v>736</v>
      </c>
    </row>
    <row r="125" spans="1:7" ht="19.5" customHeight="1" x14ac:dyDescent="0.25">
      <c r="A125" s="95">
        <v>38108</v>
      </c>
      <c r="B125" s="116" t="s">
        <v>413</v>
      </c>
      <c r="C125" s="116">
        <v>2800</v>
      </c>
      <c r="D125" s="96" t="s">
        <v>736</v>
      </c>
      <c r="E125" s="96" t="s">
        <v>736</v>
      </c>
      <c r="F125" s="96" t="s">
        <v>736</v>
      </c>
      <c r="G125" s="186" t="s">
        <v>736</v>
      </c>
    </row>
    <row r="126" spans="1:7" ht="19.5" customHeight="1" x14ac:dyDescent="0.25">
      <c r="A126" s="95">
        <v>38109</v>
      </c>
      <c r="B126" s="116" t="s">
        <v>413</v>
      </c>
      <c r="C126" s="116">
        <v>2800</v>
      </c>
      <c r="D126" s="96" t="s">
        <v>736</v>
      </c>
      <c r="E126" s="96" t="s">
        <v>736</v>
      </c>
      <c r="F126" s="96" t="s">
        <v>736</v>
      </c>
      <c r="G126" s="186" t="s">
        <v>736</v>
      </c>
    </row>
    <row r="127" spans="1:7" ht="19.5" customHeight="1" x14ac:dyDescent="0.25">
      <c r="A127" s="95">
        <v>38110</v>
      </c>
      <c r="B127" s="116" t="s">
        <v>415</v>
      </c>
      <c r="C127" s="116">
        <v>3000</v>
      </c>
      <c r="D127" s="96" t="s">
        <v>736</v>
      </c>
      <c r="E127" s="96" t="s">
        <v>736</v>
      </c>
      <c r="F127" s="96" t="s">
        <v>736</v>
      </c>
      <c r="G127" s="186" t="s">
        <v>736</v>
      </c>
    </row>
    <row r="128" spans="1:7" ht="19.5" customHeight="1" x14ac:dyDescent="0.25">
      <c r="A128" s="95">
        <v>38111</v>
      </c>
      <c r="B128" s="116" t="s">
        <v>417</v>
      </c>
      <c r="C128" s="116">
        <v>3250</v>
      </c>
      <c r="D128" s="96" t="s">
        <v>736</v>
      </c>
      <c r="E128" s="96" t="s">
        <v>736</v>
      </c>
      <c r="F128" s="96" t="s">
        <v>736</v>
      </c>
      <c r="G128" s="186" t="s">
        <v>736</v>
      </c>
    </row>
    <row r="129" spans="1:7" ht="19.5" customHeight="1" x14ac:dyDescent="0.25">
      <c r="A129" s="95">
        <v>38112</v>
      </c>
      <c r="B129" s="116" t="s">
        <v>319</v>
      </c>
      <c r="C129" s="116">
        <v>3450</v>
      </c>
      <c r="D129" s="96" t="s">
        <v>736</v>
      </c>
      <c r="E129" s="96" t="s">
        <v>736</v>
      </c>
      <c r="F129" s="96" t="s">
        <v>736</v>
      </c>
      <c r="G129" s="186" t="s">
        <v>736</v>
      </c>
    </row>
    <row r="130" spans="1:7" ht="19.5" customHeight="1" x14ac:dyDescent="0.25">
      <c r="A130" s="95">
        <v>38113</v>
      </c>
      <c r="B130" s="116" t="s">
        <v>319</v>
      </c>
      <c r="C130" s="116">
        <v>3450</v>
      </c>
      <c r="D130" s="96" t="s">
        <v>736</v>
      </c>
      <c r="E130" s="96" t="s">
        <v>736</v>
      </c>
      <c r="F130" s="96" t="s">
        <v>736</v>
      </c>
      <c r="G130" s="186" t="s">
        <v>736</v>
      </c>
    </row>
    <row r="131" spans="1:7" ht="19.5" customHeight="1" x14ac:dyDescent="0.25">
      <c r="A131" s="95">
        <v>38114</v>
      </c>
      <c r="B131" s="116" t="s">
        <v>319</v>
      </c>
      <c r="C131" s="116">
        <v>3450</v>
      </c>
      <c r="D131" s="96" t="s">
        <v>736</v>
      </c>
      <c r="E131" s="96" t="s">
        <v>736</v>
      </c>
      <c r="F131" s="96" t="s">
        <v>736</v>
      </c>
      <c r="G131" s="186" t="s">
        <v>736</v>
      </c>
    </row>
    <row r="132" spans="1:7" ht="19.5" customHeight="1" x14ac:dyDescent="0.25">
      <c r="A132" s="95">
        <v>38115</v>
      </c>
      <c r="B132" s="116" t="s">
        <v>319</v>
      </c>
      <c r="C132" s="116">
        <v>3450</v>
      </c>
      <c r="D132" s="96" t="s">
        <v>736</v>
      </c>
      <c r="E132" s="96" t="s">
        <v>736</v>
      </c>
      <c r="F132" s="96" t="s">
        <v>736</v>
      </c>
      <c r="G132" s="186" t="s">
        <v>736</v>
      </c>
    </row>
    <row r="133" spans="1:7" ht="19.5" customHeight="1" x14ac:dyDescent="0.25">
      <c r="A133" s="95">
        <v>38116</v>
      </c>
      <c r="B133" s="116" t="s">
        <v>319</v>
      </c>
      <c r="C133" s="116">
        <v>3450</v>
      </c>
      <c r="D133" s="96" t="s">
        <v>736</v>
      </c>
      <c r="E133" s="96" t="s">
        <v>736</v>
      </c>
      <c r="F133" s="96" t="s">
        <v>736</v>
      </c>
      <c r="G133" s="186" t="s">
        <v>736</v>
      </c>
    </row>
    <row r="134" spans="1:7" ht="19.5" customHeight="1" x14ac:dyDescent="0.25">
      <c r="A134" s="95">
        <v>38117</v>
      </c>
      <c r="B134" s="116" t="s">
        <v>319</v>
      </c>
      <c r="C134" s="116">
        <v>3450</v>
      </c>
      <c r="D134" s="96" t="s">
        <v>736</v>
      </c>
      <c r="E134" s="96" t="s">
        <v>736</v>
      </c>
      <c r="F134" s="96" t="s">
        <v>736</v>
      </c>
      <c r="G134" s="186" t="s">
        <v>736</v>
      </c>
    </row>
    <row r="135" spans="1:7" ht="19.5" customHeight="1" x14ac:dyDescent="0.25">
      <c r="A135" s="95">
        <v>38118</v>
      </c>
      <c r="B135" s="116" t="s">
        <v>319</v>
      </c>
      <c r="C135" s="116">
        <v>3450</v>
      </c>
      <c r="D135" s="96" t="s">
        <v>736</v>
      </c>
      <c r="E135" s="96" t="s">
        <v>736</v>
      </c>
      <c r="F135" s="96" t="s">
        <v>736</v>
      </c>
      <c r="G135" s="186" t="s">
        <v>736</v>
      </c>
    </row>
    <row r="136" spans="1:7" ht="19.5" customHeight="1" x14ac:dyDescent="0.25">
      <c r="A136" s="95">
        <v>38119</v>
      </c>
      <c r="B136" s="116" t="s">
        <v>319</v>
      </c>
      <c r="C136" s="116">
        <v>3450</v>
      </c>
      <c r="D136" s="96" t="s">
        <v>736</v>
      </c>
      <c r="E136" s="96" t="s">
        <v>736</v>
      </c>
      <c r="F136" s="96" t="s">
        <v>736</v>
      </c>
      <c r="G136" s="186" t="s">
        <v>736</v>
      </c>
    </row>
    <row r="137" spans="1:7" ht="19.5" customHeight="1" x14ac:dyDescent="0.25">
      <c r="A137" s="95">
        <v>38120</v>
      </c>
      <c r="B137" s="116" t="s">
        <v>319</v>
      </c>
      <c r="C137" s="116">
        <v>3450</v>
      </c>
      <c r="D137" s="96" t="s">
        <v>736</v>
      </c>
      <c r="E137" s="96" t="s">
        <v>736</v>
      </c>
      <c r="F137" s="96" t="s">
        <v>736</v>
      </c>
      <c r="G137" s="186" t="s">
        <v>736</v>
      </c>
    </row>
    <row r="138" spans="1:7" ht="19.5" customHeight="1" x14ac:dyDescent="0.25">
      <c r="A138" s="95">
        <v>38121</v>
      </c>
      <c r="B138" s="116" t="s">
        <v>319</v>
      </c>
      <c r="C138" s="116">
        <v>3450</v>
      </c>
      <c r="D138" s="96" t="s">
        <v>736</v>
      </c>
      <c r="E138" s="96" t="s">
        <v>736</v>
      </c>
      <c r="F138" s="96" t="s">
        <v>736</v>
      </c>
      <c r="G138" s="186" t="s">
        <v>736</v>
      </c>
    </row>
    <row r="139" spans="1:7" ht="19.5" customHeight="1" x14ac:dyDescent="0.25">
      <c r="A139" s="95">
        <v>38122</v>
      </c>
      <c r="B139" s="116" t="s">
        <v>319</v>
      </c>
      <c r="C139" s="116">
        <v>3450</v>
      </c>
      <c r="D139" s="96" t="s">
        <v>736</v>
      </c>
      <c r="E139" s="96" t="s">
        <v>736</v>
      </c>
      <c r="F139" s="96" t="s">
        <v>736</v>
      </c>
      <c r="G139" s="186" t="s">
        <v>736</v>
      </c>
    </row>
    <row r="140" spans="1:7" ht="19.5" customHeight="1" x14ac:dyDescent="0.25">
      <c r="A140" s="95">
        <v>38123</v>
      </c>
      <c r="B140" s="116" t="s">
        <v>319</v>
      </c>
      <c r="C140" s="116">
        <v>3450</v>
      </c>
      <c r="D140" s="96" t="s">
        <v>736</v>
      </c>
      <c r="E140" s="96" t="s">
        <v>736</v>
      </c>
      <c r="F140" s="96" t="s">
        <v>736</v>
      </c>
      <c r="G140" s="186" t="s">
        <v>736</v>
      </c>
    </row>
    <row r="141" spans="1:7" ht="19.5" customHeight="1" x14ac:dyDescent="0.25">
      <c r="A141" s="95">
        <v>38124</v>
      </c>
      <c r="B141" s="116" t="s">
        <v>319</v>
      </c>
      <c r="C141" s="116">
        <v>3450</v>
      </c>
      <c r="D141" s="96" t="s">
        <v>736</v>
      </c>
      <c r="E141" s="96" t="s">
        <v>736</v>
      </c>
      <c r="F141" s="96" t="s">
        <v>736</v>
      </c>
      <c r="G141" s="186" t="s">
        <v>736</v>
      </c>
    </row>
    <row r="142" spans="1:7" ht="19.5" customHeight="1" x14ac:dyDescent="0.25">
      <c r="A142" s="95">
        <v>38125</v>
      </c>
      <c r="B142" s="116" t="s">
        <v>319</v>
      </c>
      <c r="C142" s="116">
        <v>3450</v>
      </c>
      <c r="D142" s="96" t="s">
        <v>736</v>
      </c>
      <c r="E142" s="96" t="s">
        <v>736</v>
      </c>
      <c r="F142" s="96" t="s">
        <v>736</v>
      </c>
      <c r="G142" s="186" t="s">
        <v>736</v>
      </c>
    </row>
    <row r="143" spans="1:7" ht="19.5" customHeight="1" x14ac:dyDescent="0.25">
      <c r="A143" s="95">
        <v>38126</v>
      </c>
      <c r="B143" s="116" t="s">
        <v>319</v>
      </c>
      <c r="C143" s="116">
        <v>3450</v>
      </c>
      <c r="D143" s="96" t="s">
        <v>736</v>
      </c>
      <c r="E143" s="96" t="s">
        <v>736</v>
      </c>
      <c r="F143" s="96" t="s">
        <v>736</v>
      </c>
      <c r="G143" s="186" t="s">
        <v>736</v>
      </c>
    </row>
    <row r="144" spans="1:7" ht="19.5" customHeight="1" x14ac:dyDescent="0.25">
      <c r="A144" s="95">
        <v>38127</v>
      </c>
      <c r="B144" s="116" t="s">
        <v>321</v>
      </c>
      <c r="C144" s="96">
        <v>3400</v>
      </c>
      <c r="D144" s="96" t="s">
        <v>736</v>
      </c>
      <c r="E144" s="96" t="s">
        <v>736</v>
      </c>
      <c r="F144" s="96" t="s">
        <v>736</v>
      </c>
      <c r="G144" s="186" t="s">
        <v>736</v>
      </c>
    </row>
    <row r="145" spans="1:7" ht="19.5" customHeight="1" x14ac:dyDescent="0.25">
      <c r="A145" s="95">
        <v>38128</v>
      </c>
      <c r="B145" s="116" t="s">
        <v>321</v>
      </c>
      <c r="C145" s="96">
        <v>3400</v>
      </c>
      <c r="D145" s="96" t="s">
        <v>736</v>
      </c>
      <c r="E145" s="96" t="s">
        <v>736</v>
      </c>
      <c r="F145" s="96" t="s">
        <v>736</v>
      </c>
      <c r="G145" s="186" t="s">
        <v>736</v>
      </c>
    </row>
    <row r="146" spans="1:7" ht="19.5" customHeight="1" x14ac:dyDescent="0.25">
      <c r="A146" s="95">
        <v>38129</v>
      </c>
      <c r="B146" s="116" t="s">
        <v>321</v>
      </c>
      <c r="C146" s="96">
        <v>3400</v>
      </c>
      <c r="D146" s="96" t="s">
        <v>736</v>
      </c>
      <c r="E146" s="96" t="s">
        <v>736</v>
      </c>
      <c r="F146" s="96" t="s">
        <v>736</v>
      </c>
      <c r="G146" s="186" t="s">
        <v>736</v>
      </c>
    </row>
    <row r="147" spans="1:7" ht="19.5" customHeight="1" x14ac:dyDescent="0.25">
      <c r="A147" s="95">
        <v>38130</v>
      </c>
      <c r="B147" s="116" t="s">
        <v>321</v>
      </c>
      <c r="C147" s="96">
        <v>3400</v>
      </c>
      <c r="D147" s="96" t="s">
        <v>736</v>
      </c>
      <c r="E147" s="96" t="s">
        <v>736</v>
      </c>
      <c r="F147" s="96" t="s">
        <v>736</v>
      </c>
      <c r="G147" s="186" t="s">
        <v>736</v>
      </c>
    </row>
    <row r="148" spans="1:7" ht="19.5" customHeight="1" x14ac:dyDescent="0.25">
      <c r="A148" s="95">
        <v>38131</v>
      </c>
      <c r="B148" s="116" t="s">
        <v>321</v>
      </c>
      <c r="C148" s="96">
        <v>3400</v>
      </c>
      <c r="D148" s="96" t="s">
        <v>736</v>
      </c>
      <c r="E148" s="96" t="s">
        <v>736</v>
      </c>
      <c r="F148" s="96" t="s">
        <v>736</v>
      </c>
      <c r="G148" s="186" t="s">
        <v>736</v>
      </c>
    </row>
    <row r="149" spans="1:7" ht="19.5" customHeight="1" x14ac:dyDescent="0.25">
      <c r="A149" s="95">
        <v>38132</v>
      </c>
      <c r="B149" s="116" t="s">
        <v>426</v>
      </c>
      <c r="C149" s="96">
        <v>3300</v>
      </c>
      <c r="D149" s="96" t="s">
        <v>736</v>
      </c>
      <c r="E149" s="96" t="s">
        <v>736</v>
      </c>
      <c r="F149" s="96" t="s">
        <v>736</v>
      </c>
      <c r="G149" s="186" t="s">
        <v>736</v>
      </c>
    </row>
    <row r="150" spans="1:7" ht="19.5" customHeight="1" x14ac:dyDescent="0.25">
      <c r="A150" s="95">
        <v>38133</v>
      </c>
      <c r="B150" s="116" t="s">
        <v>122</v>
      </c>
      <c r="C150" s="116" t="s">
        <v>122</v>
      </c>
      <c r="D150" s="96" t="s">
        <v>736</v>
      </c>
      <c r="E150" s="96" t="s">
        <v>736</v>
      </c>
      <c r="F150" s="96" t="s">
        <v>736</v>
      </c>
      <c r="G150" s="186" t="s">
        <v>736</v>
      </c>
    </row>
    <row r="151" spans="1:7" ht="19.5" customHeight="1" x14ac:dyDescent="0.25">
      <c r="A151" s="95">
        <v>38134</v>
      </c>
      <c r="B151" s="116" t="s">
        <v>122</v>
      </c>
      <c r="C151" s="116" t="s">
        <v>122</v>
      </c>
      <c r="D151" s="96" t="s">
        <v>736</v>
      </c>
      <c r="E151" s="96" t="s">
        <v>736</v>
      </c>
      <c r="F151" s="96" t="s">
        <v>736</v>
      </c>
      <c r="G151" s="186" t="s">
        <v>736</v>
      </c>
    </row>
    <row r="152" spans="1:7" ht="19.5" customHeight="1" x14ac:dyDescent="0.25">
      <c r="A152" s="95">
        <v>38135</v>
      </c>
      <c r="B152" s="116" t="s">
        <v>122</v>
      </c>
      <c r="C152" s="116" t="s">
        <v>122</v>
      </c>
      <c r="D152" s="96" t="s">
        <v>736</v>
      </c>
      <c r="E152" s="96" t="s">
        <v>736</v>
      </c>
      <c r="F152" s="96" t="s">
        <v>736</v>
      </c>
      <c r="G152" s="186" t="s">
        <v>736</v>
      </c>
    </row>
    <row r="153" spans="1:7" ht="19.5" customHeight="1" x14ac:dyDescent="0.25">
      <c r="A153" s="95">
        <v>38136</v>
      </c>
      <c r="B153" s="116" t="s">
        <v>122</v>
      </c>
      <c r="C153" s="116" t="s">
        <v>122</v>
      </c>
      <c r="D153" s="96" t="s">
        <v>736</v>
      </c>
      <c r="E153" s="96" t="s">
        <v>736</v>
      </c>
      <c r="F153" s="96" t="s">
        <v>736</v>
      </c>
      <c r="G153" s="186" t="s">
        <v>736</v>
      </c>
    </row>
    <row r="154" spans="1:7" ht="19.5" customHeight="1" x14ac:dyDescent="0.25">
      <c r="A154" s="95">
        <v>38137</v>
      </c>
      <c r="B154" s="116" t="s">
        <v>122</v>
      </c>
      <c r="C154" s="116" t="s">
        <v>122</v>
      </c>
      <c r="D154" s="96" t="s">
        <v>736</v>
      </c>
      <c r="E154" s="96" t="s">
        <v>736</v>
      </c>
      <c r="F154" s="96" t="s">
        <v>736</v>
      </c>
      <c r="G154" s="186" t="s">
        <v>736</v>
      </c>
    </row>
    <row r="155" spans="1:7" ht="19.5" customHeight="1" x14ac:dyDescent="0.25">
      <c r="A155" s="95">
        <v>38138</v>
      </c>
      <c r="B155" s="116" t="s">
        <v>122</v>
      </c>
      <c r="C155" s="116" t="s">
        <v>122</v>
      </c>
      <c r="D155" s="96" t="s">
        <v>736</v>
      </c>
      <c r="E155" s="96" t="s">
        <v>736</v>
      </c>
      <c r="F155" s="96" t="s">
        <v>736</v>
      </c>
      <c r="G155" s="186" t="s">
        <v>736</v>
      </c>
    </row>
    <row r="156" spans="1:7" ht="19.5" customHeight="1" x14ac:dyDescent="0.25">
      <c r="A156" s="95">
        <v>38139</v>
      </c>
      <c r="B156" s="116" t="s">
        <v>321</v>
      </c>
      <c r="C156" s="116" t="s">
        <v>1029</v>
      </c>
      <c r="D156" s="96" t="s">
        <v>736</v>
      </c>
      <c r="E156" s="96" t="s">
        <v>736</v>
      </c>
      <c r="F156" s="96" t="s">
        <v>736</v>
      </c>
      <c r="G156" s="186" t="s">
        <v>736</v>
      </c>
    </row>
    <row r="157" spans="1:7" ht="19.5" customHeight="1" x14ac:dyDescent="0.25">
      <c r="A157" s="95">
        <v>38140</v>
      </c>
      <c r="B157" s="116" t="s">
        <v>321</v>
      </c>
      <c r="C157" s="116" t="s">
        <v>1029</v>
      </c>
      <c r="D157" s="96" t="s">
        <v>736</v>
      </c>
      <c r="E157" s="96" t="s">
        <v>736</v>
      </c>
      <c r="F157" s="96" t="s">
        <v>736</v>
      </c>
      <c r="G157" s="186" t="s">
        <v>736</v>
      </c>
    </row>
    <row r="158" spans="1:7" ht="19.5" customHeight="1" x14ac:dyDescent="0.25">
      <c r="A158" s="95">
        <v>38141</v>
      </c>
      <c r="B158" s="116" t="s">
        <v>321</v>
      </c>
      <c r="C158" s="116" t="s">
        <v>1029</v>
      </c>
      <c r="D158" s="96" t="s">
        <v>736</v>
      </c>
      <c r="E158" s="96" t="s">
        <v>736</v>
      </c>
      <c r="F158" s="96" t="s">
        <v>736</v>
      </c>
      <c r="G158" s="186" t="s">
        <v>736</v>
      </c>
    </row>
    <row r="159" spans="1:7" ht="19.5" customHeight="1" x14ac:dyDescent="0.25">
      <c r="A159" s="95">
        <v>38142</v>
      </c>
      <c r="B159" s="116" t="s">
        <v>426</v>
      </c>
      <c r="C159" s="116">
        <v>3300</v>
      </c>
      <c r="D159" s="96" t="s">
        <v>736</v>
      </c>
      <c r="E159" s="96" t="s">
        <v>736</v>
      </c>
      <c r="F159" s="96" t="s">
        <v>736</v>
      </c>
      <c r="G159" s="186" t="s">
        <v>736</v>
      </c>
    </row>
    <row r="160" spans="1:7" ht="19.5" customHeight="1" x14ac:dyDescent="0.25">
      <c r="A160" s="95">
        <v>38143</v>
      </c>
      <c r="B160" s="116" t="s">
        <v>426</v>
      </c>
      <c r="C160" s="116">
        <v>3300</v>
      </c>
      <c r="D160" s="96" t="s">
        <v>736</v>
      </c>
      <c r="E160" s="96" t="s">
        <v>736</v>
      </c>
      <c r="F160" s="96" t="s">
        <v>736</v>
      </c>
      <c r="G160" s="186" t="s">
        <v>736</v>
      </c>
    </row>
    <row r="161" spans="1:7" ht="19.5" customHeight="1" x14ac:dyDescent="0.25">
      <c r="A161" s="95">
        <v>38144</v>
      </c>
      <c r="B161" s="116" t="s">
        <v>426</v>
      </c>
      <c r="C161" s="116">
        <v>3300</v>
      </c>
      <c r="D161" s="96" t="s">
        <v>736</v>
      </c>
      <c r="E161" s="96" t="s">
        <v>736</v>
      </c>
      <c r="F161" s="96" t="s">
        <v>736</v>
      </c>
      <c r="G161" s="186" t="s">
        <v>736</v>
      </c>
    </row>
    <row r="162" spans="1:7" ht="19.5" customHeight="1" x14ac:dyDescent="0.25">
      <c r="A162" s="95">
        <v>38145</v>
      </c>
      <c r="B162" s="116" t="s">
        <v>426</v>
      </c>
      <c r="C162" s="116">
        <v>3300</v>
      </c>
      <c r="D162" s="96" t="s">
        <v>736</v>
      </c>
      <c r="E162" s="96" t="s">
        <v>736</v>
      </c>
      <c r="F162" s="96" t="s">
        <v>736</v>
      </c>
      <c r="G162" s="186" t="s">
        <v>736</v>
      </c>
    </row>
    <row r="163" spans="1:7" ht="19.5" customHeight="1" x14ac:dyDescent="0.25">
      <c r="A163" s="95">
        <v>38146</v>
      </c>
      <c r="B163" s="116" t="s">
        <v>417</v>
      </c>
      <c r="C163" s="116" t="s">
        <v>1031</v>
      </c>
      <c r="D163" s="96" t="s">
        <v>736</v>
      </c>
      <c r="E163" s="96" t="s">
        <v>736</v>
      </c>
      <c r="F163" s="96" t="s">
        <v>736</v>
      </c>
      <c r="G163" s="186" t="s">
        <v>736</v>
      </c>
    </row>
    <row r="164" spans="1:7" ht="19.5" customHeight="1" x14ac:dyDescent="0.25">
      <c r="A164" s="95">
        <v>38147</v>
      </c>
      <c r="B164" s="116" t="s">
        <v>417</v>
      </c>
      <c r="C164" s="116" t="s">
        <v>1031</v>
      </c>
      <c r="D164" s="96" t="s">
        <v>736</v>
      </c>
      <c r="E164" s="96" t="s">
        <v>736</v>
      </c>
      <c r="F164" s="96" t="s">
        <v>736</v>
      </c>
      <c r="G164" s="186" t="s">
        <v>736</v>
      </c>
    </row>
    <row r="165" spans="1:7" ht="19.5" customHeight="1" x14ac:dyDescent="0.25">
      <c r="A165" s="95">
        <v>38148</v>
      </c>
      <c r="B165" s="116" t="s">
        <v>417</v>
      </c>
      <c r="C165" s="116" t="s">
        <v>1031</v>
      </c>
      <c r="D165" s="96" t="s">
        <v>736</v>
      </c>
      <c r="E165" s="96" t="s">
        <v>736</v>
      </c>
      <c r="F165" s="96" t="s">
        <v>736</v>
      </c>
      <c r="G165" s="186" t="s">
        <v>736</v>
      </c>
    </row>
    <row r="166" spans="1:7" ht="19.5" customHeight="1" x14ac:dyDescent="0.25">
      <c r="A166" s="95">
        <v>38149</v>
      </c>
      <c r="B166" s="116" t="s">
        <v>427</v>
      </c>
      <c r="C166" s="96" t="s">
        <v>1032</v>
      </c>
      <c r="D166" s="96" t="s">
        <v>736</v>
      </c>
      <c r="E166" s="96" t="s">
        <v>736</v>
      </c>
      <c r="F166" s="96" t="s">
        <v>736</v>
      </c>
      <c r="G166" s="186" t="s">
        <v>736</v>
      </c>
    </row>
    <row r="167" spans="1:7" ht="19.5" customHeight="1" x14ac:dyDescent="0.25">
      <c r="A167" s="95">
        <v>38150</v>
      </c>
      <c r="B167" s="116" t="s">
        <v>427</v>
      </c>
      <c r="C167" s="116">
        <v>3200</v>
      </c>
      <c r="D167" s="96" t="s">
        <v>736</v>
      </c>
      <c r="E167" s="96" t="s">
        <v>736</v>
      </c>
      <c r="F167" s="96" t="s">
        <v>736</v>
      </c>
      <c r="G167" s="186" t="s">
        <v>736</v>
      </c>
    </row>
    <row r="168" spans="1:7" ht="19.5" customHeight="1" x14ac:dyDescent="0.25">
      <c r="A168" s="95">
        <v>38151</v>
      </c>
      <c r="B168" s="116" t="s">
        <v>427</v>
      </c>
      <c r="C168" s="116">
        <v>3200</v>
      </c>
      <c r="D168" s="96" t="s">
        <v>736</v>
      </c>
      <c r="E168" s="96" t="s">
        <v>736</v>
      </c>
      <c r="F168" s="96" t="s">
        <v>736</v>
      </c>
      <c r="G168" s="186" t="s">
        <v>736</v>
      </c>
    </row>
    <row r="169" spans="1:7" ht="19.5" customHeight="1" x14ac:dyDescent="0.25">
      <c r="A169" s="95">
        <v>38152</v>
      </c>
      <c r="B169" s="116" t="s">
        <v>427</v>
      </c>
      <c r="C169" s="116">
        <v>3200</v>
      </c>
      <c r="D169" s="96" t="s">
        <v>736</v>
      </c>
      <c r="E169" s="96" t="s">
        <v>736</v>
      </c>
      <c r="F169" s="96" t="s">
        <v>736</v>
      </c>
      <c r="G169" s="186" t="s">
        <v>736</v>
      </c>
    </row>
    <row r="170" spans="1:7" ht="19.5" customHeight="1" x14ac:dyDescent="0.25">
      <c r="A170" s="95">
        <v>38153</v>
      </c>
      <c r="B170" s="116" t="s">
        <v>427</v>
      </c>
      <c r="C170" s="116">
        <v>3200</v>
      </c>
      <c r="D170" s="96" t="s">
        <v>736</v>
      </c>
      <c r="E170" s="96" t="s">
        <v>736</v>
      </c>
      <c r="F170" s="96" t="s">
        <v>736</v>
      </c>
      <c r="G170" s="186" t="s">
        <v>736</v>
      </c>
    </row>
    <row r="171" spans="1:7" ht="19.5" customHeight="1" x14ac:dyDescent="0.25">
      <c r="A171" s="95">
        <v>38154</v>
      </c>
      <c r="B171" s="116" t="s">
        <v>415</v>
      </c>
      <c r="C171" s="96" t="s">
        <v>1034</v>
      </c>
      <c r="D171" s="96" t="s">
        <v>736</v>
      </c>
      <c r="E171" s="96" t="s">
        <v>736</v>
      </c>
      <c r="F171" s="96" t="s">
        <v>736</v>
      </c>
      <c r="G171" s="186" t="s">
        <v>736</v>
      </c>
    </row>
    <row r="172" spans="1:7" ht="19.5" customHeight="1" x14ac:dyDescent="0.25">
      <c r="A172" s="95">
        <v>38155</v>
      </c>
      <c r="B172" s="116" t="s">
        <v>415</v>
      </c>
      <c r="C172" s="96">
        <v>3000</v>
      </c>
      <c r="D172" s="96" t="s">
        <v>736</v>
      </c>
      <c r="E172" s="96" t="s">
        <v>736</v>
      </c>
      <c r="F172" s="96" t="s">
        <v>736</v>
      </c>
      <c r="G172" s="186" t="s">
        <v>736</v>
      </c>
    </row>
    <row r="173" spans="1:7" ht="19.5" customHeight="1" x14ac:dyDescent="0.25">
      <c r="A173" s="95">
        <v>38156</v>
      </c>
      <c r="B173" s="116" t="s">
        <v>414</v>
      </c>
      <c r="C173" s="116" t="s">
        <v>1482</v>
      </c>
      <c r="D173" s="96" t="s">
        <v>736</v>
      </c>
      <c r="E173" s="96" t="s">
        <v>736</v>
      </c>
      <c r="F173" s="96" t="s">
        <v>736</v>
      </c>
      <c r="G173" s="186" t="s">
        <v>736</v>
      </c>
    </row>
    <row r="174" spans="1:7" ht="19.5" customHeight="1" x14ac:dyDescent="0.25">
      <c r="A174" s="95">
        <v>38157</v>
      </c>
      <c r="B174" s="116" t="s">
        <v>414</v>
      </c>
      <c r="C174" s="116" t="s">
        <v>1482</v>
      </c>
      <c r="D174" s="96" t="s">
        <v>736</v>
      </c>
      <c r="E174" s="96" t="s">
        <v>736</v>
      </c>
      <c r="F174" s="96" t="s">
        <v>736</v>
      </c>
      <c r="G174" s="186" t="s">
        <v>736</v>
      </c>
    </row>
    <row r="175" spans="1:7" ht="19.5" customHeight="1" x14ac:dyDescent="0.25">
      <c r="A175" s="95">
        <v>38158</v>
      </c>
      <c r="B175" s="116" t="s">
        <v>1484</v>
      </c>
      <c r="C175" s="116" t="s">
        <v>1483</v>
      </c>
      <c r="D175" s="96" t="s">
        <v>736</v>
      </c>
      <c r="E175" s="96" t="s">
        <v>736</v>
      </c>
      <c r="F175" s="96" t="s">
        <v>736</v>
      </c>
      <c r="G175" s="186" t="s">
        <v>736</v>
      </c>
    </row>
    <row r="176" spans="1:7" ht="19.5" customHeight="1" x14ac:dyDescent="0.25">
      <c r="A176" s="95">
        <v>38159</v>
      </c>
      <c r="B176" s="116" t="s">
        <v>413</v>
      </c>
      <c r="C176" s="116" t="s">
        <v>1020</v>
      </c>
      <c r="D176" s="96" t="s">
        <v>736</v>
      </c>
      <c r="E176" s="96" t="s">
        <v>736</v>
      </c>
      <c r="F176" s="96" t="s">
        <v>736</v>
      </c>
      <c r="G176" s="186" t="s">
        <v>736</v>
      </c>
    </row>
    <row r="177" spans="1:7" ht="19.5" customHeight="1" x14ac:dyDescent="0.25">
      <c r="A177" s="95">
        <v>38160</v>
      </c>
      <c r="B177" s="116" t="s">
        <v>413</v>
      </c>
      <c r="C177" s="116" t="s">
        <v>1020</v>
      </c>
      <c r="D177" s="96" t="s">
        <v>736</v>
      </c>
      <c r="E177" s="96" t="s">
        <v>736</v>
      </c>
      <c r="F177" s="96" t="s">
        <v>736</v>
      </c>
      <c r="G177" s="186" t="s">
        <v>736</v>
      </c>
    </row>
    <row r="178" spans="1:7" ht="19.5" customHeight="1" x14ac:dyDescent="0.25">
      <c r="A178" s="95">
        <v>38161</v>
      </c>
      <c r="B178" s="116" t="s">
        <v>413</v>
      </c>
      <c r="C178" s="116" t="s">
        <v>1020</v>
      </c>
      <c r="D178" s="96" t="s">
        <v>736</v>
      </c>
      <c r="E178" s="96" t="s">
        <v>736</v>
      </c>
      <c r="F178" s="96" t="s">
        <v>736</v>
      </c>
      <c r="G178" s="186" t="s">
        <v>736</v>
      </c>
    </row>
    <row r="179" spans="1:7" ht="19.5" customHeight="1" x14ac:dyDescent="0.25">
      <c r="A179" s="95">
        <v>38162</v>
      </c>
      <c r="B179" s="116" t="s">
        <v>413</v>
      </c>
      <c r="C179" s="116" t="s">
        <v>1020</v>
      </c>
      <c r="D179" s="96" t="s">
        <v>736</v>
      </c>
      <c r="E179" s="96" t="s">
        <v>736</v>
      </c>
      <c r="F179" s="96" t="s">
        <v>736</v>
      </c>
      <c r="G179" s="186" t="s">
        <v>736</v>
      </c>
    </row>
    <row r="180" spans="1:7" ht="19.5" customHeight="1" x14ac:dyDescent="0.25">
      <c r="A180" s="95">
        <v>38163</v>
      </c>
      <c r="B180" s="116" t="s">
        <v>413</v>
      </c>
      <c r="C180" s="116">
        <v>2800</v>
      </c>
      <c r="D180" s="96" t="s">
        <v>736</v>
      </c>
      <c r="E180" s="96" t="s">
        <v>736</v>
      </c>
      <c r="F180" s="96" t="s">
        <v>736</v>
      </c>
      <c r="G180" s="186" t="s">
        <v>736</v>
      </c>
    </row>
    <row r="181" spans="1:7" ht="19.5" customHeight="1" x14ac:dyDescent="0.25">
      <c r="A181" s="95">
        <v>38164</v>
      </c>
      <c r="B181" s="116" t="s">
        <v>413</v>
      </c>
      <c r="C181" s="116">
        <v>2800</v>
      </c>
      <c r="D181" s="96" t="s">
        <v>736</v>
      </c>
      <c r="E181" s="96" t="s">
        <v>736</v>
      </c>
      <c r="F181" s="96" t="s">
        <v>736</v>
      </c>
      <c r="G181" s="186" t="s">
        <v>736</v>
      </c>
    </row>
    <row r="182" spans="1:7" ht="19.5" customHeight="1" x14ac:dyDescent="0.25">
      <c r="A182" s="95">
        <v>38165</v>
      </c>
      <c r="B182" s="116" t="s">
        <v>413</v>
      </c>
      <c r="C182" s="116">
        <v>2800</v>
      </c>
      <c r="D182" s="96" t="s">
        <v>736</v>
      </c>
      <c r="E182" s="96" t="s">
        <v>736</v>
      </c>
      <c r="F182" s="96" t="s">
        <v>736</v>
      </c>
      <c r="G182" s="186" t="s">
        <v>736</v>
      </c>
    </row>
    <row r="183" spans="1:7" ht="19.5" customHeight="1" x14ac:dyDescent="0.25">
      <c r="A183" s="95">
        <v>38166</v>
      </c>
      <c r="B183" s="116" t="s">
        <v>413</v>
      </c>
      <c r="C183" s="116">
        <v>2800</v>
      </c>
      <c r="D183" s="96" t="s">
        <v>736</v>
      </c>
      <c r="E183" s="96" t="s">
        <v>736</v>
      </c>
      <c r="F183" s="96" t="s">
        <v>736</v>
      </c>
      <c r="G183" s="186" t="s">
        <v>736</v>
      </c>
    </row>
    <row r="184" spans="1:7" ht="19.5" customHeight="1" x14ac:dyDescent="0.25">
      <c r="A184" s="95">
        <v>38167</v>
      </c>
      <c r="B184" s="116" t="s">
        <v>413</v>
      </c>
      <c r="C184" s="116">
        <v>2800</v>
      </c>
      <c r="D184" s="96" t="s">
        <v>736</v>
      </c>
      <c r="E184" s="96" t="s">
        <v>736</v>
      </c>
      <c r="F184" s="96" t="s">
        <v>736</v>
      </c>
      <c r="G184" s="186" t="s">
        <v>736</v>
      </c>
    </row>
    <row r="185" spans="1:7" ht="19.5" customHeight="1" x14ac:dyDescent="0.25">
      <c r="A185" s="95">
        <v>38168</v>
      </c>
      <c r="B185" s="116" t="s">
        <v>527</v>
      </c>
      <c r="C185" s="116" t="s">
        <v>1021</v>
      </c>
      <c r="D185" s="96" t="s">
        <v>736</v>
      </c>
      <c r="E185" s="96" t="s">
        <v>736</v>
      </c>
      <c r="F185" s="96" t="s">
        <v>736</v>
      </c>
      <c r="G185" s="186" t="s">
        <v>736</v>
      </c>
    </row>
    <row r="186" spans="1:7" ht="19.5" customHeight="1" x14ac:dyDescent="0.25">
      <c r="A186" s="95">
        <v>38169</v>
      </c>
      <c r="B186" s="116" t="s">
        <v>527</v>
      </c>
      <c r="C186" s="116" t="s">
        <v>1021</v>
      </c>
      <c r="D186" s="96" t="s">
        <v>736</v>
      </c>
      <c r="E186" s="96" t="s">
        <v>736</v>
      </c>
      <c r="F186" s="96" t="s">
        <v>736</v>
      </c>
      <c r="G186" s="186" t="s">
        <v>736</v>
      </c>
    </row>
    <row r="187" spans="1:7" ht="19.5" customHeight="1" x14ac:dyDescent="0.25">
      <c r="A187" s="95">
        <v>38170</v>
      </c>
      <c r="B187" s="116" t="s">
        <v>527</v>
      </c>
      <c r="C187" s="116">
        <v>2700</v>
      </c>
      <c r="D187" s="96" t="s">
        <v>736</v>
      </c>
      <c r="E187" s="96" t="s">
        <v>736</v>
      </c>
      <c r="F187" s="96" t="s">
        <v>736</v>
      </c>
      <c r="G187" s="186" t="s">
        <v>736</v>
      </c>
    </row>
    <row r="188" spans="1:7" ht="19.5" customHeight="1" x14ac:dyDescent="0.25">
      <c r="A188" s="95">
        <v>38171</v>
      </c>
      <c r="B188" s="116" t="s">
        <v>527</v>
      </c>
      <c r="C188" s="116">
        <v>2700</v>
      </c>
      <c r="D188" s="96" t="s">
        <v>736</v>
      </c>
      <c r="E188" s="96" t="s">
        <v>736</v>
      </c>
      <c r="F188" s="96" t="s">
        <v>736</v>
      </c>
      <c r="G188" s="186" t="s">
        <v>736</v>
      </c>
    </row>
    <row r="189" spans="1:7" ht="19.5" customHeight="1" x14ac:dyDescent="0.25">
      <c r="A189" s="95">
        <v>38172</v>
      </c>
      <c r="B189" s="116" t="s">
        <v>527</v>
      </c>
      <c r="C189" s="116">
        <v>2700</v>
      </c>
      <c r="D189" s="96" t="s">
        <v>736</v>
      </c>
      <c r="E189" s="96" t="s">
        <v>736</v>
      </c>
      <c r="F189" s="96" t="s">
        <v>736</v>
      </c>
      <c r="G189" s="186" t="s">
        <v>736</v>
      </c>
    </row>
    <row r="190" spans="1:7" ht="19.5" customHeight="1" x14ac:dyDescent="0.25">
      <c r="A190" s="95">
        <v>38173</v>
      </c>
      <c r="B190" s="116" t="s">
        <v>429</v>
      </c>
      <c r="C190" s="96">
        <v>2500</v>
      </c>
      <c r="D190" s="96" t="s">
        <v>736</v>
      </c>
      <c r="E190" s="96" t="s">
        <v>736</v>
      </c>
      <c r="F190" s="96" t="s">
        <v>736</v>
      </c>
      <c r="G190" s="186" t="s">
        <v>736</v>
      </c>
    </row>
    <row r="191" spans="1:7" ht="19.5" customHeight="1" x14ac:dyDescent="0.25">
      <c r="A191" s="95">
        <v>38174</v>
      </c>
      <c r="B191" s="116" t="s">
        <v>430</v>
      </c>
      <c r="C191" s="96">
        <v>2400</v>
      </c>
      <c r="D191" s="96" t="s">
        <v>736</v>
      </c>
      <c r="E191" s="96" t="s">
        <v>736</v>
      </c>
      <c r="F191" s="96" t="s">
        <v>736</v>
      </c>
      <c r="G191" s="186" t="s">
        <v>736</v>
      </c>
    </row>
    <row r="192" spans="1:7" ht="19.5" customHeight="1" x14ac:dyDescent="0.25">
      <c r="A192" s="95">
        <v>38175</v>
      </c>
      <c r="B192" s="116" t="s">
        <v>431</v>
      </c>
      <c r="C192" s="116">
        <v>2300</v>
      </c>
      <c r="D192" s="96" t="s">
        <v>736</v>
      </c>
      <c r="E192" s="96" t="s">
        <v>736</v>
      </c>
      <c r="F192" s="96" t="s">
        <v>736</v>
      </c>
      <c r="G192" s="186" t="s">
        <v>736</v>
      </c>
    </row>
    <row r="193" spans="1:7" ht="19.5" customHeight="1" x14ac:dyDescent="0.25">
      <c r="A193" s="95">
        <v>38176</v>
      </c>
      <c r="B193" s="116" t="s">
        <v>431</v>
      </c>
      <c r="C193" s="116" t="s">
        <v>1486</v>
      </c>
      <c r="D193" s="96" t="s">
        <v>736</v>
      </c>
      <c r="E193" s="96" t="s">
        <v>736</v>
      </c>
      <c r="F193" s="96" t="s">
        <v>736</v>
      </c>
      <c r="G193" s="186" t="s">
        <v>736</v>
      </c>
    </row>
    <row r="194" spans="1:7" ht="19.5" customHeight="1" x14ac:dyDescent="0.25">
      <c r="A194" s="95">
        <v>38177</v>
      </c>
      <c r="B194" s="116" t="s">
        <v>431</v>
      </c>
      <c r="C194" s="116">
        <v>2300</v>
      </c>
      <c r="D194" s="96" t="s">
        <v>736</v>
      </c>
      <c r="E194" s="96" t="s">
        <v>736</v>
      </c>
      <c r="F194" s="96" t="s">
        <v>736</v>
      </c>
      <c r="G194" s="186" t="s">
        <v>736</v>
      </c>
    </row>
    <row r="195" spans="1:7" ht="19.5" customHeight="1" x14ac:dyDescent="0.25">
      <c r="A195" s="95">
        <v>38178</v>
      </c>
      <c r="B195" s="116" t="s">
        <v>431</v>
      </c>
      <c r="C195" s="116">
        <v>2300</v>
      </c>
      <c r="D195" s="96" t="s">
        <v>736</v>
      </c>
      <c r="E195" s="96" t="s">
        <v>736</v>
      </c>
      <c r="F195" s="96" t="s">
        <v>736</v>
      </c>
      <c r="G195" s="186" t="s">
        <v>736</v>
      </c>
    </row>
    <row r="196" spans="1:7" ht="19.5" customHeight="1" x14ac:dyDescent="0.25">
      <c r="A196" s="95">
        <v>38179</v>
      </c>
      <c r="B196" s="116" t="s">
        <v>431</v>
      </c>
      <c r="C196" s="116">
        <v>2300</v>
      </c>
      <c r="D196" s="96" t="s">
        <v>736</v>
      </c>
      <c r="E196" s="96" t="s">
        <v>736</v>
      </c>
      <c r="F196" s="96" t="s">
        <v>736</v>
      </c>
      <c r="G196" s="186" t="s">
        <v>736</v>
      </c>
    </row>
    <row r="197" spans="1:7" ht="19.5" customHeight="1" x14ac:dyDescent="0.25">
      <c r="A197" s="95">
        <v>38180</v>
      </c>
      <c r="B197" s="116" t="s">
        <v>431</v>
      </c>
      <c r="C197" s="116" t="s">
        <v>1486</v>
      </c>
      <c r="D197" s="96" t="s">
        <v>736</v>
      </c>
      <c r="E197" s="96" t="s">
        <v>736</v>
      </c>
      <c r="F197" s="96" t="s">
        <v>736</v>
      </c>
      <c r="G197" s="186" t="s">
        <v>736</v>
      </c>
    </row>
    <row r="198" spans="1:7" ht="19.5" customHeight="1" x14ac:dyDescent="0.25">
      <c r="A198" s="95">
        <v>38181</v>
      </c>
      <c r="B198" s="116" t="s">
        <v>431</v>
      </c>
      <c r="C198" s="116" t="s">
        <v>1486</v>
      </c>
      <c r="D198" s="96" t="s">
        <v>736</v>
      </c>
      <c r="E198" s="96" t="s">
        <v>736</v>
      </c>
      <c r="F198" s="96" t="s">
        <v>736</v>
      </c>
      <c r="G198" s="186" t="s">
        <v>736</v>
      </c>
    </row>
    <row r="199" spans="1:7" ht="19.5" customHeight="1" x14ac:dyDescent="0.25">
      <c r="A199" s="95">
        <v>38182</v>
      </c>
      <c r="B199" s="116" t="s">
        <v>432</v>
      </c>
      <c r="C199" s="116" t="s">
        <v>1487</v>
      </c>
      <c r="D199" s="96" t="s">
        <v>736</v>
      </c>
      <c r="E199" s="96" t="s">
        <v>736</v>
      </c>
      <c r="F199" s="96" t="s">
        <v>736</v>
      </c>
      <c r="G199" s="186" t="s">
        <v>736</v>
      </c>
    </row>
    <row r="200" spans="1:7" ht="19.5" customHeight="1" x14ac:dyDescent="0.25">
      <c r="A200" s="95">
        <v>38183</v>
      </c>
      <c r="B200" s="116" t="s">
        <v>432</v>
      </c>
      <c r="C200" s="116" t="s">
        <v>1487</v>
      </c>
      <c r="D200" s="96" t="s">
        <v>736</v>
      </c>
      <c r="E200" s="96" t="s">
        <v>736</v>
      </c>
      <c r="F200" s="96" t="s">
        <v>736</v>
      </c>
      <c r="G200" s="186" t="s">
        <v>736</v>
      </c>
    </row>
    <row r="201" spans="1:7" ht="19.5" customHeight="1" x14ac:dyDescent="0.25">
      <c r="A201" s="95">
        <v>38184</v>
      </c>
      <c r="B201" s="116" t="s">
        <v>432</v>
      </c>
      <c r="C201" s="96">
        <v>2200</v>
      </c>
      <c r="D201" s="96" t="s">
        <v>736</v>
      </c>
      <c r="E201" s="96" t="s">
        <v>736</v>
      </c>
      <c r="F201" s="96" t="s">
        <v>736</v>
      </c>
      <c r="G201" s="186" t="s">
        <v>736</v>
      </c>
    </row>
    <row r="202" spans="1:7" ht="19.5" customHeight="1" x14ac:dyDescent="0.25">
      <c r="A202" s="95">
        <v>38185</v>
      </c>
      <c r="B202" s="116" t="s">
        <v>432</v>
      </c>
      <c r="C202" s="96">
        <v>2200</v>
      </c>
      <c r="D202" s="96" t="s">
        <v>736</v>
      </c>
      <c r="E202" s="96" t="s">
        <v>736</v>
      </c>
      <c r="F202" s="96" t="s">
        <v>736</v>
      </c>
      <c r="G202" s="186" t="s">
        <v>736</v>
      </c>
    </row>
    <row r="203" spans="1:7" ht="19.5" customHeight="1" x14ac:dyDescent="0.25">
      <c r="A203" s="95">
        <v>38186</v>
      </c>
      <c r="B203" s="116" t="s">
        <v>432</v>
      </c>
      <c r="C203" s="96">
        <v>2200</v>
      </c>
      <c r="D203" s="96" t="s">
        <v>736</v>
      </c>
      <c r="E203" s="96" t="s">
        <v>736</v>
      </c>
      <c r="F203" s="96" t="s">
        <v>736</v>
      </c>
      <c r="G203" s="186" t="s">
        <v>736</v>
      </c>
    </row>
    <row r="204" spans="1:7" ht="19.5" customHeight="1" x14ac:dyDescent="0.25">
      <c r="A204" s="95">
        <v>38187</v>
      </c>
      <c r="B204" s="116" t="s">
        <v>432</v>
      </c>
      <c r="C204" s="96">
        <v>2200</v>
      </c>
      <c r="D204" s="96" t="s">
        <v>736</v>
      </c>
      <c r="E204" s="96" t="s">
        <v>736</v>
      </c>
      <c r="F204" s="96" t="s">
        <v>736</v>
      </c>
      <c r="G204" s="186" t="s">
        <v>736</v>
      </c>
    </row>
    <row r="205" spans="1:7" ht="19.5" customHeight="1" x14ac:dyDescent="0.25">
      <c r="A205" s="95">
        <v>38188</v>
      </c>
      <c r="B205" s="116" t="s">
        <v>556</v>
      </c>
      <c r="C205" s="116" t="s">
        <v>1488</v>
      </c>
      <c r="D205" s="96" t="s">
        <v>736</v>
      </c>
      <c r="E205" s="96" t="s">
        <v>736</v>
      </c>
      <c r="F205" s="96" t="s">
        <v>736</v>
      </c>
      <c r="G205" s="186" t="s">
        <v>736</v>
      </c>
    </row>
    <row r="206" spans="1:7" ht="19.5" customHeight="1" x14ac:dyDescent="0.25">
      <c r="A206" s="95">
        <v>38189</v>
      </c>
      <c r="B206" s="116" t="s">
        <v>1485</v>
      </c>
      <c r="C206" s="116" t="s">
        <v>1488</v>
      </c>
      <c r="D206" s="96" t="s">
        <v>736</v>
      </c>
      <c r="E206" s="96" t="s">
        <v>736</v>
      </c>
      <c r="F206" s="96" t="s">
        <v>736</v>
      </c>
      <c r="G206" s="186" t="s">
        <v>736</v>
      </c>
    </row>
    <row r="207" spans="1:7" ht="19.5" customHeight="1" x14ac:dyDescent="0.25">
      <c r="A207" s="95">
        <v>38190</v>
      </c>
      <c r="B207" s="116" t="s">
        <v>533</v>
      </c>
      <c r="C207" s="116" t="s">
        <v>1387</v>
      </c>
      <c r="D207" s="96" t="s">
        <v>736</v>
      </c>
      <c r="E207" s="96" t="s">
        <v>736</v>
      </c>
      <c r="F207" s="96" t="s">
        <v>736</v>
      </c>
      <c r="G207" s="186" t="s">
        <v>736</v>
      </c>
    </row>
    <row r="208" spans="1:7" ht="19.5" customHeight="1" x14ac:dyDescent="0.25">
      <c r="A208" s="95">
        <v>38191</v>
      </c>
      <c r="B208" s="116" t="s">
        <v>533</v>
      </c>
      <c r="C208" s="116" t="s">
        <v>1387</v>
      </c>
      <c r="D208" s="96" t="s">
        <v>736</v>
      </c>
      <c r="E208" s="96" t="s">
        <v>736</v>
      </c>
      <c r="F208" s="96" t="s">
        <v>736</v>
      </c>
      <c r="G208" s="186" t="s">
        <v>736</v>
      </c>
    </row>
    <row r="209" spans="1:7" ht="19.5" customHeight="1" x14ac:dyDescent="0.25">
      <c r="A209" s="95">
        <v>38192</v>
      </c>
      <c r="B209" s="116" t="s">
        <v>533</v>
      </c>
      <c r="C209" s="116" t="s">
        <v>1387</v>
      </c>
      <c r="D209" s="96" t="s">
        <v>736</v>
      </c>
      <c r="E209" s="96" t="s">
        <v>736</v>
      </c>
      <c r="F209" s="96" t="s">
        <v>736</v>
      </c>
      <c r="G209" s="186" t="s">
        <v>736</v>
      </c>
    </row>
    <row r="210" spans="1:7" ht="19.5" customHeight="1" x14ac:dyDescent="0.25">
      <c r="A210" s="95">
        <v>38193</v>
      </c>
      <c r="B210" s="116" t="s">
        <v>533</v>
      </c>
      <c r="C210" s="116" t="s">
        <v>1387</v>
      </c>
      <c r="D210" s="96" t="s">
        <v>736</v>
      </c>
      <c r="E210" s="96" t="s">
        <v>736</v>
      </c>
      <c r="F210" s="96" t="s">
        <v>736</v>
      </c>
      <c r="G210" s="186" t="s">
        <v>736</v>
      </c>
    </row>
    <row r="211" spans="1:7" ht="19.5" customHeight="1" x14ac:dyDescent="0.25">
      <c r="A211" s="95">
        <v>38194</v>
      </c>
      <c r="B211" s="116" t="s">
        <v>533</v>
      </c>
      <c r="C211" s="116" t="s">
        <v>1387</v>
      </c>
      <c r="D211" s="96" t="s">
        <v>736</v>
      </c>
      <c r="E211" s="96" t="s">
        <v>736</v>
      </c>
      <c r="F211" s="96" t="s">
        <v>736</v>
      </c>
      <c r="G211" s="186" t="s">
        <v>736</v>
      </c>
    </row>
    <row r="212" spans="1:7" ht="19.5" customHeight="1" x14ac:dyDescent="0.25">
      <c r="A212" s="95">
        <v>38195</v>
      </c>
      <c r="B212" s="116" t="s">
        <v>534</v>
      </c>
      <c r="C212" s="116" t="s">
        <v>1489</v>
      </c>
      <c r="D212" s="96" t="s">
        <v>736</v>
      </c>
      <c r="E212" s="96" t="s">
        <v>736</v>
      </c>
      <c r="F212" s="96" t="s">
        <v>736</v>
      </c>
      <c r="G212" s="186" t="s">
        <v>736</v>
      </c>
    </row>
    <row r="213" spans="1:7" ht="19.5" customHeight="1" x14ac:dyDescent="0.25">
      <c r="A213" s="95">
        <v>38196</v>
      </c>
      <c r="B213" s="116" t="s">
        <v>534</v>
      </c>
      <c r="C213" s="116" t="s">
        <v>1489</v>
      </c>
      <c r="D213" s="96" t="s">
        <v>736</v>
      </c>
      <c r="E213" s="96" t="s">
        <v>736</v>
      </c>
      <c r="F213" s="96" t="s">
        <v>736</v>
      </c>
      <c r="G213" s="186" t="s">
        <v>736</v>
      </c>
    </row>
    <row r="214" spans="1:7" ht="19.5" customHeight="1" x14ac:dyDescent="0.25">
      <c r="A214" s="95">
        <v>38197</v>
      </c>
      <c r="B214" s="116" t="s">
        <v>534</v>
      </c>
      <c r="C214" s="116">
        <v>2000</v>
      </c>
      <c r="D214" s="96" t="s">
        <v>736</v>
      </c>
      <c r="E214" s="96" t="s">
        <v>736</v>
      </c>
      <c r="F214" s="96" t="s">
        <v>736</v>
      </c>
      <c r="G214" s="186" t="s">
        <v>736</v>
      </c>
    </row>
    <row r="215" spans="1:7" ht="19.5" customHeight="1" x14ac:dyDescent="0.25">
      <c r="A215" s="95">
        <v>38198</v>
      </c>
      <c r="B215" s="116" t="s">
        <v>736</v>
      </c>
      <c r="C215" s="116" t="s">
        <v>736</v>
      </c>
      <c r="D215" s="96" t="s">
        <v>736</v>
      </c>
      <c r="E215" s="96" t="s">
        <v>736</v>
      </c>
      <c r="F215" s="96" t="s">
        <v>736</v>
      </c>
      <c r="G215" s="186" t="s">
        <v>736</v>
      </c>
    </row>
    <row r="216" spans="1:7" ht="19.5" customHeight="1" x14ac:dyDescent="0.25">
      <c r="A216" s="95">
        <v>38199</v>
      </c>
      <c r="B216" s="116" t="s">
        <v>736</v>
      </c>
      <c r="C216" s="116" t="s">
        <v>736</v>
      </c>
      <c r="D216" s="96" t="s">
        <v>736</v>
      </c>
      <c r="E216" s="96" t="s">
        <v>736</v>
      </c>
      <c r="F216" s="96" t="s">
        <v>736</v>
      </c>
      <c r="G216" s="186" t="s">
        <v>736</v>
      </c>
    </row>
    <row r="217" spans="1:7" ht="19.5" customHeight="1" x14ac:dyDescent="0.25">
      <c r="A217" s="95">
        <v>38200</v>
      </c>
      <c r="B217" s="116" t="s">
        <v>1490</v>
      </c>
      <c r="C217" s="116" t="s">
        <v>1493</v>
      </c>
      <c r="D217" s="116" t="s">
        <v>736</v>
      </c>
      <c r="E217" s="116" t="s">
        <v>736</v>
      </c>
      <c r="F217" s="116" t="s">
        <v>736</v>
      </c>
      <c r="G217" s="195" t="s">
        <v>736</v>
      </c>
    </row>
    <row r="218" spans="1:7" ht="19.5" customHeight="1" x14ac:dyDescent="0.25">
      <c r="A218" s="95">
        <v>38201</v>
      </c>
      <c r="B218" s="116" t="s">
        <v>928</v>
      </c>
      <c r="C218" s="116" t="s">
        <v>1494</v>
      </c>
      <c r="D218" s="116" t="s">
        <v>736</v>
      </c>
      <c r="E218" s="116" t="s">
        <v>736</v>
      </c>
      <c r="F218" s="116" t="s">
        <v>736</v>
      </c>
      <c r="G218" s="195" t="s">
        <v>736</v>
      </c>
    </row>
    <row r="219" spans="1:7" ht="19.5" customHeight="1" x14ac:dyDescent="0.25">
      <c r="A219" s="95">
        <v>38202</v>
      </c>
      <c r="B219" s="116" t="s">
        <v>1491</v>
      </c>
      <c r="C219" s="116" t="s">
        <v>1495</v>
      </c>
      <c r="D219" s="116" t="s">
        <v>736</v>
      </c>
      <c r="E219" s="116" t="s">
        <v>736</v>
      </c>
      <c r="F219" s="116" t="s">
        <v>736</v>
      </c>
      <c r="G219" s="195" t="s">
        <v>736</v>
      </c>
    </row>
    <row r="220" spans="1:7" ht="19.5" customHeight="1" x14ac:dyDescent="0.25">
      <c r="A220" s="95">
        <v>38203</v>
      </c>
      <c r="B220" s="116" t="s">
        <v>536</v>
      </c>
      <c r="C220" s="116" t="s">
        <v>1496</v>
      </c>
      <c r="D220" s="116" t="s">
        <v>736</v>
      </c>
      <c r="E220" s="116" t="s">
        <v>736</v>
      </c>
      <c r="F220" s="116" t="s">
        <v>736</v>
      </c>
      <c r="G220" s="195" t="s">
        <v>736</v>
      </c>
    </row>
    <row r="221" spans="1:7" ht="19.5" customHeight="1" x14ac:dyDescent="0.25">
      <c r="A221" s="95">
        <v>38204</v>
      </c>
      <c r="B221" s="116" t="s">
        <v>536</v>
      </c>
      <c r="C221" s="116" t="s">
        <v>1496</v>
      </c>
      <c r="D221" s="116" t="s">
        <v>736</v>
      </c>
      <c r="E221" s="116" t="s">
        <v>736</v>
      </c>
      <c r="F221" s="116" t="s">
        <v>736</v>
      </c>
      <c r="G221" s="195" t="s">
        <v>736</v>
      </c>
    </row>
    <row r="222" spans="1:7" ht="19.5" customHeight="1" x14ac:dyDescent="0.25">
      <c r="A222" s="95">
        <v>38205</v>
      </c>
      <c r="B222" s="116" t="s">
        <v>536</v>
      </c>
      <c r="C222" s="116" t="s">
        <v>736</v>
      </c>
      <c r="D222" s="116" t="s">
        <v>736</v>
      </c>
      <c r="E222" s="116" t="s">
        <v>736</v>
      </c>
      <c r="F222" s="116" t="s">
        <v>736</v>
      </c>
      <c r="G222" s="195" t="s">
        <v>736</v>
      </c>
    </row>
    <row r="223" spans="1:7" ht="19.5" customHeight="1" x14ac:dyDescent="0.25">
      <c r="A223" s="95">
        <v>38206</v>
      </c>
      <c r="B223" s="116" t="s">
        <v>536</v>
      </c>
      <c r="C223" s="116" t="s">
        <v>736</v>
      </c>
      <c r="D223" s="116" t="s">
        <v>736</v>
      </c>
      <c r="E223" s="116" t="s">
        <v>736</v>
      </c>
      <c r="F223" s="116" t="s">
        <v>736</v>
      </c>
      <c r="G223" s="195" t="s">
        <v>736</v>
      </c>
    </row>
    <row r="224" spans="1:7" ht="19.5" customHeight="1" x14ac:dyDescent="0.25">
      <c r="A224" s="95">
        <v>38207</v>
      </c>
      <c r="B224" s="116" t="s">
        <v>537</v>
      </c>
      <c r="C224" s="116" t="s">
        <v>736</v>
      </c>
      <c r="D224" s="116" t="s">
        <v>736</v>
      </c>
      <c r="E224" s="116" t="s">
        <v>736</v>
      </c>
      <c r="F224" s="116" t="s">
        <v>736</v>
      </c>
      <c r="G224" s="195" t="s">
        <v>736</v>
      </c>
    </row>
    <row r="225" spans="1:7" ht="19.5" customHeight="1" x14ac:dyDescent="0.25">
      <c r="A225" s="95">
        <v>38208</v>
      </c>
      <c r="B225" s="116" t="s">
        <v>537</v>
      </c>
      <c r="C225" s="116" t="s">
        <v>736</v>
      </c>
      <c r="D225" s="116" t="s">
        <v>736</v>
      </c>
      <c r="E225" s="116" t="s">
        <v>736</v>
      </c>
      <c r="F225" s="116" t="s">
        <v>736</v>
      </c>
      <c r="G225" s="195" t="s">
        <v>736</v>
      </c>
    </row>
    <row r="226" spans="1:7" ht="19.5" customHeight="1" x14ac:dyDescent="0.25">
      <c r="A226" s="95">
        <v>38209</v>
      </c>
      <c r="B226" s="116" t="s">
        <v>537</v>
      </c>
      <c r="C226" s="116" t="s">
        <v>736</v>
      </c>
      <c r="D226" s="116" t="s">
        <v>736</v>
      </c>
      <c r="E226" s="116" t="s">
        <v>736</v>
      </c>
      <c r="F226" s="116" t="s">
        <v>736</v>
      </c>
      <c r="G226" s="195" t="s">
        <v>736</v>
      </c>
    </row>
    <row r="227" spans="1:7" ht="19.5" customHeight="1" x14ac:dyDescent="0.25">
      <c r="A227" s="95">
        <v>38210</v>
      </c>
      <c r="B227" s="116" t="s">
        <v>1492</v>
      </c>
      <c r="C227" s="116" t="s">
        <v>736</v>
      </c>
      <c r="D227" s="116" t="s">
        <v>736</v>
      </c>
      <c r="E227" s="116" t="s">
        <v>736</v>
      </c>
      <c r="F227" s="116" t="s">
        <v>736</v>
      </c>
      <c r="G227" s="195" t="s">
        <v>736</v>
      </c>
    </row>
    <row r="228" spans="1:7" ht="19.5" customHeight="1" x14ac:dyDescent="0.25">
      <c r="A228" s="95">
        <v>38211</v>
      </c>
      <c r="B228" s="116" t="s">
        <v>1492</v>
      </c>
      <c r="C228" s="116" t="s">
        <v>736</v>
      </c>
      <c r="D228" s="116" t="s">
        <v>736</v>
      </c>
      <c r="E228" s="116" t="s">
        <v>736</v>
      </c>
      <c r="F228" s="116" t="s">
        <v>736</v>
      </c>
      <c r="G228" s="195" t="s">
        <v>736</v>
      </c>
    </row>
    <row r="229" spans="1:7" ht="19.5" customHeight="1" x14ac:dyDescent="0.25">
      <c r="A229" s="95">
        <v>38212</v>
      </c>
      <c r="B229" s="116" t="s">
        <v>1492</v>
      </c>
      <c r="C229" s="116" t="s">
        <v>736</v>
      </c>
      <c r="D229" s="116" t="s">
        <v>736</v>
      </c>
      <c r="E229" s="116" t="s">
        <v>736</v>
      </c>
      <c r="F229" s="116" t="s">
        <v>736</v>
      </c>
      <c r="G229" s="195" t="s">
        <v>736</v>
      </c>
    </row>
    <row r="230" spans="1:7" ht="19.5" customHeight="1" x14ac:dyDescent="0.25">
      <c r="A230" s="95">
        <v>38213</v>
      </c>
      <c r="B230" s="116" t="s">
        <v>1492</v>
      </c>
      <c r="C230" s="116" t="s">
        <v>736</v>
      </c>
      <c r="D230" s="116" t="s">
        <v>736</v>
      </c>
      <c r="E230" s="116" t="s">
        <v>736</v>
      </c>
      <c r="F230" s="116" t="s">
        <v>736</v>
      </c>
      <c r="G230" s="195" t="s">
        <v>736</v>
      </c>
    </row>
    <row r="231" spans="1:7" ht="19.5" customHeight="1" x14ac:dyDescent="0.25">
      <c r="A231" s="95">
        <v>38214</v>
      </c>
      <c r="B231" s="116" t="s">
        <v>1492</v>
      </c>
      <c r="C231" s="116" t="s">
        <v>736</v>
      </c>
      <c r="D231" s="116" t="s">
        <v>736</v>
      </c>
      <c r="E231" s="116" t="s">
        <v>736</v>
      </c>
      <c r="F231" s="116" t="s">
        <v>736</v>
      </c>
      <c r="G231" s="195" t="s">
        <v>736</v>
      </c>
    </row>
    <row r="232" spans="1:7" ht="19.5" customHeight="1" x14ac:dyDescent="0.25">
      <c r="A232" s="95">
        <v>38215</v>
      </c>
      <c r="B232" s="116" t="s">
        <v>736</v>
      </c>
      <c r="C232" s="116" t="s">
        <v>736</v>
      </c>
      <c r="D232" s="116" t="s">
        <v>736</v>
      </c>
      <c r="E232" s="116" t="s">
        <v>736</v>
      </c>
      <c r="F232" s="116" t="s">
        <v>736</v>
      </c>
      <c r="G232" s="195" t="s">
        <v>736</v>
      </c>
    </row>
    <row r="233" spans="1:7" ht="19.5" customHeight="1" x14ac:dyDescent="0.25">
      <c r="A233" s="95">
        <v>38216</v>
      </c>
      <c r="B233" s="116" t="s">
        <v>736</v>
      </c>
      <c r="C233" s="116" t="s">
        <v>736</v>
      </c>
      <c r="D233" s="116" t="s">
        <v>736</v>
      </c>
      <c r="E233" s="116" t="s">
        <v>736</v>
      </c>
      <c r="F233" s="116" t="s">
        <v>736</v>
      </c>
      <c r="G233" s="195" t="s">
        <v>736</v>
      </c>
    </row>
    <row r="234" spans="1:7" ht="19.5" customHeight="1" x14ac:dyDescent="0.25">
      <c r="A234" s="95">
        <v>38217</v>
      </c>
      <c r="B234" s="116" t="s">
        <v>736</v>
      </c>
      <c r="C234" s="116" t="s">
        <v>736</v>
      </c>
      <c r="D234" s="116" t="s">
        <v>736</v>
      </c>
      <c r="E234" s="116" t="s">
        <v>736</v>
      </c>
      <c r="F234" s="116" t="s">
        <v>736</v>
      </c>
      <c r="G234" s="195" t="s">
        <v>736</v>
      </c>
    </row>
    <row r="235" spans="1:7" ht="19.5" customHeight="1" x14ac:dyDescent="0.25">
      <c r="A235" s="95">
        <v>38218</v>
      </c>
      <c r="B235" s="116" t="s">
        <v>736</v>
      </c>
      <c r="C235" s="116" t="s">
        <v>736</v>
      </c>
      <c r="D235" s="116" t="s">
        <v>736</v>
      </c>
      <c r="E235" s="116" t="s">
        <v>736</v>
      </c>
      <c r="F235" s="116" t="s">
        <v>736</v>
      </c>
      <c r="G235" s="195" t="s">
        <v>736</v>
      </c>
    </row>
    <row r="236" spans="1:7" ht="19.5" customHeight="1" x14ac:dyDescent="0.25">
      <c r="A236" s="95">
        <v>38219</v>
      </c>
      <c r="B236" s="116" t="s">
        <v>736</v>
      </c>
      <c r="C236" s="116" t="s">
        <v>736</v>
      </c>
      <c r="D236" s="116" t="s">
        <v>736</v>
      </c>
      <c r="E236" s="116" t="s">
        <v>736</v>
      </c>
      <c r="F236" s="116" t="s">
        <v>736</v>
      </c>
      <c r="G236" s="195" t="s">
        <v>736</v>
      </c>
    </row>
    <row r="237" spans="1:7" ht="19.5" customHeight="1" x14ac:dyDescent="0.25">
      <c r="A237" s="95">
        <v>38220</v>
      </c>
      <c r="B237" s="116" t="s">
        <v>736</v>
      </c>
      <c r="C237" s="116" t="s">
        <v>736</v>
      </c>
      <c r="D237" s="116" t="s">
        <v>736</v>
      </c>
      <c r="E237" s="116" t="s">
        <v>736</v>
      </c>
      <c r="F237" s="116" t="s">
        <v>736</v>
      </c>
      <c r="G237" s="195" t="s">
        <v>736</v>
      </c>
    </row>
    <row r="238" spans="1:7" ht="19.5" customHeight="1" x14ac:dyDescent="0.25">
      <c r="A238" s="95">
        <v>38221</v>
      </c>
      <c r="B238" s="116" t="s">
        <v>736</v>
      </c>
      <c r="C238" s="116" t="s">
        <v>736</v>
      </c>
      <c r="D238" s="116" t="s">
        <v>736</v>
      </c>
      <c r="E238" s="116" t="s">
        <v>736</v>
      </c>
      <c r="F238" s="116" t="s">
        <v>736</v>
      </c>
      <c r="G238" s="195" t="s">
        <v>736</v>
      </c>
    </row>
    <row r="239" spans="1:7" ht="19.5" customHeight="1" x14ac:dyDescent="0.25">
      <c r="A239" s="95">
        <v>38222</v>
      </c>
      <c r="B239" s="116" t="s">
        <v>736</v>
      </c>
      <c r="C239" s="116" t="s">
        <v>736</v>
      </c>
      <c r="D239" s="116" t="s">
        <v>736</v>
      </c>
      <c r="E239" s="116" t="s">
        <v>736</v>
      </c>
      <c r="F239" s="116" t="s">
        <v>736</v>
      </c>
      <c r="G239" s="195" t="s">
        <v>736</v>
      </c>
    </row>
    <row r="240" spans="1:7" ht="19.5" customHeight="1" x14ac:dyDescent="0.25">
      <c r="A240" s="95">
        <v>38223</v>
      </c>
      <c r="B240" s="116" t="s">
        <v>736</v>
      </c>
      <c r="C240" s="116" t="s">
        <v>736</v>
      </c>
      <c r="D240" s="116" t="s">
        <v>736</v>
      </c>
      <c r="E240" s="116" t="s">
        <v>736</v>
      </c>
      <c r="F240" s="116" t="s">
        <v>736</v>
      </c>
      <c r="G240" s="195" t="s">
        <v>736</v>
      </c>
    </row>
    <row r="241" spans="1:7" ht="19.5" customHeight="1" x14ac:dyDescent="0.25">
      <c r="A241" s="95">
        <v>38224</v>
      </c>
      <c r="B241" s="116" t="s">
        <v>736</v>
      </c>
      <c r="C241" s="116" t="s">
        <v>736</v>
      </c>
      <c r="D241" s="116" t="s">
        <v>736</v>
      </c>
      <c r="E241" s="116" t="s">
        <v>736</v>
      </c>
      <c r="F241" s="116" t="s">
        <v>736</v>
      </c>
      <c r="G241" s="195" t="s">
        <v>736</v>
      </c>
    </row>
    <row r="242" spans="1:7" ht="19.5" customHeight="1" x14ac:dyDescent="0.25">
      <c r="A242" s="95">
        <v>38225</v>
      </c>
      <c r="B242" s="116" t="s">
        <v>736</v>
      </c>
      <c r="C242" s="116" t="s">
        <v>736</v>
      </c>
      <c r="D242" s="116" t="s">
        <v>736</v>
      </c>
      <c r="E242" s="116" t="s">
        <v>736</v>
      </c>
      <c r="F242" s="116" t="s">
        <v>736</v>
      </c>
      <c r="G242" s="195" t="s">
        <v>736</v>
      </c>
    </row>
    <row r="243" spans="1:7" ht="19.5" customHeight="1" x14ac:dyDescent="0.25">
      <c r="A243" s="95">
        <v>38226</v>
      </c>
      <c r="B243" s="116" t="s">
        <v>736</v>
      </c>
      <c r="C243" s="116" t="s">
        <v>736</v>
      </c>
      <c r="D243" s="116" t="s">
        <v>736</v>
      </c>
      <c r="E243" s="116" t="s">
        <v>736</v>
      </c>
      <c r="F243" s="116" t="s">
        <v>736</v>
      </c>
      <c r="G243" s="195" t="s">
        <v>736</v>
      </c>
    </row>
    <row r="244" spans="1:7" ht="19.5" customHeight="1" x14ac:dyDescent="0.25">
      <c r="A244" s="95">
        <v>38227</v>
      </c>
      <c r="B244" s="116" t="s">
        <v>736</v>
      </c>
      <c r="C244" s="116" t="s">
        <v>736</v>
      </c>
      <c r="D244" s="116" t="s">
        <v>736</v>
      </c>
      <c r="E244" s="116" t="s">
        <v>736</v>
      </c>
      <c r="F244" s="116" t="s">
        <v>736</v>
      </c>
      <c r="G244" s="195" t="s">
        <v>736</v>
      </c>
    </row>
    <row r="245" spans="1:7" ht="19.5" customHeight="1" x14ac:dyDescent="0.25">
      <c r="A245" s="95">
        <v>38228</v>
      </c>
      <c r="B245" s="116" t="s">
        <v>736</v>
      </c>
      <c r="C245" s="116" t="s">
        <v>736</v>
      </c>
      <c r="D245" s="116" t="s">
        <v>736</v>
      </c>
      <c r="E245" s="116" t="s">
        <v>736</v>
      </c>
      <c r="F245" s="116" t="s">
        <v>736</v>
      </c>
      <c r="G245" s="195" t="s">
        <v>736</v>
      </c>
    </row>
    <row r="246" spans="1:7" ht="19.5" customHeight="1" x14ac:dyDescent="0.25">
      <c r="A246" s="95">
        <v>38229</v>
      </c>
      <c r="B246" s="116" t="s">
        <v>736</v>
      </c>
      <c r="C246" s="116" t="s">
        <v>736</v>
      </c>
      <c r="D246" s="116" t="s">
        <v>736</v>
      </c>
      <c r="E246" s="116" t="s">
        <v>736</v>
      </c>
      <c r="F246" s="116" t="s">
        <v>736</v>
      </c>
      <c r="G246" s="195" t="s">
        <v>736</v>
      </c>
    </row>
    <row r="247" spans="1:7" ht="19.5" customHeight="1" x14ac:dyDescent="0.25">
      <c r="A247" s="95">
        <v>38230</v>
      </c>
      <c r="B247" s="116" t="s">
        <v>736</v>
      </c>
      <c r="C247" s="116" t="s">
        <v>736</v>
      </c>
      <c r="D247" s="116" t="s">
        <v>736</v>
      </c>
      <c r="E247" s="116" t="s">
        <v>736</v>
      </c>
      <c r="F247" s="116" t="s">
        <v>736</v>
      </c>
      <c r="G247" s="195" t="s">
        <v>736</v>
      </c>
    </row>
    <row r="248" spans="1:7" ht="19.5" customHeight="1" x14ac:dyDescent="0.25">
      <c r="A248" s="95">
        <v>38231</v>
      </c>
      <c r="B248" s="116" t="s">
        <v>736</v>
      </c>
      <c r="C248" s="116" t="s">
        <v>736</v>
      </c>
      <c r="D248" s="116" t="s">
        <v>736</v>
      </c>
      <c r="E248" s="116" t="s">
        <v>736</v>
      </c>
      <c r="F248" s="116" t="s">
        <v>736</v>
      </c>
      <c r="G248" s="195" t="s">
        <v>736</v>
      </c>
    </row>
    <row r="249" spans="1:7" ht="19.5" customHeight="1" x14ac:dyDescent="0.25">
      <c r="A249" s="95">
        <v>38232</v>
      </c>
      <c r="B249" s="116" t="s">
        <v>736</v>
      </c>
      <c r="C249" s="116" t="s">
        <v>736</v>
      </c>
      <c r="D249" s="116" t="s">
        <v>736</v>
      </c>
      <c r="E249" s="116" t="s">
        <v>736</v>
      </c>
      <c r="F249" s="116" t="s">
        <v>736</v>
      </c>
      <c r="G249" s="195" t="s">
        <v>736</v>
      </c>
    </row>
    <row r="250" spans="1:7" ht="19.5" customHeight="1" x14ac:dyDescent="0.25">
      <c r="A250" s="95">
        <v>38233</v>
      </c>
      <c r="B250" s="116" t="s">
        <v>736</v>
      </c>
      <c r="C250" s="116" t="s">
        <v>736</v>
      </c>
      <c r="D250" s="116" t="s">
        <v>736</v>
      </c>
      <c r="E250" s="116" t="s">
        <v>736</v>
      </c>
      <c r="F250" s="116" t="s">
        <v>736</v>
      </c>
      <c r="G250" s="195" t="s">
        <v>736</v>
      </c>
    </row>
    <row r="251" spans="1:7" ht="19.5" customHeight="1" x14ac:dyDescent="0.25">
      <c r="A251" s="95">
        <v>38234</v>
      </c>
      <c r="B251" s="116" t="s">
        <v>736</v>
      </c>
      <c r="C251" s="116" t="s">
        <v>736</v>
      </c>
      <c r="D251" s="116" t="s">
        <v>736</v>
      </c>
      <c r="E251" s="116" t="s">
        <v>736</v>
      </c>
      <c r="F251" s="116" t="s">
        <v>736</v>
      </c>
      <c r="G251" s="195" t="s">
        <v>736</v>
      </c>
    </row>
    <row r="252" spans="1:7" ht="19.5" customHeight="1" x14ac:dyDescent="0.25">
      <c r="A252" s="95">
        <v>38235</v>
      </c>
      <c r="B252" s="116" t="s">
        <v>736</v>
      </c>
      <c r="C252" s="116" t="s">
        <v>736</v>
      </c>
      <c r="D252" s="116" t="s">
        <v>736</v>
      </c>
      <c r="E252" s="116" t="s">
        <v>736</v>
      </c>
      <c r="F252" s="116" t="s">
        <v>736</v>
      </c>
      <c r="G252" s="195" t="s">
        <v>736</v>
      </c>
    </row>
    <row r="253" spans="1:7" ht="19.5" customHeight="1" x14ac:dyDescent="0.25">
      <c r="A253" s="95">
        <v>38236</v>
      </c>
      <c r="B253" s="116" t="s">
        <v>736</v>
      </c>
      <c r="C253" s="116" t="s">
        <v>736</v>
      </c>
      <c r="D253" s="116" t="s">
        <v>736</v>
      </c>
      <c r="E253" s="116" t="s">
        <v>736</v>
      </c>
      <c r="F253" s="116" t="s">
        <v>736</v>
      </c>
      <c r="G253" s="195" t="s">
        <v>736</v>
      </c>
    </row>
    <row r="254" spans="1:7" ht="19.5" customHeight="1" x14ac:dyDescent="0.25">
      <c r="A254" s="95">
        <v>38237</v>
      </c>
      <c r="B254" s="116" t="s">
        <v>736</v>
      </c>
      <c r="C254" s="116" t="s">
        <v>736</v>
      </c>
      <c r="D254" s="116" t="s">
        <v>736</v>
      </c>
      <c r="E254" s="116" t="s">
        <v>736</v>
      </c>
      <c r="F254" s="116" t="s">
        <v>736</v>
      </c>
      <c r="G254" s="195" t="s">
        <v>736</v>
      </c>
    </row>
    <row r="255" spans="1:7" ht="19.5" customHeight="1" x14ac:dyDescent="0.25">
      <c r="A255" s="95">
        <v>38238</v>
      </c>
      <c r="B255" s="116" t="s">
        <v>736</v>
      </c>
      <c r="C255" s="116" t="s">
        <v>736</v>
      </c>
      <c r="D255" s="116" t="s">
        <v>736</v>
      </c>
      <c r="E255" s="116" t="s">
        <v>736</v>
      </c>
      <c r="F255" s="116" t="s">
        <v>736</v>
      </c>
      <c r="G255" s="195" t="s">
        <v>736</v>
      </c>
    </row>
    <row r="256" spans="1:7" ht="19.5" customHeight="1" x14ac:dyDescent="0.25">
      <c r="A256" s="95">
        <v>38239</v>
      </c>
      <c r="B256" s="116" t="s">
        <v>736</v>
      </c>
      <c r="C256" s="116" t="s">
        <v>736</v>
      </c>
      <c r="D256" s="116" t="s">
        <v>736</v>
      </c>
      <c r="E256" s="116" t="s">
        <v>736</v>
      </c>
      <c r="F256" s="116" t="s">
        <v>736</v>
      </c>
      <c r="G256" s="195" t="s">
        <v>736</v>
      </c>
    </row>
    <row r="257" spans="1:7" ht="19.5" customHeight="1" x14ac:dyDescent="0.25">
      <c r="A257" s="95">
        <v>38240</v>
      </c>
      <c r="B257" s="116" t="s">
        <v>736</v>
      </c>
      <c r="C257" s="116" t="s">
        <v>736</v>
      </c>
      <c r="D257" s="116" t="s">
        <v>736</v>
      </c>
      <c r="E257" s="116" t="s">
        <v>736</v>
      </c>
      <c r="F257" s="116" t="s">
        <v>736</v>
      </c>
      <c r="G257" s="195" t="s">
        <v>736</v>
      </c>
    </row>
    <row r="258" spans="1:7" ht="19.5" customHeight="1" x14ac:dyDescent="0.25">
      <c r="A258" s="95">
        <v>38241</v>
      </c>
      <c r="B258" s="116" t="s">
        <v>736</v>
      </c>
      <c r="C258" s="116" t="s">
        <v>736</v>
      </c>
      <c r="D258" s="116" t="s">
        <v>736</v>
      </c>
      <c r="E258" s="116" t="s">
        <v>736</v>
      </c>
      <c r="F258" s="116" t="s">
        <v>736</v>
      </c>
      <c r="G258" s="195" t="s">
        <v>736</v>
      </c>
    </row>
    <row r="259" spans="1:7" ht="19.5" customHeight="1" x14ac:dyDescent="0.25">
      <c r="A259" s="95">
        <v>38242</v>
      </c>
      <c r="B259" s="116" t="s">
        <v>736</v>
      </c>
      <c r="C259" s="116" t="s">
        <v>736</v>
      </c>
      <c r="D259" s="116" t="s">
        <v>736</v>
      </c>
      <c r="E259" s="116" t="s">
        <v>736</v>
      </c>
      <c r="F259" s="116" t="s">
        <v>736</v>
      </c>
      <c r="G259" s="195" t="s">
        <v>736</v>
      </c>
    </row>
    <row r="260" spans="1:7" ht="19.5" customHeight="1" x14ac:dyDescent="0.25">
      <c r="A260" s="95">
        <v>38243</v>
      </c>
      <c r="B260" s="116" t="s">
        <v>736</v>
      </c>
      <c r="C260" s="116" t="s">
        <v>736</v>
      </c>
      <c r="D260" s="116" t="s">
        <v>736</v>
      </c>
      <c r="E260" s="116" t="s">
        <v>736</v>
      </c>
      <c r="F260" s="116" t="s">
        <v>736</v>
      </c>
      <c r="G260" s="195" t="s">
        <v>736</v>
      </c>
    </row>
    <row r="261" spans="1:7" ht="19.5" customHeight="1" x14ac:dyDescent="0.25">
      <c r="A261" s="95">
        <v>38244</v>
      </c>
      <c r="B261" s="116" t="s">
        <v>736</v>
      </c>
      <c r="C261" s="116" t="s">
        <v>736</v>
      </c>
      <c r="D261" s="116" t="s">
        <v>736</v>
      </c>
      <c r="E261" s="116" t="s">
        <v>736</v>
      </c>
      <c r="F261" s="116" t="s">
        <v>736</v>
      </c>
      <c r="G261" s="195" t="s">
        <v>736</v>
      </c>
    </row>
    <row r="262" spans="1:7" ht="19.5" customHeight="1" x14ac:dyDescent="0.25">
      <c r="A262" s="95">
        <v>38245</v>
      </c>
      <c r="B262" s="116" t="s">
        <v>736</v>
      </c>
      <c r="C262" s="116" t="s">
        <v>736</v>
      </c>
      <c r="D262" s="116" t="s">
        <v>736</v>
      </c>
      <c r="E262" s="116" t="s">
        <v>736</v>
      </c>
      <c r="F262" s="116" t="s">
        <v>736</v>
      </c>
      <c r="G262" s="195" t="s">
        <v>736</v>
      </c>
    </row>
    <row r="263" spans="1:7" ht="19.5" customHeight="1" x14ac:dyDescent="0.25">
      <c r="A263" s="95">
        <v>38246</v>
      </c>
      <c r="B263" s="116" t="s">
        <v>736</v>
      </c>
      <c r="C263" s="116" t="s">
        <v>736</v>
      </c>
      <c r="D263" s="116" t="s">
        <v>736</v>
      </c>
      <c r="E263" s="116" t="s">
        <v>736</v>
      </c>
      <c r="F263" s="116" t="s">
        <v>736</v>
      </c>
      <c r="G263" s="195" t="s">
        <v>736</v>
      </c>
    </row>
    <row r="264" spans="1:7" ht="19.5" customHeight="1" x14ac:dyDescent="0.25">
      <c r="A264" s="95">
        <v>38247</v>
      </c>
      <c r="B264" s="116" t="s">
        <v>736</v>
      </c>
      <c r="C264" s="116" t="s">
        <v>736</v>
      </c>
      <c r="D264" s="116" t="s">
        <v>736</v>
      </c>
      <c r="E264" s="116" t="s">
        <v>736</v>
      </c>
      <c r="F264" s="116" t="s">
        <v>736</v>
      </c>
      <c r="G264" s="195" t="s">
        <v>736</v>
      </c>
    </row>
    <row r="265" spans="1:7" ht="19.5" customHeight="1" x14ac:dyDescent="0.25">
      <c r="A265" s="95">
        <v>38248</v>
      </c>
      <c r="B265" s="116" t="s">
        <v>736</v>
      </c>
      <c r="C265" s="116" t="s">
        <v>736</v>
      </c>
      <c r="D265" s="116" t="s">
        <v>736</v>
      </c>
      <c r="E265" s="116" t="s">
        <v>736</v>
      </c>
      <c r="F265" s="116" t="s">
        <v>736</v>
      </c>
      <c r="G265" s="195" t="s">
        <v>736</v>
      </c>
    </row>
    <row r="266" spans="1:7" ht="19.5" customHeight="1" x14ac:dyDescent="0.25">
      <c r="A266" s="95">
        <v>38249</v>
      </c>
      <c r="B266" s="116" t="s">
        <v>736</v>
      </c>
      <c r="C266" s="116" t="s">
        <v>736</v>
      </c>
      <c r="D266" s="116" t="s">
        <v>736</v>
      </c>
      <c r="E266" s="116" t="s">
        <v>736</v>
      </c>
      <c r="F266" s="116" t="s">
        <v>736</v>
      </c>
      <c r="G266" s="195" t="s">
        <v>736</v>
      </c>
    </row>
    <row r="267" spans="1:7" ht="19.5" customHeight="1" x14ac:dyDescent="0.25">
      <c r="A267" s="95">
        <v>38250</v>
      </c>
      <c r="B267" s="116" t="s">
        <v>736</v>
      </c>
      <c r="C267" s="116" t="s">
        <v>736</v>
      </c>
      <c r="D267" s="116" t="s">
        <v>736</v>
      </c>
      <c r="E267" s="116" t="s">
        <v>736</v>
      </c>
      <c r="F267" s="116" t="s">
        <v>736</v>
      </c>
      <c r="G267" s="195" t="s">
        <v>736</v>
      </c>
    </row>
    <row r="268" spans="1:7" ht="19.5" customHeight="1" x14ac:dyDescent="0.25">
      <c r="A268" s="95">
        <v>38251</v>
      </c>
      <c r="B268" s="116" t="s">
        <v>736</v>
      </c>
      <c r="C268" s="116" t="s">
        <v>736</v>
      </c>
      <c r="D268" s="116" t="s">
        <v>736</v>
      </c>
      <c r="E268" s="116" t="s">
        <v>736</v>
      </c>
      <c r="F268" s="116" t="s">
        <v>736</v>
      </c>
      <c r="G268" s="195" t="s">
        <v>736</v>
      </c>
    </row>
    <row r="269" spans="1:7" ht="19.5" customHeight="1" x14ac:dyDescent="0.25">
      <c r="A269" s="95">
        <v>38252</v>
      </c>
      <c r="B269" s="116" t="s">
        <v>736</v>
      </c>
      <c r="C269" s="116" t="s">
        <v>736</v>
      </c>
      <c r="D269" s="116" t="s">
        <v>736</v>
      </c>
      <c r="E269" s="116" t="s">
        <v>736</v>
      </c>
      <c r="F269" s="116" t="s">
        <v>736</v>
      </c>
      <c r="G269" s="195" t="s">
        <v>736</v>
      </c>
    </row>
    <row r="270" spans="1:7" ht="19.5" customHeight="1" x14ac:dyDescent="0.25">
      <c r="A270" s="95">
        <v>38253</v>
      </c>
      <c r="B270" s="116" t="s">
        <v>736</v>
      </c>
      <c r="C270" s="116" t="s">
        <v>736</v>
      </c>
      <c r="D270" s="116" t="s">
        <v>736</v>
      </c>
      <c r="E270" s="116" t="s">
        <v>736</v>
      </c>
      <c r="F270" s="116" t="s">
        <v>736</v>
      </c>
      <c r="G270" s="195" t="s">
        <v>736</v>
      </c>
    </row>
    <row r="271" spans="1:7" ht="19.5" customHeight="1" x14ac:dyDescent="0.25">
      <c r="A271" s="95">
        <v>38254</v>
      </c>
      <c r="B271" s="116" t="s">
        <v>736</v>
      </c>
      <c r="C271" s="116" t="s">
        <v>736</v>
      </c>
      <c r="D271" s="116" t="s">
        <v>736</v>
      </c>
      <c r="E271" s="116" t="s">
        <v>736</v>
      </c>
      <c r="F271" s="116" t="s">
        <v>736</v>
      </c>
      <c r="G271" s="195" t="s">
        <v>736</v>
      </c>
    </row>
    <row r="272" spans="1:7" ht="19.5" customHeight="1" x14ac:dyDescent="0.25">
      <c r="A272" s="95">
        <v>38255</v>
      </c>
      <c r="B272" s="116" t="s">
        <v>736</v>
      </c>
      <c r="C272" s="116" t="s">
        <v>736</v>
      </c>
      <c r="D272" s="116" t="s">
        <v>736</v>
      </c>
      <c r="E272" s="116" t="s">
        <v>736</v>
      </c>
      <c r="F272" s="116" t="s">
        <v>736</v>
      </c>
      <c r="G272" s="195" t="s">
        <v>736</v>
      </c>
    </row>
    <row r="273" spans="1:7" ht="19.5" customHeight="1" x14ac:dyDescent="0.25">
      <c r="A273" s="95">
        <v>38256</v>
      </c>
      <c r="B273" s="116" t="s">
        <v>736</v>
      </c>
      <c r="C273" s="116" t="s">
        <v>736</v>
      </c>
      <c r="D273" s="116" t="s">
        <v>736</v>
      </c>
      <c r="E273" s="116" t="s">
        <v>736</v>
      </c>
      <c r="F273" s="116" t="s">
        <v>736</v>
      </c>
      <c r="G273" s="195" t="s">
        <v>736</v>
      </c>
    </row>
    <row r="274" spans="1:7" ht="19.5" customHeight="1" x14ac:dyDescent="0.25">
      <c r="A274" s="95">
        <v>38257</v>
      </c>
      <c r="B274" s="116" t="s">
        <v>736</v>
      </c>
      <c r="C274" s="116" t="s">
        <v>736</v>
      </c>
      <c r="D274" s="116" t="s">
        <v>736</v>
      </c>
      <c r="E274" s="116" t="s">
        <v>736</v>
      </c>
      <c r="F274" s="116" t="s">
        <v>736</v>
      </c>
      <c r="G274" s="195" t="s">
        <v>736</v>
      </c>
    </row>
    <row r="275" spans="1:7" ht="19.5" customHeight="1" x14ac:dyDescent="0.25">
      <c r="A275" s="95">
        <v>38258</v>
      </c>
      <c r="B275" s="116" t="s">
        <v>736</v>
      </c>
      <c r="C275" s="116" t="s">
        <v>736</v>
      </c>
      <c r="D275" s="116" t="s">
        <v>736</v>
      </c>
      <c r="E275" s="116" t="s">
        <v>736</v>
      </c>
      <c r="F275" s="116" t="s">
        <v>736</v>
      </c>
      <c r="G275" s="195" t="s">
        <v>736</v>
      </c>
    </row>
    <row r="276" spans="1:7" ht="19.5" customHeight="1" x14ac:dyDescent="0.25">
      <c r="A276" s="95">
        <v>38259</v>
      </c>
      <c r="B276" s="116" t="s">
        <v>736</v>
      </c>
      <c r="C276" s="116" t="s">
        <v>736</v>
      </c>
      <c r="D276" s="116" t="s">
        <v>736</v>
      </c>
      <c r="E276" s="116" t="s">
        <v>736</v>
      </c>
      <c r="F276" s="116" t="s">
        <v>736</v>
      </c>
      <c r="G276" s="195" t="s">
        <v>736</v>
      </c>
    </row>
    <row r="277" spans="1:7" ht="19.5" customHeight="1" x14ac:dyDescent="0.25">
      <c r="A277" s="95">
        <v>38260</v>
      </c>
      <c r="B277" s="116" t="s">
        <v>736</v>
      </c>
      <c r="C277" s="116" t="s">
        <v>736</v>
      </c>
      <c r="D277" s="116" t="s">
        <v>736</v>
      </c>
      <c r="E277" s="116" t="s">
        <v>736</v>
      </c>
      <c r="F277" s="116" t="s">
        <v>736</v>
      </c>
      <c r="G277" s="195" t="s">
        <v>736</v>
      </c>
    </row>
    <row r="278" spans="1:7" ht="19.5" customHeight="1" x14ac:dyDescent="0.25">
      <c r="A278" s="95">
        <v>38261</v>
      </c>
      <c r="B278" s="116" t="s">
        <v>736</v>
      </c>
      <c r="C278" s="116" t="s">
        <v>736</v>
      </c>
      <c r="D278" s="116" t="s">
        <v>736</v>
      </c>
      <c r="E278" s="116" t="s">
        <v>736</v>
      </c>
      <c r="F278" s="116" t="s">
        <v>736</v>
      </c>
      <c r="G278" s="195" t="s">
        <v>736</v>
      </c>
    </row>
    <row r="279" spans="1:7" ht="19.5" customHeight="1" x14ac:dyDescent="0.25">
      <c r="A279" s="95">
        <v>38262</v>
      </c>
      <c r="B279" s="116" t="s">
        <v>736</v>
      </c>
      <c r="C279" s="116" t="s">
        <v>736</v>
      </c>
      <c r="D279" s="116" t="s">
        <v>736</v>
      </c>
      <c r="E279" s="116" t="s">
        <v>736</v>
      </c>
      <c r="F279" s="116" t="s">
        <v>736</v>
      </c>
      <c r="G279" s="195" t="s">
        <v>736</v>
      </c>
    </row>
    <row r="280" spans="1:7" ht="19.5" customHeight="1" x14ac:dyDescent="0.25">
      <c r="A280" s="95">
        <v>38263</v>
      </c>
      <c r="B280" s="116" t="s">
        <v>736</v>
      </c>
      <c r="C280" s="116" t="s">
        <v>736</v>
      </c>
      <c r="D280" s="116" t="s">
        <v>736</v>
      </c>
      <c r="E280" s="116" t="s">
        <v>736</v>
      </c>
      <c r="F280" s="116" t="s">
        <v>736</v>
      </c>
      <c r="G280" s="195" t="s">
        <v>736</v>
      </c>
    </row>
    <row r="281" spans="1:7" ht="19.5" customHeight="1" x14ac:dyDescent="0.25">
      <c r="A281" s="95">
        <v>38264</v>
      </c>
      <c r="B281" s="116" t="s">
        <v>736</v>
      </c>
      <c r="C281" s="116" t="s">
        <v>736</v>
      </c>
      <c r="D281" s="116" t="s">
        <v>736</v>
      </c>
      <c r="E281" s="116" t="s">
        <v>736</v>
      </c>
      <c r="F281" s="116" t="s">
        <v>736</v>
      </c>
      <c r="G281" s="195" t="s">
        <v>736</v>
      </c>
    </row>
    <row r="282" spans="1:7" ht="19.5" customHeight="1" x14ac:dyDescent="0.25">
      <c r="A282" s="95">
        <v>38265</v>
      </c>
      <c r="B282" s="116" t="s">
        <v>736</v>
      </c>
      <c r="C282" s="116" t="s">
        <v>736</v>
      </c>
      <c r="D282" s="116" t="s">
        <v>736</v>
      </c>
      <c r="E282" s="116" t="s">
        <v>736</v>
      </c>
      <c r="F282" s="116" t="s">
        <v>736</v>
      </c>
      <c r="G282" s="195" t="s">
        <v>736</v>
      </c>
    </row>
    <row r="283" spans="1:7" ht="19.5" customHeight="1" x14ac:dyDescent="0.25">
      <c r="A283" s="95">
        <v>38266</v>
      </c>
      <c r="B283" s="116" t="s">
        <v>736</v>
      </c>
      <c r="C283" s="116" t="s">
        <v>736</v>
      </c>
      <c r="D283" s="116" t="s">
        <v>736</v>
      </c>
      <c r="E283" s="116" t="s">
        <v>736</v>
      </c>
      <c r="F283" s="116" t="s">
        <v>736</v>
      </c>
      <c r="G283" s="195" t="s">
        <v>736</v>
      </c>
    </row>
    <row r="284" spans="1:7" ht="19.5" customHeight="1" x14ac:dyDescent="0.25">
      <c r="A284" s="95">
        <v>38267</v>
      </c>
      <c r="B284" s="116" t="s">
        <v>736</v>
      </c>
      <c r="C284" s="116" t="s">
        <v>736</v>
      </c>
      <c r="D284" s="116" t="s">
        <v>736</v>
      </c>
      <c r="E284" s="116" t="s">
        <v>736</v>
      </c>
      <c r="F284" s="116" t="s">
        <v>736</v>
      </c>
      <c r="G284" s="195" t="s">
        <v>736</v>
      </c>
    </row>
    <row r="285" spans="1:7" ht="19.5" customHeight="1" x14ac:dyDescent="0.25">
      <c r="A285" s="95">
        <v>38268</v>
      </c>
      <c r="B285" s="116" t="s">
        <v>736</v>
      </c>
      <c r="C285" s="116" t="s">
        <v>736</v>
      </c>
      <c r="D285" s="116" t="s">
        <v>736</v>
      </c>
      <c r="E285" s="116" t="s">
        <v>736</v>
      </c>
      <c r="F285" s="116" t="s">
        <v>736</v>
      </c>
      <c r="G285" s="195" t="s">
        <v>736</v>
      </c>
    </row>
    <row r="286" spans="1:7" ht="19.5" customHeight="1" x14ac:dyDescent="0.25">
      <c r="A286" s="95">
        <v>38269</v>
      </c>
      <c r="B286" s="116" t="s">
        <v>736</v>
      </c>
      <c r="C286" s="116" t="s">
        <v>736</v>
      </c>
      <c r="D286" s="116" t="s">
        <v>736</v>
      </c>
      <c r="E286" s="116" t="s">
        <v>736</v>
      </c>
      <c r="F286" s="116" t="s">
        <v>736</v>
      </c>
      <c r="G286" s="195" t="s">
        <v>736</v>
      </c>
    </row>
    <row r="287" spans="1:7" ht="19.5" customHeight="1" x14ac:dyDescent="0.25">
      <c r="A287" s="95">
        <v>38270</v>
      </c>
      <c r="B287" s="116" t="s">
        <v>736</v>
      </c>
      <c r="C287" s="116" t="s">
        <v>736</v>
      </c>
      <c r="D287" s="116" t="s">
        <v>736</v>
      </c>
      <c r="E287" s="116" t="s">
        <v>736</v>
      </c>
      <c r="F287" s="116" t="s">
        <v>736</v>
      </c>
      <c r="G287" s="195" t="s">
        <v>736</v>
      </c>
    </row>
    <row r="288" spans="1:7" ht="19.5" customHeight="1" x14ac:dyDescent="0.25">
      <c r="A288" s="95">
        <v>38271</v>
      </c>
      <c r="B288" s="116" t="s">
        <v>736</v>
      </c>
      <c r="C288" s="116" t="s">
        <v>736</v>
      </c>
      <c r="D288" s="116" t="s">
        <v>736</v>
      </c>
      <c r="E288" s="116" t="s">
        <v>736</v>
      </c>
      <c r="F288" s="116" t="s">
        <v>736</v>
      </c>
      <c r="G288" s="195" t="s">
        <v>736</v>
      </c>
    </row>
    <row r="289" spans="1:7" ht="19.5" customHeight="1" x14ac:dyDescent="0.25">
      <c r="A289" s="95">
        <v>38272</v>
      </c>
      <c r="B289" s="116" t="s">
        <v>736</v>
      </c>
      <c r="C289" s="116" t="s">
        <v>736</v>
      </c>
      <c r="D289" s="116" t="s">
        <v>736</v>
      </c>
      <c r="E289" s="116" t="s">
        <v>736</v>
      </c>
      <c r="F289" s="116" t="s">
        <v>736</v>
      </c>
      <c r="G289" s="195" t="s">
        <v>736</v>
      </c>
    </row>
    <row r="290" spans="1:7" ht="19.5" customHeight="1" x14ac:dyDescent="0.25">
      <c r="A290" s="95">
        <v>38273</v>
      </c>
      <c r="B290" s="116" t="s">
        <v>736</v>
      </c>
      <c r="C290" s="116" t="s">
        <v>736</v>
      </c>
      <c r="D290" s="116" t="s">
        <v>736</v>
      </c>
      <c r="E290" s="116" t="s">
        <v>736</v>
      </c>
      <c r="F290" s="116" t="s">
        <v>736</v>
      </c>
      <c r="G290" s="195" t="s">
        <v>736</v>
      </c>
    </row>
    <row r="291" spans="1:7" ht="19.5" customHeight="1" x14ac:dyDescent="0.25">
      <c r="A291" s="95">
        <v>38274</v>
      </c>
      <c r="B291" s="116" t="s">
        <v>736</v>
      </c>
      <c r="C291" s="116" t="s">
        <v>736</v>
      </c>
      <c r="D291" s="116" t="s">
        <v>736</v>
      </c>
      <c r="E291" s="116" t="s">
        <v>736</v>
      </c>
      <c r="F291" s="116" t="s">
        <v>736</v>
      </c>
      <c r="G291" s="195" t="s">
        <v>736</v>
      </c>
    </row>
    <row r="292" spans="1:7" ht="19.5" customHeight="1" x14ac:dyDescent="0.25">
      <c r="A292" s="95">
        <v>38275</v>
      </c>
      <c r="B292" s="116" t="s">
        <v>736</v>
      </c>
      <c r="C292" s="116" t="s">
        <v>736</v>
      </c>
      <c r="D292" s="116" t="s">
        <v>736</v>
      </c>
      <c r="E292" s="116" t="s">
        <v>736</v>
      </c>
      <c r="F292" s="116" t="s">
        <v>736</v>
      </c>
      <c r="G292" s="195" t="s">
        <v>736</v>
      </c>
    </row>
    <row r="293" spans="1:7" ht="19.5" customHeight="1" x14ac:dyDescent="0.25">
      <c r="A293" s="95">
        <v>38276</v>
      </c>
      <c r="B293" s="116" t="s">
        <v>736</v>
      </c>
      <c r="C293" s="116" t="s">
        <v>736</v>
      </c>
      <c r="D293" s="116" t="s">
        <v>736</v>
      </c>
      <c r="E293" s="116" t="s">
        <v>736</v>
      </c>
      <c r="F293" s="116" t="s">
        <v>736</v>
      </c>
      <c r="G293" s="195" t="s">
        <v>736</v>
      </c>
    </row>
    <row r="294" spans="1:7" ht="19.5" customHeight="1" x14ac:dyDescent="0.25">
      <c r="A294" s="95">
        <v>38277</v>
      </c>
      <c r="B294" s="116" t="s">
        <v>736</v>
      </c>
      <c r="C294" s="116" t="s">
        <v>736</v>
      </c>
      <c r="D294" s="116" t="s">
        <v>736</v>
      </c>
      <c r="E294" s="116" t="s">
        <v>736</v>
      </c>
      <c r="F294" s="116" t="s">
        <v>736</v>
      </c>
      <c r="G294" s="195" t="s">
        <v>736</v>
      </c>
    </row>
    <row r="295" spans="1:7" ht="19.5" customHeight="1" x14ac:dyDescent="0.25">
      <c r="A295" s="95">
        <v>38278</v>
      </c>
      <c r="B295" s="116" t="s">
        <v>533</v>
      </c>
      <c r="C295" s="116" t="s">
        <v>736</v>
      </c>
      <c r="D295" s="116" t="s">
        <v>736</v>
      </c>
      <c r="E295" s="116" t="s">
        <v>736</v>
      </c>
      <c r="F295" s="116" t="s">
        <v>736</v>
      </c>
      <c r="G295" s="195" t="s">
        <v>736</v>
      </c>
    </row>
    <row r="296" spans="1:7" ht="19.5" customHeight="1" x14ac:dyDescent="0.25">
      <c r="A296" s="95">
        <v>38279</v>
      </c>
      <c r="B296" s="116" t="s">
        <v>429</v>
      </c>
      <c r="C296" s="116" t="s">
        <v>736</v>
      </c>
      <c r="D296" s="116" t="s">
        <v>736</v>
      </c>
      <c r="E296" s="116" t="s">
        <v>736</v>
      </c>
      <c r="F296" s="116" t="s">
        <v>736</v>
      </c>
      <c r="G296" s="195" t="s">
        <v>736</v>
      </c>
    </row>
    <row r="297" spans="1:7" ht="19.5" customHeight="1" x14ac:dyDescent="0.25">
      <c r="A297" s="95">
        <v>38280</v>
      </c>
      <c r="B297" s="116" t="s">
        <v>429</v>
      </c>
      <c r="C297" s="116" t="s">
        <v>736</v>
      </c>
      <c r="D297" s="116" t="s">
        <v>736</v>
      </c>
      <c r="E297" s="116" t="s">
        <v>736</v>
      </c>
      <c r="F297" s="116" t="s">
        <v>736</v>
      </c>
      <c r="G297" s="195" t="s">
        <v>736</v>
      </c>
    </row>
    <row r="298" spans="1:7" ht="19.5" customHeight="1" x14ac:dyDescent="0.25">
      <c r="A298" s="95">
        <v>38281</v>
      </c>
      <c r="B298" s="116" t="s">
        <v>429</v>
      </c>
      <c r="C298" s="116" t="s">
        <v>736</v>
      </c>
      <c r="D298" s="116" t="s">
        <v>736</v>
      </c>
      <c r="E298" s="116" t="s">
        <v>736</v>
      </c>
      <c r="F298" s="116" t="s">
        <v>736</v>
      </c>
      <c r="G298" s="195" t="s">
        <v>736</v>
      </c>
    </row>
    <row r="299" spans="1:7" ht="19.5" customHeight="1" x14ac:dyDescent="0.25">
      <c r="A299" s="95">
        <v>38282</v>
      </c>
      <c r="B299" s="116" t="s">
        <v>429</v>
      </c>
      <c r="C299" s="116" t="s">
        <v>736</v>
      </c>
      <c r="D299" s="116" t="s">
        <v>736</v>
      </c>
      <c r="E299" s="116" t="s">
        <v>736</v>
      </c>
      <c r="F299" s="116" t="s">
        <v>736</v>
      </c>
      <c r="G299" s="195" t="s">
        <v>736</v>
      </c>
    </row>
    <row r="300" spans="1:7" ht="19.5" customHeight="1" x14ac:dyDescent="0.25">
      <c r="A300" s="95">
        <v>38283</v>
      </c>
      <c r="B300" s="116" t="s">
        <v>429</v>
      </c>
      <c r="C300" s="116" t="s">
        <v>736</v>
      </c>
      <c r="D300" s="116" t="s">
        <v>736</v>
      </c>
      <c r="E300" s="116" t="s">
        <v>736</v>
      </c>
      <c r="F300" s="116" t="s">
        <v>736</v>
      </c>
      <c r="G300" s="195" t="s">
        <v>736</v>
      </c>
    </row>
    <row r="301" spans="1:7" ht="19.5" customHeight="1" x14ac:dyDescent="0.25">
      <c r="A301" s="95">
        <v>38284</v>
      </c>
      <c r="B301" s="116" t="s">
        <v>429</v>
      </c>
      <c r="C301" s="116" t="s">
        <v>736</v>
      </c>
      <c r="D301" s="116" t="s">
        <v>736</v>
      </c>
      <c r="E301" s="116" t="s">
        <v>736</v>
      </c>
      <c r="F301" s="116" t="s">
        <v>736</v>
      </c>
      <c r="G301" s="195" t="s">
        <v>736</v>
      </c>
    </row>
    <row r="302" spans="1:7" ht="19.5" customHeight="1" x14ac:dyDescent="0.25">
      <c r="A302" s="95">
        <v>38285</v>
      </c>
      <c r="B302" s="116" t="s">
        <v>429</v>
      </c>
      <c r="C302" s="116" t="s">
        <v>736</v>
      </c>
      <c r="D302" s="116" t="s">
        <v>736</v>
      </c>
      <c r="E302" s="116" t="s">
        <v>736</v>
      </c>
      <c r="F302" s="116" t="s">
        <v>736</v>
      </c>
      <c r="G302" s="195" t="s">
        <v>736</v>
      </c>
    </row>
    <row r="303" spans="1:7" ht="19.5" customHeight="1" x14ac:dyDescent="0.25">
      <c r="A303" s="95">
        <v>38286</v>
      </c>
      <c r="B303" s="116" t="s">
        <v>736</v>
      </c>
      <c r="C303" s="116" t="s">
        <v>736</v>
      </c>
      <c r="D303" s="116" t="s">
        <v>736</v>
      </c>
      <c r="E303" s="116" t="s">
        <v>736</v>
      </c>
      <c r="F303" s="116" t="s">
        <v>736</v>
      </c>
      <c r="G303" s="195" t="s">
        <v>736</v>
      </c>
    </row>
    <row r="304" spans="1:7" ht="19.5" customHeight="1" x14ac:dyDescent="0.25">
      <c r="A304" s="95">
        <v>38287</v>
      </c>
      <c r="B304" s="116" t="s">
        <v>736</v>
      </c>
      <c r="C304" s="116" t="s">
        <v>736</v>
      </c>
      <c r="D304" s="116" t="s">
        <v>736</v>
      </c>
      <c r="E304" s="116" t="s">
        <v>736</v>
      </c>
      <c r="F304" s="116" t="s">
        <v>736</v>
      </c>
      <c r="G304" s="195" t="s">
        <v>736</v>
      </c>
    </row>
    <row r="305" spans="1:7" ht="19.5" customHeight="1" x14ac:dyDescent="0.25">
      <c r="A305" s="95">
        <v>38288</v>
      </c>
      <c r="B305" s="116" t="s">
        <v>736</v>
      </c>
      <c r="C305" s="116" t="s">
        <v>736</v>
      </c>
      <c r="D305" s="116" t="s">
        <v>736</v>
      </c>
      <c r="E305" s="116" t="s">
        <v>736</v>
      </c>
      <c r="F305" s="116" t="s">
        <v>736</v>
      </c>
      <c r="G305" s="195" t="s">
        <v>736</v>
      </c>
    </row>
    <row r="306" spans="1:7" ht="19.5" customHeight="1" x14ac:dyDescent="0.25">
      <c r="A306" s="95">
        <v>38289</v>
      </c>
      <c r="B306" s="116" t="s">
        <v>736</v>
      </c>
      <c r="C306" s="116" t="s">
        <v>736</v>
      </c>
      <c r="D306" s="116" t="s">
        <v>736</v>
      </c>
      <c r="E306" s="116" t="s">
        <v>736</v>
      </c>
      <c r="F306" s="116" t="s">
        <v>736</v>
      </c>
      <c r="G306" s="195" t="s">
        <v>736</v>
      </c>
    </row>
    <row r="307" spans="1:7" ht="19.5" customHeight="1" x14ac:dyDescent="0.25">
      <c r="A307" s="95">
        <v>38290</v>
      </c>
      <c r="B307" s="116" t="s">
        <v>736</v>
      </c>
      <c r="C307" s="116" t="s">
        <v>736</v>
      </c>
      <c r="D307" s="116" t="s">
        <v>736</v>
      </c>
      <c r="E307" s="116" t="s">
        <v>736</v>
      </c>
      <c r="F307" s="116" t="s">
        <v>736</v>
      </c>
      <c r="G307" s="195" t="s">
        <v>736</v>
      </c>
    </row>
    <row r="308" spans="1:7" ht="19.5" customHeight="1" x14ac:dyDescent="0.25">
      <c r="A308" s="95">
        <v>38291</v>
      </c>
      <c r="B308" s="116" t="s">
        <v>736</v>
      </c>
      <c r="C308" s="116" t="s">
        <v>736</v>
      </c>
      <c r="D308" s="116" t="s">
        <v>736</v>
      </c>
      <c r="E308" s="116" t="s">
        <v>736</v>
      </c>
      <c r="F308" s="116" t="s">
        <v>736</v>
      </c>
      <c r="G308" s="195" t="s">
        <v>736</v>
      </c>
    </row>
    <row r="309" spans="1:7" ht="19.5" customHeight="1" x14ac:dyDescent="0.25">
      <c r="A309" s="95">
        <v>38292</v>
      </c>
      <c r="B309" s="116" t="s">
        <v>311</v>
      </c>
      <c r="C309" s="96">
        <v>3550</v>
      </c>
      <c r="D309" s="94">
        <v>0</v>
      </c>
      <c r="E309" s="94">
        <v>0</v>
      </c>
      <c r="F309" s="94">
        <v>0</v>
      </c>
      <c r="G309" s="115">
        <v>0</v>
      </c>
    </row>
    <row r="310" spans="1:7" ht="19.5" customHeight="1" x14ac:dyDescent="0.25">
      <c r="A310" s="95">
        <v>38293</v>
      </c>
      <c r="B310" s="116" t="s">
        <v>311</v>
      </c>
      <c r="C310" s="96">
        <v>3550</v>
      </c>
      <c r="D310" s="94">
        <v>0</v>
      </c>
      <c r="E310" s="94">
        <v>0</v>
      </c>
      <c r="F310" s="94">
        <v>0</v>
      </c>
      <c r="G310" s="115">
        <v>0</v>
      </c>
    </row>
    <row r="311" spans="1:7" ht="19.5" customHeight="1" x14ac:dyDescent="0.25">
      <c r="A311" s="95">
        <v>38294</v>
      </c>
      <c r="B311" s="116" t="s">
        <v>304</v>
      </c>
      <c r="C311" s="116" t="s">
        <v>1390</v>
      </c>
      <c r="D311" s="94">
        <v>0</v>
      </c>
      <c r="E311" s="94">
        <v>0</v>
      </c>
      <c r="F311" s="94">
        <v>0</v>
      </c>
      <c r="G311" s="115">
        <v>0</v>
      </c>
    </row>
    <row r="312" spans="1:7" ht="19.5" customHeight="1" x14ac:dyDescent="0.25">
      <c r="A312" s="95">
        <v>38295</v>
      </c>
      <c r="B312" s="116" t="s">
        <v>296</v>
      </c>
      <c r="C312" s="116" t="s">
        <v>1027</v>
      </c>
      <c r="D312" s="94">
        <v>0</v>
      </c>
      <c r="E312" s="94">
        <v>0</v>
      </c>
      <c r="F312" s="94">
        <v>0</v>
      </c>
      <c r="G312" s="115">
        <v>0</v>
      </c>
    </row>
    <row r="313" spans="1:7" ht="19.5" customHeight="1" x14ac:dyDescent="0.25">
      <c r="A313" s="95">
        <v>38296</v>
      </c>
      <c r="B313" s="116" t="s">
        <v>296</v>
      </c>
      <c r="C313" s="116" t="s">
        <v>1027</v>
      </c>
      <c r="D313" s="94">
        <v>0</v>
      </c>
      <c r="E313" s="94">
        <v>0</v>
      </c>
      <c r="F313" s="94">
        <v>0</v>
      </c>
      <c r="G313" s="115">
        <v>0</v>
      </c>
    </row>
    <row r="314" spans="1:7" ht="19.5" customHeight="1" x14ac:dyDescent="0.25">
      <c r="A314" s="95">
        <v>38297</v>
      </c>
      <c r="B314" s="116" t="s">
        <v>294</v>
      </c>
      <c r="C314" s="116" t="s">
        <v>1378</v>
      </c>
      <c r="D314" s="94">
        <v>0</v>
      </c>
      <c r="E314" s="94">
        <v>0</v>
      </c>
      <c r="F314" s="94">
        <v>0</v>
      </c>
      <c r="G314" s="115">
        <v>0</v>
      </c>
    </row>
    <row r="315" spans="1:7" ht="19.5" customHeight="1" x14ac:dyDescent="0.25">
      <c r="A315" s="95">
        <v>38298</v>
      </c>
      <c r="B315" s="116" t="s">
        <v>124</v>
      </c>
      <c r="C315" s="116" t="s">
        <v>1377</v>
      </c>
      <c r="D315" s="94">
        <v>0</v>
      </c>
      <c r="E315" s="94">
        <v>0</v>
      </c>
      <c r="F315" s="94">
        <v>0</v>
      </c>
      <c r="G315" s="115">
        <v>0</v>
      </c>
    </row>
    <row r="316" spans="1:7" ht="19.5" customHeight="1" x14ac:dyDescent="0.25">
      <c r="A316" s="95">
        <v>38299</v>
      </c>
      <c r="B316" s="116" t="s">
        <v>127</v>
      </c>
      <c r="C316" s="116" t="s">
        <v>146</v>
      </c>
      <c r="D316" s="94">
        <v>0</v>
      </c>
      <c r="E316" s="94">
        <v>0</v>
      </c>
      <c r="F316" s="94">
        <v>0</v>
      </c>
      <c r="G316" s="115">
        <v>0</v>
      </c>
    </row>
    <row r="317" spans="1:7" ht="19.5" customHeight="1" x14ac:dyDescent="0.25">
      <c r="A317" s="95">
        <v>38300</v>
      </c>
      <c r="B317" s="116" t="s">
        <v>127</v>
      </c>
      <c r="C317" s="116" t="s">
        <v>146</v>
      </c>
      <c r="D317" s="94">
        <v>0</v>
      </c>
      <c r="E317" s="94">
        <v>0</v>
      </c>
      <c r="F317" s="94">
        <v>0</v>
      </c>
      <c r="G317" s="115">
        <v>0</v>
      </c>
    </row>
    <row r="318" spans="1:7" ht="19.5" customHeight="1" x14ac:dyDescent="0.25">
      <c r="A318" s="95">
        <v>38301</v>
      </c>
      <c r="B318" s="116" t="s">
        <v>132</v>
      </c>
      <c r="C318" s="116" t="s">
        <v>1382</v>
      </c>
      <c r="D318" s="94">
        <v>0</v>
      </c>
      <c r="E318" s="94">
        <v>0</v>
      </c>
      <c r="F318" s="94">
        <v>0</v>
      </c>
      <c r="G318" s="115">
        <v>0</v>
      </c>
    </row>
    <row r="319" spans="1:7" ht="19.5" customHeight="1" x14ac:dyDescent="0.25">
      <c r="A319" s="95">
        <v>38302</v>
      </c>
      <c r="B319" s="116" t="s">
        <v>132</v>
      </c>
      <c r="C319" s="116" t="s">
        <v>1382</v>
      </c>
      <c r="D319" s="94">
        <v>0</v>
      </c>
      <c r="E319" s="94">
        <v>0</v>
      </c>
      <c r="F319" s="94">
        <v>0</v>
      </c>
      <c r="G319" s="115">
        <v>0</v>
      </c>
    </row>
    <row r="320" spans="1:7" ht="19.5" customHeight="1" x14ac:dyDescent="0.25">
      <c r="A320" s="95">
        <v>38303</v>
      </c>
      <c r="B320" s="116" t="s">
        <v>128</v>
      </c>
      <c r="C320" s="96">
        <v>4300</v>
      </c>
      <c r="D320" s="94">
        <v>0</v>
      </c>
      <c r="E320" s="94">
        <v>0</v>
      </c>
      <c r="F320" s="94">
        <v>0</v>
      </c>
      <c r="G320" s="115">
        <v>0</v>
      </c>
    </row>
    <row r="321" spans="1:7" ht="19.5" customHeight="1" x14ac:dyDescent="0.25">
      <c r="A321" s="95">
        <v>38304</v>
      </c>
      <c r="B321" s="116" t="s">
        <v>128</v>
      </c>
      <c r="C321" s="116" t="s">
        <v>976</v>
      </c>
      <c r="D321" s="94">
        <v>0</v>
      </c>
      <c r="E321" s="94">
        <v>0</v>
      </c>
      <c r="F321" s="94">
        <v>0</v>
      </c>
      <c r="G321" s="115">
        <v>0</v>
      </c>
    </row>
    <row r="322" spans="1:7" ht="19.5" customHeight="1" x14ac:dyDescent="0.25">
      <c r="A322" s="95">
        <v>38305</v>
      </c>
      <c r="B322" s="116" t="s">
        <v>425</v>
      </c>
      <c r="C322" s="116">
        <v>4350</v>
      </c>
      <c r="D322" s="94">
        <v>0</v>
      </c>
      <c r="E322" s="94">
        <v>0</v>
      </c>
      <c r="F322" s="94">
        <v>0</v>
      </c>
      <c r="G322" s="115">
        <v>0</v>
      </c>
    </row>
    <row r="323" spans="1:7" ht="19.5" customHeight="1" x14ac:dyDescent="0.25">
      <c r="A323" s="95">
        <v>38306</v>
      </c>
      <c r="B323" s="116" t="s">
        <v>424</v>
      </c>
      <c r="C323" s="116">
        <v>4400</v>
      </c>
      <c r="D323" s="94">
        <v>0</v>
      </c>
      <c r="E323" s="94">
        <v>0</v>
      </c>
      <c r="F323" s="94">
        <v>0</v>
      </c>
      <c r="G323" s="115">
        <v>0</v>
      </c>
    </row>
    <row r="324" spans="1:7" ht="19.5" customHeight="1" x14ac:dyDescent="0.25">
      <c r="A324" s="95">
        <v>38307</v>
      </c>
      <c r="B324" s="116" t="s">
        <v>135</v>
      </c>
      <c r="C324" s="96">
        <v>4600</v>
      </c>
      <c r="D324" s="94">
        <v>0</v>
      </c>
      <c r="E324" s="94">
        <v>0</v>
      </c>
      <c r="F324" s="94">
        <v>0</v>
      </c>
      <c r="G324" s="115">
        <v>0</v>
      </c>
    </row>
    <row r="325" spans="1:7" ht="19.5" customHeight="1" x14ac:dyDescent="0.25">
      <c r="A325" s="95">
        <v>38308</v>
      </c>
      <c r="B325" s="116" t="s">
        <v>141</v>
      </c>
      <c r="C325" s="96">
        <v>4900</v>
      </c>
      <c r="D325" s="94">
        <v>0</v>
      </c>
      <c r="E325" s="94">
        <v>0</v>
      </c>
      <c r="F325" s="94">
        <v>0</v>
      </c>
      <c r="G325" s="115">
        <v>0</v>
      </c>
    </row>
    <row r="326" spans="1:7" ht="19.5" customHeight="1" x14ac:dyDescent="0.25">
      <c r="A326" s="95">
        <v>38309</v>
      </c>
      <c r="B326" s="116" t="s">
        <v>736</v>
      </c>
      <c r="C326" s="116" t="s">
        <v>736</v>
      </c>
      <c r="D326" s="94">
        <v>0</v>
      </c>
      <c r="E326" s="94">
        <v>0</v>
      </c>
      <c r="F326" s="94">
        <v>0</v>
      </c>
      <c r="G326" s="115">
        <v>0</v>
      </c>
    </row>
    <row r="327" spans="1:7" ht="19.5" customHeight="1" x14ac:dyDescent="0.25">
      <c r="A327" s="95">
        <v>38310</v>
      </c>
      <c r="B327" s="116" t="s">
        <v>736</v>
      </c>
      <c r="C327" s="116" t="s">
        <v>736</v>
      </c>
      <c r="D327" s="94">
        <v>0</v>
      </c>
      <c r="E327" s="94">
        <v>0</v>
      </c>
      <c r="F327" s="94">
        <v>0</v>
      </c>
      <c r="G327" s="115">
        <v>0</v>
      </c>
    </row>
    <row r="328" spans="1:7" ht="19.5" customHeight="1" x14ac:dyDescent="0.25">
      <c r="A328" s="95">
        <v>38311</v>
      </c>
      <c r="B328" s="116" t="s">
        <v>145</v>
      </c>
      <c r="C328" s="96">
        <v>5050</v>
      </c>
      <c r="D328" s="94">
        <v>0</v>
      </c>
      <c r="E328" s="94">
        <v>0</v>
      </c>
      <c r="F328" s="94">
        <v>0</v>
      </c>
      <c r="G328" s="115">
        <v>0</v>
      </c>
    </row>
    <row r="329" spans="1:7" ht="19.5" customHeight="1" x14ac:dyDescent="0.25">
      <c r="A329" s="95">
        <v>38312</v>
      </c>
      <c r="B329" s="116" t="s">
        <v>423</v>
      </c>
      <c r="C329" s="96">
        <v>5100</v>
      </c>
      <c r="D329" s="94">
        <v>0</v>
      </c>
      <c r="E329" s="94">
        <v>0</v>
      </c>
      <c r="F329" s="94">
        <v>0</v>
      </c>
      <c r="G329" s="115">
        <v>0</v>
      </c>
    </row>
    <row r="330" spans="1:7" ht="19.5" customHeight="1" x14ac:dyDescent="0.25">
      <c r="A330" s="95">
        <v>38313</v>
      </c>
      <c r="B330" s="116" t="s">
        <v>149</v>
      </c>
      <c r="C330" s="96">
        <v>5150</v>
      </c>
      <c r="D330" s="94">
        <v>0</v>
      </c>
      <c r="E330" s="94">
        <v>0</v>
      </c>
      <c r="F330" s="94">
        <v>0</v>
      </c>
      <c r="G330" s="115">
        <v>0</v>
      </c>
    </row>
    <row r="331" spans="1:7" ht="19.5" customHeight="1" x14ac:dyDescent="0.25">
      <c r="A331" s="95">
        <v>38314</v>
      </c>
      <c r="B331" s="116" t="s">
        <v>248</v>
      </c>
      <c r="C331" s="96">
        <v>5400</v>
      </c>
      <c r="D331" s="94">
        <v>0</v>
      </c>
      <c r="E331" s="94">
        <v>0</v>
      </c>
      <c r="F331" s="94">
        <v>0</v>
      </c>
      <c r="G331" s="115">
        <v>0</v>
      </c>
    </row>
    <row r="332" spans="1:7" ht="19.5" customHeight="1" x14ac:dyDescent="0.25">
      <c r="A332" s="95">
        <v>38315</v>
      </c>
      <c r="B332" s="116" t="s">
        <v>239</v>
      </c>
      <c r="C332" s="96">
        <v>5700</v>
      </c>
      <c r="D332" s="94">
        <v>0</v>
      </c>
      <c r="E332" s="94">
        <v>0</v>
      </c>
      <c r="F332" s="94">
        <v>0</v>
      </c>
      <c r="G332" s="115">
        <v>0</v>
      </c>
    </row>
    <row r="333" spans="1:7" ht="19.5" customHeight="1" x14ac:dyDescent="0.25">
      <c r="A333" s="95">
        <v>38316</v>
      </c>
      <c r="B333" s="116" t="s">
        <v>229</v>
      </c>
      <c r="C333" s="96">
        <v>5900</v>
      </c>
      <c r="D333" s="94">
        <v>0</v>
      </c>
      <c r="E333" s="94">
        <v>0</v>
      </c>
      <c r="F333" s="94">
        <v>0</v>
      </c>
      <c r="G333" s="115">
        <v>0</v>
      </c>
    </row>
    <row r="334" spans="1:7" ht="19.5" customHeight="1" x14ac:dyDescent="0.25">
      <c r="A334" s="95">
        <v>38317</v>
      </c>
      <c r="B334" s="116" t="s">
        <v>165</v>
      </c>
      <c r="C334" s="96">
        <v>6100</v>
      </c>
      <c r="D334" s="94">
        <v>0</v>
      </c>
      <c r="E334" s="94">
        <v>0</v>
      </c>
      <c r="F334" s="94">
        <v>0</v>
      </c>
      <c r="G334" s="115">
        <v>0</v>
      </c>
    </row>
    <row r="335" spans="1:7" ht="19.5" customHeight="1" x14ac:dyDescent="0.25">
      <c r="A335" s="95">
        <v>38318</v>
      </c>
      <c r="B335" s="116" t="s">
        <v>169</v>
      </c>
      <c r="C335" s="96">
        <v>6150</v>
      </c>
      <c r="D335" s="94">
        <v>0</v>
      </c>
      <c r="E335" s="94">
        <v>0</v>
      </c>
      <c r="F335" s="94">
        <v>0</v>
      </c>
      <c r="G335" s="115">
        <v>0</v>
      </c>
    </row>
    <row r="336" spans="1:7" ht="19.5" customHeight="1" x14ac:dyDescent="0.25">
      <c r="A336" s="95">
        <v>38319</v>
      </c>
      <c r="B336" s="116" t="s">
        <v>221</v>
      </c>
      <c r="C336" s="96">
        <v>6200</v>
      </c>
      <c r="D336" s="94">
        <v>0</v>
      </c>
      <c r="E336" s="94">
        <v>0</v>
      </c>
      <c r="F336" s="94">
        <v>0</v>
      </c>
      <c r="G336" s="115">
        <v>0</v>
      </c>
    </row>
    <row r="337" spans="1:7" ht="19.5" customHeight="1" x14ac:dyDescent="0.25">
      <c r="A337" s="95">
        <v>38320</v>
      </c>
      <c r="B337" s="116" t="s">
        <v>171</v>
      </c>
      <c r="C337" s="96">
        <v>6250</v>
      </c>
      <c r="D337" s="94">
        <v>0</v>
      </c>
      <c r="E337" s="94">
        <v>0</v>
      </c>
      <c r="F337" s="94">
        <v>0</v>
      </c>
      <c r="G337" s="115">
        <v>0</v>
      </c>
    </row>
    <row r="338" spans="1:7" ht="19.5" customHeight="1" x14ac:dyDescent="0.25">
      <c r="A338" s="95">
        <v>38321</v>
      </c>
      <c r="B338" s="116" t="s">
        <v>171</v>
      </c>
      <c r="C338" s="96">
        <v>6250</v>
      </c>
      <c r="D338" s="94">
        <v>0</v>
      </c>
      <c r="E338" s="94">
        <v>0</v>
      </c>
      <c r="F338" s="94">
        <v>0</v>
      </c>
      <c r="G338" s="115">
        <v>0</v>
      </c>
    </row>
    <row r="339" spans="1:7" ht="19.5" customHeight="1" x14ac:dyDescent="0.25">
      <c r="A339" s="95">
        <v>38322</v>
      </c>
      <c r="B339" s="116" t="s">
        <v>175</v>
      </c>
      <c r="C339" s="116">
        <v>6300</v>
      </c>
      <c r="D339" s="94">
        <v>0</v>
      </c>
      <c r="E339" s="94">
        <v>0</v>
      </c>
      <c r="F339" s="94">
        <v>0</v>
      </c>
      <c r="G339" s="115">
        <v>0</v>
      </c>
    </row>
    <row r="340" spans="1:7" ht="19.5" customHeight="1" x14ac:dyDescent="0.25">
      <c r="A340" s="95">
        <v>38323</v>
      </c>
      <c r="B340" s="116" t="s">
        <v>175</v>
      </c>
      <c r="C340" s="116" t="s">
        <v>172</v>
      </c>
      <c r="D340" s="94">
        <v>0</v>
      </c>
      <c r="E340" s="94">
        <v>0</v>
      </c>
      <c r="F340" s="94">
        <v>0</v>
      </c>
      <c r="G340" s="115">
        <v>0</v>
      </c>
    </row>
    <row r="341" spans="1:7" ht="19.5" customHeight="1" x14ac:dyDescent="0.25">
      <c r="A341" s="95">
        <v>38324</v>
      </c>
      <c r="B341" s="116" t="s">
        <v>212</v>
      </c>
      <c r="C341" s="116">
        <v>6400</v>
      </c>
      <c r="D341" s="94">
        <v>0</v>
      </c>
      <c r="E341" s="94">
        <v>0</v>
      </c>
      <c r="F341" s="94">
        <v>0</v>
      </c>
      <c r="G341" s="115">
        <v>0</v>
      </c>
    </row>
    <row r="342" spans="1:7" ht="19.5" customHeight="1" x14ac:dyDescent="0.25">
      <c r="A342" s="95">
        <v>38325</v>
      </c>
      <c r="B342" s="116" t="s">
        <v>208</v>
      </c>
      <c r="C342" s="116">
        <v>6450</v>
      </c>
      <c r="D342" s="94">
        <v>0</v>
      </c>
      <c r="E342" s="94">
        <v>0</v>
      </c>
      <c r="F342" s="94">
        <v>0</v>
      </c>
      <c r="G342" s="115">
        <v>0</v>
      </c>
    </row>
    <row r="343" spans="1:7" ht="19.5" customHeight="1" x14ac:dyDescent="0.25">
      <c r="A343" s="95">
        <v>38326</v>
      </c>
      <c r="B343" s="116" t="s">
        <v>177</v>
      </c>
      <c r="C343" s="116">
        <v>6500</v>
      </c>
      <c r="D343" s="94">
        <v>0</v>
      </c>
      <c r="E343" s="94">
        <v>0</v>
      </c>
      <c r="F343" s="94">
        <v>0</v>
      </c>
      <c r="G343" s="115">
        <v>0</v>
      </c>
    </row>
    <row r="344" spans="1:7" ht="19.5" customHeight="1" x14ac:dyDescent="0.25">
      <c r="A344" s="95">
        <v>38327</v>
      </c>
      <c r="B344" s="116" t="s">
        <v>201</v>
      </c>
      <c r="C344" s="116">
        <v>6600</v>
      </c>
      <c r="D344" s="94">
        <v>0</v>
      </c>
      <c r="E344" s="94">
        <v>0</v>
      </c>
      <c r="F344" s="94">
        <v>0</v>
      </c>
      <c r="G344" s="115">
        <v>0</v>
      </c>
    </row>
    <row r="345" spans="1:7" ht="19.5" customHeight="1" x14ac:dyDescent="0.25">
      <c r="A345" s="95">
        <v>38328</v>
      </c>
      <c r="B345" s="116" t="s">
        <v>201</v>
      </c>
      <c r="C345" s="116">
        <v>6600</v>
      </c>
      <c r="D345" s="94">
        <v>0</v>
      </c>
      <c r="E345" s="94">
        <v>0</v>
      </c>
      <c r="F345" s="94">
        <v>0</v>
      </c>
      <c r="G345" s="115">
        <v>0</v>
      </c>
    </row>
    <row r="346" spans="1:7" ht="19.5" customHeight="1" x14ac:dyDescent="0.25">
      <c r="A346" s="95">
        <v>38329</v>
      </c>
      <c r="B346" s="116" t="s">
        <v>422</v>
      </c>
      <c r="C346" s="116">
        <v>6700</v>
      </c>
      <c r="D346" s="94">
        <v>0</v>
      </c>
      <c r="E346" s="94">
        <v>0</v>
      </c>
      <c r="F346" s="94">
        <v>0</v>
      </c>
      <c r="G346" s="115">
        <v>0</v>
      </c>
    </row>
    <row r="347" spans="1:7" ht="19.5" customHeight="1" x14ac:dyDescent="0.25">
      <c r="A347" s="95">
        <v>38330</v>
      </c>
      <c r="B347" s="116" t="s">
        <v>194</v>
      </c>
      <c r="C347" s="116" t="s">
        <v>1352</v>
      </c>
      <c r="D347" s="94">
        <v>0</v>
      </c>
      <c r="E347" s="94">
        <v>0</v>
      </c>
      <c r="F347" s="94">
        <v>0</v>
      </c>
      <c r="G347" s="115">
        <v>0</v>
      </c>
    </row>
    <row r="348" spans="1:7" ht="19.5" customHeight="1" x14ac:dyDescent="0.25">
      <c r="A348" s="95">
        <v>38331</v>
      </c>
      <c r="B348" s="116" t="s">
        <v>194</v>
      </c>
      <c r="C348" s="116">
        <v>6800</v>
      </c>
      <c r="D348" s="94">
        <v>0</v>
      </c>
      <c r="E348" s="94">
        <v>0</v>
      </c>
      <c r="F348" s="94">
        <v>0</v>
      </c>
      <c r="G348" s="115">
        <v>0</v>
      </c>
    </row>
    <row r="349" spans="1:7" ht="19.5" customHeight="1" x14ac:dyDescent="0.25">
      <c r="A349" s="95">
        <v>38332</v>
      </c>
      <c r="B349" s="116" t="s">
        <v>194</v>
      </c>
      <c r="C349" s="116">
        <v>6800</v>
      </c>
      <c r="D349" s="94">
        <v>0</v>
      </c>
      <c r="E349" s="94">
        <v>0</v>
      </c>
      <c r="F349" s="94">
        <v>0</v>
      </c>
      <c r="G349" s="115">
        <v>0</v>
      </c>
    </row>
    <row r="350" spans="1:7" ht="19.5" customHeight="1" x14ac:dyDescent="0.25">
      <c r="A350" s="95">
        <v>38333</v>
      </c>
      <c r="B350" s="116" t="s">
        <v>192</v>
      </c>
      <c r="C350" s="116">
        <v>6900</v>
      </c>
      <c r="D350" s="94">
        <v>0</v>
      </c>
      <c r="E350" s="94">
        <v>0</v>
      </c>
      <c r="F350" s="94">
        <v>0</v>
      </c>
      <c r="G350" s="115">
        <v>0</v>
      </c>
    </row>
    <row r="351" spans="1:7" ht="19.5" customHeight="1" x14ac:dyDescent="0.25">
      <c r="A351" s="95">
        <v>38334</v>
      </c>
      <c r="B351" s="116" t="s">
        <v>325</v>
      </c>
      <c r="C351" s="96">
        <v>8500</v>
      </c>
      <c r="D351" s="94">
        <v>0</v>
      </c>
      <c r="E351" s="94">
        <v>0</v>
      </c>
      <c r="F351" s="94">
        <v>0</v>
      </c>
      <c r="G351" s="115">
        <v>0</v>
      </c>
    </row>
    <row r="352" spans="1:7" ht="19.5" customHeight="1" x14ac:dyDescent="0.25">
      <c r="A352" s="95">
        <v>38335</v>
      </c>
      <c r="B352" s="116" t="s">
        <v>36</v>
      </c>
      <c r="C352" s="96">
        <v>11200</v>
      </c>
      <c r="D352" s="94">
        <v>0</v>
      </c>
      <c r="E352" s="94">
        <v>0</v>
      </c>
      <c r="F352" s="94">
        <v>0</v>
      </c>
      <c r="G352" s="115">
        <v>0</v>
      </c>
    </row>
    <row r="353" spans="1:7" ht="19.5" customHeight="1" x14ac:dyDescent="0.25">
      <c r="A353" s="95">
        <v>38336</v>
      </c>
      <c r="B353" s="116" t="s">
        <v>385</v>
      </c>
      <c r="C353" s="96">
        <v>13500</v>
      </c>
      <c r="D353" s="94">
        <v>0</v>
      </c>
      <c r="E353" s="94">
        <v>0</v>
      </c>
      <c r="F353" s="94">
        <v>0</v>
      </c>
      <c r="G353" s="115">
        <v>0</v>
      </c>
    </row>
    <row r="354" spans="1:7" ht="19.5" customHeight="1" x14ac:dyDescent="0.25">
      <c r="A354" s="95">
        <v>38337</v>
      </c>
      <c r="B354" s="116" t="s">
        <v>499</v>
      </c>
      <c r="C354" s="96">
        <v>16000</v>
      </c>
      <c r="D354" s="94">
        <v>0</v>
      </c>
      <c r="E354" s="94">
        <v>0</v>
      </c>
      <c r="F354" s="94">
        <v>0</v>
      </c>
      <c r="G354" s="115">
        <v>0</v>
      </c>
    </row>
    <row r="355" spans="1:7" ht="19.5" customHeight="1" x14ac:dyDescent="0.25">
      <c r="A355" s="95">
        <v>38338</v>
      </c>
      <c r="B355" s="116" t="s">
        <v>339</v>
      </c>
      <c r="C355" s="96">
        <v>17800</v>
      </c>
      <c r="D355" s="94">
        <v>0</v>
      </c>
      <c r="E355" s="94">
        <v>0</v>
      </c>
      <c r="F355" s="94">
        <v>0</v>
      </c>
      <c r="G355" s="115">
        <v>0</v>
      </c>
    </row>
    <row r="356" spans="1:7" ht="19.5" customHeight="1" x14ac:dyDescent="0.25">
      <c r="A356" s="95">
        <v>38339</v>
      </c>
      <c r="B356" s="116" t="s">
        <v>557</v>
      </c>
      <c r="C356" s="96">
        <v>19200</v>
      </c>
      <c r="D356" s="94">
        <v>0</v>
      </c>
      <c r="E356" s="94">
        <v>0</v>
      </c>
      <c r="F356" s="94">
        <v>0</v>
      </c>
      <c r="G356" s="115">
        <v>0</v>
      </c>
    </row>
    <row r="357" spans="1:7" ht="19.5" customHeight="1" x14ac:dyDescent="0.25">
      <c r="A357" s="95">
        <v>38340</v>
      </c>
      <c r="B357" s="116" t="s">
        <v>436</v>
      </c>
      <c r="C357" s="116">
        <v>19500</v>
      </c>
      <c r="D357" s="94">
        <v>0</v>
      </c>
      <c r="E357" s="94">
        <v>0</v>
      </c>
      <c r="F357" s="94">
        <v>0</v>
      </c>
      <c r="G357" s="115">
        <v>0</v>
      </c>
    </row>
    <row r="358" spans="1:7" ht="19.5" customHeight="1" x14ac:dyDescent="0.25">
      <c r="A358" s="95">
        <v>38341</v>
      </c>
      <c r="B358" s="116" t="s">
        <v>436</v>
      </c>
      <c r="C358" s="116">
        <v>19500</v>
      </c>
      <c r="D358" s="94">
        <v>0</v>
      </c>
      <c r="E358" s="94">
        <v>0</v>
      </c>
      <c r="F358" s="94">
        <v>0</v>
      </c>
      <c r="G358" s="115">
        <v>0</v>
      </c>
    </row>
    <row r="359" spans="1:7" ht="19.5" customHeight="1" x14ac:dyDescent="0.25">
      <c r="A359" s="95">
        <v>38342</v>
      </c>
      <c r="B359" s="116" t="s">
        <v>436</v>
      </c>
      <c r="C359" s="116">
        <v>19500</v>
      </c>
      <c r="D359" s="94">
        <v>0</v>
      </c>
      <c r="E359" s="94">
        <v>0</v>
      </c>
      <c r="F359" s="94">
        <v>0</v>
      </c>
      <c r="G359" s="115">
        <v>0</v>
      </c>
    </row>
    <row r="360" spans="1:7" ht="19.5" customHeight="1" x14ac:dyDescent="0.25">
      <c r="A360" s="95">
        <v>38343</v>
      </c>
      <c r="B360" s="116" t="s">
        <v>551</v>
      </c>
      <c r="C360" s="96">
        <v>19750</v>
      </c>
      <c r="D360" s="94">
        <v>0</v>
      </c>
      <c r="E360" s="94">
        <v>0</v>
      </c>
      <c r="F360" s="94">
        <v>0</v>
      </c>
      <c r="G360" s="115">
        <v>0</v>
      </c>
    </row>
    <row r="361" spans="1:7" ht="19.5" customHeight="1" x14ac:dyDescent="0.25">
      <c r="A361" s="95">
        <v>38344</v>
      </c>
      <c r="B361" s="116" t="s">
        <v>551</v>
      </c>
      <c r="C361" s="116" t="s">
        <v>1244</v>
      </c>
      <c r="D361" s="94">
        <v>0</v>
      </c>
      <c r="E361" s="94">
        <v>0</v>
      </c>
      <c r="F361" s="94">
        <v>0</v>
      </c>
      <c r="G361" s="115">
        <v>0</v>
      </c>
    </row>
    <row r="362" spans="1:7" ht="19.5" customHeight="1" x14ac:dyDescent="0.25">
      <c r="A362" s="95">
        <v>38345</v>
      </c>
      <c r="B362" s="116" t="s">
        <v>551</v>
      </c>
      <c r="C362" s="116" t="s">
        <v>1244</v>
      </c>
      <c r="D362" s="94">
        <v>0</v>
      </c>
      <c r="E362" s="94">
        <v>0</v>
      </c>
      <c r="F362" s="94">
        <v>0</v>
      </c>
      <c r="G362" s="115">
        <v>0</v>
      </c>
    </row>
    <row r="363" spans="1:7" ht="19.5" customHeight="1" x14ac:dyDescent="0.25">
      <c r="A363" s="95">
        <v>38346</v>
      </c>
      <c r="B363" s="116" t="s">
        <v>491</v>
      </c>
      <c r="C363" s="116" t="s">
        <v>1232</v>
      </c>
      <c r="D363" s="94">
        <v>0</v>
      </c>
      <c r="E363" s="94">
        <v>0</v>
      </c>
      <c r="F363" s="94">
        <v>0</v>
      </c>
      <c r="G363" s="115">
        <v>0</v>
      </c>
    </row>
    <row r="364" spans="1:7" ht="19.5" customHeight="1" x14ac:dyDescent="0.25">
      <c r="A364" s="95">
        <v>38347</v>
      </c>
      <c r="B364" s="116" t="s">
        <v>491</v>
      </c>
      <c r="C364" s="116" t="s">
        <v>1232</v>
      </c>
      <c r="D364" s="94">
        <v>0</v>
      </c>
      <c r="E364" s="94">
        <v>0</v>
      </c>
      <c r="F364" s="94">
        <v>0</v>
      </c>
      <c r="G364" s="115">
        <v>0</v>
      </c>
    </row>
    <row r="365" spans="1:7" ht="19.5" customHeight="1" x14ac:dyDescent="0.25">
      <c r="A365" s="95">
        <v>38348</v>
      </c>
      <c r="B365" s="116" t="s">
        <v>491</v>
      </c>
      <c r="C365" s="116" t="s">
        <v>1232</v>
      </c>
      <c r="D365" s="94">
        <v>0</v>
      </c>
      <c r="E365" s="94">
        <v>0</v>
      </c>
      <c r="F365" s="94">
        <v>0</v>
      </c>
      <c r="G365" s="115">
        <v>0</v>
      </c>
    </row>
    <row r="366" spans="1:7" ht="19.5" customHeight="1" x14ac:dyDescent="0.25">
      <c r="A366" s="95">
        <v>38349</v>
      </c>
      <c r="B366" s="116" t="s">
        <v>436</v>
      </c>
      <c r="C366" s="116" t="s">
        <v>1254</v>
      </c>
      <c r="D366" s="96" t="s">
        <v>432</v>
      </c>
      <c r="E366" s="94">
        <v>0</v>
      </c>
      <c r="F366" s="96" t="s">
        <v>535</v>
      </c>
      <c r="G366" s="115">
        <v>0</v>
      </c>
    </row>
    <row r="367" spans="1:7" ht="19.5" customHeight="1" x14ac:dyDescent="0.25">
      <c r="A367" s="95">
        <v>38350</v>
      </c>
      <c r="B367" s="116" t="s">
        <v>436</v>
      </c>
      <c r="C367" s="116" t="s">
        <v>1254</v>
      </c>
      <c r="D367" s="96" t="s">
        <v>432</v>
      </c>
      <c r="E367" s="94">
        <v>0</v>
      </c>
      <c r="F367" s="96" t="s">
        <v>428</v>
      </c>
      <c r="G367" s="115">
        <v>0</v>
      </c>
    </row>
    <row r="368" spans="1:7" ht="19.5" customHeight="1" x14ac:dyDescent="0.25">
      <c r="A368" s="95">
        <v>38351</v>
      </c>
      <c r="B368" s="116" t="s">
        <v>436</v>
      </c>
      <c r="C368" s="116" t="s">
        <v>1254</v>
      </c>
      <c r="D368" s="96" t="s">
        <v>429</v>
      </c>
      <c r="E368" s="94">
        <v>0</v>
      </c>
      <c r="F368" s="96" t="s">
        <v>428</v>
      </c>
      <c r="G368" s="115">
        <v>0</v>
      </c>
    </row>
    <row r="369" spans="1:7" ht="19.5" customHeight="1" thickBot="1" x14ac:dyDescent="0.3">
      <c r="A369" s="97">
        <v>38352</v>
      </c>
      <c r="B369" s="176" t="s">
        <v>436</v>
      </c>
      <c r="C369" s="176" t="s">
        <v>1254</v>
      </c>
      <c r="D369" s="185" t="s">
        <v>736</v>
      </c>
      <c r="E369" s="117">
        <v>0</v>
      </c>
      <c r="F369" s="185" t="s">
        <v>736</v>
      </c>
      <c r="G369" s="118">
        <v>0</v>
      </c>
    </row>
    <row r="370" spans="1:7" x14ac:dyDescent="0.25">
      <c r="A370" s="409" t="s">
        <v>1759</v>
      </c>
      <c r="B370" s="410"/>
      <c r="C370" s="410"/>
      <c r="D370" s="410"/>
      <c r="E370" s="410"/>
      <c r="F370" s="410"/>
      <c r="G370" s="410"/>
    </row>
  </sheetData>
  <mergeCells count="6">
    <mergeCell ref="A370:G370"/>
    <mergeCell ref="A1:G1"/>
    <mergeCell ref="B2:B3"/>
    <mergeCell ref="C2:C3"/>
    <mergeCell ref="A2:A3"/>
    <mergeCell ref="D2:G2"/>
  </mergeCells>
  <printOptions horizontalCentered="1"/>
  <pageMargins left="1" right="0.75" top="0.75" bottom="0.25" header="0.3" footer="0.3"/>
  <pageSetup paperSize="9" orientation="portrait" r:id="rId1"/>
  <ignoredErrors>
    <ignoredError sqref="B186:B189 B25 B15 B38 B46 B76:B77 B84:B86 B95:B124 B185 B322:B325 B328:B330 B350:B353" twoDigitTextYear="1"/>
    <ignoredError sqref="F30:F34 D30:D34 C4:C29 C30:C34 E30:E34 C35:C39 C40:C63 D35:F39 C71 B89:B94 B80:B81 C89:C94 C78:C83 C64:C67 D64:G94 C125:C155 C156:C184 D185:G185 C186:C216 B215:B216 B218 D217:G247 C217:C247 B232:B247 B248:B277 B303:B308 B278:B294 C278:C308 C311:C338 C361:C369 C347 C340 D369:F369 C248:C277 D4:E29 D40:F63 D125:G155 D156:G184 D186:G216 D278:G308 D248:G277" numberStoredAsText="1"/>
    <ignoredError sqref="C95:C124 C185 B326:B327 D95:G124" twoDigitTextYear="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pane ySplit="3" topLeftCell="A4" activePane="bottomLeft" state="frozen"/>
      <selection pane="bottomLeft" sqref="A1:G3"/>
    </sheetView>
  </sheetViews>
  <sheetFormatPr defaultColWidth="9.140625" defaultRowHeight="15" x14ac:dyDescent="0.25"/>
  <cols>
    <col min="1" max="1" width="11" style="14" customWidth="1"/>
    <col min="2" max="2" width="8.5703125" style="37" customWidth="1"/>
    <col min="3" max="3" width="10.140625" style="55" customWidth="1"/>
    <col min="4" max="7" width="8.5703125" style="37" customWidth="1"/>
    <col min="8" max="16384" width="9.140625" style="14"/>
  </cols>
  <sheetData>
    <row r="1" spans="1:7" ht="30.75" customHeight="1" thickBot="1" x14ac:dyDescent="0.3">
      <c r="A1" s="442" t="s">
        <v>2693</v>
      </c>
      <c r="B1" s="442"/>
      <c r="C1" s="442"/>
      <c r="D1" s="442"/>
      <c r="E1" s="442"/>
      <c r="F1" s="442"/>
      <c r="G1" s="442"/>
    </row>
    <row r="2" spans="1:7" ht="17.25" customHeight="1" x14ac:dyDescent="0.25">
      <c r="A2" s="425" t="s">
        <v>0</v>
      </c>
      <c r="B2" s="423" t="s">
        <v>2684</v>
      </c>
      <c r="C2" s="423" t="s">
        <v>2689</v>
      </c>
      <c r="D2" s="443" t="s">
        <v>2686</v>
      </c>
      <c r="E2" s="444"/>
      <c r="F2" s="444"/>
      <c r="G2" s="445"/>
    </row>
    <row r="3" spans="1:7" ht="52.5" customHeight="1" thickBot="1" x14ac:dyDescent="0.3">
      <c r="A3" s="436"/>
      <c r="B3" s="441"/>
      <c r="C3" s="441"/>
      <c r="D3" s="180" t="s">
        <v>2687</v>
      </c>
      <c r="E3" s="193" t="s">
        <v>735</v>
      </c>
      <c r="F3" s="180" t="s">
        <v>2688</v>
      </c>
      <c r="G3" s="194" t="s">
        <v>735</v>
      </c>
    </row>
    <row r="4" spans="1:7" s="200" customFormat="1" ht="23.25" customHeight="1" x14ac:dyDescent="0.3">
      <c r="A4" s="196">
        <v>38353</v>
      </c>
      <c r="B4" s="197" t="s">
        <v>360</v>
      </c>
      <c r="C4" s="198">
        <v>21000</v>
      </c>
      <c r="D4" s="197">
        <v>0</v>
      </c>
      <c r="E4" s="197">
        <v>0</v>
      </c>
      <c r="F4" s="197">
        <v>0</v>
      </c>
      <c r="G4" s="199">
        <v>0</v>
      </c>
    </row>
    <row r="5" spans="1:7" s="200" customFormat="1" ht="23.25" customHeight="1" x14ac:dyDescent="0.3">
      <c r="A5" s="201">
        <v>38354</v>
      </c>
      <c r="B5" s="202" t="s">
        <v>542</v>
      </c>
      <c r="C5" s="203">
        <v>21200</v>
      </c>
      <c r="D5" s="202">
        <v>0</v>
      </c>
      <c r="E5" s="202">
        <v>0</v>
      </c>
      <c r="F5" s="202">
        <v>0</v>
      </c>
      <c r="G5" s="204">
        <v>0</v>
      </c>
    </row>
    <row r="6" spans="1:7" s="200" customFormat="1" ht="23.25" customHeight="1" x14ac:dyDescent="0.3">
      <c r="A6" s="201">
        <v>38355</v>
      </c>
      <c r="B6" s="202" t="s">
        <v>542</v>
      </c>
      <c r="C6" s="203">
        <v>21200</v>
      </c>
      <c r="D6" s="202">
        <v>0</v>
      </c>
      <c r="E6" s="202">
        <v>0</v>
      </c>
      <c r="F6" s="202">
        <v>0</v>
      </c>
      <c r="G6" s="204">
        <v>0</v>
      </c>
    </row>
    <row r="7" spans="1:7" s="200" customFormat="1" ht="23.25" customHeight="1" x14ac:dyDescent="0.3">
      <c r="A7" s="201">
        <v>38356</v>
      </c>
      <c r="B7" s="202" t="s">
        <v>542</v>
      </c>
      <c r="C7" s="203">
        <v>21200</v>
      </c>
      <c r="D7" s="202">
        <v>0</v>
      </c>
      <c r="E7" s="202">
        <v>0</v>
      </c>
      <c r="F7" s="202">
        <v>0</v>
      </c>
      <c r="G7" s="204">
        <v>0</v>
      </c>
    </row>
    <row r="8" spans="1:7" s="200" customFormat="1" ht="23.25" customHeight="1" x14ac:dyDescent="0.3">
      <c r="A8" s="201">
        <v>38357</v>
      </c>
      <c r="B8" s="202" t="s">
        <v>358</v>
      </c>
      <c r="C8" s="203">
        <v>21400</v>
      </c>
      <c r="D8" s="202">
        <v>0</v>
      </c>
      <c r="E8" s="202">
        <v>0</v>
      </c>
      <c r="F8" s="202">
        <v>0</v>
      </c>
      <c r="G8" s="204">
        <v>0</v>
      </c>
    </row>
    <row r="9" spans="1:7" s="200" customFormat="1" ht="23.25" customHeight="1" x14ac:dyDescent="0.3">
      <c r="A9" s="201">
        <v>38358</v>
      </c>
      <c r="B9" s="202" t="s">
        <v>357</v>
      </c>
      <c r="C9" s="203">
        <v>21500</v>
      </c>
      <c r="D9" s="202">
        <v>0</v>
      </c>
      <c r="E9" s="202">
        <v>0</v>
      </c>
      <c r="F9" s="202">
        <v>0</v>
      </c>
      <c r="G9" s="204">
        <v>0</v>
      </c>
    </row>
    <row r="10" spans="1:7" s="200" customFormat="1" ht="23.25" customHeight="1" x14ac:dyDescent="0.3">
      <c r="A10" s="201">
        <v>38359</v>
      </c>
      <c r="B10" s="202" t="s">
        <v>357</v>
      </c>
      <c r="C10" s="203">
        <v>21500</v>
      </c>
      <c r="D10" s="202">
        <v>11</v>
      </c>
      <c r="E10" s="202">
        <v>0</v>
      </c>
      <c r="F10" s="202">
        <v>1</v>
      </c>
      <c r="G10" s="204">
        <v>0</v>
      </c>
    </row>
    <row r="11" spans="1:7" s="200" customFormat="1" ht="23.25" customHeight="1" x14ac:dyDescent="0.3">
      <c r="A11" s="201">
        <v>38360</v>
      </c>
      <c r="B11" s="202" t="s">
        <v>357</v>
      </c>
      <c r="C11" s="203">
        <v>21500</v>
      </c>
      <c r="D11" s="202">
        <v>11</v>
      </c>
      <c r="E11" s="202">
        <v>0</v>
      </c>
      <c r="F11" s="202">
        <v>1</v>
      </c>
      <c r="G11" s="204">
        <v>0</v>
      </c>
    </row>
    <row r="12" spans="1:7" s="200" customFormat="1" ht="23.25" customHeight="1" x14ac:dyDescent="0.3">
      <c r="A12" s="201">
        <v>38361</v>
      </c>
      <c r="B12" s="202" t="s">
        <v>358</v>
      </c>
      <c r="C12" s="203">
        <v>21400</v>
      </c>
      <c r="D12" s="202">
        <v>11</v>
      </c>
      <c r="E12" s="202">
        <v>0</v>
      </c>
      <c r="F12" s="202">
        <v>1</v>
      </c>
      <c r="G12" s="204">
        <v>0</v>
      </c>
    </row>
    <row r="13" spans="1:7" s="200" customFormat="1" ht="23.25" customHeight="1" x14ac:dyDescent="0.3">
      <c r="A13" s="201">
        <v>38362</v>
      </c>
      <c r="B13" s="202" t="s">
        <v>542</v>
      </c>
      <c r="C13" s="203">
        <v>21200</v>
      </c>
      <c r="D13" s="202">
        <v>11</v>
      </c>
      <c r="E13" s="202">
        <v>0</v>
      </c>
      <c r="F13" s="202">
        <v>1</v>
      </c>
      <c r="G13" s="204">
        <v>0</v>
      </c>
    </row>
    <row r="14" spans="1:7" s="200" customFormat="1" ht="23.25" customHeight="1" x14ac:dyDescent="0.3">
      <c r="A14" s="201">
        <v>38363</v>
      </c>
      <c r="B14" s="202" t="s">
        <v>360</v>
      </c>
      <c r="C14" s="203">
        <v>21000</v>
      </c>
      <c r="D14" s="202">
        <v>10</v>
      </c>
      <c r="E14" s="202">
        <v>0</v>
      </c>
      <c r="F14" s="202">
        <v>7</v>
      </c>
      <c r="G14" s="204">
        <v>0</v>
      </c>
    </row>
    <row r="15" spans="1:7" s="200" customFormat="1" ht="23.25" customHeight="1" x14ac:dyDescent="0.3">
      <c r="A15" s="201">
        <v>38364</v>
      </c>
      <c r="B15" s="202" t="s">
        <v>360</v>
      </c>
      <c r="C15" s="203">
        <v>21000</v>
      </c>
      <c r="D15" s="202">
        <v>10</v>
      </c>
      <c r="E15" s="202">
        <v>0</v>
      </c>
      <c r="F15" s="202">
        <v>5</v>
      </c>
      <c r="G15" s="204">
        <v>0</v>
      </c>
    </row>
    <row r="16" spans="1:7" s="200" customFormat="1" ht="23.25" customHeight="1" x14ac:dyDescent="0.3">
      <c r="A16" s="201">
        <v>38365</v>
      </c>
      <c r="B16" s="202" t="s">
        <v>361</v>
      </c>
      <c r="C16" s="203">
        <v>20650</v>
      </c>
      <c r="D16" s="202">
        <v>10</v>
      </c>
      <c r="E16" s="202">
        <v>0</v>
      </c>
      <c r="F16" s="202">
        <v>3</v>
      </c>
      <c r="G16" s="204">
        <v>0</v>
      </c>
    </row>
    <row r="17" spans="1:7" s="200" customFormat="1" ht="23.25" customHeight="1" x14ac:dyDescent="0.3">
      <c r="A17" s="201">
        <v>38366</v>
      </c>
      <c r="B17" s="202" t="s">
        <v>361</v>
      </c>
      <c r="C17" s="203">
        <v>20650</v>
      </c>
      <c r="D17" s="202">
        <v>10</v>
      </c>
      <c r="E17" s="202">
        <v>0</v>
      </c>
      <c r="F17" s="202">
        <v>3</v>
      </c>
      <c r="G17" s="204">
        <v>0</v>
      </c>
    </row>
    <row r="18" spans="1:7" s="200" customFormat="1" ht="23.25" customHeight="1" x14ac:dyDescent="0.3">
      <c r="A18" s="201">
        <v>38367</v>
      </c>
      <c r="B18" s="202" t="s">
        <v>343</v>
      </c>
      <c r="C18" s="203">
        <v>20450</v>
      </c>
      <c r="D18" s="202">
        <v>10</v>
      </c>
      <c r="E18" s="202">
        <v>0</v>
      </c>
      <c r="F18" s="202">
        <v>3</v>
      </c>
      <c r="G18" s="204">
        <v>0</v>
      </c>
    </row>
    <row r="19" spans="1:7" s="200" customFormat="1" ht="23.25" customHeight="1" x14ac:dyDescent="0.3">
      <c r="A19" s="201">
        <v>38368</v>
      </c>
      <c r="B19" s="202" t="s">
        <v>363</v>
      </c>
      <c r="C19" s="203">
        <v>20000</v>
      </c>
      <c r="D19" s="202">
        <v>10</v>
      </c>
      <c r="E19" s="202">
        <v>0</v>
      </c>
      <c r="F19" s="202">
        <v>5</v>
      </c>
      <c r="G19" s="204">
        <v>0</v>
      </c>
    </row>
    <row r="20" spans="1:7" s="200" customFormat="1" ht="23.25" customHeight="1" x14ac:dyDescent="0.3">
      <c r="A20" s="201">
        <v>38369</v>
      </c>
      <c r="B20" s="202" t="s">
        <v>363</v>
      </c>
      <c r="C20" s="203">
        <v>20000</v>
      </c>
      <c r="D20" s="202">
        <v>10</v>
      </c>
      <c r="E20" s="202">
        <v>0</v>
      </c>
      <c r="F20" s="202">
        <v>9</v>
      </c>
      <c r="G20" s="204">
        <v>0</v>
      </c>
    </row>
    <row r="21" spans="1:7" s="200" customFormat="1" ht="23.25" customHeight="1" x14ac:dyDescent="0.3">
      <c r="A21" s="201">
        <v>38370</v>
      </c>
      <c r="B21" s="202" t="s">
        <v>363</v>
      </c>
      <c r="C21" s="203">
        <v>20000</v>
      </c>
      <c r="D21" s="202">
        <v>0</v>
      </c>
      <c r="E21" s="202">
        <v>0</v>
      </c>
      <c r="F21" s="202">
        <v>0</v>
      </c>
      <c r="G21" s="204">
        <v>0</v>
      </c>
    </row>
    <row r="22" spans="1:7" s="200" customFormat="1" ht="23.25" customHeight="1" x14ac:dyDescent="0.3">
      <c r="A22" s="201">
        <v>38371</v>
      </c>
      <c r="B22" s="202" t="s">
        <v>551</v>
      </c>
      <c r="C22" s="203">
        <v>19850</v>
      </c>
      <c r="D22" s="202">
        <v>0</v>
      </c>
      <c r="E22" s="202">
        <v>0</v>
      </c>
      <c r="F22" s="202">
        <v>0</v>
      </c>
      <c r="G22" s="204">
        <v>0</v>
      </c>
    </row>
    <row r="23" spans="1:7" s="200" customFormat="1" ht="23.25" customHeight="1" x14ac:dyDescent="0.3">
      <c r="A23" s="201">
        <v>38372</v>
      </c>
      <c r="B23" s="202" t="s">
        <v>551</v>
      </c>
      <c r="C23" s="203">
        <v>19850</v>
      </c>
      <c r="D23" s="202">
        <v>0</v>
      </c>
      <c r="E23" s="202">
        <v>0</v>
      </c>
      <c r="F23" s="202">
        <v>0</v>
      </c>
      <c r="G23" s="204">
        <v>0</v>
      </c>
    </row>
    <row r="24" spans="1:7" s="200" customFormat="1" ht="23.25" customHeight="1" x14ac:dyDescent="0.3">
      <c r="A24" s="201">
        <v>38373</v>
      </c>
      <c r="B24" s="202" t="s">
        <v>363</v>
      </c>
      <c r="C24" s="203">
        <v>20000</v>
      </c>
      <c r="D24" s="202">
        <v>0</v>
      </c>
      <c r="E24" s="202">
        <v>0</v>
      </c>
      <c r="F24" s="202">
        <v>0</v>
      </c>
      <c r="G24" s="204">
        <v>0</v>
      </c>
    </row>
    <row r="25" spans="1:7" s="200" customFormat="1" ht="23.25" customHeight="1" x14ac:dyDescent="0.3">
      <c r="A25" s="201">
        <v>38374</v>
      </c>
      <c r="B25" s="202" t="s">
        <v>360</v>
      </c>
      <c r="C25" s="203">
        <v>21000</v>
      </c>
      <c r="D25" s="202">
        <v>0</v>
      </c>
      <c r="E25" s="202">
        <v>0</v>
      </c>
      <c r="F25" s="202">
        <v>0</v>
      </c>
      <c r="G25" s="204">
        <v>0</v>
      </c>
    </row>
    <row r="26" spans="1:7" s="200" customFormat="1" ht="23.25" customHeight="1" x14ac:dyDescent="0.3">
      <c r="A26" s="201">
        <v>38375</v>
      </c>
      <c r="B26" s="202" t="s">
        <v>358</v>
      </c>
      <c r="C26" s="203">
        <v>21400</v>
      </c>
      <c r="D26" s="202">
        <v>0</v>
      </c>
      <c r="E26" s="202">
        <v>0</v>
      </c>
      <c r="F26" s="202">
        <v>0</v>
      </c>
      <c r="G26" s="204">
        <v>0</v>
      </c>
    </row>
    <row r="27" spans="1:7" s="200" customFormat="1" ht="23.25" customHeight="1" x14ac:dyDescent="0.3">
      <c r="A27" s="201">
        <v>38376</v>
      </c>
      <c r="B27" s="202" t="s">
        <v>357</v>
      </c>
      <c r="C27" s="203">
        <v>21500</v>
      </c>
      <c r="D27" s="202">
        <v>0</v>
      </c>
      <c r="E27" s="202">
        <v>0</v>
      </c>
      <c r="F27" s="202">
        <v>0</v>
      </c>
      <c r="G27" s="204">
        <v>0</v>
      </c>
    </row>
    <row r="28" spans="1:7" s="200" customFormat="1" ht="23.25" customHeight="1" x14ac:dyDescent="0.3">
      <c r="A28" s="201">
        <v>38377</v>
      </c>
      <c r="B28" s="202" t="s">
        <v>356</v>
      </c>
      <c r="C28" s="203">
        <v>21750</v>
      </c>
      <c r="D28" s="202">
        <v>0</v>
      </c>
      <c r="E28" s="202">
        <v>0</v>
      </c>
      <c r="F28" s="202">
        <v>0</v>
      </c>
      <c r="G28" s="204">
        <v>0</v>
      </c>
    </row>
    <row r="29" spans="1:7" s="200" customFormat="1" ht="23.25" customHeight="1" x14ac:dyDescent="0.25">
      <c r="A29" s="201">
        <v>38378</v>
      </c>
      <c r="B29" s="202" t="s">
        <v>488</v>
      </c>
      <c r="C29" s="203">
        <v>22000</v>
      </c>
      <c r="D29" s="202">
        <v>0</v>
      </c>
      <c r="E29" s="202">
        <v>0</v>
      </c>
      <c r="F29" s="202">
        <v>0</v>
      </c>
      <c r="G29" s="204">
        <v>0</v>
      </c>
    </row>
    <row r="30" spans="1:7" s="200" customFormat="1" ht="23.25" customHeight="1" x14ac:dyDescent="0.25">
      <c r="A30" s="201">
        <v>38379</v>
      </c>
      <c r="B30" s="202" t="s">
        <v>488</v>
      </c>
      <c r="C30" s="203">
        <v>22000</v>
      </c>
      <c r="D30" s="202">
        <v>8</v>
      </c>
      <c r="E30" s="202">
        <v>0</v>
      </c>
      <c r="F30" s="202">
        <v>8</v>
      </c>
      <c r="G30" s="204">
        <v>0</v>
      </c>
    </row>
    <row r="31" spans="1:7" s="200" customFormat="1" ht="23.25" customHeight="1" x14ac:dyDescent="0.25">
      <c r="A31" s="201">
        <v>38380</v>
      </c>
      <c r="B31" s="202" t="s">
        <v>356</v>
      </c>
      <c r="C31" s="203">
        <v>21750</v>
      </c>
      <c r="D31" s="202">
        <v>8</v>
      </c>
      <c r="E31" s="202">
        <v>0</v>
      </c>
      <c r="F31" s="202">
        <v>8</v>
      </c>
      <c r="G31" s="204">
        <v>0</v>
      </c>
    </row>
    <row r="32" spans="1:7" s="200" customFormat="1" ht="23.25" customHeight="1" x14ac:dyDescent="0.25">
      <c r="A32" s="201">
        <v>38381</v>
      </c>
      <c r="B32" s="202" t="s">
        <v>357</v>
      </c>
      <c r="C32" s="203">
        <v>21500</v>
      </c>
      <c r="D32" s="202">
        <v>8</v>
      </c>
      <c r="E32" s="202">
        <v>0</v>
      </c>
      <c r="F32" s="202">
        <v>8</v>
      </c>
      <c r="G32" s="204">
        <v>0</v>
      </c>
    </row>
    <row r="33" spans="1:7" s="200" customFormat="1" ht="23.25" customHeight="1" x14ac:dyDescent="0.25">
      <c r="A33" s="201">
        <v>38382</v>
      </c>
      <c r="B33" s="202" t="s">
        <v>358</v>
      </c>
      <c r="C33" s="203">
        <v>21400</v>
      </c>
      <c r="D33" s="202">
        <v>8</v>
      </c>
      <c r="E33" s="202">
        <v>0</v>
      </c>
      <c r="F33" s="202">
        <v>8</v>
      </c>
      <c r="G33" s="204">
        <v>0</v>
      </c>
    </row>
    <row r="34" spans="1:7" s="200" customFormat="1" ht="23.25" customHeight="1" x14ac:dyDescent="0.25">
      <c r="A34" s="201">
        <v>38383</v>
      </c>
      <c r="B34" s="202" t="s">
        <v>358</v>
      </c>
      <c r="C34" s="203">
        <v>21400</v>
      </c>
      <c r="D34" s="202">
        <v>0</v>
      </c>
      <c r="E34" s="202">
        <v>0</v>
      </c>
      <c r="F34" s="202">
        <v>67</v>
      </c>
      <c r="G34" s="204">
        <v>0</v>
      </c>
    </row>
    <row r="35" spans="1:7" s="200" customFormat="1" ht="23.25" customHeight="1" x14ac:dyDescent="0.25">
      <c r="A35" s="201">
        <v>38384</v>
      </c>
      <c r="B35" s="202" t="s">
        <v>542</v>
      </c>
      <c r="C35" s="203">
        <v>21300</v>
      </c>
      <c r="D35" s="202">
        <v>8</v>
      </c>
      <c r="E35" s="202">
        <v>0</v>
      </c>
      <c r="F35" s="202">
        <v>8</v>
      </c>
      <c r="G35" s="204">
        <v>0</v>
      </c>
    </row>
    <row r="36" spans="1:7" s="200" customFormat="1" ht="23.25" customHeight="1" x14ac:dyDescent="0.25">
      <c r="A36" s="201">
        <v>38385</v>
      </c>
      <c r="B36" s="202" t="s">
        <v>360</v>
      </c>
      <c r="C36" s="203">
        <v>21000</v>
      </c>
      <c r="D36" s="202">
        <v>4</v>
      </c>
      <c r="E36" s="202">
        <v>0</v>
      </c>
      <c r="F36" s="202">
        <v>8</v>
      </c>
      <c r="G36" s="204">
        <v>0</v>
      </c>
    </row>
    <row r="37" spans="1:7" s="200" customFormat="1" ht="23.25" customHeight="1" x14ac:dyDescent="0.25">
      <c r="A37" s="201">
        <v>38386</v>
      </c>
      <c r="B37" s="202" t="s">
        <v>360</v>
      </c>
      <c r="C37" s="203">
        <v>21000</v>
      </c>
      <c r="D37" s="202">
        <v>0</v>
      </c>
      <c r="E37" s="202">
        <v>0</v>
      </c>
      <c r="F37" s="202">
        <v>0</v>
      </c>
      <c r="G37" s="204">
        <v>0</v>
      </c>
    </row>
    <row r="38" spans="1:7" s="200" customFormat="1" ht="23.25" customHeight="1" x14ac:dyDescent="0.25">
      <c r="A38" s="201">
        <v>38387</v>
      </c>
      <c r="B38" s="202" t="s">
        <v>360</v>
      </c>
      <c r="C38" s="203">
        <v>21000</v>
      </c>
      <c r="D38" s="202">
        <v>0</v>
      </c>
      <c r="E38" s="202">
        <v>0</v>
      </c>
      <c r="F38" s="202">
        <v>0</v>
      </c>
      <c r="G38" s="204">
        <v>0</v>
      </c>
    </row>
    <row r="39" spans="1:7" s="200" customFormat="1" ht="23.25" customHeight="1" x14ac:dyDescent="0.25">
      <c r="A39" s="201">
        <v>38388</v>
      </c>
      <c r="B39" s="202" t="s">
        <v>360</v>
      </c>
      <c r="C39" s="203">
        <v>21000</v>
      </c>
      <c r="D39" s="202">
        <v>0</v>
      </c>
      <c r="E39" s="202">
        <v>0</v>
      </c>
      <c r="F39" s="202">
        <v>0</v>
      </c>
      <c r="G39" s="204">
        <v>0</v>
      </c>
    </row>
    <row r="40" spans="1:7" s="200" customFormat="1" ht="23.25" customHeight="1" x14ac:dyDescent="0.25">
      <c r="A40" s="201">
        <v>38389</v>
      </c>
      <c r="B40" s="202" t="s">
        <v>360</v>
      </c>
      <c r="C40" s="203">
        <v>21000</v>
      </c>
      <c r="D40" s="202">
        <v>0</v>
      </c>
      <c r="E40" s="202">
        <v>0</v>
      </c>
      <c r="F40" s="202">
        <v>0</v>
      </c>
      <c r="G40" s="204">
        <v>0</v>
      </c>
    </row>
    <row r="41" spans="1:7" s="200" customFormat="1" ht="23.25" customHeight="1" x14ac:dyDescent="0.25">
      <c r="A41" s="201">
        <v>38390</v>
      </c>
      <c r="B41" s="202" t="s">
        <v>360</v>
      </c>
      <c r="C41" s="203">
        <v>21000</v>
      </c>
      <c r="D41" s="202">
        <v>0</v>
      </c>
      <c r="E41" s="202">
        <v>0</v>
      </c>
      <c r="F41" s="202">
        <v>0</v>
      </c>
      <c r="G41" s="204">
        <v>0</v>
      </c>
    </row>
    <row r="42" spans="1:7" s="200" customFormat="1" ht="23.25" customHeight="1" x14ac:dyDescent="0.25">
      <c r="A42" s="201">
        <v>38391</v>
      </c>
      <c r="B42" s="202" t="s">
        <v>360</v>
      </c>
      <c r="C42" s="203">
        <v>21000</v>
      </c>
      <c r="D42" s="202">
        <v>0</v>
      </c>
      <c r="E42" s="202">
        <v>0</v>
      </c>
      <c r="F42" s="202">
        <v>0</v>
      </c>
      <c r="G42" s="204">
        <v>0</v>
      </c>
    </row>
    <row r="43" spans="1:7" s="200" customFormat="1" ht="23.25" customHeight="1" x14ac:dyDescent="0.25">
      <c r="A43" s="201">
        <v>38392</v>
      </c>
      <c r="B43" s="202" t="s">
        <v>360</v>
      </c>
      <c r="C43" s="203">
        <v>21000</v>
      </c>
      <c r="D43" s="202">
        <v>0</v>
      </c>
      <c r="E43" s="202">
        <v>0</v>
      </c>
      <c r="F43" s="202">
        <v>0</v>
      </c>
      <c r="G43" s="204">
        <v>0</v>
      </c>
    </row>
    <row r="44" spans="1:7" s="200" customFormat="1" ht="23.25" customHeight="1" x14ac:dyDescent="0.25">
      <c r="A44" s="201">
        <v>38393</v>
      </c>
      <c r="B44" s="202" t="s">
        <v>360</v>
      </c>
      <c r="C44" s="203">
        <v>21000</v>
      </c>
      <c r="D44" s="202">
        <v>0</v>
      </c>
      <c r="E44" s="202">
        <v>0</v>
      </c>
      <c r="F44" s="202">
        <v>0</v>
      </c>
      <c r="G44" s="204">
        <v>0</v>
      </c>
    </row>
    <row r="45" spans="1:7" s="200" customFormat="1" ht="23.25" customHeight="1" x14ac:dyDescent="0.25">
      <c r="A45" s="201">
        <v>38394</v>
      </c>
      <c r="B45" s="202" t="s">
        <v>360</v>
      </c>
      <c r="C45" s="203">
        <v>21000</v>
      </c>
      <c r="D45" s="202">
        <v>0</v>
      </c>
      <c r="E45" s="202">
        <v>0</v>
      </c>
      <c r="F45" s="202">
        <v>9</v>
      </c>
      <c r="G45" s="204">
        <v>0</v>
      </c>
    </row>
    <row r="46" spans="1:7" s="200" customFormat="1" ht="23.25" customHeight="1" x14ac:dyDescent="0.25">
      <c r="A46" s="201">
        <v>38395</v>
      </c>
      <c r="B46" s="202" t="s">
        <v>361</v>
      </c>
      <c r="C46" s="203">
        <v>20650</v>
      </c>
      <c r="D46" s="202">
        <v>10</v>
      </c>
      <c r="E46" s="202">
        <v>0</v>
      </c>
      <c r="F46" s="202">
        <v>10</v>
      </c>
      <c r="G46" s="204">
        <v>0</v>
      </c>
    </row>
    <row r="47" spans="1:7" s="200" customFormat="1" ht="23.25" customHeight="1" x14ac:dyDescent="0.25">
      <c r="A47" s="201">
        <v>38396</v>
      </c>
      <c r="B47" s="202" t="s">
        <v>343</v>
      </c>
      <c r="C47" s="203">
        <v>20450</v>
      </c>
      <c r="D47" s="202">
        <v>10</v>
      </c>
      <c r="E47" s="202">
        <v>0</v>
      </c>
      <c r="F47" s="202">
        <v>10</v>
      </c>
      <c r="G47" s="204">
        <v>0</v>
      </c>
    </row>
    <row r="48" spans="1:7" s="200" customFormat="1" ht="23.25" customHeight="1" x14ac:dyDescent="0.25">
      <c r="A48" s="201">
        <v>38397</v>
      </c>
      <c r="B48" s="202" t="s">
        <v>363</v>
      </c>
      <c r="C48" s="203">
        <v>20000</v>
      </c>
      <c r="D48" s="202">
        <v>5</v>
      </c>
      <c r="E48" s="202">
        <v>0</v>
      </c>
      <c r="F48" s="202">
        <v>10</v>
      </c>
      <c r="G48" s="204">
        <v>0</v>
      </c>
    </row>
    <row r="49" spans="1:7" s="200" customFormat="1" ht="23.25" customHeight="1" x14ac:dyDescent="0.25">
      <c r="A49" s="201">
        <v>38398</v>
      </c>
      <c r="B49" s="202" t="s">
        <v>551</v>
      </c>
      <c r="C49" s="203">
        <v>19850</v>
      </c>
      <c r="D49" s="202">
        <v>5</v>
      </c>
      <c r="E49" s="202">
        <v>0</v>
      </c>
      <c r="F49" s="202">
        <v>10</v>
      </c>
      <c r="G49" s="204">
        <v>0</v>
      </c>
    </row>
    <row r="50" spans="1:7" s="200" customFormat="1" ht="23.25" customHeight="1" x14ac:dyDescent="0.25">
      <c r="A50" s="201">
        <v>38399</v>
      </c>
      <c r="B50" s="202" t="s">
        <v>491</v>
      </c>
      <c r="C50" s="203">
        <v>19700</v>
      </c>
      <c r="D50" s="202">
        <v>5</v>
      </c>
      <c r="E50" s="202">
        <v>0</v>
      </c>
      <c r="F50" s="202">
        <v>10</v>
      </c>
      <c r="G50" s="204">
        <v>0</v>
      </c>
    </row>
    <row r="51" spans="1:7" s="200" customFormat="1" ht="23.25" customHeight="1" x14ac:dyDescent="0.25">
      <c r="A51" s="201">
        <v>38400</v>
      </c>
      <c r="B51" s="202" t="s">
        <v>491</v>
      </c>
      <c r="C51" s="203">
        <v>19700</v>
      </c>
      <c r="D51" s="202">
        <v>0</v>
      </c>
      <c r="E51" s="202">
        <v>0</v>
      </c>
      <c r="F51" s="202">
        <v>10</v>
      </c>
      <c r="G51" s="204">
        <v>0</v>
      </c>
    </row>
    <row r="52" spans="1:7" s="200" customFormat="1" ht="23.25" customHeight="1" x14ac:dyDescent="0.25">
      <c r="A52" s="201">
        <v>38401</v>
      </c>
      <c r="B52" s="202" t="s">
        <v>436</v>
      </c>
      <c r="C52" s="203">
        <v>19550</v>
      </c>
      <c r="D52" s="202">
        <v>0</v>
      </c>
      <c r="E52" s="202">
        <v>0</v>
      </c>
      <c r="F52" s="202">
        <v>0</v>
      </c>
      <c r="G52" s="204">
        <v>0</v>
      </c>
    </row>
    <row r="53" spans="1:7" s="200" customFormat="1" ht="23.25" customHeight="1" x14ac:dyDescent="0.25">
      <c r="A53" s="201">
        <v>38402</v>
      </c>
      <c r="B53" s="202" t="s">
        <v>436</v>
      </c>
      <c r="C53" s="203">
        <v>19550</v>
      </c>
      <c r="D53" s="202">
        <v>0</v>
      </c>
      <c r="E53" s="202">
        <v>0</v>
      </c>
      <c r="F53" s="202">
        <v>0</v>
      </c>
      <c r="G53" s="204">
        <v>0</v>
      </c>
    </row>
    <row r="54" spans="1:7" s="200" customFormat="1" ht="23.25" customHeight="1" x14ac:dyDescent="0.25">
      <c r="A54" s="201">
        <v>38403</v>
      </c>
      <c r="B54" s="202" t="s">
        <v>492</v>
      </c>
      <c r="C54" s="203">
        <v>19300</v>
      </c>
      <c r="D54" s="202">
        <v>0</v>
      </c>
      <c r="E54" s="202">
        <v>0</v>
      </c>
      <c r="F54" s="202">
        <v>0</v>
      </c>
      <c r="G54" s="204">
        <v>0</v>
      </c>
    </row>
    <row r="55" spans="1:7" s="200" customFormat="1" ht="23.25" customHeight="1" x14ac:dyDescent="0.25">
      <c r="A55" s="201">
        <v>38404</v>
      </c>
      <c r="B55" s="202" t="s">
        <v>492</v>
      </c>
      <c r="C55" s="203">
        <v>19300</v>
      </c>
      <c r="D55" s="202">
        <v>0</v>
      </c>
      <c r="E55" s="202">
        <v>0</v>
      </c>
      <c r="F55" s="202">
        <v>0</v>
      </c>
      <c r="G55" s="204">
        <v>0</v>
      </c>
    </row>
    <row r="56" spans="1:7" s="200" customFormat="1" ht="23.25" customHeight="1" x14ac:dyDescent="0.25">
      <c r="A56" s="201">
        <v>38405</v>
      </c>
      <c r="B56" s="202" t="s">
        <v>492</v>
      </c>
      <c r="C56" s="203">
        <v>19300</v>
      </c>
      <c r="D56" s="202">
        <v>0</v>
      </c>
      <c r="E56" s="202">
        <v>0</v>
      </c>
      <c r="F56" s="202">
        <v>0</v>
      </c>
      <c r="G56" s="204">
        <v>0</v>
      </c>
    </row>
    <row r="57" spans="1:7" s="200" customFormat="1" ht="23.25" customHeight="1" x14ac:dyDescent="0.25">
      <c r="A57" s="201">
        <v>38406</v>
      </c>
      <c r="B57" s="202" t="s">
        <v>492</v>
      </c>
      <c r="C57" s="203">
        <v>19300</v>
      </c>
      <c r="D57" s="202">
        <v>0</v>
      </c>
      <c r="E57" s="202">
        <v>0</v>
      </c>
      <c r="F57" s="202">
        <v>0</v>
      </c>
      <c r="G57" s="204">
        <v>0</v>
      </c>
    </row>
    <row r="58" spans="1:7" s="200" customFormat="1" ht="23.25" customHeight="1" x14ac:dyDescent="0.25">
      <c r="A58" s="201">
        <v>38407</v>
      </c>
      <c r="B58" s="202" t="s">
        <v>493</v>
      </c>
      <c r="C58" s="203">
        <v>19200</v>
      </c>
      <c r="D58" s="202">
        <v>10</v>
      </c>
      <c r="E58" s="202">
        <v>0</v>
      </c>
      <c r="F58" s="202">
        <v>10</v>
      </c>
      <c r="G58" s="204">
        <v>0</v>
      </c>
    </row>
    <row r="59" spans="1:7" s="200" customFormat="1" ht="23.25" customHeight="1" x14ac:dyDescent="0.25">
      <c r="A59" s="201">
        <v>38408</v>
      </c>
      <c r="B59" s="202" t="s">
        <v>494</v>
      </c>
      <c r="C59" s="203">
        <v>19000</v>
      </c>
      <c r="D59" s="202">
        <v>10</v>
      </c>
      <c r="E59" s="202">
        <v>0</v>
      </c>
      <c r="F59" s="202">
        <v>10</v>
      </c>
      <c r="G59" s="204">
        <v>0</v>
      </c>
    </row>
    <row r="60" spans="1:7" s="200" customFormat="1" ht="23.25" customHeight="1" x14ac:dyDescent="0.25">
      <c r="A60" s="201">
        <v>38409</v>
      </c>
      <c r="B60" s="202" t="s">
        <v>561</v>
      </c>
      <c r="C60" s="203">
        <v>18800</v>
      </c>
      <c r="D60" s="202">
        <v>10</v>
      </c>
      <c r="E60" s="202">
        <v>0</v>
      </c>
      <c r="F60" s="202">
        <v>10</v>
      </c>
      <c r="G60" s="204">
        <v>0</v>
      </c>
    </row>
    <row r="61" spans="1:7" s="200" customFormat="1" ht="23.25" customHeight="1" x14ac:dyDescent="0.25">
      <c r="A61" s="201">
        <v>38410</v>
      </c>
      <c r="B61" s="202" t="s">
        <v>340</v>
      </c>
      <c r="C61" s="203">
        <v>18000</v>
      </c>
      <c r="D61" s="202">
        <v>8</v>
      </c>
      <c r="E61" s="202">
        <v>0</v>
      </c>
      <c r="F61" s="202">
        <v>10</v>
      </c>
      <c r="G61" s="204">
        <v>0</v>
      </c>
    </row>
    <row r="62" spans="1:7" s="200" customFormat="1" ht="23.25" customHeight="1" x14ac:dyDescent="0.25">
      <c r="A62" s="201">
        <v>38411</v>
      </c>
      <c r="B62" s="202" t="s">
        <v>339</v>
      </c>
      <c r="C62" s="203">
        <v>17800</v>
      </c>
      <c r="D62" s="202">
        <v>8</v>
      </c>
      <c r="E62" s="202">
        <v>0</v>
      </c>
      <c r="F62" s="202">
        <v>10</v>
      </c>
      <c r="G62" s="204">
        <v>0</v>
      </c>
    </row>
    <row r="63" spans="1:7" s="200" customFormat="1" ht="23.25" customHeight="1" x14ac:dyDescent="0.25">
      <c r="A63" s="201">
        <v>38412</v>
      </c>
      <c r="B63" s="205"/>
      <c r="C63" s="203"/>
      <c r="D63" s="202"/>
      <c r="E63" s="202"/>
      <c r="F63" s="202"/>
      <c r="G63" s="204"/>
    </row>
    <row r="64" spans="1:7" s="200" customFormat="1" ht="23.25" customHeight="1" x14ac:dyDescent="0.25">
      <c r="A64" s="201">
        <v>38413</v>
      </c>
      <c r="B64" s="202" t="s">
        <v>339</v>
      </c>
      <c r="C64" s="203">
        <v>17800</v>
      </c>
      <c r="D64" s="202">
        <v>0</v>
      </c>
      <c r="E64" s="202">
        <v>0</v>
      </c>
      <c r="F64" s="202">
        <v>0</v>
      </c>
      <c r="G64" s="204">
        <v>0</v>
      </c>
    </row>
    <row r="65" spans="1:7" s="200" customFormat="1" ht="23.25" customHeight="1" x14ac:dyDescent="0.25">
      <c r="A65" s="201">
        <v>38414</v>
      </c>
      <c r="B65" s="202" t="s">
        <v>339</v>
      </c>
      <c r="C65" s="203">
        <v>17800</v>
      </c>
      <c r="D65" s="202">
        <v>0</v>
      </c>
      <c r="E65" s="202">
        <v>0</v>
      </c>
      <c r="F65" s="202">
        <v>0</v>
      </c>
      <c r="G65" s="204">
        <v>0</v>
      </c>
    </row>
    <row r="66" spans="1:7" s="200" customFormat="1" ht="23.25" customHeight="1" x14ac:dyDescent="0.25">
      <c r="A66" s="201">
        <v>38415</v>
      </c>
      <c r="B66" s="202" t="s">
        <v>339</v>
      </c>
      <c r="C66" s="203">
        <v>17800</v>
      </c>
      <c r="D66" s="202">
        <v>0</v>
      </c>
      <c r="E66" s="202">
        <v>0</v>
      </c>
      <c r="F66" s="202">
        <v>0</v>
      </c>
      <c r="G66" s="204">
        <v>0</v>
      </c>
    </row>
    <row r="67" spans="1:7" s="200" customFormat="1" ht="23.25" customHeight="1" x14ac:dyDescent="0.25">
      <c r="A67" s="201">
        <v>38416</v>
      </c>
      <c r="B67" s="202" t="s">
        <v>339</v>
      </c>
      <c r="C67" s="203">
        <v>17800</v>
      </c>
      <c r="D67" s="202">
        <v>0</v>
      </c>
      <c r="E67" s="202">
        <v>0</v>
      </c>
      <c r="F67" s="202">
        <v>0</v>
      </c>
      <c r="G67" s="204">
        <v>0</v>
      </c>
    </row>
    <row r="68" spans="1:7" s="200" customFormat="1" ht="23.25" customHeight="1" x14ac:dyDescent="0.25">
      <c r="A68" s="201">
        <v>38417</v>
      </c>
      <c r="B68" s="202" t="s">
        <v>339</v>
      </c>
      <c r="C68" s="203">
        <v>17800</v>
      </c>
      <c r="D68" s="202">
        <v>0</v>
      </c>
      <c r="E68" s="202">
        <v>0</v>
      </c>
      <c r="F68" s="202">
        <v>0</v>
      </c>
      <c r="G68" s="204">
        <v>0</v>
      </c>
    </row>
    <row r="69" spans="1:7" s="200" customFormat="1" ht="23.25" customHeight="1" x14ac:dyDescent="0.25">
      <c r="A69" s="201">
        <v>38418</v>
      </c>
      <c r="B69" s="202" t="s">
        <v>339</v>
      </c>
      <c r="C69" s="203">
        <v>17800</v>
      </c>
      <c r="D69" s="202">
        <v>0</v>
      </c>
      <c r="E69" s="202">
        <v>0</v>
      </c>
      <c r="F69" s="202">
        <v>0</v>
      </c>
      <c r="G69" s="204">
        <v>0</v>
      </c>
    </row>
    <row r="70" spans="1:7" s="200" customFormat="1" ht="23.25" customHeight="1" x14ac:dyDescent="0.25">
      <c r="A70" s="201">
        <v>38419</v>
      </c>
      <c r="B70" s="202" t="s">
        <v>339</v>
      </c>
      <c r="C70" s="203">
        <v>17800</v>
      </c>
      <c r="D70" s="202">
        <v>0</v>
      </c>
      <c r="E70" s="202">
        <v>0</v>
      </c>
      <c r="F70" s="202">
        <v>0</v>
      </c>
      <c r="G70" s="204">
        <v>0</v>
      </c>
    </row>
    <row r="71" spans="1:7" s="200" customFormat="1" ht="23.25" customHeight="1" x14ac:dyDescent="0.25">
      <c r="A71" s="201">
        <v>38420</v>
      </c>
      <c r="B71" s="202" t="s">
        <v>342</v>
      </c>
      <c r="C71" s="203">
        <v>17600</v>
      </c>
      <c r="D71" s="202">
        <v>0</v>
      </c>
      <c r="E71" s="202">
        <v>0</v>
      </c>
      <c r="F71" s="202">
        <v>0</v>
      </c>
      <c r="G71" s="204">
        <v>0</v>
      </c>
    </row>
    <row r="72" spans="1:7" s="200" customFormat="1" ht="23.25" customHeight="1" x14ac:dyDescent="0.25">
      <c r="A72" s="201">
        <v>38421</v>
      </c>
      <c r="B72" s="202" t="s">
        <v>342</v>
      </c>
      <c r="C72" s="203">
        <v>17600</v>
      </c>
      <c r="D72" s="202">
        <v>0</v>
      </c>
      <c r="E72" s="202">
        <v>0</v>
      </c>
      <c r="F72" s="202">
        <v>0</v>
      </c>
      <c r="G72" s="204">
        <v>0</v>
      </c>
    </row>
    <row r="73" spans="1:7" s="200" customFormat="1" ht="23.25" customHeight="1" x14ac:dyDescent="0.25">
      <c r="A73" s="201">
        <v>38422</v>
      </c>
      <c r="B73" s="202" t="s">
        <v>342</v>
      </c>
      <c r="C73" s="203">
        <v>17600</v>
      </c>
      <c r="D73" s="202">
        <v>0</v>
      </c>
      <c r="E73" s="202">
        <v>0</v>
      </c>
      <c r="F73" s="202">
        <v>0</v>
      </c>
      <c r="G73" s="204">
        <v>0</v>
      </c>
    </row>
    <row r="74" spans="1:7" s="200" customFormat="1" ht="23.25" customHeight="1" x14ac:dyDescent="0.25">
      <c r="A74" s="201">
        <v>38423</v>
      </c>
      <c r="B74" s="202" t="s">
        <v>342</v>
      </c>
      <c r="C74" s="203">
        <v>17600</v>
      </c>
      <c r="D74" s="202">
        <v>0</v>
      </c>
      <c r="E74" s="202">
        <v>0</v>
      </c>
      <c r="F74" s="202">
        <v>0</v>
      </c>
      <c r="G74" s="204">
        <v>0</v>
      </c>
    </row>
    <row r="75" spans="1:7" s="200" customFormat="1" ht="23.25" customHeight="1" x14ac:dyDescent="0.25">
      <c r="A75" s="201">
        <v>38424</v>
      </c>
      <c r="B75" s="202" t="s">
        <v>342</v>
      </c>
      <c r="C75" s="203">
        <v>17600</v>
      </c>
      <c r="D75" s="202">
        <v>0</v>
      </c>
      <c r="E75" s="202">
        <v>0</v>
      </c>
      <c r="F75" s="202">
        <v>0</v>
      </c>
      <c r="G75" s="204">
        <v>0</v>
      </c>
    </row>
    <row r="76" spans="1:7" s="200" customFormat="1" ht="23.25" customHeight="1" x14ac:dyDescent="0.25">
      <c r="A76" s="201">
        <v>38425</v>
      </c>
      <c r="B76" s="202" t="s">
        <v>342</v>
      </c>
      <c r="C76" s="203">
        <v>17600</v>
      </c>
      <c r="D76" s="202">
        <v>0</v>
      </c>
      <c r="E76" s="202">
        <v>0</v>
      </c>
      <c r="F76" s="202">
        <v>0</v>
      </c>
      <c r="G76" s="204">
        <v>0</v>
      </c>
    </row>
    <row r="77" spans="1:7" s="200" customFormat="1" ht="23.25" customHeight="1" x14ac:dyDescent="0.25">
      <c r="A77" s="201">
        <v>38426</v>
      </c>
      <c r="B77" s="202" t="s">
        <v>342</v>
      </c>
      <c r="C77" s="203">
        <v>17600</v>
      </c>
      <c r="D77" s="202">
        <v>0</v>
      </c>
      <c r="E77" s="202">
        <v>0</v>
      </c>
      <c r="F77" s="202">
        <v>0</v>
      </c>
      <c r="G77" s="204">
        <v>0</v>
      </c>
    </row>
    <row r="78" spans="1:7" s="200" customFormat="1" ht="23.25" customHeight="1" x14ac:dyDescent="0.25">
      <c r="A78" s="201">
        <v>38427</v>
      </c>
      <c r="B78" s="202" t="s">
        <v>338</v>
      </c>
      <c r="C78" s="203">
        <v>17500</v>
      </c>
      <c r="D78" s="202">
        <v>0</v>
      </c>
      <c r="E78" s="202">
        <v>0</v>
      </c>
      <c r="F78" s="202">
        <v>0</v>
      </c>
      <c r="G78" s="204">
        <v>0</v>
      </c>
    </row>
    <row r="79" spans="1:7" s="200" customFormat="1" ht="23.25" customHeight="1" x14ac:dyDescent="0.25">
      <c r="A79" s="201">
        <v>38428</v>
      </c>
      <c r="B79" s="202" t="s">
        <v>338</v>
      </c>
      <c r="C79" s="203">
        <v>17500</v>
      </c>
      <c r="D79" s="202">
        <v>0</v>
      </c>
      <c r="E79" s="202">
        <v>0</v>
      </c>
      <c r="F79" s="202">
        <v>0</v>
      </c>
      <c r="G79" s="204">
        <v>0</v>
      </c>
    </row>
    <row r="80" spans="1:7" s="200" customFormat="1" ht="23.25" customHeight="1" x14ac:dyDescent="0.25">
      <c r="A80" s="201">
        <v>38429</v>
      </c>
      <c r="B80" s="202" t="s">
        <v>338</v>
      </c>
      <c r="C80" s="203">
        <v>17500</v>
      </c>
      <c r="D80" s="202">
        <v>0</v>
      </c>
      <c r="E80" s="202">
        <v>0</v>
      </c>
      <c r="F80" s="202">
        <v>0</v>
      </c>
      <c r="G80" s="204">
        <v>0</v>
      </c>
    </row>
    <row r="81" spans="1:7" s="200" customFormat="1" ht="23.25" customHeight="1" x14ac:dyDescent="0.25">
      <c r="A81" s="201">
        <v>38430</v>
      </c>
      <c r="B81" s="202" t="s">
        <v>338</v>
      </c>
      <c r="C81" s="203">
        <v>17500</v>
      </c>
      <c r="D81" s="202">
        <v>0</v>
      </c>
      <c r="E81" s="202">
        <v>0</v>
      </c>
      <c r="F81" s="202">
        <v>0</v>
      </c>
      <c r="G81" s="204">
        <v>0</v>
      </c>
    </row>
    <row r="82" spans="1:7" s="200" customFormat="1" ht="23.25" customHeight="1" x14ac:dyDescent="0.25">
      <c r="A82" s="201">
        <v>38431</v>
      </c>
      <c r="B82" s="202" t="s">
        <v>338</v>
      </c>
      <c r="C82" s="203">
        <v>17500</v>
      </c>
      <c r="D82" s="202">
        <v>0</v>
      </c>
      <c r="E82" s="202">
        <v>0</v>
      </c>
      <c r="F82" s="202">
        <v>0</v>
      </c>
      <c r="G82" s="204">
        <v>0</v>
      </c>
    </row>
    <row r="83" spans="1:7" s="200" customFormat="1" ht="23.25" customHeight="1" x14ac:dyDescent="0.25">
      <c r="A83" s="201">
        <v>38432</v>
      </c>
      <c r="B83" s="202" t="s">
        <v>338</v>
      </c>
      <c r="C83" s="203">
        <v>17500</v>
      </c>
      <c r="D83" s="202">
        <v>0</v>
      </c>
      <c r="E83" s="202">
        <v>0</v>
      </c>
      <c r="F83" s="202">
        <v>0</v>
      </c>
      <c r="G83" s="204">
        <v>0</v>
      </c>
    </row>
    <row r="84" spans="1:7" s="200" customFormat="1" ht="23.25" customHeight="1" x14ac:dyDescent="0.25">
      <c r="A84" s="201">
        <v>38433</v>
      </c>
      <c r="B84" s="202" t="s">
        <v>338</v>
      </c>
      <c r="C84" s="203">
        <v>17500</v>
      </c>
      <c r="D84" s="202">
        <v>0</v>
      </c>
      <c r="E84" s="202">
        <v>0</v>
      </c>
      <c r="F84" s="202">
        <v>0</v>
      </c>
      <c r="G84" s="204">
        <v>0</v>
      </c>
    </row>
    <row r="85" spans="1:7" s="200" customFormat="1" ht="23.25" customHeight="1" x14ac:dyDescent="0.25">
      <c r="A85" s="201">
        <v>38434</v>
      </c>
      <c r="B85" s="202" t="s">
        <v>338</v>
      </c>
      <c r="C85" s="203">
        <v>17500</v>
      </c>
      <c r="D85" s="202">
        <v>0</v>
      </c>
      <c r="E85" s="202">
        <v>0</v>
      </c>
      <c r="F85" s="202">
        <v>0</v>
      </c>
      <c r="G85" s="204">
        <v>0</v>
      </c>
    </row>
    <row r="86" spans="1:7" s="200" customFormat="1" ht="23.25" customHeight="1" x14ac:dyDescent="0.25">
      <c r="A86" s="201">
        <v>38435</v>
      </c>
      <c r="B86" s="202" t="s">
        <v>338</v>
      </c>
      <c r="C86" s="203">
        <v>17500</v>
      </c>
      <c r="D86" s="202">
        <v>0</v>
      </c>
      <c r="E86" s="202">
        <v>0</v>
      </c>
      <c r="F86" s="202">
        <v>0</v>
      </c>
      <c r="G86" s="204">
        <v>0</v>
      </c>
    </row>
    <row r="87" spans="1:7" s="200" customFormat="1" ht="23.25" customHeight="1" x14ac:dyDescent="0.25">
      <c r="A87" s="201">
        <v>38436</v>
      </c>
      <c r="B87" s="202" t="s">
        <v>338</v>
      </c>
      <c r="C87" s="203">
        <v>17500</v>
      </c>
      <c r="D87" s="202">
        <v>0</v>
      </c>
      <c r="E87" s="202">
        <v>0</v>
      </c>
      <c r="F87" s="202">
        <v>0</v>
      </c>
      <c r="G87" s="204">
        <v>0</v>
      </c>
    </row>
    <row r="88" spans="1:7" s="200" customFormat="1" ht="23.25" customHeight="1" x14ac:dyDescent="0.25">
      <c r="A88" s="201">
        <v>38437</v>
      </c>
      <c r="B88" s="202" t="s">
        <v>1497</v>
      </c>
      <c r="C88" s="203">
        <v>17450</v>
      </c>
      <c r="D88" s="202">
        <v>0</v>
      </c>
      <c r="E88" s="202">
        <v>0</v>
      </c>
      <c r="F88" s="202">
        <v>0</v>
      </c>
      <c r="G88" s="204">
        <v>0</v>
      </c>
    </row>
    <row r="89" spans="1:7" s="200" customFormat="1" ht="23.25" customHeight="1" x14ac:dyDescent="0.25">
      <c r="A89" s="201">
        <v>38438</v>
      </c>
      <c r="B89" s="202" t="s">
        <v>1497</v>
      </c>
      <c r="C89" s="203">
        <v>17450</v>
      </c>
      <c r="D89" s="202">
        <v>0</v>
      </c>
      <c r="E89" s="202">
        <v>0</v>
      </c>
      <c r="F89" s="202">
        <v>0</v>
      </c>
      <c r="G89" s="204">
        <v>0</v>
      </c>
    </row>
    <row r="90" spans="1:7" s="200" customFormat="1" ht="23.25" customHeight="1" x14ac:dyDescent="0.25">
      <c r="A90" s="201">
        <v>38439</v>
      </c>
      <c r="B90" s="202" t="s">
        <v>1497</v>
      </c>
      <c r="C90" s="203">
        <v>17450</v>
      </c>
      <c r="D90" s="202">
        <v>0</v>
      </c>
      <c r="E90" s="202">
        <v>0</v>
      </c>
      <c r="F90" s="202">
        <v>0</v>
      </c>
      <c r="G90" s="204">
        <v>0</v>
      </c>
    </row>
    <row r="91" spans="1:7" s="200" customFormat="1" ht="23.25" customHeight="1" x14ac:dyDescent="0.25">
      <c r="A91" s="201">
        <v>38440</v>
      </c>
      <c r="B91" s="202" t="s">
        <v>1497</v>
      </c>
      <c r="C91" s="203">
        <v>17450</v>
      </c>
      <c r="D91" s="202">
        <v>0</v>
      </c>
      <c r="E91" s="202">
        <v>0</v>
      </c>
      <c r="F91" s="202">
        <v>0</v>
      </c>
      <c r="G91" s="204">
        <v>0</v>
      </c>
    </row>
    <row r="92" spans="1:7" s="200" customFormat="1" ht="23.25" customHeight="1" x14ac:dyDescent="0.25">
      <c r="A92" s="201">
        <v>38441</v>
      </c>
      <c r="B92" s="202" t="s">
        <v>1497</v>
      </c>
      <c r="C92" s="203">
        <v>17450</v>
      </c>
      <c r="D92" s="202">
        <v>0</v>
      </c>
      <c r="E92" s="202">
        <v>0</v>
      </c>
      <c r="F92" s="202">
        <v>0</v>
      </c>
      <c r="G92" s="204">
        <v>0</v>
      </c>
    </row>
    <row r="93" spans="1:7" s="200" customFormat="1" ht="23.25" customHeight="1" x14ac:dyDescent="0.25">
      <c r="A93" s="201">
        <v>38442</v>
      </c>
      <c r="B93" s="202" t="s">
        <v>1497</v>
      </c>
      <c r="C93" s="203">
        <v>17450</v>
      </c>
      <c r="D93" s="202">
        <v>0</v>
      </c>
      <c r="E93" s="202">
        <v>0</v>
      </c>
      <c r="F93" s="202">
        <v>0</v>
      </c>
      <c r="G93" s="204">
        <v>0</v>
      </c>
    </row>
    <row r="94" spans="1:7" s="200" customFormat="1" ht="23.25" customHeight="1" x14ac:dyDescent="0.25">
      <c r="A94" s="201">
        <v>38443</v>
      </c>
      <c r="B94" s="202" t="s">
        <v>497</v>
      </c>
      <c r="C94" s="203">
        <v>17400</v>
      </c>
      <c r="D94" s="202">
        <v>0</v>
      </c>
      <c r="E94" s="202">
        <v>0</v>
      </c>
      <c r="F94" s="202">
        <v>0</v>
      </c>
      <c r="G94" s="204">
        <v>0</v>
      </c>
    </row>
    <row r="95" spans="1:7" s="200" customFormat="1" ht="23.25" customHeight="1" x14ac:dyDescent="0.25">
      <c r="A95" s="201">
        <v>38444</v>
      </c>
      <c r="B95" s="202" t="s">
        <v>497</v>
      </c>
      <c r="C95" s="203">
        <v>17400</v>
      </c>
      <c r="D95" s="202">
        <v>0</v>
      </c>
      <c r="E95" s="202">
        <v>0</v>
      </c>
      <c r="F95" s="202">
        <v>0</v>
      </c>
      <c r="G95" s="204">
        <v>0</v>
      </c>
    </row>
    <row r="96" spans="1:7" s="200" customFormat="1" ht="23.25" customHeight="1" x14ac:dyDescent="0.25">
      <c r="A96" s="201">
        <v>38445</v>
      </c>
      <c r="B96" s="202" t="s">
        <v>497</v>
      </c>
      <c r="C96" s="203">
        <v>17400</v>
      </c>
      <c r="D96" s="202">
        <v>0</v>
      </c>
      <c r="E96" s="202">
        <v>0</v>
      </c>
      <c r="F96" s="202">
        <v>0</v>
      </c>
      <c r="G96" s="204">
        <v>0</v>
      </c>
    </row>
    <row r="97" spans="1:7" s="200" customFormat="1" ht="23.25" customHeight="1" x14ac:dyDescent="0.25">
      <c r="A97" s="201">
        <v>38446</v>
      </c>
      <c r="B97" s="202" t="s">
        <v>497</v>
      </c>
      <c r="C97" s="203">
        <v>17400</v>
      </c>
      <c r="D97" s="202">
        <v>0</v>
      </c>
      <c r="E97" s="202">
        <v>0</v>
      </c>
      <c r="F97" s="202">
        <v>0</v>
      </c>
      <c r="G97" s="204">
        <v>0</v>
      </c>
    </row>
    <row r="98" spans="1:7" s="200" customFormat="1" ht="23.25" customHeight="1" x14ac:dyDescent="0.25">
      <c r="A98" s="201">
        <v>38447</v>
      </c>
      <c r="B98" s="202" t="s">
        <v>497</v>
      </c>
      <c r="C98" s="203">
        <v>17400</v>
      </c>
      <c r="D98" s="202">
        <v>0</v>
      </c>
      <c r="E98" s="202">
        <v>0</v>
      </c>
      <c r="F98" s="202">
        <v>0</v>
      </c>
      <c r="G98" s="204">
        <v>0</v>
      </c>
    </row>
    <row r="99" spans="1:7" s="200" customFormat="1" ht="23.25" customHeight="1" x14ac:dyDescent="0.25">
      <c r="A99" s="201">
        <v>38448</v>
      </c>
      <c r="B99" s="202" t="s">
        <v>497</v>
      </c>
      <c r="C99" s="203">
        <v>17400</v>
      </c>
      <c r="D99" s="202">
        <v>0</v>
      </c>
      <c r="E99" s="202">
        <v>0</v>
      </c>
      <c r="F99" s="202">
        <v>0</v>
      </c>
      <c r="G99" s="204">
        <v>0</v>
      </c>
    </row>
    <row r="100" spans="1:7" s="200" customFormat="1" ht="23.25" customHeight="1" x14ac:dyDescent="0.25">
      <c r="A100" s="201">
        <v>38449</v>
      </c>
      <c r="B100" s="202" t="s">
        <v>497</v>
      </c>
      <c r="C100" s="203">
        <v>17400</v>
      </c>
      <c r="D100" s="202">
        <v>0</v>
      </c>
      <c r="E100" s="202">
        <v>0</v>
      </c>
      <c r="F100" s="202">
        <v>0</v>
      </c>
      <c r="G100" s="204">
        <v>0</v>
      </c>
    </row>
    <row r="101" spans="1:7" s="200" customFormat="1" ht="23.25" customHeight="1" x14ac:dyDescent="0.25">
      <c r="A101" s="201">
        <v>38450</v>
      </c>
      <c r="B101" s="202" t="s">
        <v>497</v>
      </c>
      <c r="C101" s="203">
        <v>17400</v>
      </c>
      <c r="D101" s="202">
        <v>0</v>
      </c>
      <c r="E101" s="202">
        <v>0</v>
      </c>
      <c r="F101" s="202">
        <v>0</v>
      </c>
      <c r="G101" s="204">
        <v>0</v>
      </c>
    </row>
    <row r="102" spans="1:7" s="200" customFormat="1" ht="23.25" customHeight="1" x14ac:dyDescent="0.25">
      <c r="A102" s="201">
        <v>38451</v>
      </c>
      <c r="B102" s="202" t="s">
        <v>497</v>
      </c>
      <c r="C102" s="203">
        <v>17400</v>
      </c>
      <c r="D102" s="202">
        <v>0</v>
      </c>
      <c r="E102" s="202">
        <v>0</v>
      </c>
      <c r="F102" s="202">
        <v>0</v>
      </c>
      <c r="G102" s="204">
        <v>0</v>
      </c>
    </row>
    <row r="103" spans="1:7" s="200" customFormat="1" ht="23.25" customHeight="1" x14ac:dyDescent="0.25">
      <c r="A103" s="201">
        <v>38452</v>
      </c>
      <c r="B103" s="202" t="s">
        <v>497</v>
      </c>
      <c r="C103" s="203">
        <v>17400</v>
      </c>
      <c r="D103" s="202">
        <v>0</v>
      </c>
      <c r="E103" s="202">
        <v>0</v>
      </c>
      <c r="F103" s="202">
        <v>0</v>
      </c>
      <c r="G103" s="204">
        <v>0</v>
      </c>
    </row>
    <row r="104" spans="1:7" s="200" customFormat="1" ht="23.25" customHeight="1" x14ac:dyDescent="0.25">
      <c r="A104" s="201">
        <v>38453</v>
      </c>
      <c r="B104" s="202" t="s">
        <v>497</v>
      </c>
      <c r="C104" s="203">
        <v>17400</v>
      </c>
      <c r="D104" s="202">
        <v>0</v>
      </c>
      <c r="E104" s="202">
        <v>0</v>
      </c>
      <c r="F104" s="202">
        <v>0</v>
      </c>
      <c r="G104" s="204">
        <v>0</v>
      </c>
    </row>
    <row r="105" spans="1:7" s="200" customFormat="1" ht="23.25" customHeight="1" x14ac:dyDescent="0.25">
      <c r="A105" s="201">
        <v>38454</v>
      </c>
      <c r="B105" s="202" t="s">
        <v>497</v>
      </c>
      <c r="C105" s="203">
        <v>17400</v>
      </c>
      <c r="D105" s="202">
        <v>0</v>
      </c>
      <c r="E105" s="202">
        <v>0</v>
      </c>
      <c r="F105" s="202">
        <v>0</v>
      </c>
      <c r="G105" s="204">
        <v>0</v>
      </c>
    </row>
    <row r="106" spans="1:7" s="200" customFormat="1" ht="23.25" customHeight="1" x14ac:dyDescent="0.25">
      <c r="A106" s="201">
        <v>38455</v>
      </c>
      <c r="B106" s="202" t="s">
        <v>497</v>
      </c>
      <c r="C106" s="203">
        <v>17400</v>
      </c>
      <c r="D106" s="202">
        <v>0</v>
      </c>
      <c r="E106" s="202">
        <v>0</v>
      </c>
      <c r="F106" s="202">
        <v>0</v>
      </c>
      <c r="G106" s="204">
        <v>0</v>
      </c>
    </row>
    <row r="107" spans="1:7" s="200" customFormat="1" ht="23.25" customHeight="1" x14ac:dyDescent="0.25">
      <c r="A107" s="201">
        <v>38456</v>
      </c>
      <c r="B107" s="202" t="s">
        <v>497</v>
      </c>
      <c r="C107" s="203">
        <v>17400</v>
      </c>
      <c r="D107" s="202">
        <v>0</v>
      </c>
      <c r="E107" s="202">
        <v>0</v>
      </c>
      <c r="F107" s="202">
        <v>0</v>
      </c>
      <c r="G107" s="204">
        <v>0</v>
      </c>
    </row>
    <row r="108" spans="1:7" s="200" customFormat="1" ht="23.25" customHeight="1" x14ac:dyDescent="0.25">
      <c r="A108" s="201">
        <v>38457</v>
      </c>
      <c r="B108" s="202" t="s">
        <v>497</v>
      </c>
      <c r="C108" s="203">
        <v>17400</v>
      </c>
      <c r="D108" s="202">
        <v>0</v>
      </c>
      <c r="E108" s="202">
        <v>0</v>
      </c>
      <c r="F108" s="202">
        <v>0</v>
      </c>
      <c r="G108" s="204">
        <v>0</v>
      </c>
    </row>
    <row r="109" spans="1:7" s="200" customFormat="1" ht="23.25" customHeight="1" x14ac:dyDescent="0.25">
      <c r="A109" s="201">
        <v>38458</v>
      </c>
      <c r="B109" s="202" t="s">
        <v>497</v>
      </c>
      <c r="C109" s="203">
        <v>17400</v>
      </c>
      <c r="D109" s="202">
        <v>0</v>
      </c>
      <c r="E109" s="202">
        <v>0</v>
      </c>
      <c r="F109" s="202">
        <v>0</v>
      </c>
      <c r="G109" s="204">
        <v>0</v>
      </c>
    </row>
    <row r="110" spans="1:7" s="200" customFormat="1" ht="23.25" customHeight="1" x14ac:dyDescent="0.25">
      <c r="A110" s="201">
        <v>38459</v>
      </c>
      <c r="B110" s="202" t="s">
        <v>497</v>
      </c>
      <c r="C110" s="203">
        <v>17400</v>
      </c>
      <c r="D110" s="202">
        <v>0</v>
      </c>
      <c r="E110" s="202">
        <v>0</v>
      </c>
      <c r="F110" s="202">
        <v>0</v>
      </c>
      <c r="G110" s="204">
        <v>0</v>
      </c>
    </row>
    <row r="111" spans="1:7" s="200" customFormat="1" ht="23.25" customHeight="1" x14ac:dyDescent="0.25">
      <c r="A111" s="201">
        <v>38460</v>
      </c>
      <c r="B111" s="202" t="s">
        <v>497</v>
      </c>
      <c r="C111" s="203">
        <v>17400</v>
      </c>
      <c r="D111" s="202">
        <v>0</v>
      </c>
      <c r="E111" s="202">
        <v>0</v>
      </c>
      <c r="F111" s="202">
        <v>0</v>
      </c>
      <c r="G111" s="204">
        <v>0</v>
      </c>
    </row>
    <row r="112" spans="1:7" s="200" customFormat="1" ht="23.25" customHeight="1" x14ac:dyDescent="0.25">
      <c r="A112" s="201">
        <v>38461</v>
      </c>
      <c r="B112" s="202" t="s">
        <v>497</v>
      </c>
      <c r="C112" s="203">
        <v>17400</v>
      </c>
      <c r="D112" s="202">
        <v>0</v>
      </c>
      <c r="E112" s="202">
        <v>0</v>
      </c>
      <c r="F112" s="202">
        <v>0</v>
      </c>
      <c r="G112" s="204">
        <v>0</v>
      </c>
    </row>
    <row r="113" spans="1:7" s="200" customFormat="1" ht="23.25" customHeight="1" x14ac:dyDescent="0.25">
      <c r="A113" s="201">
        <v>38462</v>
      </c>
      <c r="B113" s="202" t="s">
        <v>497</v>
      </c>
      <c r="C113" s="203">
        <v>17400</v>
      </c>
      <c r="D113" s="202">
        <v>0</v>
      </c>
      <c r="E113" s="202">
        <v>0</v>
      </c>
      <c r="F113" s="202">
        <v>0</v>
      </c>
      <c r="G113" s="204">
        <v>0</v>
      </c>
    </row>
    <row r="114" spans="1:7" s="200" customFormat="1" ht="23.25" customHeight="1" x14ac:dyDescent="0.25">
      <c r="A114" s="201">
        <v>38463</v>
      </c>
      <c r="B114" s="202" t="s">
        <v>497</v>
      </c>
      <c r="C114" s="203">
        <v>17400</v>
      </c>
      <c r="D114" s="202">
        <v>0</v>
      </c>
      <c r="E114" s="202">
        <v>0</v>
      </c>
      <c r="F114" s="202">
        <v>0</v>
      </c>
      <c r="G114" s="204">
        <v>0</v>
      </c>
    </row>
    <row r="115" spans="1:7" s="200" customFormat="1" ht="23.25" customHeight="1" x14ac:dyDescent="0.25">
      <c r="A115" s="201">
        <v>38464</v>
      </c>
      <c r="B115" s="202" t="s">
        <v>338</v>
      </c>
      <c r="C115" s="203">
        <v>17500</v>
      </c>
      <c r="D115" s="202">
        <v>0</v>
      </c>
      <c r="E115" s="202">
        <v>0</v>
      </c>
      <c r="F115" s="202">
        <v>0</v>
      </c>
      <c r="G115" s="204">
        <v>0</v>
      </c>
    </row>
    <row r="116" spans="1:7" s="200" customFormat="1" ht="23.25" customHeight="1" x14ac:dyDescent="0.25">
      <c r="A116" s="201">
        <v>38465</v>
      </c>
      <c r="B116" s="202" t="s">
        <v>338</v>
      </c>
      <c r="C116" s="203">
        <v>17500</v>
      </c>
      <c r="D116" s="202">
        <v>0</v>
      </c>
      <c r="E116" s="202">
        <v>0</v>
      </c>
      <c r="F116" s="202">
        <v>0</v>
      </c>
      <c r="G116" s="204">
        <v>0</v>
      </c>
    </row>
    <row r="117" spans="1:7" s="200" customFormat="1" ht="23.25" customHeight="1" x14ac:dyDescent="0.25">
      <c r="A117" s="201">
        <v>38466</v>
      </c>
      <c r="B117" s="202" t="s">
        <v>338</v>
      </c>
      <c r="C117" s="203">
        <v>17500</v>
      </c>
      <c r="D117" s="202">
        <v>0</v>
      </c>
      <c r="E117" s="202">
        <v>0</v>
      </c>
      <c r="F117" s="202">
        <v>0</v>
      </c>
      <c r="G117" s="204">
        <v>0</v>
      </c>
    </row>
    <row r="118" spans="1:7" s="200" customFormat="1" ht="23.25" customHeight="1" x14ac:dyDescent="0.25">
      <c r="A118" s="201">
        <v>38467</v>
      </c>
      <c r="B118" s="202" t="s">
        <v>338</v>
      </c>
      <c r="C118" s="203">
        <v>17500</v>
      </c>
      <c r="D118" s="202">
        <v>0</v>
      </c>
      <c r="E118" s="202">
        <v>0</v>
      </c>
      <c r="F118" s="202">
        <v>0</v>
      </c>
      <c r="G118" s="204">
        <v>0</v>
      </c>
    </row>
    <row r="119" spans="1:7" s="200" customFormat="1" ht="23.25" customHeight="1" x14ac:dyDescent="0.25">
      <c r="A119" s="201">
        <v>38468</v>
      </c>
      <c r="B119" s="202" t="s">
        <v>338</v>
      </c>
      <c r="C119" s="203">
        <v>17500</v>
      </c>
      <c r="D119" s="202">
        <v>7</v>
      </c>
      <c r="E119" s="202">
        <v>0</v>
      </c>
      <c r="F119" s="202">
        <v>7</v>
      </c>
      <c r="G119" s="204">
        <v>0</v>
      </c>
    </row>
    <row r="120" spans="1:7" s="200" customFormat="1" ht="23.25" customHeight="1" x14ac:dyDescent="0.25">
      <c r="A120" s="201">
        <v>38469</v>
      </c>
      <c r="B120" s="202" t="s">
        <v>497</v>
      </c>
      <c r="C120" s="203">
        <v>17400</v>
      </c>
      <c r="D120" s="202">
        <v>7</v>
      </c>
      <c r="E120" s="202">
        <v>0</v>
      </c>
      <c r="F120" s="202">
        <v>7</v>
      </c>
      <c r="G120" s="204">
        <v>0</v>
      </c>
    </row>
    <row r="121" spans="1:7" s="200" customFormat="1" ht="23.25" customHeight="1" x14ac:dyDescent="0.25">
      <c r="A121" s="201">
        <v>38470</v>
      </c>
      <c r="B121" s="202" t="s">
        <v>497</v>
      </c>
      <c r="C121" s="203">
        <v>17400</v>
      </c>
      <c r="D121" s="202">
        <v>7</v>
      </c>
      <c r="E121" s="202">
        <v>0</v>
      </c>
      <c r="F121" s="202">
        <v>7</v>
      </c>
      <c r="G121" s="204">
        <v>0</v>
      </c>
    </row>
    <row r="122" spans="1:7" s="200" customFormat="1" ht="23.25" customHeight="1" x14ac:dyDescent="0.25">
      <c r="A122" s="201">
        <v>38471</v>
      </c>
      <c r="B122" s="202" t="s">
        <v>498</v>
      </c>
      <c r="C122" s="203">
        <v>17000</v>
      </c>
      <c r="D122" s="202">
        <v>7</v>
      </c>
      <c r="E122" s="202">
        <v>0</v>
      </c>
      <c r="F122" s="202">
        <v>7</v>
      </c>
      <c r="G122" s="204">
        <v>0</v>
      </c>
    </row>
    <row r="123" spans="1:7" s="200" customFormat="1" ht="23.25" customHeight="1" x14ac:dyDescent="0.25">
      <c r="A123" s="201">
        <v>38472</v>
      </c>
      <c r="B123" s="202" t="s">
        <v>562</v>
      </c>
      <c r="C123" s="203">
        <v>16700</v>
      </c>
      <c r="D123" s="202">
        <v>7</v>
      </c>
      <c r="E123" s="202">
        <v>0</v>
      </c>
      <c r="F123" s="202">
        <v>7</v>
      </c>
      <c r="G123" s="204">
        <v>0</v>
      </c>
    </row>
    <row r="124" spans="1:7" s="200" customFormat="1" ht="23.25" customHeight="1" x14ac:dyDescent="0.25">
      <c r="A124" s="201">
        <v>38473</v>
      </c>
      <c r="B124" s="202" t="s">
        <v>517</v>
      </c>
      <c r="C124" s="203">
        <v>16800</v>
      </c>
      <c r="D124" s="202">
        <v>7</v>
      </c>
      <c r="E124" s="202">
        <v>0</v>
      </c>
      <c r="F124" s="202">
        <v>7</v>
      </c>
      <c r="G124" s="204">
        <v>0</v>
      </c>
    </row>
    <row r="125" spans="1:7" s="200" customFormat="1" ht="23.25" customHeight="1" x14ac:dyDescent="0.25">
      <c r="A125" s="201">
        <v>38474</v>
      </c>
      <c r="B125" s="202" t="s">
        <v>563</v>
      </c>
      <c r="C125" s="203">
        <v>16600</v>
      </c>
      <c r="D125" s="202">
        <v>7</v>
      </c>
      <c r="E125" s="202">
        <v>0</v>
      </c>
      <c r="F125" s="202">
        <v>7</v>
      </c>
      <c r="G125" s="204">
        <v>0</v>
      </c>
    </row>
    <row r="126" spans="1:7" s="200" customFormat="1" ht="23.25" customHeight="1" x14ac:dyDescent="0.25">
      <c r="A126" s="201">
        <v>38475</v>
      </c>
      <c r="B126" s="202" t="s">
        <v>564</v>
      </c>
      <c r="C126" s="203">
        <v>16500</v>
      </c>
      <c r="D126" s="202">
        <v>5</v>
      </c>
      <c r="E126" s="202">
        <v>0</v>
      </c>
      <c r="F126" s="202">
        <v>5</v>
      </c>
      <c r="G126" s="204">
        <v>0</v>
      </c>
    </row>
    <row r="127" spans="1:7" s="200" customFormat="1" ht="23.25" customHeight="1" x14ac:dyDescent="0.25">
      <c r="A127" s="201">
        <v>38476</v>
      </c>
      <c r="B127" s="202" t="s">
        <v>565</v>
      </c>
      <c r="C127" s="203">
        <v>16400</v>
      </c>
      <c r="D127" s="202">
        <v>5</v>
      </c>
      <c r="E127" s="202">
        <v>0</v>
      </c>
      <c r="F127" s="202">
        <v>4</v>
      </c>
      <c r="G127" s="204">
        <v>0</v>
      </c>
    </row>
    <row r="128" spans="1:7" s="200" customFormat="1" ht="23.25" customHeight="1" x14ac:dyDescent="0.25">
      <c r="A128" s="201">
        <v>38477</v>
      </c>
      <c r="B128" s="202" t="s">
        <v>566</v>
      </c>
      <c r="C128" s="203">
        <v>16200</v>
      </c>
      <c r="D128" s="202">
        <v>0</v>
      </c>
      <c r="E128" s="202">
        <v>0</v>
      </c>
      <c r="F128" s="202">
        <v>0</v>
      </c>
      <c r="G128" s="204">
        <v>0</v>
      </c>
    </row>
    <row r="129" spans="1:7" s="200" customFormat="1" ht="23.25" customHeight="1" x14ac:dyDescent="0.25">
      <c r="A129" s="201">
        <v>38478</v>
      </c>
      <c r="B129" s="202" t="s">
        <v>566</v>
      </c>
      <c r="C129" s="203">
        <v>16200</v>
      </c>
      <c r="D129" s="202">
        <v>0</v>
      </c>
      <c r="E129" s="202">
        <v>0</v>
      </c>
      <c r="F129" s="202">
        <v>0</v>
      </c>
      <c r="G129" s="204">
        <v>0</v>
      </c>
    </row>
    <row r="130" spans="1:7" s="200" customFormat="1" ht="23.25" customHeight="1" x14ac:dyDescent="0.25">
      <c r="A130" s="201">
        <v>38479</v>
      </c>
      <c r="B130" s="202" t="s">
        <v>566</v>
      </c>
      <c r="C130" s="203">
        <v>16200</v>
      </c>
      <c r="D130" s="202">
        <v>4</v>
      </c>
      <c r="E130" s="202">
        <v>0</v>
      </c>
      <c r="F130" s="202">
        <v>2</v>
      </c>
      <c r="G130" s="204">
        <v>0</v>
      </c>
    </row>
    <row r="131" spans="1:7" s="200" customFormat="1" ht="23.25" customHeight="1" x14ac:dyDescent="0.25">
      <c r="A131" s="201">
        <v>38480</v>
      </c>
      <c r="B131" s="202" t="s">
        <v>567</v>
      </c>
      <c r="C131" s="203">
        <v>16000</v>
      </c>
      <c r="D131" s="202">
        <v>6</v>
      </c>
      <c r="E131" s="202">
        <v>0</v>
      </c>
      <c r="F131" s="202">
        <v>7</v>
      </c>
      <c r="G131" s="204">
        <v>0</v>
      </c>
    </row>
    <row r="132" spans="1:7" s="200" customFormat="1" ht="23.25" customHeight="1" x14ac:dyDescent="0.25">
      <c r="A132" s="201">
        <v>38481</v>
      </c>
      <c r="B132" s="202" t="s">
        <v>568</v>
      </c>
      <c r="C132" s="203">
        <v>15750</v>
      </c>
      <c r="D132" s="202">
        <v>6</v>
      </c>
      <c r="E132" s="202">
        <v>0</v>
      </c>
      <c r="F132" s="202">
        <v>7</v>
      </c>
      <c r="G132" s="204">
        <v>0</v>
      </c>
    </row>
    <row r="133" spans="1:7" s="200" customFormat="1" ht="23.25" customHeight="1" x14ac:dyDescent="0.25">
      <c r="A133" s="201">
        <v>38482</v>
      </c>
      <c r="B133" s="202" t="s">
        <v>569</v>
      </c>
      <c r="C133" s="203">
        <v>15600</v>
      </c>
      <c r="D133" s="202">
        <v>6</v>
      </c>
      <c r="E133" s="202">
        <v>0</v>
      </c>
      <c r="F133" s="202">
        <v>7</v>
      </c>
      <c r="G133" s="204">
        <v>0</v>
      </c>
    </row>
    <row r="134" spans="1:7" s="200" customFormat="1" ht="23.25" customHeight="1" x14ac:dyDescent="0.25">
      <c r="A134" s="201">
        <v>38483</v>
      </c>
      <c r="B134" s="202" t="s">
        <v>570</v>
      </c>
      <c r="C134" s="203">
        <v>15500</v>
      </c>
      <c r="D134" s="202">
        <v>6</v>
      </c>
      <c r="E134" s="202">
        <v>0</v>
      </c>
      <c r="F134" s="202">
        <v>7</v>
      </c>
      <c r="G134" s="204">
        <v>0</v>
      </c>
    </row>
    <row r="135" spans="1:7" s="200" customFormat="1" ht="23.25" customHeight="1" x14ac:dyDescent="0.25">
      <c r="A135" s="201">
        <v>38484</v>
      </c>
      <c r="B135" s="202" t="s">
        <v>571</v>
      </c>
      <c r="C135" s="203">
        <v>15200</v>
      </c>
      <c r="D135" s="202">
        <v>7</v>
      </c>
      <c r="E135" s="202">
        <v>0</v>
      </c>
      <c r="F135" s="202">
        <v>7</v>
      </c>
      <c r="G135" s="204">
        <v>0</v>
      </c>
    </row>
    <row r="136" spans="1:7" s="200" customFormat="1" ht="23.25" customHeight="1" x14ac:dyDescent="0.25">
      <c r="A136" s="201">
        <v>38485</v>
      </c>
      <c r="B136" s="202" t="s">
        <v>572</v>
      </c>
      <c r="C136" s="203">
        <v>14900</v>
      </c>
      <c r="D136" s="202">
        <v>5</v>
      </c>
      <c r="E136" s="202">
        <v>0</v>
      </c>
      <c r="F136" s="202">
        <v>7</v>
      </c>
      <c r="G136" s="204">
        <v>0</v>
      </c>
    </row>
    <row r="137" spans="1:7" s="200" customFormat="1" ht="23.25" customHeight="1" x14ac:dyDescent="0.25">
      <c r="A137" s="201">
        <v>38486</v>
      </c>
      <c r="B137" s="202" t="s">
        <v>573</v>
      </c>
      <c r="C137" s="203">
        <v>14800</v>
      </c>
      <c r="D137" s="202">
        <v>0.4</v>
      </c>
      <c r="E137" s="202">
        <v>0</v>
      </c>
      <c r="F137" s="202">
        <v>7</v>
      </c>
      <c r="G137" s="204">
        <v>0</v>
      </c>
    </row>
    <row r="138" spans="1:7" s="200" customFormat="1" ht="23.25" customHeight="1" x14ac:dyDescent="0.25">
      <c r="A138" s="201">
        <v>38487</v>
      </c>
      <c r="B138" s="202" t="s">
        <v>574</v>
      </c>
      <c r="C138" s="203">
        <v>14600</v>
      </c>
      <c r="D138" s="202">
        <v>0.6</v>
      </c>
      <c r="E138" s="202">
        <v>0</v>
      </c>
      <c r="F138" s="202">
        <v>7</v>
      </c>
      <c r="G138" s="204">
        <v>0</v>
      </c>
    </row>
    <row r="139" spans="1:7" s="200" customFormat="1" ht="23.25" customHeight="1" x14ac:dyDescent="0.25">
      <c r="A139" s="201">
        <v>38488</v>
      </c>
      <c r="B139" s="202" t="s">
        <v>575</v>
      </c>
      <c r="C139" s="203">
        <v>14400</v>
      </c>
      <c r="D139" s="202">
        <v>0.6</v>
      </c>
      <c r="E139" s="202">
        <v>0</v>
      </c>
      <c r="F139" s="202">
        <v>7</v>
      </c>
      <c r="G139" s="204">
        <v>0</v>
      </c>
    </row>
    <row r="140" spans="1:7" s="200" customFormat="1" ht="23.25" customHeight="1" x14ac:dyDescent="0.25">
      <c r="A140" s="201">
        <v>38489</v>
      </c>
      <c r="B140" s="202" t="s">
        <v>576</v>
      </c>
      <c r="C140" s="203">
        <v>14250</v>
      </c>
      <c r="D140" s="202">
        <v>0</v>
      </c>
      <c r="E140" s="202">
        <v>0</v>
      </c>
      <c r="F140" s="202">
        <v>0</v>
      </c>
      <c r="G140" s="204">
        <v>0</v>
      </c>
    </row>
    <row r="141" spans="1:7" s="200" customFormat="1" ht="23.25" customHeight="1" x14ac:dyDescent="0.25">
      <c r="A141" s="201">
        <v>38490</v>
      </c>
      <c r="B141" s="202" t="s">
        <v>576</v>
      </c>
      <c r="C141" s="203">
        <v>14250</v>
      </c>
      <c r="D141" s="202">
        <v>0</v>
      </c>
      <c r="E141" s="202">
        <v>0</v>
      </c>
      <c r="F141" s="202">
        <v>0</v>
      </c>
      <c r="G141" s="204">
        <v>0</v>
      </c>
    </row>
    <row r="142" spans="1:7" s="200" customFormat="1" ht="23.25" customHeight="1" x14ac:dyDescent="0.25">
      <c r="A142" s="201">
        <v>38491</v>
      </c>
      <c r="B142" s="202" t="s">
        <v>576</v>
      </c>
      <c r="C142" s="203">
        <v>14250</v>
      </c>
      <c r="D142" s="202">
        <v>0.7</v>
      </c>
      <c r="E142" s="202">
        <v>0</v>
      </c>
      <c r="F142" s="202">
        <v>7</v>
      </c>
      <c r="G142" s="204">
        <v>0</v>
      </c>
    </row>
    <row r="143" spans="1:7" s="200" customFormat="1" ht="23.25" customHeight="1" x14ac:dyDescent="0.25">
      <c r="A143" s="201">
        <v>38492</v>
      </c>
      <c r="B143" s="202" t="s">
        <v>577</v>
      </c>
      <c r="C143" s="203">
        <v>14000</v>
      </c>
      <c r="D143" s="202">
        <v>0.7</v>
      </c>
      <c r="E143" s="202">
        <v>0</v>
      </c>
      <c r="F143" s="202">
        <v>7</v>
      </c>
      <c r="G143" s="204">
        <v>0</v>
      </c>
    </row>
    <row r="144" spans="1:7" s="200" customFormat="1" ht="23.25" customHeight="1" x14ac:dyDescent="0.25">
      <c r="A144" s="201">
        <v>38493</v>
      </c>
      <c r="B144" s="202" t="s">
        <v>578</v>
      </c>
      <c r="C144" s="203">
        <v>13800</v>
      </c>
      <c r="D144" s="202">
        <v>0.7</v>
      </c>
      <c r="E144" s="202">
        <v>0</v>
      </c>
      <c r="F144" s="202">
        <v>7</v>
      </c>
      <c r="G144" s="204">
        <v>0</v>
      </c>
    </row>
    <row r="145" spans="1:7" s="200" customFormat="1" ht="23.25" customHeight="1" x14ac:dyDescent="0.25">
      <c r="A145" s="201">
        <v>38494</v>
      </c>
      <c r="B145" s="202" t="s">
        <v>579</v>
      </c>
      <c r="C145" s="203">
        <v>13700</v>
      </c>
      <c r="D145" s="202">
        <v>0.7</v>
      </c>
      <c r="E145" s="202">
        <v>0</v>
      </c>
      <c r="F145" s="202">
        <v>7</v>
      </c>
      <c r="G145" s="204">
        <v>0</v>
      </c>
    </row>
    <row r="146" spans="1:7" s="200" customFormat="1" ht="23.25" customHeight="1" x14ac:dyDescent="0.25">
      <c r="A146" s="201">
        <v>38495</v>
      </c>
      <c r="B146" s="202" t="s">
        <v>580</v>
      </c>
      <c r="C146" s="203">
        <v>13500</v>
      </c>
      <c r="D146" s="202">
        <v>0.7</v>
      </c>
      <c r="E146" s="202">
        <v>0</v>
      </c>
      <c r="F146" s="202">
        <v>7</v>
      </c>
      <c r="G146" s="204">
        <v>0</v>
      </c>
    </row>
    <row r="147" spans="1:7" s="200" customFormat="1" ht="23.25" customHeight="1" x14ac:dyDescent="0.25">
      <c r="A147" s="201">
        <v>38496</v>
      </c>
      <c r="B147" s="202" t="s">
        <v>581</v>
      </c>
      <c r="C147" s="203">
        <v>13250</v>
      </c>
      <c r="D147" s="202">
        <v>0</v>
      </c>
      <c r="E147" s="202">
        <v>0</v>
      </c>
      <c r="F147" s="202">
        <v>0</v>
      </c>
      <c r="G147" s="204">
        <v>0</v>
      </c>
    </row>
    <row r="148" spans="1:7" s="200" customFormat="1" ht="23.25" customHeight="1" x14ac:dyDescent="0.25">
      <c r="A148" s="201">
        <v>38497</v>
      </c>
      <c r="B148" s="202" t="s">
        <v>581</v>
      </c>
      <c r="C148" s="203">
        <v>13250</v>
      </c>
      <c r="D148" s="202">
        <v>0</v>
      </c>
      <c r="E148" s="202">
        <v>0</v>
      </c>
      <c r="F148" s="202">
        <v>0</v>
      </c>
      <c r="G148" s="204">
        <v>0</v>
      </c>
    </row>
    <row r="149" spans="1:7" s="200" customFormat="1" ht="23.25" customHeight="1" x14ac:dyDescent="0.25">
      <c r="A149" s="201">
        <v>38498</v>
      </c>
      <c r="B149" s="202" t="s">
        <v>581</v>
      </c>
      <c r="C149" s="203">
        <v>13250</v>
      </c>
      <c r="D149" s="202">
        <v>0</v>
      </c>
      <c r="E149" s="202">
        <v>0</v>
      </c>
      <c r="F149" s="202">
        <v>0</v>
      </c>
      <c r="G149" s="204">
        <v>0</v>
      </c>
    </row>
    <row r="150" spans="1:7" s="200" customFormat="1" ht="23.25" customHeight="1" x14ac:dyDescent="0.25">
      <c r="A150" s="201">
        <v>38499</v>
      </c>
      <c r="B150" s="202" t="s">
        <v>386</v>
      </c>
      <c r="C150" s="203">
        <v>13000</v>
      </c>
      <c r="D150" s="202">
        <v>0</v>
      </c>
      <c r="E150" s="202">
        <v>0</v>
      </c>
      <c r="F150" s="202">
        <v>0</v>
      </c>
      <c r="G150" s="204">
        <v>0</v>
      </c>
    </row>
    <row r="151" spans="1:7" s="200" customFormat="1" ht="23.25" customHeight="1" x14ac:dyDescent="0.25">
      <c r="A151" s="201">
        <v>38500</v>
      </c>
      <c r="B151" s="202" t="s">
        <v>507</v>
      </c>
      <c r="C151" s="203">
        <v>12900</v>
      </c>
      <c r="D151" s="202">
        <v>0.7</v>
      </c>
      <c r="E151" s="202">
        <v>0</v>
      </c>
      <c r="F151" s="202">
        <v>7</v>
      </c>
      <c r="G151" s="204">
        <v>0</v>
      </c>
    </row>
    <row r="152" spans="1:7" s="200" customFormat="1" ht="23.25" customHeight="1" x14ac:dyDescent="0.25">
      <c r="A152" s="201">
        <v>38501</v>
      </c>
      <c r="B152" s="202" t="s">
        <v>387</v>
      </c>
      <c r="C152" s="203">
        <v>12800</v>
      </c>
      <c r="D152" s="202">
        <v>0.4</v>
      </c>
      <c r="E152" s="202">
        <v>0</v>
      </c>
      <c r="F152" s="202">
        <v>10</v>
      </c>
      <c r="G152" s="204">
        <v>0</v>
      </c>
    </row>
    <row r="153" spans="1:7" s="200" customFormat="1" ht="23.25" customHeight="1" x14ac:dyDescent="0.25">
      <c r="A153" s="201">
        <v>38502</v>
      </c>
      <c r="B153" s="202" t="s">
        <v>434</v>
      </c>
      <c r="C153" s="203">
        <v>12500</v>
      </c>
      <c r="D153" s="202">
        <v>0.9</v>
      </c>
      <c r="E153" s="202">
        <v>0</v>
      </c>
      <c r="F153" s="202">
        <v>10</v>
      </c>
      <c r="G153" s="204">
        <v>0</v>
      </c>
    </row>
    <row r="154" spans="1:7" s="200" customFormat="1" ht="23.25" customHeight="1" x14ac:dyDescent="0.25">
      <c r="A154" s="201">
        <v>38503</v>
      </c>
      <c r="B154" s="202" t="s">
        <v>526</v>
      </c>
      <c r="C154" s="203">
        <v>12400</v>
      </c>
      <c r="D154" s="202">
        <v>0.9</v>
      </c>
      <c r="E154" s="202">
        <v>0</v>
      </c>
      <c r="F154" s="202">
        <v>10</v>
      </c>
      <c r="G154" s="204">
        <v>0</v>
      </c>
    </row>
    <row r="155" spans="1:7" s="200" customFormat="1" ht="23.25" customHeight="1" x14ac:dyDescent="0.25">
      <c r="A155" s="201">
        <v>38504</v>
      </c>
      <c r="B155" s="202">
        <v>0</v>
      </c>
      <c r="C155" s="203">
        <v>0</v>
      </c>
      <c r="D155" s="202">
        <v>0</v>
      </c>
      <c r="E155" s="202">
        <v>0</v>
      </c>
      <c r="F155" s="202">
        <v>0</v>
      </c>
      <c r="G155" s="204">
        <v>0</v>
      </c>
    </row>
    <row r="156" spans="1:7" s="200" customFormat="1" ht="23.25" customHeight="1" x14ac:dyDescent="0.25">
      <c r="A156" s="201">
        <v>38505</v>
      </c>
      <c r="B156" s="202" t="s">
        <v>584</v>
      </c>
      <c r="C156" s="203">
        <v>12000</v>
      </c>
      <c r="D156" s="202">
        <v>0</v>
      </c>
      <c r="E156" s="202">
        <v>0</v>
      </c>
      <c r="F156" s="202">
        <v>0</v>
      </c>
      <c r="G156" s="204">
        <v>0</v>
      </c>
    </row>
    <row r="157" spans="1:7" s="200" customFormat="1" ht="23.25" customHeight="1" x14ac:dyDescent="0.25">
      <c r="A157" s="201">
        <v>38506</v>
      </c>
      <c r="B157" s="202" t="s">
        <v>584</v>
      </c>
      <c r="C157" s="203">
        <v>12000</v>
      </c>
      <c r="D157" s="202">
        <v>0</v>
      </c>
      <c r="E157" s="202">
        <v>0</v>
      </c>
      <c r="F157" s="202">
        <v>0</v>
      </c>
      <c r="G157" s="204">
        <v>0</v>
      </c>
    </row>
    <row r="158" spans="1:7" s="200" customFormat="1" ht="23.25" customHeight="1" x14ac:dyDescent="0.25">
      <c r="A158" s="201">
        <v>38507</v>
      </c>
      <c r="B158" s="202" t="s">
        <v>584</v>
      </c>
      <c r="C158" s="203">
        <v>12000</v>
      </c>
      <c r="D158" s="202">
        <v>0</v>
      </c>
      <c r="E158" s="202">
        <v>0</v>
      </c>
      <c r="F158" s="202">
        <v>0</v>
      </c>
      <c r="G158" s="204">
        <v>0</v>
      </c>
    </row>
    <row r="159" spans="1:7" s="200" customFormat="1" ht="23.25" customHeight="1" x14ac:dyDescent="0.25">
      <c r="A159" s="201">
        <v>38508</v>
      </c>
      <c r="B159" s="202" t="s">
        <v>584</v>
      </c>
      <c r="C159" s="203">
        <v>12000</v>
      </c>
      <c r="D159" s="202">
        <v>0</v>
      </c>
      <c r="E159" s="202">
        <v>0</v>
      </c>
      <c r="F159" s="202">
        <v>0</v>
      </c>
      <c r="G159" s="204">
        <v>0</v>
      </c>
    </row>
    <row r="160" spans="1:7" s="200" customFormat="1" ht="23.25" customHeight="1" x14ac:dyDescent="0.25">
      <c r="A160" s="201">
        <v>38509</v>
      </c>
      <c r="B160" s="202" t="s">
        <v>584</v>
      </c>
      <c r="C160" s="203">
        <v>12000</v>
      </c>
      <c r="D160" s="202">
        <v>0</v>
      </c>
      <c r="E160" s="202">
        <v>0</v>
      </c>
      <c r="F160" s="202">
        <v>0</v>
      </c>
      <c r="G160" s="204">
        <v>0</v>
      </c>
    </row>
    <row r="161" spans="1:7" s="200" customFormat="1" ht="23.25" customHeight="1" x14ac:dyDescent="0.25">
      <c r="A161" s="201">
        <v>38510</v>
      </c>
      <c r="B161" s="202" t="s">
        <v>585</v>
      </c>
      <c r="C161" s="203">
        <v>11800</v>
      </c>
      <c r="D161" s="202">
        <v>0</v>
      </c>
      <c r="E161" s="202">
        <v>0</v>
      </c>
      <c r="F161" s="202">
        <v>0</v>
      </c>
      <c r="G161" s="204">
        <v>0</v>
      </c>
    </row>
    <row r="162" spans="1:7" s="200" customFormat="1" ht="23.25" customHeight="1" x14ac:dyDescent="0.25">
      <c r="A162" s="201">
        <v>38511</v>
      </c>
      <c r="B162" s="202" t="s">
        <v>586</v>
      </c>
      <c r="C162" s="203">
        <v>11500</v>
      </c>
      <c r="D162" s="202">
        <v>10</v>
      </c>
      <c r="E162" s="202">
        <v>0</v>
      </c>
      <c r="F162" s="202">
        <v>11</v>
      </c>
      <c r="G162" s="204">
        <v>0</v>
      </c>
    </row>
    <row r="163" spans="1:7" s="200" customFormat="1" ht="23.25" customHeight="1" x14ac:dyDescent="0.25">
      <c r="A163" s="201">
        <v>38512</v>
      </c>
      <c r="B163" s="202" t="s">
        <v>587</v>
      </c>
      <c r="C163" s="203">
        <v>11300</v>
      </c>
      <c r="D163" s="202">
        <v>10</v>
      </c>
      <c r="E163" s="202">
        <v>0</v>
      </c>
      <c r="F163" s="202">
        <v>1</v>
      </c>
      <c r="G163" s="204">
        <v>0</v>
      </c>
    </row>
    <row r="164" spans="1:7" s="200" customFormat="1" ht="23.25" customHeight="1" x14ac:dyDescent="0.25">
      <c r="A164" s="201">
        <v>38513</v>
      </c>
      <c r="B164" s="202" t="s">
        <v>588</v>
      </c>
      <c r="C164" s="203">
        <v>11100</v>
      </c>
      <c r="D164" s="202">
        <v>10</v>
      </c>
      <c r="E164" s="202">
        <v>0</v>
      </c>
      <c r="F164" s="202">
        <v>1</v>
      </c>
      <c r="G164" s="204">
        <v>0</v>
      </c>
    </row>
    <row r="165" spans="1:7" s="200" customFormat="1" ht="23.25" customHeight="1" x14ac:dyDescent="0.25">
      <c r="A165" s="201">
        <v>38514</v>
      </c>
      <c r="B165" s="202" t="s">
        <v>9</v>
      </c>
      <c r="C165" s="203">
        <v>10700</v>
      </c>
      <c r="D165" s="202">
        <v>10</v>
      </c>
      <c r="E165" s="202">
        <v>0</v>
      </c>
      <c r="F165" s="202">
        <v>1</v>
      </c>
      <c r="G165" s="204">
        <v>0</v>
      </c>
    </row>
    <row r="166" spans="1:7" s="200" customFormat="1" ht="23.25" customHeight="1" x14ac:dyDescent="0.25">
      <c r="A166" s="201">
        <v>38515</v>
      </c>
      <c r="B166" s="202" t="s">
        <v>590</v>
      </c>
      <c r="C166" s="203">
        <v>10600</v>
      </c>
      <c r="D166" s="202">
        <v>10</v>
      </c>
      <c r="E166" s="202">
        <v>0</v>
      </c>
      <c r="F166" s="202">
        <v>1</v>
      </c>
      <c r="G166" s="204">
        <v>0</v>
      </c>
    </row>
    <row r="167" spans="1:7" s="200" customFormat="1" ht="23.25" customHeight="1" x14ac:dyDescent="0.25">
      <c r="A167" s="201">
        <v>38516</v>
      </c>
      <c r="B167" s="202" t="s">
        <v>591</v>
      </c>
      <c r="C167" s="203">
        <v>10300</v>
      </c>
      <c r="D167" s="202">
        <v>10</v>
      </c>
      <c r="E167" s="202">
        <v>0</v>
      </c>
      <c r="F167" s="202">
        <v>1</v>
      </c>
      <c r="G167" s="204">
        <v>0</v>
      </c>
    </row>
    <row r="168" spans="1:7" s="200" customFormat="1" ht="23.25" customHeight="1" x14ac:dyDescent="0.25">
      <c r="A168" s="201">
        <v>38517</v>
      </c>
      <c r="B168" s="202" t="s">
        <v>592</v>
      </c>
      <c r="C168" s="203">
        <v>10200</v>
      </c>
      <c r="D168" s="202">
        <v>0</v>
      </c>
      <c r="E168" s="202">
        <v>0</v>
      </c>
      <c r="F168" s="202">
        <v>0</v>
      </c>
      <c r="G168" s="204">
        <v>0</v>
      </c>
    </row>
    <row r="169" spans="1:7" s="200" customFormat="1" ht="23.25" customHeight="1" x14ac:dyDescent="0.25">
      <c r="A169" s="201">
        <v>38518</v>
      </c>
      <c r="B169" s="202" t="s">
        <v>592</v>
      </c>
      <c r="C169" s="203">
        <v>10200</v>
      </c>
      <c r="D169" s="202">
        <v>0</v>
      </c>
      <c r="E169" s="202">
        <v>0</v>
      </c>
      <c r="F169" s="202">
        <v>0</v>
      </c>
      <c r="G169" s="204">
        <v>0</v>
      </c>
    </row>
    <row r="170" spans="1:7" s="200" customFormat="1" ht="23.25" customHeight="1" x14ac:dyDescent="0.25">
      <c r="A170" s="201">
        <v>38519</v>
      </c>
      <c r="B170" s="202" t="s">
        <v>592</v>
      </c>
      <c r="C170" s="203">
        <v>10200</v>
      </c>
      <c r="D170" s="202">
        <v>0</v>
      </c>
      <c r="E170" s="202">
        <v>0</v>
      </c>
      <c r="F170" s="202">
        <v>0</v>
      </c>
      <c r="G170" s="204">
        <v>0</v>
      </c>
    </row>
    <row r="171" spans="1:7" s="200" customFormat="1" ht="23.25" customHeight="1" x14ac:dyDescent="0.25">
      <c r="A171" s="201">
        <v>38520</v>
      </c>
      <c r="B171" s="202" t="s">
        <v>592</v>
      </c>
      <c r="C171" s="203">
        <v>10200</v>
      </c>
      <c r="D171" s="202">
        <v>0</v>
      </c>
      <c r="E171" s="202">
        <v>0</v>
      </c>
      <c r="F171" s="202">
        <v>0</v>
      </c>
      <c r="G171" s="204">
        <v>0</v>
      </c>
    </row>
    <row r="172" spans="1:7" s="200" customFormat="1" ht="23.25" customHeight="1" x14ac:dyDescent="0.25">
      <c r="A172" s="201">
        <v>38521</v>
      </c>
      <c r="B172" s="202" t="s">
        <v>593</v>
      </c>
      <c r="C172" s="203">
        <v>10100</v>
      </c>
      <c r="D172" s="202">
        <v>0</v>
      </c>
      <c r="E172" s="202">
        <v>0</v>
      </c>
      <c r="F172" s="202">
        <v>0</v>
      </c>
      <c r="G172" s="204">
        <v>0</v>
      </c>
    </row>
    <row r="173" spans="1:7" s="200" customFormat="1" ht="23.25" customHeight="1" x14ac:dyDescent="0.25">
      <c r="A173" s="201">
        <v>38522</v>
      </c>
      <c r="B173" s="202" t="s">
        <v>594</v>
      </c>
      <c r="C173" s="203">
        <v>9900</v>
      </c>
      <c r="D173" s="202">
        <v>10</v>
      </c>
      <c r="E173" s="202">
        <v>0</v>
      </c>
      <c r="F173" s="202" t="s">
        <v>414</v>
      </c>
      <c r="G173" s="204">
        <v>0</v>
      </c>
    </row>
    <row r="174" spans="1:7" s="200" customFormat="1" ht="23.25" customHeight="1" x14ac:dyDescent="0.25">
      <c r="A174" s="201">
        <v>38523</v>
      </c>
      <c r="B174" s="202" t="s">
        <v>595</v>
      </c>
      <c r="C174" s="203">
        <v>9700</v>
      </c>
      <c r="D174" s="202">
        <v>10</v>
      </c>
      <c r="E174" s="202">
        <v>0</v>
      </c>
      <c r="F174" s="202" t="s">
        <v>414</v>
      </c>
      <c r="G174" s="204">
        <v>0</v>
      </c>
    </row>
    <row r="175" spans="1:7" s="200" customFormat="1" ht="23.25" customHeight="1" x14ac:dyDescent="0.25">
      <c r="A175" s="201">
        <v>38524</v>
      </c>
      <c r="B175" s="202" t="s">
        <v>62</v>
      </c>
      <c r="C175" s="203">
        <v>9600</v>
      </c>
      <c r="D175" s="202">
        <v>1</v>
      </c>
      <c r="E175" s="202">
        <v>0</v>
      </c>
      <c r="F175" s="202" t="s">
        <v>414</v>
      </c>
      <c r="G175" s="204">
        <v>0</v>
      </c>
    </row>
    <row r="176" spans="1:7" s="200" customFormat="1" ht="23.25" customHeight="1" x14ac:dyDescent="0.25">
      <c r="A176" s="201">
        <v>38525</v>
      </c>
      <c r="B176" s="202" t="s">
        <v>68</v>
      </c>
      <c r="C176" s="203">
        <v>9400</v>
      </c>
      <c r="D176" s="202">
        <v>1</v>
      </c>
      <c r="E176" s="202">
        <v>0</v>
      </c>
      <c r="F176" s="202" t="s">
        <v>414</v>
      </c>
      <c r="G176" s="204">
        <v>0</v>
      </c>
    </row>
    <row r="177" spans="1:7" s="200" customFormat="1" ht="23.25" customHeight="1" x14ac:dyDescent="0.25">
      <c r="A177" s="201">
        <v>38526</v>
      </c>
      <c r="B177" s="202" t="s">
        <v>70</v>
      </c>
      <c r="C177" s="203">
        <v>9300</v>
      </c>
      <c r="D177" s="202">
        <v>1</v>
      </c>
      <c r="E177" s="202">
        <v>0</v>
      </c>
      <c r="F177" s="202" t="s">
        <v>414</v>
      </c>
      <c r="G177" s="204">
        <v>0</v>
      </c>
    </row>
    <row r="178" spans="1:7" s="200" customFormat="1" ht="23.25" customHeight="1" x14ac:dyDescent="0.25">
      <c r="A178" s="201">
        <v>38527</v>
      </c>
      <c r="B178" s="202" t="s">
        <v>596</v>
      </c>
      <c r="C178" s="203">
        <v>9200</v>
      </c>
      <c r="D178" s="202">
        <v>9</v>
      </c>
      <c r="E178" s="202">
        <v>0</v>
      </c>
      <c r="F178" s="202" t="s">
        <v>414</v>
      </c>
      <c r="G178" s="204">
        <v>0</v>
      </c>
    </row>
    <row r="179" spans="1:7" s="200" customFormat="1" ht="23.25" customHeight="1" x14ac:dyDescent="0.25">
      <c r="A179" s="201">
        <v>38528</v>
      </c>
      <c r="B179" s="202" t="s">
        <v>76</v>
      </c>
      <c r="C179" s="203">
        <v>9100</v>
      </c>
      <c r="D179" s="202">
        <v>9</v>
      </c>
      <c r="E179" s="202">
        <v>0</v>
      </c>
      <c r="F179" s="202" t="s">
        <v>414</v>
      </c>
      <c r="G179" s="204">
        <v>0</v>
      </c>
    </row>
    <row r="180" spans="1:7" s="200" customFormat="1" ht="23.25" customHeight="1" x14ac:dyDescent="0.25">
      <c r="A180" s="201">
        <v>38529</v>
      </c>
      <c r="B180" s="202" t="s">
        <v>597</v>
      </c>
      <c r="C180" s="203">
        <v>9000</v>
      </c>
      <c r="D180" s="202">
        <v>0</v>
      </c>
      <c r="E180" s="202">
        <v>0</v>
      </c>
      <c r="F180" s="202" t="s">
        <v>736</v>
      </c>
      <c r="G180" s="204">
        <v>0</v>
      </c>
    </row>
    <row r="181" spans="1:7" s="200" customFormat="1" ht="23.25" customHeight="1" x14ac:dyDescent="0.25">
      <c r="A181" s="201">
        <v>38530</v>
      </c>
      <c r="B181" s="202" t="s">
        <v>597</v>
      </c>
      <c r="C181" s="203">
        <v>9000</v>
      </c>
      <c r="D181" s="202">
        <v>0</v>
      </c>
      <c r="E181" s="202">
        <v>0</v>
      </c>
      <c r="F181" s="202" t="s">
        <v>736</v>
      </c>
      <c r="G181" s="204">
        <v>0</v>
      </c>
    </row>
    <row r="182" spans="1:7" s="200" customFormat="1" ht="23.25" customHeight="1" x14ac:dyDescent="0.25">
      <c r="A182" s="201">
        <v>38531</v>
      </c>
      <c r="B182" s="202" t="s">
        <v>597</v>
      </c>
      <c r="C182" s="203">
        <v>9000</v>
      </c>
      <c r="D182" s="202">
        <v>0</v>
      </c>
      <c r="E182" s="202">
        <v>0</v>
      </c>
      <c r="F182" s="202" t="s">
        <v>736</v>
      </c>
      <c r="G182" s="204">
        <v>0</v>
      </c>
    </row>
    <row r="183" spans="1:7" s="200" customFormat="1" ht="23.25" customHeight="1" x14ac:dyDescent="0.25">
      <c r="A183" s="201">
        <v>38532</v>
      </c>
      <c r="B183" s="202" t="s">
        <v>5</v>
      </c>
      <c r="C183" s="203">
        <v>8900</v>
      </c>
      <c r="D183" s="202">
        <v>0</v>
      </c>
      <c r="E183" s="202">
        <v>0</v>
      </c>
      <c r="F183" s="202" t="s">
        <v>736</v>
      </c>
      <c r="G183" s="204">
        <v>0</v>
      </c>
    </row>
    <row r="184" spans="1:7" s="200" customFormat="1" ht="23.25" customHeight="1" x14ac:dyDescent="0.25">
      <c r="A184" s="201">
        <v>38533</v>
      </c>
      <c r="B184" s="202" t="s">
        <v>5</v>
      </c>
      <c r="C184" s="203">
        <v>8900</v>
      </c>
      <c r="D184" s="202">
        <v>0</v>
      </c>
      <c r="E184" s="202">
        <v>0</v>
      </c>
      <c r="F184" s="202" t="s">
        <v>736</v>
      </c>
      <c r="G184" s="204">
        <v>0</v>
      </c>
    </row>
    <row r="185" spans="1:7" s="200" customFormat="1" ht="23.25" customHeight="1" x14ac:dyDescent="0.25">
      <c r="A185" s="201">
        <v>38534</v>
      </c>
      <c r="B185" s="202" t="s">
        <v>5</v>
      </c>
      <c r="C185" s="203">
        <v>8900</v>
      </c>
      <c r="D185" s="202">
        <v>0</v>
      </c>
      <c r="E185" s="202">
        <v>0</v>
      </c>
      <c r="F185" s="202" t="s">
        <v>736</v>
      </c>
      <c r="G185" s="204">
        <v>0</v>
      </c>
    </row>
    <row r="186" spans="1:7" s="200" customFormat="1" ht="23.25" customHeight="1" x14ac:dyDescent="0.25">
      <c r="A186" s="201">
        <v>38535</v>
      </c>
      <c r="B186" s="202" t="s">
        <v>598</v>
      </c>
      <c r="C186" s="203">
        <v>8600</v>
      </c>
      <c r="D186" s="202" t="s">
        <v>414</v>
      </c>
      <c r="E186" s="202">
        <v>0</v>
      </c>
      <c r="F186" s="202" t="s">
        <v>415</v>
      </c>
      <c r="G186" s="204">
        <v>0</v>
      </c>
    </row>
    <row r="187" spans="1:7" s="200" customFormat="1" ht="23.25" customHeight="1" x14ac:dyDescent="0.25">
      <c r="A187" s="201">
        <v>38536</v>
      </c>
      <c r="B187" s="202" t="s">
        <v>599</v>
      </c>
      <c r="C187" s="203">
        <v>8400</v>
      </c>
      <c r="D187" s="202" t="s">
        <v>414</v>
      </c>
      <c r="E187" s="202">
        <v>0</v>
      </c>
      <c r="F187" s="202" t="s">
        <v>415</v>
      </c>
      <c r="G187" s="204">
        <v>0</v>
      </c>
    </row>
    <row r="188" spans="1:7" s="200" customFormat="1" ht="23.25" customHeight="1" x14ac:dyDescent="0.25">
      <c r="A188" s="201">
        <v>38537</v>
      </c>
      <c r="B188" s="202" t="s">
        <v>600</v>
      </c>
      <c r="C188" s="203">
        <v>8250</v>
      </c>
      <c r="D188" s="202" t="s">
        <v>414</v>
      </c>
      <c r="E188" s="202">
        <v>0</v>
      </c>
      <c r="F188" s="202" t="s">
        <v>415</v>
      </c>
      <c r="G188" s="204">
        <v>0</v>
      </c>
    </row>
    <row r="189" spans="1:7" s="200" customFormat="1" ht="23.25" customHeight="1" x14ac:dyDescent="0.25">
      <c r="A189" s="201">
        <v>38538</v>
      </c>
      <c r="B189" s="202" t="s">
        <v>601</v>
      </c>
      <c r="C189" s="203">
        <v>8100</v>
      </c>
      <c r="D189" s="202" t="s">
        <v>414</v>
      </c>
      <c r="E189" s="202">
        <v>0</v>
      </c>
      <c r="F189" s="202" t="s">
        <v>415</v>
      </c>
      <c r="G189" s="204">
        <v>0</v>
      </c>
    </row>
    <row r="190" spans="1:7" s="200" customFormat="1" ht="23.25" customHeight="1" x14ac:dyDescent="0.25">
      <c r="A190" s="201">
        <v>38539</v>
      </c>
      <c r="B190" s="202" t="s">
        <v>602</v>
      </c>
      <c r="C190" s="203">
        <v>7100</v>
      </c>
      <c r="D190" s="202" t="s">
        <v>414</v>
      </c>
      <c r="E190" s="202">
        <v>0</v>
      </c>
      <c r="F190" s="202" t="s">
        <v>415</v>
      </c>
      <c r="G190" s="204">
        <v>0</v>
      </c>
    </row>
    <row r="191" spans="1:7" s="200" customFormat="1" ht="23.25" customHeight="1" x14ac:dyDescent="0.25">
      <c r="A191" s="201">
        <v>38540</v>
      </c>
      <c r="B191" s="202" t="s">
        <v>603</v>
      </c>
      <c r="C191" s="203">
        <v>7300</v>
      </c>
      <c r="D191" s="202" t="s">
        <v>414</v>
      </c>
      <c r="E191" s="202">
        <v>0</v>
      </c>
      <c r="F191" s="202" t="s">
        <v>415</v>
      </c>
      <c r="G191" s="204">
        <v>0</v>
      </c>
    </row>
    <row r="192" spans="1:7" s="200" customFormat="1" ht="23.25" customHeight="1" x14ac:dyDescent="0.25">
      <c r="A192" s="201">
        <v>38541</v>
      </c>
      <c r="B192" s="202" t="s">
        <v>604</v>
      </c>
      <c r="C192" s="203">
        <v>7450</v>
      </c>
      <c r="D192" s="202" t="s">
        <v>414</v>
      </c>
      <c r="E192" s="202">
        <v>0</v>
      </c>
      <c r="F192" s="202" t="s">
        <v>415</v>
      </c>
      <c r="G192" s="204">
        <v>0</v>
      </c>
    </row>
    <row r="193" spans="1:7" s="200" customFormat="1" ht="23.25" customHeight="1" x14ac:dyDescent="0.25">
      <c r="A193" s="201">
        <v>38542</v>
      </c>
      <c r="B193" s="202" t="s">
        <v>605</v>
      </c>
      <c r="C193" s="203">
        <v>7400</v>
      </c>
      <c r="D193" s="202" t="s">
        <v>736</v>
      </c>
      <c r="E193" s="202">
        <v>0</v>
      </c>
      <c r="F193" s="202" t="s">
        <v>736</v>
      </c>
      <c r="G193" s="204">
        <v>0</v>
      </c>
    </row>
    <row r="194" spans="1:7" s="200" customFormat="1" ht="23.25" customHeight="1" x14ac:dyDescent="0.25">
      <c r="A194" s="201">
        <v>38543</v>
      </c>
      <c r="B194" s="202" t="s">
        <v>605</v>
      </c>
      <c r="C194" s="203">
        <v>7400</v>
      </c>
      <c r="D194" s="202" t="s">
        <v>736</v>
      </c>
      <c r="E194" s="202">
        <v>0</v>
      </c>
      <c r="F194" s="202" t="s">
        <v>736</v>
      </c>
      <c r="G194" s="204">
        <v>0</v>
      </c>
    </row>
    <row r="195" spans="1:7" s="200" customFormat="1" ht="23.25" customHeight="1" x14ac:dyDescent="0.25">
      <c r="A195" s="201">
        <v>38544</v>
      </c>
      <c r="B195" s="202" t="s">
        <v>605</v>
      </c>
      <c r="C195" s="203">
        <v>7400</v>
      </c>
      <c r="D195" s="202" t="s">
        <v>414</v>
      </c>
      <c r="E195" s="202">
        <v>0</v>
      </c>
      <c r="F195" s="202" t="s">
        <v>415</v>
      </c>
      <c r="G195" s="204">
        <v>0</v>
      </c>
    </row>
    <row r="196" spans="1:7" s="200" customFormat="1" ht="23.25" customHeight="1" x14ac:dyDescent="0.25">
      <c r="A196" s="201">
        <v>38545</v>
      </c>
      <c r="B196" s="202" t="s">
        <v>606</v>
      </c>
      <c r="C196" s="203">
        <v>7200</v>
      </c>
      <c r="D196" s="202" t="s">
        <v>415</v>
      </c>
      <c r="E196" s="202">
        <v>0</v>
      </c>
      <c r="F196" s="202" t="s">
        <v>416</v>
      </c>
      <c r="G196" s="204">
        <v>0</v>
      </c>
    </row>
    <row r="197" spans="1:7" s="200" customFormat="1" ht="23.25" customHeight="1" x14ac:dyDescent="0.25">
      <c r="A197" s="201">
        <v>38546</v>
      </c>
      <c r="B197" s="202" t="s">
        <v>607</v>
      </c>
      <c r="C197" s="203">
        <v>6950</v>
      </c>
      <c r="D197" s="202" t="s">
        <v>415</v>
      </c>
      <c r="E197" s="202">
        <v>0</v>
      </c>
      <c r="F197" s="202" t="s">
        <v>416</v>
      </c>
      <c r="G197" s="204">
        <v>0</v>
      </c>
    </row>
    <row r="198" spans="1:7" s="200" customFormat="1" ht="23.25" customHeight="1" x14ac:dyDescent="0.25">
      <c r="A198" s="201">
        <v>38547</v>
      </c>
      <c r="B198" s="202" t="s">
        <v>608</v>
      </c>
      <c r="C198" s="203">
        <v>6700</v>
      </c>
      <c r="D198" s="202" t="s">
        <v>415</v>
      </c>
      <c r="E198" s="202">
        <v>0</v>
      </c>
      <c r="F198" s="202" t="s">
        <v>416</v>
      </c>
      <c r="G198" s="204">
        <v>0</v>
      </c>
    </row>
    <row r="199" spans="1:7" s="200" customFormat="1" ht="23.25" customHeight="1" x14ac:dyDescent="0.25">
      <c r="A199" s="201">
        <v>38548</v>
      </c>
      <c r="B199" s="202" t="s">
        <v>609</v>
      </c>
      <c r="C199" s="203">
        <v>6500</v>
      </c>
      <c r="D199" s="202" t="s">
        <v>415</v>
      </c>
      <c r="E199" s="202">
        <v>0</v>
      </c>
      <c r="F199" s="202" t="s">
        <v>416</v>
      </c>
      <c r="G199" s="204">
        <v>0</v>
      </c>
    </row>
    <row r="200" spans="1:7" s="200" customFormat="1" ht="23.25" customHeight="1" x14ac:dyDescent="0.25">
      <c r="A200" s="201">
        <v>38549</v>
      </c>
      <c r="B200" s="202" t="s">
        <v>610</v>
      </c>
      <c r="C200" s="203">
        <v>6400</v>
      </c>
      <c r="D200" s="202" t="s">
        <v>736</v>
      </c>
      <c r="E200" s="202">
        <v>0</v>
      </c>
      <c r="F200" s="202" t="s">
        <v>736</v>
      </c>
      <c r="G200" s="204">
        <v>0</v>
      </c>
    </row>
    <row r="201" spans="1:7" s="200" customFormat="1" ht="23.25" customHeight="1" x14ac:dyDescent="0.25">
      <c r="A201" s="201">
        <v>38550</v>
      </c>
      <c r="B201" s="202" t="s">
        <v>610</v>
      </c>
      <c r="C201" s="203">
        <v>6400</v>
      </c>
      <c r="D201" s="202" t="s">
        <v>736</v>
      </c>
      <c r="E201" s="202">
        <v>0</v>
      </c>
      <c r="F201" s="202" t="s">
        <v>736</v>
      </c>
      <c r="G201" s="204">
        <v>0</v>
      </c>
    </row>
    <row r="202" spans="1:7" s="200" customFormat="1" ht="23.25" customHeight="1" x14ac:dyDescent="0.25">
      <c r="A202" s="201">
        <v>38551</v>
      </c>
      <c r="B202" s="202" t="s">
        <v>610</v>
      </c>
      <c r="C202" s="203">
        <v>6400</v>
      </c>
      <c r="D202" s="202" t="s">
        <v>736</v>
      </c>
      <c r="E202" s="202">
        <v>0</v>
      </c>
      <c r="F202" s="202" t="s">
        <v>736</v>
      </c>
      <c r="G202" s="204">
        <v>0</v>
      </c>
    </row>
    <row r="203" spans="1:7" s="200" customFormat="1" ht="23.25" customHeight="1" x14ac:dyDescent="0.25">
      <c r="A203" s="201">
        <v>38552</v>
      </c>
      <c r="B203" s="202" t="s">
        <v>610</v>
      </c>
      <c r="C203" s="203">
        <v>6400</v>
      </c>
      <c r="D203" s="202" t="s">
        <v>736</v>
      </c>
      <c r="E203" s="202">
        <v>0</v>
      </c>
      <c r="F203" s="202" t="s">
        <v>736</v>
      </c>
      <c r="G203" s="204">
        <v>0</v>
      </c>
    </row>
    <row r="204" spans="1:7" s="200" customFormat="1" ht="23.25" customHeight="1" x14ac:dyDescent="0.25">
      <c r="A204" s="201">
        <v>38553</v>
      </c>
      <c r="B204" s="202" t="s">
        <v>610</v>
      </c>
      <c r="C204" s="203">
        <v>6400</v>
      </c>
      <c r="D204" s="202" t="s">
        <v>736</v>
      </c>
      <c r="E204" s="202">
        <v>0</v>
      </c>
      <c r="F204" s="202" t="s">
        <v>736</v>
      </c>
      <c r="G204" s="204">
        <v>0</v>
      </c>
    </row>
    <row r="205" spans="1:7" s="200" customFormat="1" ht="23.25" customHeight="1" x14ac:dyDescent="0.25">
      <c r="A205" s="201">
        <v>38554</v>
      </c>
      <c r="B205" s="202" t="s">
        <v>610</v>
      </c>
      <c r="C205" s="203">
        <v>6400</v>
      </c>
      <c r="D205" s="202" t="s">
        <v>736</v>
      </c>
      <c r="E205" s="202">
        <v>0</v>
      </c>
      <c r="F205" s="202" t="s">
        <v>736</v>
      </c>
      <c r="G205" s="204">
        <v>0</v>
      </c>
    </row>
    <row r="206" spans="1:7" s="200" customFormat="1" ht="23.25" customHeight="1" x14ac:dyDescent="0.25">
      <c r="A206" s="201">
        <v>38555</v>
      </c>
      <c r="B206" s="202" t="s">
        <v>610</v>
      </c>
      <c r="C206" s="203">
        <v>6400</v>
      </c>
      <c r="D206" s="202" t="s">
        <v>736</v>
      </c>
      <c r="E206" s="202">
        <v>0</v>
      </c>
      <c r="F206" s="202" t="s">
        <v>736</v>
      </c>
      <c r="G206" s="204">
        <v>0</v>
      </c>
    </row>
    <row r="207" spans="1:7" s="200" customFormat="1" ht="23.25" customHeight="1" x14ac:dyDescent="0.25">
      <c r="A207" s="201">
        <v>38556</v>
      </c>
      <c r="B207" s="202" t="s">
        <v>610</v>
      </c>
      <c r="C207" s="203">
        <v>6400</v>
      </c>
      <c r="D207" s="202" t="s">
        <v>736</v>
      </c>
      <c r="E207" s="202">
        <v>0</v>
      </c>
      <c r="F207" s="202" t="s">
        <v>736</v>
      </c>
      <c r="G207" s="204">
        <v>0</v>
      </c>
    </row>
    <row r="208" spans="1:7" s="200" customFormat="1" ht="23.25" customHeight="1" x14ac:dyDescent="0.25">
      <c r="A208" s="201">
        <v>38557</v>
      </c>
      <c r="B208" s="202" t="s">
        <v>611</v>
      </c>
      <c r="C208" s="203">
        <v>6250</v>
      </c>
      <c r="D208" s="202" t="s">
        <v>416</v>
      </c>
      <c r="E208" s="202">
        <v>0</v>
      </c>
      <c r="F208" s="202" t="s">
        <v>427</v>
      </c>
      <c r="G208" s="204">
        <v>0</v>
      </c>
    </row>
    <row r="209" spans="1:7" s="200" customFormat="1" ht="23.25" customHeight="1" x14ac:dyDescent="0.25">
      <c r="A209" s="201">
        <v>38558</v>
      </c>
      <c r="B209" s="202" t="s">
        <v>612</v>
      </c>
      <c r="C209" s="203">
        <v>6200</v>
      </c>
      <c r="D209" s="202" t="s">
        <v>416</v>
      </c>
      <c r="E209" s="202">
        <v>0</v>
      </c>
      <c r="F209" s="202" t="s">
        <v>427</v>
      </c>
      <c r="G209" s="204">
        <v>0</v>
      </c>
    </row>
    <row r="210" spans="1:7" s="200" customFormat="1" ht="23.25" customHeight="1" x14ac:dyDescent="0.25">
      <c r="A210" s="201">
        <v>38559</v>
      </c>
      <c r="B210" s="202" t="s">
        <v>613</v>
      </c>
      <c r="C210" s="203">
        <v>6150</v>
      </c>
      <c r="D210" s="202" t="s">
        <v>415</v>
      </c>
      <c r="E210" s="202">
        <v>0</v>
      </c>
      <c r="F210" s="202" t="s">
        <v>427</v>
      </c>
      <c r="G210" s="204">
        <v>0</v>
      </c>
    </row>
    <row r="211" spans="1:7" s="200" customFormat="1" ht="23.25" customHeight="1" x14ac:dyDescent="0.25">
      <c r="A211" s="201">
        <v>38560</v>
      </c>
      <c r="B211" s="202" t="s">
        <v>614</v>
      </c>
      <c r="C211" s="203">
        <v>6100</v>
      </c>
      <c r="D211" s="202" t="s">
        <v>415</v>
      </c>
      <c r="E211" s="202">
        <v>0</v>
      </c>
      <c r="F211" s="202" t="s">
        <v>427</v>
      </c>
      <c r="G211" s="204">
        <v>0</v>
      </c>
    </row>
    <row r="212" spans="1:7" s="200" customFormat="1" ht="23.25" customHeight="1" x14ac:dyDescent="0.25">
      <c r="A212" s="201">
        <v>38561</v>
      </c>
      <c r="B212" s="202" t="s">
        <v>615</v>
      </c>
      <c r="C212" s="203">
        <v>5900</v>
      </c>
      <c r="D212" s="202" t="s">
        <v>415</v>
      </c>
      <c r="E212" s="202">
        <v>0</v>
      </c>
      <c r="F212" s="202" t="s">
        <v>427</v>
      </c>
      <c r="G212" s="204">
        <v>0</v>
      </c>
    </row>
    <row r="213" spans="1:7" s="200" customFormat="1" ht="23.25" customHeight="1" x14ac:dyDescent="0.25">
      <c r="A213" s="201">
        <v>38562</v>
      </c>
      <c r="B213" s="202" t="s">
        <v>616</v>
      </c>
      <c r="C213" s="203">
        <v>5800</v>
      </c>
      <c r="D213" s="202" t="s">
        <v>415</v>
      </c>
      <c r="E213" s="202">
        <v>0</v>
      </c>
      <c r="F213" s="202" t="s">
        <v>427</v>
      </c>
      <c r="G213" s="204">
        <v>0</v>
      </c>
    </row>
    <row r="214" spans="1:7" s="200" customFormat="1" ht="23.25" customHeight="1" x14ac:dyDescent="0.25">
      <c r="A214" s="201">
        <v>38563</v>
      </c>
      <c r="B214" s="202" t="s">
        <v>617</v>
      </c>
      <c r="C214" s="203">
        <v>5600</v>
      </c>
      <c r="D214" s="202" t="s">
        <v>415</v>
      </c>
      <c r="E214" s="202">
        <v>0</v>
      </c>
      <c r="F214" s="202" t="s">
        <v>427</v>
      </c>
      <c r="G214" s="204">
        <v>0</v>
      </c>
    </row>
    <row r="215" spans="1:7" s="200" customFormat="1" ht="23.25" customHeight="1" x14ac:dyDescent="0.25">
      <c r="A215" s="201">
        <v>38564</v>
      </c>
      <c r="B215" s="202" t="s">
        <v>618</v>
      </c>
      <c r="C215" s="203">
        <v>5400</v>
      </c>
      <c r="D215" s="202" t="s">
        <v>736</v>
      </c>
      <c r="E215" s="202">
        <v>0</v>
      </c>
      <c r="F215" s="202" t="s">
        <v>736</v>
      </c>
      <c r="G215" s="204">
        <v>0</v>
      </c>
    </row>
    <row r="216" spans="1:7" s="200" customFormat="1" ht="23.25" customHeight="1" x14ac:dyDescent="0.25">
      <c r="A216" s="201">
        <v>38565</v>
      </c>
      <c r="B216" s="202" t="s">
        <v>618</v>
      </c>
      <c r="C216" s="203">
        <v>5400</v>
      </c>
      <c r="D216" s="202" t="s">
        <v>736</v>
      </c>
      <c r="E216" s="202">
        <v>0</v>
      </c>
      <c r="F216" s="202" t="s">
        <v>736</v>
      </c>
      <c r="G216" s="204">
        <v>0</v>
      </c>
    </row>
    <row r="217" spans="1:7" s="200" customFormat="1" ht="23.25" customHeight="1" x14ac:dyDescent="0.25">
      <c r="A217" s="201">
        <v>38566</v>
      </c>
      <c r="B217" s="202" t="s">
        <v>618</v>
      </c>
      <c r="C217" s="203">
        <v>5400</v>
      </c>
      <c r="D217" s="202" t="s">
        <v>736</v>
      </c>
      <c r="E217" s="202" t="s">
        <v>736</v>
      </c>
      <c r="F217" s="202" t="s">
        <v>736</v>
      </c>
      <c r="G217" s="204" t="s">
        <v>736</v>
      </c>
    </row>
    <row r="218" spans="1:7" s="200" customFormat="1" ht="23.25" customHeight="1" x14ac:dyDescent="0.25">
      <c r="A218" s="201">
        <v>38567</v>
      </c>
      <c r="B218" s="202" t="s">
        <v>619</v>
      </c>
      <c r="C218" s="203">
        <v>5350</v>
      </c>
      <c r="D218" s="202" t="s">
        <v>736</v>
      </c>
      <c r="E218" s="202" t="s">
        <v>736</v>
      </c>
      <c r="F218" s="202" t="s">
        <v>736</v>
      </c>
      <c r="G218" s="204" t="s">
        <v>736</v>
      </c>
    </row>
    <row r="219" spans="1:7" s="200" customFormat="1" ht="23.25" customHeight="1" x14ac:dyDescent="0.25">
      <c r="A219" s="201">
        <v>38568</v>
      </c>
      <c r="B219" s="202" t="s">
        <v>620</v>
      </c>
      <c r="C219" s="203">
        <v>5200</v>
      </c>
      <c r="D219" s="202" t="s">
        <v>416</v>
      </c>
      <c r="E219" s="202" t="s">
        <v>736</v>
      </c>
      <c r="F219" s="202" t="s">
        <v>427</v>
      </c>
      <c r="G219" s="204" t="s">
        <v>736</v>
      </c>
    </row>
    <row r="220" spans="1:7" s="200" customFormat="1" ht="23.25" customHeight="1" x14ac:dyDescent="0.25">
      <c r="A220" s="201">
        <v>38569</v>
      </c>
      <c r="B220" s="202" t="s">
        <v>621</v>
      </c>
      <c r="C220" s="203">
        <v>5850</v>
      </c>
      <c r="D220" s="202" t="s">
        <v>416</v>
      </c>
      <c r="E220" s="202" t="s">
        <v>736</v>
      </c>
      <c r="F220" s="202" t="s">
        <v>427</v>
      </c>
      <c r="G220" s="204" t="s">
        <v>736</v>
      </c>
    </row>
    <row r="221" spans="1:7" s="200" customFormat="1" ht="23.25" customHeight="1" x14ac:dyDescent="0.25">
      <c r="A221" s="201">
        <v>38570</v>
      </c>
      <c r="B221" s="202" t="s">
        <v>617</v>
      </c>
      <c r="C221" s="203">
        <v>5600</v>
      </c>
      <c r="D221" s="202" t="s">
        <v>416</v>
      </c>
      <c r="E221" s="202" t="s">
        <v>736</v>
      </c>
      <c r="F221" s="202" t="s">
        <v>427</v>
      </c>
      <c r="G221" s="204" t="s">
        <v>736</v>
      </c>
    </row>
    <row r="222" spans="1:7" s="200" customFormat="1" ht="23.25" customHeight="1" x14ac:dyDescent="0.25">
      <c r="A222" s="201">
        <v>38571</v>
      </c>
      <c r="B222" s="202" t="s">
        <v>619</v>
      </c>
      <c r="C222" s="203">
        <v>5350</v>
      </c>
      <c r="D222" s="202" t="s">
        <v>416</v>
      </c>
      <c r="E222" s="202" t="s">
        <v>736</v>
      </c>
      <c r="F222" s="202" t="s">
        <v>427</v>
      </c>
      <c r="G222" s="204" t="s">
        <v>736</v>
      </c>
    </row>
    <row r="223" spans="1:7" s="200" customFormat="1" ht="23.25" customHeight="1" x14ac:dyDescent="0.25">
      <c r="A223" s="201">
        <v>38572</v>
      </c>
      <c r="B223" s="202" t="s">
        <v>620</v>
      </c>
      <c r="C223" s="203">
        <v>5050</v>
      </c>
      <c r="D223" s="202" t="s">
        <v>416</v>
      </c>
      <c r="E223" s="202" t="s">
        <v>736</v>
      </c>
      <c r="F223" s="202" t="s">
        <v>427</v>
      </c>
      <c r="G223" s="204" t="s">
        <v>736</v>
      </c>
    </row>
    <row r="224" spans="1:7" s="200" customFormat="1" ht="23.25" customHeight="1" x14ac:dyDescent="0.25">
      <c r="A224" s="201">
        <v>38573</v>
      </c>
      <c r="B224" s="202" t="s">
        <v>622</v>
      </c>
      <c r="C224" s="203">
        <v>4250</v>
      </c>
      <c r="D224" s="202" t="s">
        <v>416</v>
      </c>
      <c r="E224" s="202" t="s">
        <v>736</v>
      </c>
      <c r="F224" s="202" t="s">
        <v>427</v>
      </c>
      <c r="G224" s="204" t="s">
        <v>736</v>
      </c>
    </row>
    <row r="225" spans="1:7" s="200" customFormat="1" ht="23.25" customHeight="1" x14ac:dyDescent="0.25">
      <c r="A225" s="201">
        <v>38574</v>
      </c>
      <c r="B225" s="202" t="s">
        <v>736</v>
      </c>
      <c r="C225" s="203">
        <v>4250</v>
      </c>
      <c r="D225" s="202" t="s">
        <v>416</v>
      </c>
      <c r="E225" s="202" t="s">
        <v>736</v>
      </c>
      <c r="F225" s="202" t="s">
        <v>416</v>
      </c>
      <c r="G225" s="204" t="s">
        <v>736</v>
      </c>
    </row>
    <row r="226" spans="1:7" s="200" customFormat="1" ht="23.25" customHeight="1" x14ac:dyDescent="0.25">
      <c r="A226" s="201">
        <v>38575</v>
      </c>
      <c r="B226" s="202" t="s">
        <v>624</v>
      </c>
      <c r="C226" s="203">
        <v>3900</v>
      </c>
      <c r="D226" s="202" t="s">
        <v>416</v>
      </c>
      <c r="E226" s="202" t="s">
        <v>736</v>
      </c>
      <c r="F226" s="202" t="s">
        <v>416</v>
      </c>
      <c r="G226" s="204" t="s">
        <v>736</v>
      </c>
    </row>
    <row r="227" spans="1:7" s="200" customFormat="1" ht="23.25" customHeight="1" x14ac:dyDescent="0.25">
      <c r="A227" s="201">
        <v>38576</v>
      </c>
      <c r="B227" s="202" t="s">
        <v>625</v>
      </c>
      <c r="C227" s="203">
        <v>3750</v>
      </c>
      <c r="D227" s="202" t="s">
        <v>416</v>
      </c>
      <c r="E227" s="202" t="s">
        <v>736</v>
      </c>
      <c r="F227" s="202" t="s">
        <v>416</v>
      </c>
      <c r="G227" s="204" t="s">
        <v>736</v>
      </c>
    </row>
    <row r="228" spans="1:7" s="200" customFormat="1" ht="23.25" customHeight="1" x14ac:dyDescent="0.25">
      <c r="A228" s="201">
        <v>38577</v>
      </c>
      <c r="B228" s="202" t="s">
        <v>626</v>
      </c>
      <c r="C228" s="203">
        <v>3650</v>
      </c>
      <c r="D228" s="202" t="s">
        <v>416</v>
      </c>
      <c r="E228" s="202" t="s">
        <v>736</v>
      </c>
      <c r="F228" s="202" t="s">
        <v>416</v>
      </c>
      <c r="G228" s="204" t="s">
        <v>736</v>
      </c>
    </row>
    <row r="229" spans="1:7" s="200" customFormat="1" ht="23.25" customHeight="1" x14ac:dyDescent="0.25">
      <c r="A229" s="201">
        <v>38578</v>
      </c>
      <c r="B229" s="202" t="s">
        <v>627</v>
      </c>
      <c r="C229" s="203">
        <v>3550</v>
      </c>
      <c r="D229" s="202" t="s">
        <v>416</v>
      </c>
      <c r="E229" s="202" t="s">
        <v>736</v>
      </c>
      <c r="F229" s="202" t="s">
        <v>416</v>
      </c>
      <c r="G229" s="204" t="s">
        <v>736</v>
      </c>
    </row>
    <row r="230" spans="1:7" s="200" customFormat="1" ht="23.25" customHeight="1" x14ac:dyDescent="0.25">
      <c r="A230" s="201">
        <v>38579</v>
      </c>
      <c r="B230" s="202" t="s">
        <v>628</v>
      </c>
      <c r="C230" s="203">
        <v>3450</v>
      </c>
      <c r="D230" s="202" t="s">
        <v>416</v>
      </c>
      <c r="E230" s="202" t="s">
        <v>736</v>
      </c>
      <c r="F230" s="202" t="s">
        <v>416</v>
      </c>
      <c r="G230" s="204" t="s">
        <v>736</v>
      </c>
    </row>
    <row r="231" spans="1:7" s="200" customFormat="1" ht="23.25" customHeight="1" x14ac:dyDescent="0.25">
      <c r="A231" s="201">
        <v>38580</v>
      </c>
      <c r="B231" s="202" t="s">
        <v>629</v>
      </c>
      <c r="C231" s="203">
        <v>3300</v>
      </c>
      <c r="D231" s="202" t="s">
        <v>416</v>
      </c>
      <c r="E231" s="202" t="s">
        <v>736</v>
      </c>
      <c r="F231" s="202" t="s">
        <v>416</v>
      </c>
      <c r="G231" s="204" t="s">
        <v>736</v>
      </c>
    </row>
    <row r="232" spans="1:7" s="200" customFormat="1" ht="23.25" customHeight="1" x14ac:dyDescent="0.25">
      <c r="A232" s="201">
        <v>38581</v>
      </c>
      <c r="B232" s="202" t="s">
        <v>630</v>
      </c>
      <c r="C232" s="203">
        <v>3250</v>
      </c>
      <c r="D232" s="202" t="s">
        <v>416</v>
      </c>
      <c r="E232" s="202" t="s">
        <v>736</v>
      </c>
      <c r="F232" s="202" t="s">
        <v>416</v>
      </c>
      <c r="G232" s="204" t="s">
        <v>736</v>
      </c>
    </row>
    <row r="233" spans="1:7" s="200" customFormat="1" ht="23.25" customHeight="1" x14ac:dyDescent="0.25">
      <c r="A233" s="201">
        <v>38582</v>
      </c>
      <c r="B233" s="202" t="s">
        <v>631</v>
      </c>
      <c r="C233" s="203">
        <v>3200</v>
      </c>
      <c r="D233" s="202" t="s">
        <v>416</v>
      </c>
      <c r="E233" s="202" t="s">
        <v>736</v>
      </c>
      <c r="F233" s="202" t="s">
        <v>416</v>
      </c>
      <c r="G233" s="204" t="s">
        <v>736</v>
      </c>
    </row>
    <row r="234" spans="1:7" s="200" customFormat="1" ht="23.25" customHeight="1" x14ac:dyDescent="0.25">
      <c r="A234" s="201">
        <v>38583</v>
      </c>
      <c r="B234" s="202" t="s">
        <v>632</v>
      </c>
      <c r="C234" s="203">
        <v>3100</v>
      </c>
      <c r="D234" s="202" t="s">
        <v>416</v>
      </c>
      <c r="E234" s="202" t="s">
        <v>736</v>
      </c>
      <c r="F234" s="202" t="s">
        <v>416</v>
      </c>
      <c r="G234" s="204" t="s">
        <v>736</v>
      </c>
    </row>
    <row r="235" spans="1:7" s="200" customFormat="1" ht="23.25" customHeight="1" x14ac:dyDescent="0.25">
      <c r="A235" s="201">
        <v>38584</v>
      </c>
      <c r="B235" s="202" t="s">
        <v>633</v>
      </c>
      <c r="C235" s="203">
        <v>3000</v>
      </c>
      <c r="D235" s="202" t="s">
        <v>736</v>
      </c>
      <c r="E235" s="202" t="s">
        <v>736</v>
      </c>
      <c r="F235" s="202" t="s">
        <v>736</v>
      </c>
      <c r="G235" s="204" t="s">
        <v>736</v>
      </c>
    </row>
    <row r="236" spans="1:7" s="200" customFormat="1" ht="23.25" customHeight="1" x14ac:dyDescent="0.25">
      <c r="A236" s="201">
        <v>38585</v>
      </c>
      <c r="B236" s="202" t="s">
        <v>633</v>
      </c>
      <c r="C236" s="203">
        <v>3000</v>
      </c>
      <c r="D236" s="202" t="s">
        <v>736</v>
      </c>
      <c r="E236" s="202" t="s">
        <v>736</v>
      </c>
      <c r="F236" s="202" t="s">
        <v>736</v>
      </c>
      <c r="G236" s="204" t="s">
        <v>736</v>
      </c>
    </row>
    <row r="237" spans="1:7" s="200" customFormat="1" ht="23.25" customHeight="1" x14ac:dyDescent="0.25">
      <c r="A237" s="201">
        <v>38586</v>
      </c>
      <c r="B237" s="202" t="s">
        <v>633</v>
      </c>
      <c r="C237" s="203">
        <v>3000</v>
      </c>
      <c r="D237" s="202" t="s">
        <v>736</v>
      </c>
      <c r="E237" s="202" t="s">
        <v>736</v>
      </c>
      <c r="F237" s="202" t="s">
        <v>736</v>
      </c>
      <c r="G237" s="204" t="s">
        <v>736</v>
      </c>
    </row>
    <row r="238" spans="1:7" s="200" customFormat="1" ht="23.25" customHeight="1" x14ac:dyDescent="0.25">
      <c r="A238" s="201">
        <v>38587</v>
      </c>
      <c r="B238" s="202" t="s">
        <v>633</v>
      </c>
      <c r="C238" s="203">
        <v>3000</v>
      </c>
      <c r="D238" s="202" t="s">
        <v>736</v>
      </c>
      <c r="E238" s="202" t="s">
        <v>736</v>
      </c>
      <c r="F238" s="202" t="s">
        <v>736</v>
      </c>
      <c r="G238" s="204" t="s">
        <v>736</v>
      </c>
    </row>
    <row r="239" spans="1:7" s="200" customFormat="1" ht="23.25" customHeight="1" x14ac:dyDescent="0.25">
      <c r="A239" s="201">
        <v>38588</v>
      </c>
      <c r="B239" s="202" t="s">
        <v>633</v>
      </c>
      <c r="C239" s="203">
        <v>3000</v>
      </c>
      <c r="D239" s="202" t="s">
        <v>736</v>
      </c>
      <c r="E239" s="202" t="s">
        <v>736</v>
      </c>
      <c r="F239" s="202" t="s">
        <v>736</v>
      </c>
      <c r="G239" s="204" t="s">
        <v>736</v>
      </c>
    </row>
    <row r="240" spans="1:7" s="200" customFormat="1" ht="23.25" customHeight="1" x14ac:dyDescent="0.25">
      <c r="A240" s="201">
        <v>38589</v>
      </c>
      <c r="B240" s="202" t="s">
        <v>633</v>
      </c>
      <c r="C240" s="203">
        <v>3000</v>
      </c>
      <c r="D240" s="202" t="s">
        <v>736</v>
      </c>
      <c r="E240" s="202" t="s">
        <v>736</v>
      </c>
      <c r="F240" s="202" t="s">
        <v>736</v>
      </c>
      <c r="G240" s="204" t="s">
        <v>736</v>
      </c>
    </row>
    <row r="241" spans="1:7" s="200" customFormat="1" ht="23.25" customHeight="1" x14ac:dyDescent="0.25">
      <c r="A241" s="201">
        <v>38590</v>
      </c>
      <c r="B241" s="202" t="s">
        <v>633</v>
      </c>
      <c r="C241" s="203">
        <v>3000</v>
      </c>
      <c r="D241" s="202" t="s">
        <v>736</v>
      </c>
      <c r="E241" s="202" t="s">
        <v>736</v>
      </c>
      <c r="F241" s="202" t="s">
        <v>736</v>
      </c>
      <c r="G241" s="204" t="s">
        <v>736</v>
      </c>
    </row>
    <row r="242" spans="1:7" s="200" customFormat="1" ht="23.25" customHeight="1" x14ac:dyDescent="0.25">
      <c r="A242" s="201">
        <v>38591</v>
      </c>
      <c r="B242" s="202" t="s">
        <v>634</v>
      </c>
      <c r="C242" s="203">
        <v>2900</v>
      </c>
      <c r="D242" s="202" t="s">
        <v>736</v>
      </c>
      <c r="E242" s="202" t="s">
        <v>736</v>
      </c>
      <c r="F242" s="202" t="s">
        <v>736</v>
      </c>
      <c r="G242" s="204" t="s">
        <v>736</v>
      </c>
    </row>
    <row r="243" spans="1:7" s="200" customFormat="1" ht="23.25" customHeight="1" x14ac:dyDescent="0.25">
      <c r="A243" s="201">
        <v>38592</v>
      </c>
      <c r="B243" s="202" t="s">
        <v>635</v>
      </c>
      <c r="C243" s="203">
        <v>2900</v>
      </c>
      <c r="D243" s="202" t="s">
        <v>736</v>
      </c>
      <c r="E243" s="202" t="s">
        <v>736</v>
      </c>
      <c r="F243" s="202" t="s">
        <v>736</v>
      </c>
      <c r="G243" s="204" t="s">
        <v>736</v>
      </c>
    </row>
    <row r="244" spans="1:7" s="200" customFormat="1" ht="23.25" customHeight="1" x14ac:dyDescent="0.25">
      <c r="A244" s="201">
        <v>38593</v>
      </c>
      <c r="B244" s="202" t="s">
        <v>635</v>
      </c>
      <c r="C244" s="203">
        <v>2900</v>
      </c>
      <c r="D244" s="202" t="s">
        <v>736</v>
      </c>
      <c r="E244" s="202" t="s">
        <v>736</v>
      </c>
      <c r="F244" s="202" t="s">
        <v>736</v>
      </c>
      <c r="G244" s="204" t="s">
        <v>736</v>
      </c>
    </row>
    <row r="245" spans="1:7" s="200" customFormat="1" ht="23.25" customHeight="1" x14ac:dyDescent="0.25">
      <c r="A245" s="201">
        <v>38594</v>
      </c>
      <c r="B245" s="202" t="s">
        <v>635</v>
      </c>
      <c r="C245" s="203">
        <v>2900</v>
      </c>
      <c r="D245" s="202" t="s">
        <v>736</v>
      </c>
      <c r="E245" s="202" t="s">
        <v>736</v>
      </c>
      <c r="F245" s="202" t="s">
        <v>736</v>
      </c>
      <c r="G245" s="204" t="s">
        <v>736</v>
      </c>
    </row>
    <row r="246" spans="1:7" s="200" customFormat="1" ht="23.25" customHeight="1" x14ac:dyDescent="0.25">
      <c r="A246" s="201">
        <v>38595</v>
      </c>
      <c r="B246" s="202" t="s">
        <v>635</v>
      </c>
      <c r="C246" s="203">
        <v>2900</v>
      </c>
      <c r="D246" s="202" t="s">
        <v>736</v>
      </c>
      <c r="E246" s="202" t="s">
        <v>736</v>
      </c>
      <c r="F246" s="202" t="s">
        <v>736</v>
      </c>
      <c r="G246" s="204" t="s">
        <v>736</v>
      </c>
    </row>
    <row r="247" spans="1:7" s="200" customFormat="1" ht="23.25" customHeight="1" x14ac:dyDescent="0.25">
      <c r="A247" s="201">
        <v>38596</v>
      </c>
      <c r="B247" s="205" t="s">
        <v>736</v>
      </c>
      <c r="C247" s="205">
        <v>0</v>
      </c>
      <c r="D247" s="202" t="s">
        <v>736</v>
      </c>
      <c r="E247" s="202" t="s">
        <v>736</v>
      </c>
      <c r="F247" s="202" t="s">
        <v>736</v>
      </c>
      <c r="G247" s="204" t="s">
        <v>736</v>
      </c>
    </row>
    <row r="248" spans="1:7" s="200" customFormat="1" ht="23.25" customHeight="1" x14ac:dyDescent="0.25">
      <c r="A248" s="201">
        <v>38597</v>
      </c>
      <c r="B248" s="202" t="s">
        <v>635</v>
      </c>
      <c r="C248" s="203">
        <v>2900</v>
      </c>
      <c r="D248" s="202" t="s">
        <v>736</v>
      </c>
      <c r="E248" s="202" t="s">
        <v>736</v>
      </c>
      <c r="F248" s="202" t="s">
        <v>736</v>
      </c>
      <c r="G248" s="204" t="s">
        <v>736</v>
      </c>
    </row>
    <row r="249" spans="1:7" s="200" customFormat="1" ht="23.25" customHeight="1" x14ac:dyDescent="0.25">
      <c r="A249" s="201">
        <v>38598</v>
      </c>
      <c r="B249" s="202" t="s">
        <v>635</v>
      </c>
      <c r="C249" s="203">
        <v>2900</v>
      </c>
      <c r="D249" s="202" t="s">
        <v>736</v>
      </c>
      <c r="E249" s="202" t="s">
        <v>736</v>
      </c>
      <c r="F249" s="202" t="s">
        <v>736</v>
      </c>
      <c r="G249" s="204" t="s">
        <v>736</v>
      </c>
    </row>
    <row r="250" spans="1:7" s="200" customFormat="1" ht="23.25" customHeight="1" x14ac:dyDescent="0.25">
      <c r="A250" s="201">
        <v>38599</v>
      </c>
      <c r="B250" s="202" t="s">
        <v>635</v>
      </c>
      <c r="C250" s="203">
        <v>2900</v>
      </c>
      <c r="D250" s="202" t="s">
        <v>736</v>
      </c>
      <c r="E250" s="202" t="s">
        <v>736</v>
      </c>
      <c r="F250" s="202" t="s">
        <v>736</v>
      </c>
      <c r="G250" s="204" t="s">
        <v>736</v>
      </c>
    </row>
    <row r="251" spans="1:7" s="200" customFormat="1" ht="23.25" customHeight="1" x14ac:dyDescent="0.25">
      <c r="A251" s="201">
        <v>38600</v>
      </c>
      <c r="B251" s="202" t="s">
        <v>635</v>
      </c>
      <c r="C251" s="203">
        <v>2900</v>
      </c>
      <c r="D251" s="202" t="s">
        <v>736</v>
      </c>
      <c r="E251" s="202" t="s">
        <v>736</v>
      </c>
      <c r="F251" s="202" t="s">
        <v>736</v>
      </c>
      <c r="G251" s="204" t="s">
        <v>736</v>
      </c>
    </row>
    <row r="252" spans="1:7" s="200" customFormat="1" ht="23.25" customHeight="1" x14ac:dyDescent="0.25">
      <c r="A252" s="201">
        <v>38601</v>
      </c>
      <c r="B252" s="202" t="s">
        <v>635</v>
      </c>
      <c r="C252" s="203">
        <v>2900</v>
      </c>
      <c r="D252" s="202" t="s">
        <v>736</v>
      </c>
      <c r="E252" s="202" t="s">
        <v>736</v>
      </c>
      <c r="F252" s="202" t="s">
        <v>736</v>
      </c>
      <c r="G252" s="204" t="s">
        <v>736</v>
      </c>
    </row>
    <row r="253" spans="1:7" s="200" customFormat="1" ht="23.25" customHeight="1" x14ac:dyDescent="0.25">
      <c r="A253" s="201">
        <v>38602</v>
      </c>
      <c r="B253" s="202" t="s">
        <v>636</v>
      </c>
      <c r="C253" s="203">
        <v>2800</v>
      </c>
      <c r="D253" s="202" t="s">
        <v>736</v>
      </c>
      <c r="E253" s="202" t="s">
        <v>736</v>
      </c>
      <c r="F253" s="202" t="s">
        <v>736</v>
      </c>
      <c r="G253" s="204" t="s">
        <v>736</v>
      </c>
    </row>
    <row r="254" spans="1:7" s="200" customFormat="1" ht="23.25" customHeight="1" x14ac:dyDescent="0.25">
      <c r="A254" s="201">
        <v>38603</v>
      </c>
      <c r="B254" s="202" t="s">
        <v>636</v>
      </c>
      <c r="C254" s="203">
        <v>2800</v>
      </c>
      <c r="D254" s="202" t="s">
        <v>736</v>
      </c>
      <c r="E254" s="202" t="s">
        <v>736</v>
      </c>
      <c r="F254" s="202" t="s">
        <v>736</v>
      </c>
      <c r="G254" s="204" t="s">
        <v>736</v>
      </c>
    </row>
    <row r="255" spans="1:7" s="200" customFormat="1" ht="23.25" customHeight="1" x14ac:dyDescent="0.25">
      <c r="A255" s="201">
        <v>38604</v>
      </c>
      <c r="B255" s="202" t="s">
        <v>636</v>
      </c>
      <c r="C255" s="203">
        <v>2800</v>
      </c>
      <c r="D255" s="202" t="s">
        <v>736</v>
      </c>
      <c r="E255" s="202" t="s">
        <v>736</v>
      </c>
      <c r="F255" s="202" t="s">
        <v>736</v>
      </c>
      <c r="G255" s="204" t="s">
        <v>736</v>
      </c>
    </row>
    <row r="256" spans="1:7" s="200" customFormat="1" ht="23.25" customHeight="1" x14ac:dyDescent="0.25">
      <c r="A256" s="201">
        <v>38605</v>
      </c>
      <c r="B256" s="202" t="s">
        <v>636</v>
      </c>
      <c r="C256" s="203">
        <v>2800</v>
      </c>
      <c r="D256" s="202" t="s">
        <v>736</v>
      </c>
      <c r="E256" s="202" t="s">
        <v>736</v>
      </c>
      <c r="F256" s="202" t="s">
        <v>736</v>
      </c>
      <c r="G256" s="204" t="s">
        <v>736</v>
      </c>
    </row>
    <row r="257" spans="1:7" s="200" customFormat="1" ht="23.25" customHeight="1" x14ac:dyDescent="0.25">
      <c r="A257" s="201">
        <v>38606</v>
      </c>
      <c r="B257" s="202" t="s">
        <v>636</v>
      </c>
      <c r="C257" s="203">
        <v>2800</v>
      </c>
      <c r="D257" s="202" t="s">
        <v>736</v>
      </c>
      <c r="E257" s="202" t="s">
        <v>736</v>
      </c>
      <c r="F257" s="202" t="s">
        <v>736</v>
      </c>
      <c r="G257" s="204" t="s">
        <v>736</v>
      </c>
    </row>
    <row r="258" spans="1:7" s="200" customFormat="1" ht="23.25" customHeight="1" x14ac:dyDescent="0.25">
      <c r="A258" s="201">
        <v>38607</v>
      </c>
      <c r="B258" s="202" t="s">
        <v>636</v>
      </c>
      <c r="C258" s="203">
        <v>2800</v>
      </c>
      <c r="D258" s="202" t="s">
        <v>736</v>
      </c>
      <c r="E258" s="202" t="s">
        <v>736</v>
      </c>
      <c r="F258" s="202" t="s">
        <v>736</v>
      </c>
      <c r="G258" s="204" t="s">
        <v>736</v>
      </c>
    </row>
    <row r="259" spans="1:7" s="200" customFormat="1" ht="23.25" customHeight="1" x14ac:dyDescent="0.25">
      <c r="A259" s="201">
        <v>38608</v>
      </c>
      <c r="B259" s="202" t="s">
        <v>636</v>
      </c>
      <c r="C259" s="203">
        <v>2800</v>
      </c>
      <c r="D259" s="202" t="s">
        <v>736</v>
      </c>
      <c r="E259" s="202" t="s">
        <v>736</v>
      </c>
      <c r="F259" s="202" t="s">
        <v>736</v>
      </c>
      <c r="G259" s="204" t="s">
        <v>736</v>
      </c>
    </row>
    <row r="260" spans="1:7" s="200" customFormat="1" ht="23.25" customHeight="1" x14ac:dyDescent="0.25">
      <c r="A260" s="201">
        <v>38609</v>
      </c>
      <c r="B260" s="202" t="s">
        <v>636</v>
      </c>
      <c r="C260" s="203">
        <v>2800</v>
      </c>
      <c r="D260" s="202" t="s">
        <v>736</v>
      </c>
      <c r="E260" s="202" t="s">
        <v>736</v>
      </c>
      <c r="F260" s="202" t="s">
        <v>736</v>
      </c>
      <c r="G260" s="204" t="s">
        <v>736</v>
      </c>
    </row>
    <row r="261" spans="1:7" s="200" customFormat="1" ht="23.25" customHeight="1" x14ac:dyDescent="0.25">
      <c r="A261" s="201">
        <v>38610</v>
      </c>
      <c r="B261" s="202" t="s">
        <v>636</v>
      </c>
      <c r="C261" s="203">
        <v>2800</v>
      </c>
      <c r="D261" s="202" t="s">
        <v>736</v>
      </c>
      <c r="E261" s="202" t="s">
        <v>736</v>
      </c>
      <c r="F261" s="202" t="s">
        <v>736</v>
      </c>
      <c r="G261" s="204" t="s">
        <v>736</v>
      </c>
    </row>
    <row r="262" spans="1:7" s="200" customFormat="1" ht="23.25" customHeight="1" x14ac:dyDescent="0.25">
      <c r="A262" s="201">
        <v>38611</v>
      </c>
      <c r="B262" s="202" t="s">
        <v>636</v>
      </c>
      <c r="C262" s="203">
        <v>2800</v>
      </c>
      <c r="D262" s="202" t="s">
        <v>736</v>
      </c>
      <c r="E262" s="202" t="s">
        <v>736</v>
      </c>
      <c r="F262" s="202" t="s">
        <v>736</v>
      </c>
      <c r="G262" s="204" t="s">
        <v>736</v>
      </c>
    </row>
    <row r="263" spans="1:7" s="200" customFormat="1" ht="23.25" customHeight="1" x14ac:dyDescent="0.25">
      <c r="A263" s="201">
        <v>38612</v>
      </c>
      <c r="B263" s="202" t="s">
        <v>636</v>
      </c>
      <c r="C263" s="203">
        <v>2800</v>
      </c>
      <c r="D263" s="202" t="s">
        <v>736</v>
      </c>
      <c r="E263" s="202" t="s">
        <v>736</v>
      </c>
      <c r="F263" s="202" t="s">
        <v>736</v>
      </c>
      <c r="G263" s="204" t="s">
        <v>736</v>
      </c>
    </row>
    <row r="264" spans="1:7" s="200" customFormat="1" ht="23.25" customHeight="1" x14ac:dyDescent="0.25">
      <c r="A264" s="201">
        <v>38613</v>
      </c>
      <c r="B264" s="202" t="s">
        <v>636</v>
      </c>
      <c r="C264" s="203">
        <v>2800</v>
      </c>
      <c r="D264" s="202" t="s">
        <v>736</v>
      </c>
      <c r="E264" s="202" t="s">
        <v>736</v>
      </c>
      <c r="F264" s="202" t="s">
        <v>736</v>
      </c>
      <c r="G264" s="204" t="s">
        <v>736</v>
      </c>
    </row>
    <row r="265" spans="1:7" s="200" customFormat="1" ht="23.25" customHeight="1" x14ac:dyDescent="0.25">
      <c r="A265" s="201">
        <v>38614</v>
      </c>
      <c r="B265" s="202" t="s">
        <v>636</v>
      </c>
      <c r="C265" s="203">
        <v>2800</v>
      </c>
      <c r="D265" s="202" t="s">
        <v>736</v>
      </c>
      <c r="E265" s="202" t="s">
        <v>736</v>
      </c>
      <c r="F265" s="202" t="s">
        <v>736</v>
      </c>
      <c r="G265" s="204" t="s">
        <v>736</v>
      </c>
    </row>
    <row r="266" spans="1:7" s="200" customFormat="1" ht="23.25" customHeight="1" x14ac:dyDescent="0.25">
      <c r="A266" s="201">
        <v>38615</v>
      </c>
      <c r="B266" s="202" t="s">
        <v>636</v>
      </c>
      <c r="C266" s="203">
        <v>2800</v>
      </c>
      <c r="D266" s="202" t="s">
        <v>736</v>
      </c>
      <c r="E266" s="202" t="s">
        <v>736</v>
      </c>
      <c r="F266" s="202" t="s">
        <v>736</v>
      </c>
      <c r="G266" s="204" t="s">
        <v>736</v>
      </c>
    </row>
    <row r="267" spans="1:7" s="200" customFormat="1" ht="23.25" customHeight="1" x14ac:dyDescent="0.25">
      <c r="A267" s="201">
        <v>38616</v>
      </c>
      <c r="B267" s="202" t="s">
        <v>527</v>
      </c>
      <c r="C267" s="203">
        <v>2700</v>
      </c>
      <c r="D267" s="202" t="s">
        <v>736</v>
      </c>
      <c r="E267" s="202" t="s">
        <v>736</v>
      </c>
      <c r="F267" s="202" t="s">
        <v>736</v>
      </c>
      <c r="G267" s="204" t="s">
        <v>736</v>
      </c>
    </row>
    <row r="268" spans="1:7" s="200" customFormat="1" ht="23.25" customHeight="1" x14ac:dyDescent="0.25">
      <c r="A268" s="201">
        <v>38617</v>
      </c>
      <c r="B268" s="202" t="s">
        <v>527</v>
      </c>
      <c r="C268" s="203">
        <v>2700</v>
      </c>
      <c r="D268" s="202" t="s">
        <v>736</v>
      </c>
      <c r="E268" s="202" t="s">
        <v>736</v>
      </c>
      <c r="F268" s="202" t="s">
        <v>736</v>
      </c>
      <c r="G268" s="204" t="s">
        <v>736</v>
      </c>
    </row>
    <row r="269" spans="1:7" s="200" customFormat="1" ht="23.25" customHeight="1" x14ac:dyDescent="0.25">
      <c r="A269" s="201">
        <v>38618</v>
      </c>
      <c r="B269" s="202" t="s">
        <v>527</v>
      </c>
      <c r="C269" s="203">
        <v>2700</v>
      </c>
      <c r="D269" s="202" t="s">
        <v>736</v>
      </c>
      <c r="E269" s="202" t="s">
        <v>736</v>
      </c>
      <c r="F269" s="202" t="s">
        <v>736</v>
      </c>
      <c r="G269" s="204" t="s">
        <v>736</v>
      </c>
    </row>
    <row r="270" spans="1:7" s="200" customFormat="1" ht="23.25" customHeight="1" x14ac:dyDescent="0.25">
      <c r="A270" s="201">
        <v>38619</v>
      </c>
      <c r="B270" s="202" t="s">
        <v>527</v>
      </c>
      <c r="C270" s="203">
        <v>2700</v>
      </c>
      <c r="D270" s="202" t="s">
        <v>736</v>
      </c>
      <c r="E270" s="202" t="s">
        <v>736</v>
      </c>
      <c r="F270" s="202" t="s">
        <v>736</v>
      </c>
      <c r="G270" s="204" t="s">
        <v>736</v>
      </c>
    </row>
    <row r="271" spans="1:7" s="200" customFormat="1" ht="23.25" customHeight="1" x14ac:dyDescent="0.25">
      <c r="A271" s="201">
        <v>38620</v>
      </c>
      <c r="B271" s="202" t="s">
        <v>527</v>
      </c>
      <c r="C271" s="203">
        <v>2700</v>
      </c>
      <c r="D271" s="202" t="s">
        <v>736</v>
      </c>
      <c r="E271" s="202" t="s">
        <v>736</v>
      </c>
      <c r="F271" s="202" t="s">
        <v>736</v>
      </c>
      <c r="G271" s="204" t="s">
        <v>736</v>
      </c>
    </row>
    <row r="272" spans="1:7" s="200" customFormat="1" ht="23.25" customHeight="1" x14ac:dyDescent="0.25">
      <c r="A272" s="201">
        <v>38621</v>
      </c>
      <c r="B272" s="202" t="s">
        <v>527</v>
      </c>
      <c r="C272" s="203">
        <v>2700</v>
      </c>
      <c r="D272" s="202" t="s">
        <v>736</v>
      </c>
      <c r="E272" s="202" t="s">
        <v>736</v>
      </c>
      <c r="F272" s="202" t="s">
        <v>736</v>
      </c>
      <c r="G272" s="204" t="s">
        <v>736</v>
      </c>
    </row>
    <row r="273" spans="1:7" s="200" customFormat="1" ht="23.25" customHeight="1" x14ac:dyDescent="0.25">
      <c r="A273" s="201">
        <v>38622</v>
      </c>
      <c r="B273" s="202" t="s">
        <v>527</v>
      </c>
      <c r="C273" s="203">
        <v>2700</v>
      </c>
      <c r="D273" s="202" t="s">
        <v>736</v>
      </c>
      <c r="E273" s="202" t="s">
        <v>736</v>
      </c>
      <c r="F273" s="202" t="s">
        <v>736</v>
      </c>
      <c r="G273" s="204" t="s">
        <v>736</v>
      </c>
    </row>
    <row r="274" spans="1:7" s="200" customFormat="1" ht="23.25" customHeight="1" x14ac:dyDescent="0.25">
      <c r="A274" s="201">
        <v>38623</v>
      </c>
      <c r="B274" s="202" t="s">
        <v>527</v>
      </c>
      <c r="C274" s="203">
        <v>2700</v>
      </c>
      <c r="D274" s="202" t="s">
        <v>736</v>
      </c>
      <c r="E274" s="202" t="s">
        <v>736</v>
      </c>
      <c r="F274" s="202" t="s">
        <v>736</v>
      </c>
      <c r="G274" s="204" t="s">
        <v>736</v>
      </c>
    </row>
    <row r="275" spans="1:7" s="200" customFormat="1" ht="23.25" customHeight="1" x14ac:dyDescent="0.25">
      <c r="A275" s="201">
        <v>38624</v>
      </c>
      <c r="B275" s="202" t="s">
        <v>527</v>
      </c>
      <c r="C275" s="203">
        <v>2700</v>
      </c>
      <c r="D275" s="202" t="s">
        <v>736</v>
      </c>
      <c r="E275" s="202" t="s">
        <v>736</v>
      </c>
      <c r="F275" s="202" t="s">
        <v>736</v>
      </c>
      <c r="G275" s="204" t="s">
        <v>736</v>
      </c>
    </row>
    <row r="276" spans="1:7" s="200" customFormat="1" ht="23.25" customHeight="1" x14ac:dyDescent="0.25">
      <c r="A276" s="201">
        <v>38625</v>
      </c>
      <c r="B276" s="202" t="s">
        <v>527</v>
      </c>
      <c r="C276" s="203">
        <v>2700</v>
      </c>
      <c r="D276" s="202" t="s">
        <v>736</v>
      </c>
      <c r="E276" s="202" t="s">
        <v>736</v>
      </c>
      <c r="F276" s="202" t="s">
        <v>736</v>
      </c>
      <c r="G276" s="204" t="s">
        <v>736</v>
      </c>
    </row>
    <row r="277" spans="1:7" s="200" customFormat="1" ht="23.25" customHeight="1" x14ac:dyDescent="0.25">
      <c r="A277" s="201">
        <v>38626</v>
      </c>
      <c r="B277" s="202" t="s">
        <v>527</v>
      </c>
      <c r="C277" s="203">
        <v>2700</v>
      </c>
      <c r="D277" s="202" t="s">
        <v>736</v>
      </c>
      <c r="E277" s="202" t="s">
        <v>736</v>
      </c>
      <c r="F277" s="202" t="s">
        <v>736</v>
      </c>
      <c r="G277" s="204" t="s">
        <v>736</v>
      </c>
    </row>
    <row r="278" spans="1:7" s="200" customFormat="1" ht="23.25" customHeight="1" x14ac:dyDescent="0.25">
      <c r="A278" s="201">
        <v>38627</v>
      </c>
      <c r="B278" s="202" t="s">
        <v>431</v>
      </c>
      <c r="C278" s="203">
        <v>2300</v>
      </c>
      <c r="D278" s="202" t="s">
        <v>736</v>
      </c>
      <c r="E278" s="202" t="s">
        <v>736</v>
      </c>
      <c r="F278" s="202" t="s">
        <v>736</v>
      </c>
      <c r="G278" s="204" t="s">
        <v>736</v>
      </c>
    </row>
    <row r="279" spans="1:7" s="200" customFormat="1" ht="23.25" customHeight="1" x14ac:dyDescent="0.25">
      <c r="A279" s="201">
        <v>38628</v>
      </c>
      <c r="B279" s="202" t="s">
        <v>431</v>
      </c>
      <c r="C279" s="203">
        <v>2300</v>
      </c>
      <c r="D279" s="202" t="s">
        <v>736</v>
      </c>
      <c r="E279" s="202" t="s">
        <v>736</v>
      </c>
      <c r="F279" s="202" t="s">
        <v>736</v>
      </c>
      <c r="G279" s="204" t="s">
        <v>736</v>
      </c>
    </row>
    <row r="280" spans="1:7" s="200" customFormat="1" ht="23.25" customHeight="1" x14ac:dyDescent="0.25">
      <c r="A280" s="201">
        <v>38629</v>
      </c>
      <c r="B280" s="202" t="s">
        <v>431</v>
      </c>
      <c r="C280" s="203">
        <v>2300</v>
      </c>
      <c r="D280" s="202" t="s">
        <v>736</v>
      </c>
      <c r="E280" s="202" t="s">
        <v>736</v>
      </c>
      <c r="F280" s="202" t="s">
        <v>736</v>
      </c>
      <c r="G280" s="204" t="s">
        <v>736</v>
      </c>
    </row>
    <row r="281" spans="1:7" s="200" customFormat="1" ht="23.25" customHeight="1" x14ac:dyDescent="0.25">
      <c r="A281" s="201">
        <v>38630</v>
      </c>
      <c r="B281" s="202" t="s">
        <v>431</v>
      </c>
      <c r="C281" s="203">
        <v>2300</v>
      </c>
      <c r="D281" s="202" t="s">
        <v>736</v>
      </c>
      <c r="E281" s="202" t="s">
        <v>736</v>
      </c>
      <c r="F281" s="202" t="s">
        <v>736</v>
      </c>
      <c r="G281" s="204" t="s">
        <v>736</v>
      </c>
    </row>
    <row r="282" spans="1:7" s="200" customFormat="1" ht="23.25" customHeight="1" x14ac:dyDescent="0.25">
      <c r="A282" s="201">
        <v>38631</v>
      </c>
      <c r="B282" s="202" t="s">
        <v>431</v>
      </c>
      <c r="C282" s="203">
        <v>2300</v>
      </c>
      <c r="D282" s="202" t="s">
        <v>736</v>
      </c>
      <c r="E282" s="202" t="s">
        <v>736</v>
      </c>
      <c r="F282" s="202" t="s">
        <v>736</v>
      </c>
      <c r="G282" s="204" t="s">
        <v>736</v>
      </c>
    </row>
    <row r="283" spans="1:7" s="200" customFormat="1" ht="23.25" customHeight="1" x14ac:dyDescent="0.25">
      <c r="A283" s="201">
        <v>38632</v>
      </c>
      <c r="B283" s="202" t="s">
        <v>431</v>
      </c>
      <c r="C283" s="203">
        <v>2300</v>
      </c>
      <c r="D283" s="202" t="s">
        <v>736</v>
      </c>
      <c r="E283" s="202" t="s">
        <v>736</v>
      </c>
      <c r="F283" s="202" t="s">
        <v>736</v>
      </c>
      <c r="G283" s="204" t="s">
        <v>736</v>
      </c>
    </row>
    <row r="284" spans="1:7" s="200" customFormat="1" ht="23.25" customHeight="1" x14ac:dyDescent="0.25">
      <c r="A284" s="201">
        <v>38633</v>
      </c>
      <c r="B284" s="202" t="s">
        <v>431</v>
      </c>
      <c r="C284" s="203">
        <v>2300</v>
      </c>
      <c r="D284" s="202" t="s">
        <v>736</v>
      </c>
      <c r="E284" s="202" t="s">
        <v>736</v>
      </c>
      <c r="F284" s="202" t="s">
        <v>736</v>
      </c>
      <c r="G284" s="204" t="s">
        <v>736</v>
      </c>
    </row>
    <row r="285" spans="1:7" s="200" customFormat="1" ht="23.25" customHeight="1" x14ac:dyDescent="0.25">
      <c r="A285" s="201">
        <v>38634</v>
      </c>
      <c r="B285" s="202" t="s">
        <v>431</v>
      </c>
      <c r="C285" s="203">
        <v>2300</v>
      </c>
      <c r="D285" s="202" t="s">
        <v>736</v>
      </c>
      <c r="E285" s="202" t="s">
        <v>736</v>
      </c>
      <c r="F285" s="202" t="s">
        <v>736</v>
      </c>
      <c r="G285" s="204" t="s">
        <v>736</v>
      </c>
    </row>
    <row r="286" spans="1:7" s="200" customFormat="1" ht="23.25" customHeight="1" x14ac:dyDescent="0.25">
      <c r="A286" s="201">
        <v>38635</v>
      </c>
      <c r="B286" s="202" t="s">
        <v>431</v>
      </c>
      <c r="C286" s="203">
        <v>2300</v>
      </c>
      <c r="D286" s="202" t="s">
        <v>736</v>
      </c>
      <c r="E286" s="202" t="s">
        <v>736</v>
      </c>
      <c r="F286" s="202" t="s">
        <v>736</v>
      </c>
      <c r="G286" s="204" t="s">
        <v>736</v>
      </c>
    </row>
    <row r="287" spans="1:7" s="200" customFormat="1" ht="23.25" customHeight="1" x14ac:dyDescent="0.25">
      <c r="A287" s="201">
        <v>38636</v>
      </c>
      <c r="B287" s="202" t="s">
        <v>431</v>
      </c>
      <c r="C287" s="203">
        <v>2300</v>
      </c>
      <c r="D287" s="202" t="s">
        <v>736</v>
      </c>
      <c r="E287" s="202" t="s">
        <v>736</v>
      </c>
      <c r="F287" s="202" t="s">
        <v>736</v>
      </c>
      <c r="G287" s="204" t="s">
        <v>736</v>
      </c>
    </row>
    <row r="288" spans="1:7" s="200" customFormat="1" ht="23.25" customHeight="1" x14ac:dyDescent="0.25">
      <c r="A288" s="201">
        <v>38637</v>
      </c>
      <c r="B288" s="202" t="s">
        <v>431</v>
      </c>
      <c r="C288" s="203">
        <v>2300</v>
      </c>
      <c r="D288" s="202" t="s">
        <v>736</v>
      </c>
      <c r="E288" s="202" t="s">
        <v>736</v>
      </c>
      <c r="F288" s="202" t="s">
        <v>736</v>
      </c>
      <c r="G288" s="204" t="s">
        <v>736</v>
      </c>
    </row>
    <row r="289" spans="1:7" s="200" customFormat="1" ht="23.25" customHeight="1" x14ac:dyDescent="0.25">
      <c r="A289" s="201">
        <v>38638</v>
      </c>
      <c r="B289" s="202" t="s">
        <v>431</v>
      </c>
      <c r="C289" s="203">
        <v>2300</v>
      </c>
      <c r="D289" s="202" t="s">
        <v>736</v>
      </c>
      <c r="E289" s="202" t="s">
        <v>736</v>
      </c>
      <c r="F289" s="202" t="s">
        <v>736</v>
      </c>
      <c r="G289" s="204" t="s">
        <v>736</v>
      </c>
    </row>
    <row r="290" spans="1:7" s="200" customFormat="1" ht="23.25" customHeight="1" x14ac:dyDescent="0.25">
      <c r="A290" s="201">
        <v>38639</v>
      </c>
      <c r="B290" s="202" t="s">
        <v>431</v>
      </c>
      <c r="C290" s="203">
        <v>2300</v>
      </c>
      <c r="D290" s="202" t="s">
        <v>736</v>
      </c>
      <c r="E290" s="202" t="s">
        <v>736</v>
      </c>
      <c r="F290" s="202" t="s">
        <v>736</v>
      </c>
      <c r="G290" s="204" t="s">
        <v>736</v>
      </c>
    </row>
    <row r="291" spans="1:7" s="200" customFormat="1" ht="23.25" customHeight="1" x14ac:dyDescent="0.25">
      <c r="A291" s="201">
        <v>38640</v>
      </c>
      <c r="B291" s="202" t="s">
        <v>633</v>
      </c>
      <c r="C291" s="203">
        <v>3000</v>
      </c>
      <c r="D291" s="202" t="s">
        <v>736</v>
      </c>
      <c r="E291" s="202" t="s">
        <v>736</v>
      </c>
      <c r="F291" s="202" t="s">
        <v>736</v>
      </c>
      <c r="G291" s="204" t="s">
        <v>736</v>
      </c>
    </row>
    <row r="292" spans="1:7" s="200" customFormat="1" ht="23.25" customHeight="1" x14ac:dyDescent="0.25">
      <c r="A292" s="201">
        <v>38641</v>
      </c>
      <c r="B292" s="202" t="s">
        <v>633</v>
      </c>
      <c r="C292" s="203">
        <v>3000</v>
      </c>
      <c r="D292" s="202" t="s">
        <v>736</v>
      </c>
      <c r="E292" s="202" t="s">
        <v>736</v>
      </c>
      <c r="F292" s="202" t="s">
        <v>736</v>
      </c>
      <c r="G292" s="204" t="s">
        <v>736</v>
      </c>
    </row>
    <row r="293" spans="1:7" s="200" customFormat="1" ht="23.25" customHeight="1" x14ac:dyDescent="0.25">
      <c r="A293" s="201">
        <v>38642</v>
      </c>
      <c r="B293" s="202" t="s">
        <v>633</v>
      </c>
      <c r="C293" s="203">
        <v>3000</v>
      </c>
      <c r="D293" s="202" t="s">
        <v>736</v>
      </c>
      <c r="E293" s="202" t="s">
        <v>736</v>
      </c>
      <c r="F293" s="202" t="s">
        <v>736</v>
      </c>
      <c r="G293" s="204" t="s">
        <v>736</v>
      </c>
    </row>
    <row r="294" spans="1:7" s="200" customFormat="1" ht="23.25" customHeight="1" x14ac:dyDescent="0.25">
      <c r="A294" s="201">
        <v>38643</v>
      </c>
      <c r="B294" s="202" t="s">
        <v>633</v>
      </c>
      <c r="C294" s="203">
        <v>3000</v>
      </c>
      <c r="D294" s="202" t="s">
        <v>736</v>
      </c>
      <c r="E294" s="202" t="s">
        <v>736</v>
      </c>
      <c r="F294" s="202" t="s">
        <v>736</v>
      </c>
      <c r="G294" s="204" t="s">
        <v>736</v>
      </c>
    </row>
    <row r="295" spans="1:7" s="200" customFormat="1" ht="23.25" customHeight="1" x14ac:dyDescent="0.25">
      <c r="A295" s="201">
        <v>38644</v>
      </c>
      <c r="B295" s="202" t="s">
        <v>633</v>
      </c>
      <c r="C295" s="203">
        <v>3000</v>
      </c>
      <c r="D295" s="202" t="s">
        <v>736</v>
      </c>
      <c r="E295" s="202" t="s">
        <v>736</v>
      </c>
      <c r="F295" s="202" t="s">
        <v>736</v>
      </c>
      <c r="G295" s="204" t="s">
        <v>736</v>
      </c>
    </row>
    <row r="296" spans="1:7" s="200" customFormat="1" ht="23.25" customHeight="1" x14ac:dyDescent="0.25">
      <c r="A296" s="201">
        <v>38645</v>
      </c>
      <c r="B296" s="202" t="s">
        <v>633</v>
      </c>
      <c r="C296" s="203">
        <v>3000</v>
      </c>
      <c r="D296" s="202" t="s">
        <v>736</v>
      </c>
      <c r="E296" s="202" t="s">
        <v>736</v>
      </c>
      <c r="F296" s="202" t="s">
        <v>736</v>
      </c>
      <c r="G296" s="204" t="s">
        <v>736</v>
      </c>
    </row>
    <row r="297" spans="1:7" s="200" customFormat="1" ht="23.25" customHeight="1" x14ac:dyDescent="0.25">
      <c r="A297" s="201">
        <v>38646</v>
      </c>
      <c r="B297" s="202" t="s">
        <v>633</v>
      </c>
      <c r="C297" s="203">
        <v>3000</v>
      </c>
      <c r="D297" s="202" t="s">
        <v>736</v>
      </c>
      <c r="E297" s="202" t="s">
        <v>736</v>
      </c>
      <c r="F297" s="202" t="s">
        <v>736</v>
      </c>
      <c r="G297" s="204" t="s">
        <v>736</v>
      </c>
    </row>
    <row r="298" spans="1:7" s="200" customFormat="1" ht="23.25" customHeight="1" x14ac:dyDescent="0.25">
      <c r="A298" s="201">
        <v>38647</v>
      </c>
      <c r="B298" s="202" t="s">
        <v>633</v>
      </c>
      <c r="C298" s="203">
        <v>3000</v>
      </c>
      <c r="D298" s="202" t="s">
        <v>736</v>
      </c>
      <c r="E298" s="202" t="s">
        <v>736</v>
      </c>
      <c r="F298" s="202" t="s">
        <v>736</v>
      </c>
      <c r="G298" s="204" t="s">
        <v>736</v>
      </c>
    </row>
    <row r="299" spans="1:7" s="200" customFormat="1" ht="23.25" customHeight="1" x14ac:dyDescent="0.25">
      <c r="A299" s="201">
        <v>38648</v>
      </c>
      <c r="B299" s="202" t="s">
        <v>632</v>
      </c>
      <c r="C299" s="203">
        <v>3100</v>
      </c>
      <c r="D299" s="202" t="s">
        <v>736</v>
      </c>
      <c r="E299" s="202" t="s">
        <v>736</v>
      </c>
      <c r="F299" s="202" t="s">
        <v>736</v>
      </c>
      <c r="G299" s="204" t="s">
        <v>736</v>
      </c>
    </row>
    <row r="300" spans="1:7" s="200" customFormat="1" ht="23.25" customHeight="1" x14ac:dyDescent="0.25">
      <c r="A300" s="201">
        <v>38649</v>
      </c>
      <c r="B300" s="202" t="s">
        <v>632</v>
      </c>
      <c r="C300" s="203">
        <v>3100</v>
      </c>
      <c r="D300" s="202" t="s">
        <v>736</v>
      </c>
      <c r="E300" s="202" t="s">
        <v>736</v>
      </c>
      <c r="F300" s="202" t="s">
        <v>736</v>
      </c>
      <c r="G300" s="204" t="s">
        <v>736</v>
      </c>
    </row>
    <row r="301" spans="1:7" s="200" customFormat="1" ht="23.25" customHeight="1" x14ac:dyDescent="0.25">
      <c r="A301" s="201">
        <v>38650</v>
      </c>
      <c r="B301" s="202" t="s">
        <v>632</v>
      </c>
      <c r="C301" s="203">
        <v>3100</v>
      </c>
      <c r="D301" s="202" t="s">
        <v>736</v>
      </c>
      <c r="E301" s="202" t="s">
        <v>736</v>
      </c>
      <c r="F301" s="202" t="s">
        <v>736</v>
      </c>
      <c r="G301" s="204" t="s">
        <v>736</v>
      </c>
    </row>
    <row r="302" spans="1:7" s="200" customFormat="1" ht="23.25" customHeight="1" x14ac:dyDescent="0.25">
      <c r="A302" s="201">
        <v>38651</v>
      </c>
      <c r="B302" s="202" t="s">
        <v>631</v>
      </c>
      <c r="C302" s="203">
        <v>3200</v>
      </c>
      <c r="D302" s="202" t="s">
        <v>736</v>
      </c>
      <c r="E302" s="202" t="s">
        <v>736</v>
      </c>
      <c r="F302" s="202" t="s">
        <v>736</v>
      </c>
      <c r="G302" s="204" t="s">
        <v>736</v>
      </c>
    </row>
    <row r="303" spans="1:7" s="200" customFormat="1" ht="23.25" customHeight="1" x14ac:dyDescent="0.25">
      <c r="A303" s="201">
        <v>38652</v>
      </c>
      <c r="B303" s="202" t="s">
        <v>630</v>
      </c>
      <c r="C303" s="203">
        <v>3250</v>
      </c>
      <c r="D303" s="202" t="s">
        <v>736</v>
      </c>
      <c r="E303" s="202" t="s">
        <v>736</v>
      </c>
      <c r="F303" s="202" t="s">
        <v>736</v>
      </c>
      <c r="G303" s="204" t="s">
        <v>736</v>
      </c>
    </row>
    <row r="304" spans="1:7" s="200" customFormat="1" ht="23.25" customHeight="1" x14ac:dyDescent="0.25">
      <c r="A304" s="201">
        <v>38653</v>
      </c>
      <c r="B304" s="202" t="s">
        <v>630</v>
      </c>
      <c r="C304" s="203">
        <v>3250</v>
      </c>
      <c r="D304" s="202" t="s">
        <v>736</v>
      </c>
      <c r="E304" s="202" t="s">
        <v>736</v>
      </c>
      <c r="F304" s="202" t="s">
        <v>736</v>
      </c>
      <c r="G304" s="204" t="s">
        <v>736</v>
      </c>
    </row>
    <row r="305" spans="1:7" s="200" customFormat="1" ht="23.25" customHeight="1" x14ac:dyDescent="0.25">
      <c r="A305" s="201">
        <v>38654</v>
      </c>
      <c r="B305" s="202" t="s">
        <v>630</v>
      </c>
      <c r="C305" s="203">
        <v>3250</v>
      </c>
      <c r="D305" s="202" t="s">
        <v>736</v>
      </c>
      <c r="E305" s="202" t="s">
        <v>736</v>
      </c>
      <c r="F305" s="202" t="s">
        <v>736</v>
      </c>
      <c r="G305" s="204" t="s">
        <v>736</v>
      </c>
    </row>
    <row r="306" spans="1:7" s="200" customFormat="1" ht="23.25" customHeight="1" x14ac:dyDescent="0.25">
      <c r="A306" s="201">
        <v>38655</v>
      </c>
      <c r="B306" s="205" t="s">
        <v>417</v>
      </c>
      <c r="C306" s="206">
        <v>3250</v>
      </c>
      <c r="D306" s="202" t="s">
        <v>736</v>
      </c>
      <c r="E306" s="202" t="s">
        <v>736</v>
      </c>
      <c r="F306" s="202" t="s">
        <v>736</v>
      </c>
      <c r="G306" s="204" t="s">
        <v>736</v>
      </c>
    </row>
    <row r="307" spans="1:7" s="200" customFormat="1" ht="23.25" customHeight="1" x14ac:dyDescent="0.25">
      <c r="A307" s="201">
        <v>38656</v>
      </c>
      <c r="B307" s="205" t="s">
        <v>417</v>
      </c>
      <c r="C307" s="205">
        <v>3250</v>
      </c>
      <c r="D307" s="202" t="s">
        <v>736</v>
      </c>
      <c r="E307" s="202" t="s">
        <v>736</v>
      </c>
      <c r="F307" s="202" t="s">
        <v>736</v>
      </c>
      <c r="G307" s="204" t="s">
        <v>736</v>
      </c>
    </row>
    <row r="308" spans="1:7" s="200" customFormat="1" ht="23.25" customHeight="1" x14ac:dyDescent="0.25">
      <c r="A308" s="201">
        <v>38657</v>
      </c>
      <c r="B308" s="205" t="s">
        <v>417</v>
      </c>
      <c r="C308" s="206">
        <v>3250</v>
      </c>
      <c r="D308" s="202" t="s">
        <v>736</v>
      </c>
      <c r="E308" s="202" t="s">
        <v>736</v>
      </c>
      <c r="F308" s="202" t="s">
        <v>736</v>
      </c>
      <c r="G308" s="204" t="s">
        <v>736</v>
      </c>
    </row>
    <row r="309" spans="1:7" s="200" customFormat="1" ht="23.25" customHeight="1" x14ac:dyDescent="0.25">
      <c r="A309" s="201">
        <v>38658</v>
      </c>
      <c r="B309" s="202" t="s">
        <v>630</v>
      </c>
      <c r="C309" s="203">
        <v>3250</v>
      </c>
      <c r="D309" s="202" t="s">
        <v>736</v>
      </c>
      <c r="E309" s="202" t="s">
        <v>736</v>
      </c>
      <c r="F309" s="202" t="s">
        <v>736</v>
      </c>
      <c r="G309" s="204" t="s">
        <v>736</v>
      </c>
    </row>
    <row r="310" spans="1:7" s="200" customFormat="1" ht="23.25" customHeight="1" x14ac:dyDescent="0.25">
      <c r="A310" s="201">
        <v>38659</v>
      </c>
      <c r="B310" s="202" t="s">
        <v>630</v>
      </c>
      <c r="C310" s="203">
        <v>3250</v>
      </c>
      <c r="D310" s="202" t="s">
        <v>736</v>
      </c>
      <c r="E310" s="202" t="s">
        <v>736</v>
      </c>
      <c r="F310" s="202" t="s">
        <v>736</v>
      </c>
      <c r="G310" s="204" t="s">
        <v>736</v>
      </c>
    </row>
    <row r="311" spans="1:7" s="200" customFormat="1" ht="23.25" customHeight="1" x14ac:dyDescent="0.25">
      <c r="A311" s="201">
        <v>38660</v>
      </c>
      <c r="B311" s="202" t="s">
        <v>629</v>
      </c>
      <c r="C311" s="203">
        <v>3300</v>
      </c>
      <c r="D311" s="202" t="s">
        <v>736</v>
      </c>
      <c r="E311" s="202" t="s">
        <v>736</v>
      </c>
      <c r="F311" s="202" t="s">
        <v>736</v>
      </c>
      <c r="G311" s="204" t="s">
        <v>736</v>
      </c>
    </row>
    <row r="312" spans="1:7" s="200" customFormat="1" ht="23.25" customHeight="1" x14ac:dyDescent="0.25">
      <c r="A312" s="201">
        <v>38661</v>
      </c>
      <c r="B312" s="202" t="s">
        <v>628</v>
      </c>
      <c r="C312" s="203">
        <v>3450</v>
      </c>
      <c r="D312" s="202" t="s">
        <v>736</v>
      </c>
      <c r="E312" s="202" t="s">
        <v>736</v>
      </c>
      <c r="F312" s="202" t="s">
        <v>736</v>
      </c>
      <c r="G312" s="204" t="s">
        <v>736</v>
      </c>
    </row>
    <row r="313" spans="1:7" s="200" customFormat="1" ht="23.25" customHeight="1" x14ac:dyDescent="0.25">
      <c r="A313" s="201">
        <v>38662</v>
      </c>
      <c r="B313" s="202" t="s">
        <v>627</v>
      </c>
      <c r="C313" s="203">
        <v>3550</v>
      </c>
      <c r="D313" s="202" t="s">
        <v>736</v>
      </c>
      <c r="E313" s="202" t="s">
        <v>736</v>
      </c>
      <c r="F313" s="202" t="s">
        <v>736</v>
      </c>
      <c r="G313" s="204" t="s">
        <v>736</v>
      </c>
    </row>
    <row r="314" spans="1:7" s="200" customFormat="1" ht="23.25" customHeight="1" x14ac:dyDescent="0.25">
      <c r="A314" s="201">
        <v>38663</v>
      </c>
      <c r="B314" s="202" t="s">
        <v>637</v>
      </c>
      <c r="C314" s="203">
        <v>3550</v>
      </c>
      <c r="D314" s="202" t="s">
        <v>736</v>
      </c>
      <c r="E314" s="202" t="s">
        <v>736</v>
      </c>
      <c r="F314" s="202" t="s">
        <v>736</v>
      </c>
      <c r="G314" s="204" t="s">
        <v>736</v>
      </c>
    </row>
    <row r="315" spans="1:7" s="200" customFormat="1" ht="23.25" customHeight="1" x14ac:dyDescent="0.25">
      <c r="A315" s="201">
        <v>38664</v>
      </c>
      <c r="B315" s="202" t="s">
        <v>638</v>
      </c>
      <c r="C315" s="203">
        <v>3600</v>
      </c>
      <c r="D315" s="202" t="s">
        <v>736</v>
      </c>
      <c r="E315" s="202" t="s">
        <v>736</v>
      </c>
      <c r="F315" s="202" t="s">
        <v>736</v>
      </c>
      <c r="G315" s="204" t="s">
        <v>736</v>
      </c>
    </row>
    <row r="316" spans="1:7" s="200" customFormat="1" ht="23.25" customHeight="1" x14ac:dyDescent="0.25">
      <c r="A316" s="201">
        <v>38665</v>
      </c>
      <c r="B316" s="202" t="s">
        <v>626</v>
      </c>
      <c r="C316" s="203">
        <v>3650</v>
      </c>
      <c r="D316" s="202" t="s">
        <v>736</v>
      </c>
      <c r="E316" s="202" t="s">
        <v>736</v>
      </c>
      <c r="F316" s="202" t="s">
        <v>736</v>
      </c>
      <c r="G316" s="204" t="s">
        <v>736</v>
      </c>
    </row>
    <row r="317" spans="1:7" s="200" customFormat="1" ht="23.25" customHeight="1" x14ac:dyDescent="0.25">
      <c r="A317" s="201">
        <v>38666</v>
      </c>
      <c r="B317" s="202" t="s">
        <v>626</v>
      </c>
      <c r="C317" s="203">
        <v>3650</v>
      </c>
      <c r="D317" s="202" t="s">
        <v>736</v>
      </c>
      <c r="E317" s="202" t="s">
        <v>736</v>
      </c>
      <c r="F317" s="202" t="s">
        <v>736</v>
      </c>
      <c r="G317" s="204" t="s">
        <v>736</v>
      </c>
    </row>
    <row r="318" spans="1:7" s="200" customFormat="1" ht="23.25" customHeight="1" x14ac:dyDescent="0.25">
      <c r="A318" s="201">
        <v>38667</v>
      </c>
      <c r="B318" s="202" t="s">
        <v>625</v>
      </c>
      <c r="C318" s="203">
        <v>3750</v>
      </c>
      <c r="D318" s="202" t="s">
        <v>736</v>
      </c>
      <c r="E318" s="202" t="s">
        <v>736</v>
      </c>
      <c r="F318" s="202" t="s">
        <v>736</v>
      </c>
      <c r="G318" s="204" t="s">
        <v>736</v>
      </c>
    </row>
    <row r="319" spans="1:7" s="200" customFormat="1" ht="23.25" customHeight="1" x14ac:dyDescent="0.25">
      <c r="A319" s="201">
        <v>38668</v>
      </c>
      <c r="B319" s="202" t="s">
        <v>290</v>
      </c>
      <c r="C319" s="203">
        <v>4100</v>
      </c>
      <c r="D319" s="202" t="s">
        <v>736</v>
      </c>
      <c r="E319" s="202" t="s">
        <v>736</v>
      </c>
      <c r="F319" s="202" t="s">
        <v>736</v>
      </c>
      <c r="G319" s="204" t="s">
        <v>736</v>
      </c>
    </row>
    <row r="320" spans="1:7" s="200" customFormat="1" ht="23.25" customHeight="1" x14ac:dyDescent="0.25">
      <c r="A320" s="201">
        <v>38669</v>
      </c>
      <c r="B320" s="202" t="s">
        <v>290</v>
      </c>
      <c r="C320" s="203">
        <v>4100</v>
      </c>
      <c r="D320" s="202" t="s">
        <v>736</v>
      </c>
      <c r="E320" s="202" t="s">
        <v>736</v>
      </c>
      <c r="F320" s="202" t="s">
        <v>736</v>
      </c>
      <c r="G320" s="204" t="s">
        <v>736</v>
      </c>
    </row>
    <row r="321" spans="1:7" s="200" customFormat="1" ht="23.25" customHeight="1" x14ac:dyDescent="0.25">
      <c r="A321" s="201">
        <v>38670</v>
      </c>
      <c r="B321" s="202" t="s">
        <v>290</v>
      </c>
      <c r="C321" s="203">
        <v>4100</v>
      </c>
      <c r="D321" s="202" t="s">
        <v>736</v>
      </c>
      <c r="E321" s="202" t="s">
        <v>736</v>
      </c>
      <c r="F321" s="202" t="s">
        <v>736</v>
      </c>
      <c r="G321" s="204" t="s">
        <v>736</v>
      </c>
    </row>
    <row r="322" spans="1:7" s="200" customFormat="1" ht="23.25" customHeight="1" x14ac:dyDescent="0.25">
      <c r="A322" s="201">
        <v>38671</v>
      </c>
      <c r="B322" s="202" t="s">
        <v>290</v>
      </c>
      <c r="C322" s="203">
        <v>4100</v>
      </c>
      <c r="D322" s="202" t="s">
        <v>736</v>
      </c>
      <c r="E322" s="202" t="s">
        <v>736</v>
      </c>
      <c r="F322" s="202" t="s">
        <v>736</v>
      </c>
      <c r="G322" s="204" t="s">
        <v>736</v>
      </c>
    </row>
    <row r="323" spans="1:7" s="200" customFormat="1" ht="23.25" customHeight="1" x14ac:dyDescent="0.25">
      <c r="A323" s="201">
        <v>38672</v>
      </c>
      <c r="B323" s="202" t="s">
        <v>639</v>
      </c>
      <c r="C323" s="203">
        <v>4150</v>
      </c>
      <c r="D323" s="202" t="s">
        <v>736</v>
      </c>
      <c r="E323" s="202" t="s">
        <v>736</v>
      </c>
      <c r="F323" s="202" t="s">
        <v>736</v>
      </c>
      <c r="G323" s="204" t="s">
        <v>736</v>
      </c>
    </row>
    <row r="324" spans="1:7" s="200" customFormat="1" ht="23.25" customHeight="1" x14ac:dyDescent="0.25">
      <c r="A324" s="201">
        <v>38673</v>
      </c>
      <c r="B324" s="202" t="s">
        <v>639</v>
      </c>
      <c r="C324" s="203">
        <v>4150</v>
      </c>
      <c r="D324" s="202" t="s">
        <v>736</v>
      </c>
      <c r="E324" s="202" t="s">
        <v>736</v>
      </c>
      <c r="F324" s="202" t="s">
        <v>736</v>
      </c>
      <c r="G324" s="204" t="s">
        <v>736</v>
      </c>
    </row>
    <row r="325" spans="1:7" s="200" customFormat="1" ht="23.25" customHeight="1" x14ac:dyDescent="0.25">
      <c r="A325" s="201">
        <v>38674</v>
      </c>
      <c r="B325" s="202" t="s">
        <v>640</v>
      </c>
      <c r="C325" s="203">
        <v>4200</v>
      </c>
      <c r="D325" s="202" t="s">
        <v>736</v>
      </c>
      <c r="E325" s="202" t="s">
        <v>736</v>
      </c>
      <c r="F325" s="202" t="s">
        <v>736</v>
      </c>
      <c r="G325" s="204" t="s">
        <v>736</v>
      </c>
    </row>
    <row r="326" spans="1:7" s="200" customFormat="1" ht="23.25" customHeight="1" x14ac:dyDescent="0.25">
      <c r="A326" s="201">
        <v>38675</v>
      </c>
      <c r="B326" s="202" t="s">
        <v>641</v>
      </c>
      <c r="C326" s="203">
        <v>4300</v>
      </c>
      <c r="D326" s="202" t="s">
        <v>736</v>
      </c>
      <c r="E326" s="202" t="s">
        <v>736</v>
      </c>
      <c r="F326" s="202" t="s">
        <v>736</v>
      </c>
      <c r="G326" s="204" t="s">
        <v>736</v>
      </c>
    </row>
    <row r="327" spans="1:7" s="200" customFormat="1" ht="23.25" customHeight="1" x14ac:dyDescent="0.25">
      <c r="A327" s="201">
        <v>38676</v>
      </c>
      <c r="B327" s="202" t="s">
        <v>642</v>
      </c>
      <c r="C327" s="203">
        <v>4450</v>
      </c>
      <c r="D327" s="202" t="s">
        <v>736</v>
      </c>
      <c r="E327" s="202" t="s">
        <v>736</v>
      </c>
      <c r="F327" s="202" t="s">
        <v>736</v>
      </c>
      <c r="G327" s="204" t="s">
        <v>736</v>
      </c>
    </row>
    <row r="328" spans="1:7" s="200" customFormat="1" ht="23.25" customHeight="1" x14ac:dyDescent="0.25">
      <c r="A328" s="201">
        <v>38677</v>
      </c>
      <c r="B328" s="202" t="s">
        <v>643</v>
      </c>
      <c r="C328" s="203">
        <v>4500</v>
      </c>
      <c r="D328" s="202" t="s">
        <v>736</v>
      </c>
      <c r="E328" s="202" t="s">
        <v>736</v>
      </c>
      <c r="F328" s="202" t="s">
        <v>736</v>
      </c>
      <c r="G328" s="204" t="s">
        <v>736</v>
      </c>
    </row>
    <row r="329" spans="1:7" s="200" customFormat="1" ht="23.25" customHeight="1" x14ac:dyDescent="0.25">
      <c r="A329" s="201">
        <v>38678</v>
      </c>
      <c r="B329" s="202" t="s">
        <v>644</v>
      </c>
      <c r="C329" s="203">
        <v>4750</v>
      </c>
      <c r="D329" s="202" t="s">
        <v>736</v>
      </c>
      <c r="E329" s="202" t="s">
        <v>736</v>
      </c>
      <c r="F329" s="202" t="s">
        <v>736</v>
      </c>
      <c r="G329" s="204" t="s">
        <v>736</v>
      </c>
    </row>
    <row r="330" spans="1:7" s="200" customFormat="1" ht="23.25" customHeight="1" x14ac:dyDescent="0.25">
      <c r="A330" s="201">
        <v>38679</v>
      </c>
      <c r="B330" s="202" t="s">
        <v>645</v>
      </c>
      <c r="C330" s="203">
        <v>5000</v>
      </c>
      <c r="D330" s="202" t="s">
        <v>736</v>
      </c>
      <c r="E330" s="202" t="s">
        <v>736</v>
      </c>
      <c r="F330" s="202" t="s">
        <v>736</v>
      </c>
      <c r="G330" s="204" t="s">
        <v>736</v>
      </c>
    </row>
    <row r="331" spans="1:7" s="200" customFormat="1" ht="23.25" customHeight="1" x14ac:dyDescent="0.25">
      <c r="A331" s="201">
        <v>38680</v>
      </c>
      <c r="B331" s="202" t="s">
        <v>646</v>
      </c>
      <c r="C331" s="203">
        <v>5150</v>
      </c>
      <c r="D331" s="202" t="s">
        <v>736</v>
      </c>
      <c r="E331" s="202" t="s">
        <v>736</v>
      </c>
      <c r="F331" s="202" t="s">
        <v>736</v>
      </c>
      <c r="G331" s="204" t="s">
        <v>736</v>
      </c>
    </row>
    <row r="332" spans="1:7" s="200" customFormat="1" ht="23.25" customHeight="1" x14ac:dyDescent="0.25">
      <c r="A332" s="201">
        <v>38681</v>
      </c>
      <c r="B332" s="202" t="s">
        <v>647</v>
      </c>
      <c r="C332" s="203">
        <v>5300</v>
      </c>
      <c r="D332" s="202" t="s">
        <v>736</v>
      </c>
      <c r="E332" s="202" t="s">
        <v>736</v>
      </c>
      <c r="F332" s="202" t="s">
        <v>736</v>
      </c>
      <c r="G332" s="204" t="s">
        <v>736</v>
      </c>
    </row>
    <row r="333" spans="1:7" s="200" customFormat="1" ht="23.25" customHeight="1" x14ac:dyDescent="0.25">
      <c r="A333" s="201">
        <v>38682</v>
      </c>
      <c r="B333" s="202" t="s">
        <v>648</v>
      </c>
      <c r="C333" s="203">
        <v>5500</v>
      </c>
      <c r="D333" s="202" t="s">
        <v>736</v>
      </c>
      <c r="E333" s="202" t="s">
        <v>736</v>
      </c>
      <c r="F333" s="202" t="s">
        <v>736</v>
      </c>
      <c r="G333" s="204" t="s">
        <v>736</v>
      </c>
    </row>
    <row r="334" spans="1:7" s="200" customFormat="1" ht="23.25" customHeight="1" x14ac:dyDescent="0.25">
      <c r="A334" s="201">
        <v>38683</v>
      </c>
      <c r="B334" s="202" t="s">
        <v>614</v>
      </c>
      <c r="C334" s="203">
        <v>6100</v>
      </c>
      <c r="D334" s="202" t="s">
        <v>736</v>
      </c>
      <c r="E334" s="202" t="s">
        <v>736</v>
      </c>
      <c r="F334" s="202" t="s">
        <v>736</v>
      </c>
      <c r="G334" s="204" t="s">
        <v>736</v>
      </c>
    </row>
    <row r="335" spans="1:7" s="200" customFormat="1" ht="23.25" customHeight="1" x14ac:dyDescent="0.25">
      <c r="A335" s="201">
        <v>38684</v>
      </c>
      <c r="B335" s="202" t="s">
        <v>609</v>
      </c>
      <c r="C335" s="203">
        <v>6500</v>
      </c>
      <c r="D335" s="202" t="s">
        <v>736</v>
      </c>
      <c r="E335" s="202" t="s">
        <v>736</v>
      </c>
      <c r="F335" s="202" t="s">
        <v>736</v>
      </c>
      <c r="G335" s="204" t="s">
        <v>736</v>
      </c>
    </row>
    <row r="336" spans="1:7" s="200" customFormat="1" ht="23.25" customHeight="1" x14ac:dyDescent="0.25">
      <c r="A336" s="201">
        <v>38685</v>
      </c>
      <c r="B336" s="202" t="s">
        <v>608</v>
      </c>
      <c r="C336" s="203">
        <v>6700</v>
      </c>
      <c r="D336" s="202" t="s">
        <v>736</v>
      </c>
      <c r="E336" s="202" t="s">
        <v>736</v>
      </c>
      <c r="F336" s="202" t="s">
        <v>736</v>
      </c>
      <c r="G336" s="204" t="s">
        <v>736</v>
      </c>
    </row>
    <row r="337" spans="1:7" s="200" customFormat="1" ht="23.25" customHeight="1" x14ac:dyDescent="0.25">
      <c r="A337" s="201">
        <v>38686</v>
      </c>
      <c r="B337" s="202" t="s">
        <v>649</v>
      </c>
      <c r="C337" s="203">
        <v>6800</v>
      </c>
      <c r="D337" s="202" t="s">
        <v>736</v>
      </c>
      <c r="E337" s="202" t="s">
        <v>736</v>
      </c>
      <c r="F337" s="202" t="s">
        <v>736</v>
      </c>
      <c r="G337" s="204" t="s">
        <v>736</v>
      </c>
    </row>
    <row r="338" spans="1:7" s="200" customFormat="1" ht="23.25" customHeight="1" x14ac:dyDescent="0.25">
      <c r="A338" s="201">
        <v>38687</v>
      </c>
      <c r="B338" s="202" t="s">
        <v>649</v>
      </c>
      <c r="C338" s="203">
        <v>6800</v>
      </c>
      <c r="D338" s="202" t="s">
        <v>736</v>
      </c>
      <c r="E338" s="202" t="s">
        <v>736</v>
      </c>
      <c r="F338" s="202" t="s">
        <v>736</v>
      </c>
      <c r="G338" s="204" t="s">
        <v>736</v>
      </c>
    </row>
    <row r="339" spans="1:7" s="200" customFormat="1" ht="23.25" customHeight="1" x14ac:dyDescent="0.25">
      <c r="A339" s="201">
        <v>38688</v>
      </c>
      <c r="B339" s="202" t="s">
        <v>649</v>
      </c>
      <c r="C339" s="203">
        <v>6800</v>
      </c>
      <c r="D339" s="202" t="s">
        <v>736</v>
      </c>
      <c r="E339" s="202" t="s">
        <v>736</v>
      </c>
      <c r="F339" s="202" t="s">
        <v>736</v>
      </c>
      <c r="G339" s="204" t="s">
        <v>736</v>
      </c>
    </row>
    <row r="340" spans="1:7" s="200" customFormat="1" ht="23.25" customHeight="1" x14ac:dyDescent="0.25">
      <c r="A340" s="201">
        <v>38689</v>
      </c>
      <c r="B340" s="202" t="s">
        <v>649</v>
      </c>
      <c r="C340" s="203">
        <v>6800</v>
      </c>
      <c r="D340" s="202" t="s">
        <v>736</v>
      </c>
      <c r="E340" s="202" t="s">
        <v>736</v>
      </c>
      <c r="F340" s="202" t="s">
        <v>736</v>
      </c>
      <c r="G340" s="204" t="s">
        <v>736</v>
      </c>
    </row>
    <row r="341" spans="1:7" s="200" customFormat="1" ht="23.25" customHeight="1" x14ac:dyDescent="0.25">
      <c r="A341" s="201">
        <v>38690</v>
      </c>
      <c r="B341" s="202" t="s">
        <v>649</v>
      </c>
      <c r="C341" s="203">
        <v>6800</v>
      </c>
      <c r="D341" s="202" t="s">
        <v>736</v>
      </c>
      <c r="E341" s="202" t="s">
        <v>736</v>
      </c>
      <c r="F341" s="202" t="s">
        <v>736</v>
      </c>
      <c r="G341" s="204" t="s">
        <v>736</v>
      </c>
    </row>
    <row r="342" spans="1:7" s="200" customFormat="1" ht="23.25" customHeight="1" x14ac:dyDescent="0.25">
      <c r="A342" s="201">
        <v>38691</v>
      </c>
      <c r="B342" s="202" t="s">
        <v>649</v>
      </c>
      <c r="C342" s="203">
        <v>6800</v>
      </c>
      <c r="D342" s="202" t="s">
        <v>736</v>
      </c>
      <c r="E342" s="202" t="s">
        <v>736</v>
      </c>
      <c r="F342" s="202" t="s">
        <v>736</v>
      </c>
      <c r="G342" s="204" t="s">
        <v>736</v>
      </c>
    </row>
    <row r="343" spans="1:7" s="200" customFormat="1" ht="23.25" customHeight="1" x14ac:dyDescent="0.25">
      <c r="A343" s="201">
        <v>38692</v>
      </c>
      <c r="B343" s="202" t="s">
        <v>650</v>
      </c>
      <c r="C343" s="203">
        <v>6900</v>
      </c>
      <c r="D343" s="202" t="s">
        <v>736</v>
      </c>
      <c r="E343" s="202" t="s">
        <v>736</v>
      </c>
      <c r="F343" s="202" t="s">
        <v>736</v>
      </c>
      <c r="G343" s="204" t="s">
        <v>736</v>
      </c>
    </row>
    <row r="344" spans="1:7" s="200" customFormat="1" ht="23.25" customHeight="1" x14ac:dyDescent="0.25">
      <c r="A344" s="201">
        <v>38693</v>
      </c>
      <c r="B344" s="202" t="s">
        <v>605</v>
      </c>
      <c r="C344" s="203">
        <v>7400</v>
      </c>
      <c r="D344" s="202" t="s">
        <v>736</v>
      </c>
      <c r="E344" s="202" t="s">
        <v>736</v>
      </c>
      <c r="F344" s="202" t="s">
        <v>736</v>
      </c>
      <c r="G344" s="204" t="s">
        <v>736</v>
      </c>
    </row>
    <row r="345" spans="1:7" s="200" customFormat="1" ht="23.25" customHeight="1" x14ac:dyDescent="0.25">
      <c r="A345" s="201">
        <v>38694</v>
      </c>
      <c r="B345" s="202" t="s">
        <v>605</v>
      </c>
      <c r="C345" s="203">
        <v>7400</v>
      </c>
      <c r="D345" s="202" t="s">
        <v>736</v>
      </c>
      <c r="E345" s="202" t="s">
        <v>736</v>
      </c>
      <c r="F345" s="202" t="s">
        <v>736</v>
      </c>
      <c r="G345" s="204" t="s">
        <v>736</v>
      </c>
    </row>
    <row r="346" spans="1:7" s="200" customFormat="1" ht="23.25" customHeight="1" x14ac:dyDescent="0.25">
      <c r="A346" s="201">
        <v>38695</v>
      </c>
      <c r="B346" s="202" t="s">
        <v>102</v>
      </c>
      <c r="C346" s="203">
        <v>7600</v>
      </c>
      <c r="D346" s="202" t="s">
        <v>736</v>
      </c>
      <c r="E346" s="202" t="s">
        <v>736</v>
      </c>
      <c r="F346" s="202" t="s">
        <v>736</v>
      </c>
      <c r="G346" s="204" t="s">
        <v>736</v>
      </c>
    </row>
    <row r="347" spans="1:7" s="200" customFormat="1" ht="23.25" customHeight="1" x14ac:dyDescent="0.25">
      <c r="A347" s="201">
        <v>38696</v>
      </c>
      <c r="B347" s="202" t="s">
        <v>511</v>
      </c>
      <c r="C347" s="203">
        <v>7800</v>
      </c>
      <c r="D347" s="202" t="s">
        <v>736</v>
      </c>
      <c r="E347" s="202" t="s">
        <v>736</v>
      </c>
      <c r="F347" s="202" t="s">
        <v>736</v>
      </c>
      <c r="G347" s="204" t="s">
        <v>736</v>
      </c>
    </row>
    <row r="348" spans="1:7" s="200" customFormat="1" ht="23.25" customHeight="1" x14ac:dyDescent="0.25">
      <c r="A348" s="201">
        <v>38697</v>
      </c>
      <c r="B348" s="202" t="s">
        <v>98</v>
      </c>
      <c r="C348" s="203">
        <v>7900</v>
      </c>
      <c r="D348" s="202" t="s">
        <v>736</v>
      </c>
      <c r="E348" s="202" t="s">
        <v>736</v>
      </c>
      <c r="F348" s="202" t="s">
        <v>736</v>
      </c>
      <c r="G348" s="204" t="s">
        <v>736</v>
      </c>
    </row>
    <row r="349" spans="1:7" s="200" customFormat="1" ht="23.25" customHeight="1" x14ac:dyDescent="0.25">
      <c r="A349" s="201">
        <v>38698</v>
      </c>
      <c r="B349" s="202" t="s">
        <v>602</v>
      </c>
      <c r="C349" s="203">
        <v>7900</v>
      </c>
      <c r="D349" s="202" t="s">
        <v>736</v>
      </c>
      <c r="E349" s="202" t="s">
        <v>736</v>
      </c>
      <c r="F349" s="202" t="s">
        <v>736</v>
      </c>
      <c r="G349" s="204" t="s">
        <v>736</v>
      </c>
    </row>
    <row r="350" spans="1:7" s="200" customFormat="1" ht="23.25" customHeight="1" x14ac:dyDescent="0.25">
      <c r="A350" s="201">
        <v>38699</v>
      </c>
      <c r="B350" s="202" t="s">
        <v>602</v>
      </c>
      <c r="C350" s="203">
        <v>7900</v>
      </c>
      <c r="D350" s="202" t="s">
        <v>736</v>
      </c>
      <c r="E350" s="202" t="s">
        <v>736</v>
      </c>
      <c r="F350" s="202" t="s">
        <v>736</v>
      </c>
      <c r="G350" s="204" t="s">
        <v>736</v>
      </c>
    </row>
    <row r="351" spans="1:7" s="200" customFormat="1" ht="23.25" customHeight="1" x14ac:dyDescent="0.25">
      <c r="A351" s="201">
        <v>38700</v>
      </c>
      <c r="B351" s="202" t="s">
        <v>94</v>
      </c>
      <c r="C351" s="203">
        <v>8100</v>
      </c>
      <c r="D351" s="202" t="s">
        <v>736</v>
      </c>
      <c r="E351" s="202" t="s">
        <v>736</v>
      </c>
      <c r="F351" s="202" t="s">
        <v>736</v>
      </c>
      <c r="G351" s="204" t="s">
        <v>736</v>
      </c>
    </row>
    <row r="352" spans="1:7" s="200" customFormat="1" ht="23.25" customHeight="1" x14ac:dyDescent="0.25">
      <c r="A352" s="201">
        <v>38701</v>
      </c>
      <c r="B352" s="202" t="s">
        <v>90</v>
      </c>
      <c r="C352" s="203">
        <v>8250</v>
      </c>
      <c r="D352" s="202" t="s">
        <v>736</v>
      </c>
      <c r="E352" s="202" t="s">
        <v>736</v>
      </c>
      <c r="F352" s="202" t="s">
        <v>736</v>
      </c>
      <c r="G352" s="204" t="s">
        <v>736</v>
      </c>
    </row>
    <row r="353" spans="1:7" s="200" customFormat="1" ht="23.25" customHeight="1" x14ac:dyDescent="0.25">
      <c r="A353" s="201">
        <v>38702</v>
      </c>
      <c r="B353" s="202" t="s">
        <v>86</v>
      </c>
      <c r="C353" s="203">
        <v>8400</v>
      </c>
      <c r="D353" s="202" t="s">
        <v>736</v>
      </c>
      <c r="E353" s="202" t="s">
        <v>736</v>
      </c>
      <c r="F353" s="202" t="s">
        <v>736</v>
      </c>
      <c r="G353" s="204" t="s">
        <v>736</v>
      </c>
    </row>
    <row r="354" spans="1:7" s="200" customFormat="1" ht="23.25" customHeight="1" x14ac:dyDescent="0.25">
      <c r="A354" s="201">
        <v>38703</v>
      </c>
      <c r="B354" s="202" t="s">
        <v>403</v>
      </c>
      <c r="C354" s="203">
        <v>8600</v>
      </c>
      <c r="D354" s="202" t="s">
        <v>736</v>
      </c>
      <c r="E354" s="202" t="s">
        <v>736</v>
      </c>
      <c r="F354" s="202" t="s">
        <v>736</v>
      </c>
      <c r="G354" s="204" t="s">
        <v>736</v>
      </c>
    </row>
    <row r="355" spans="1:7" s="200" customFormat="1" ht="23.25" customHeight="1" x14ac:dyDescent="0.25">
      <c r="A355" s="201">
        <v>38704</v>
      </c>
      <c r="B355" s="202" t="s">
        <v>598</v>
      </c>
      <c r="C355" s="203">
        <v>8600</v>
      </c>
      <c r="D355" s="202" t="s">
        <v>736</v>
      </c>
      <c r="E355" s="202" t="s">
        <v>736</v>
      </c>
      <c r="F355" s="202" t="s">
        <v>736</v>
      </c>
      <c r="G355" s="204" t="s">
        <v>736</v>
      </c>
    </row>
    <row r="356" spans="1:7" s="200" customFormat="1" ht="23.25" customHeight="1" x14ac:dyDescent="0.25">
      <c r="A356" s="201">
        <v>38705</v>
      </c>
      <c r="B356" s="202" t="s">
        <v>598</v>
      </c>
      <c r="C356" s="203">
        <v>8600</v>
      </c>
      <c r="D356" s="202" t="s">
        <v>736</v>
      </c>
      <c r="E356" s="202" t="s">
        <v>736</v>
      </c>
      <c r="F356" s="202" t="s">
        <v>736</v>
      </c>
      <c r="G356" s="204" t="s">
        <v>736</v>
      </c>
    </row>
    <row r="357" spans="1:7" s="200" customFormat="1" ht="23.25" customHeight="1" x14ac:dyDescent="0.25">
      <c r="A357" s="201">
        <v>38706</v>
      </c>
      <c r="B357" s="202" t="s">
        <v>326</v>
      </c>
      <c r="C357" s="203">
        <v>8600</v>
      </c>
      <c r="D357" s="202" t="s">
        <v>736</v>
      </c>
      <c r="E357" s="202" t="s">
        <v>736</v>
      </c>
      <c r="F357" s="202" t="s">
        <v>736</v>
      </c>
      <c r="G357" s="204" t="s">
        <v>736</v>
      </c>
    </row>
    <row r="358" spans="1:7" s="200" customFormat="1" ht="23.25" customHeight="1" x14ac:dyDescent="0.25">
      <c r="A358" s="201">
        <v>38707</v>
      </c>
      <c r="B358" s="202" t="s">
        <v>653</v>
      </c>
      <c r="C358" s="203">
        <v>8700</v>
      </c>
      <c r="D358" s="202" t="s">
        <v>736</v>
      </c>
      <c r="E358" s="202" t="s">
        <v>736</v>
      </c>
      <c r="F358" s="202" t="s">
        <v>736</v>
      </c>
      <c r="G358" s="204" t="s">
        <v>736</v>
      </c>
    </row>
    <row r="359" spans="1:7" s="200" customFormat="1" ht="23.25" customHeight="1" x14ac:dyDescent="0.25">
      <c r="A359" s="201">
        <v>38708</v>
      </c>
      <c r="B359" s="202" t="s">
        <v>653</v>
      </c>
      <c r="C359" s="203">
        <v>8700</v>
      </c>
      <c r="D359" s="202" t="s">
        <v>736</v>
      </c>
      <c r="E359" s="202" t="s">
        <v>736</v>
      </c>
      <c r="F359" s="202" t="s">
        <v>736</v>
      </c>
      <c r="G359" s="204" t="s">
        <v>736</v>
      </c>
    </row>
    <row r="360" spans="1:7" s="200" customFormat="1" ht="23.25" customHeight="1" x14ac:dyDescent="0.25">
      <c r="A360" s="201">
        <v>38709</v>
      </c>
      <c r="B360" s="202" t="s">
        <v>653</v>
      </c>
      <c r="C360" s="203">
        <v>8700</v>
      </c>
      <c r="D360" s="202" t="s">
        <v>736</v>
      </c>
      <c r="E360" s="202" t="s">
        <v>736</v>
      </c>
      <c r="F360" s="202" t="s">
        <v>736</v>
      </c>
      <c r="G360" s="204" t="s">
        <v>736</v>
      </c>
    </row>
    <row r="361" spans="1:7" s="200" customFormat="1" ht="23.25" customHeight="1" x14ac:dyDescent="0.25">
      <c r="A361" s="201">
        <v>38710</v>
      </c>
      <c r="B361" s="202" t="s">
        <v>653</v>
      </c>
      <c r="C361" s="203">
        <v>8700</v>
      </c>
      <c r="D361" s="202" t="s">
        <v>736</v>
      </c>
      <c r="E361" s="202" t="s">
        <v>736</v>
      </c>
      <c r="F361" s="202" t="s">
        <v>736</v>
      </c>
      <c r="G361" s="204" t="s">
        <v>736</v>
      </c>
    </row>
    <row r="362" spans="1:7" s="200" customFormat="1" ht="23.25" customHeight="1" x14ac:dyDescent="0.25">
      <c r="A362" s="201">
        <v>38711</v>
      </c>
      <c r="B362" s="202" t="s">
        <v>653</v>
      </c>
      <c r="C362" s="203">
        <v>8700</v>
      </c>
      <c r="D362" s="202" t="s">
        <v>736</v>
      </c>
      <c r="E362" s="202" t="s">
        <v>736</v>
      </c>
      <c r="F362" s="202" t="s">
        <v>736</v>
      </c>
      <c r="G362" s="204" t="s">
        <v>736</v>
      </c>
    </row>
    <row r="363" spans="1:7" s="200" customFormat="1" ht="23.25" customHeight="1" x14ac:dyDescent="0.25">
      <c r="A363" s="201">
        <v>38712</v>
      </c>
      <c r="B363" s="202" t="s">
        <v>653</v>
      </c>
      <c r="C363" s="203">
        <v>8700</v>
      </c>
      <c r="D363" s="202" t="s">
        <v>736</v>
      </c>
      <c r="E363" s="202" t="s">
        <v>736</v>
      </c>
      <c r="F363" s="202" t="s">
        <v>736</v>
      </c>
      <c r="G363" s="204" t="s">
        <v>736</v>
      </c>
    </row>
    <row r="364" spans="1:7" s="200" customFormat="1" ht="23.25" customHeight="1" x14ac:dyDescent="0.25">
      <c r="A364" s="201">
        <v>38713</v>
      </c>
      <c r="B364" s="202" t="s">
        <v>653</v>
      </c>
      <c r="C364" s="203">
        <v>8700</v>
      </c>
      <c r="D364" s="202" t="s">
        <v>736</v>
      </c>
      <c r="E364" s="202" t="s">
        <v>736</v>
      </c>
      <c r="F364" s="202" t="s">
        <v>736</v>
      </c>
      <c r="G364" s="204" t="s">
        <v>736</v>
      </c>
    </row>
    <row r="365" spans="1:7" s="200" customFormat="1" ht="23.25" customHeight="1" x14ac:dyDescent="0.25">
      <c r="A365" s="201">
        <v>38714</v>
      </c>
      <c r="B365" s="202" t="s">
        <v>653</v>
      </c>
      <c r="C365" s="203">
        <v>8700</v>
      </c>
      <c r="D365" s="202" t="s">
        <v>736</v>
      </c>
      <c r="E365" s="202" t="s">
        <v>736</v>
      </c>
      <c r="F365" s="202" t="s">
        <v>736</v>
      </c>
      <c r="G365" s="204" t="s">
        <v>736</v>
      </c>
    </row>
    <row r="366" spans="1:7" s="200" customFormat="1" ht="23.25" customHeight="1" x14ac:dyDescent="0.25">
      <c r="A366" s="201">
        <v>38715</v>
      </c>
      <c r="B366" s="202" t="s">
        <v>654</v>
      </c>
      <c r="C366" s="203">
        <v>8900</v>
      </c>
      <c r="D366" s="202" t="s">
        <v>736</v>
      </c>
      <c r="E366" s="202" t="s">
        <v>736</v>
      </c>
      <c r="F366" s="202" t="s">
        <v>736</v>
      </c>
      <c r="G366" s="204" t="s">
        <v>736</v>
      </c>
    </row>
    <row r="367" spans="1:7" s="200" customFormat="1" ht="23.25" customHeight="1" x14ac:dyDescent="0.25">
      <c r="A367" s="201">
        <v>38716</v>
      </c>
      <c r="B367" s="202" t="s">
        <v>654</v>
      </c>
      <c r="C367" s="203">
        <v>8900</v>
      </c>
      <c r="D367" s="202" t="s">
        <v>736</v>
      </c>
      <c r="E367" s="202" t="s">
        <v>736</v>
      </c>
      <c r="F367" s="202" t="s">
        <v>736</v>
      </c>
      <c r="G367" s="204" t="s">
        <v>736</v>
      </c>
    </row>
    <row r="368" spans="1:7" s="200" customFormat="1" ht="23.25" customHeight="1" thickBot="1" x14ac:dyDescent="0.3">
      <c r="A368" s="207">
        <v>38717</v>
      </c>
      <c r="B368" s="208" t="s">
        <v>654</v>
      </c>
      <c r="C368" s="209">
        <v>8900</v>
      </c>
      <c r="D368" s="208" t="s">
        <v>736</v>
      </c>
      <c r="E368" s="208" t="s">
        <v>736</v>
      </c>
      <c r="F368" s="208" t="s">
        <v>736</v>
      </c>
      <c r="G368" s="210" t="s">
        <v>736</v>
      </c>
    </row>
    <row r="369" spans="1:7" x14ac:dyDescent="0.25">
      <c r="A369" s="409" t="s">
        <v>1759</v>
      </c>
      <c r="B369" s="410"/>
      <c r="C369" s="410"/>
      <c r="D369" s="410"/>
      <c r="E369" s="410"/>
      <c r="F369" s="410"/>
      <c r="G369" s="410"/>
    </row>
  </sheetData>
  <mergeCells count="6">
    <mergeCell ref="A369:G369"/>
    <mergeCell ref="A1:G1"/>
    <mergeCell ref="B2:B3"/>
    <mergeCell ref="C2:C3"/>
    <mergeCell ref="A2:A3"/>
    <mergeCell ref="D2:G2"/>
  </mergeCells>
  <printOptions horizontalCentered="1"/>
  <pageMargins left="1" right="0.75" top="0.75" bottom="0.25" header="0.3" footer="0.3"/>
  <pageSetup paperSize="9" orientation="portrait" r:id="rId1"/>
  <ignoredErrors>
    <ignoredError sqref="F180:F185 C186:C216 C217:C247 B247 B225 D248:G277 C248:C277 C278:C308 D278:G308 C309:C330 C331:C338 D339:G368 D186:F216 D217:G247 D309:G330 D331:G338" numberStoredAsText="1"/>
    <ignoredError sqref="B146 B180:B182 B168:B171 B190 B267:B277 B343 B331:B338 B339:B340 B315 B348:B350 B341 B342" twoDigitTextYea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pane ySplit="3" topLeftCell="A10" activePane="bottomLeft" state="frozen"/>
      <selection pane="bottomLeft" activeCell="B10" sqref="B10"/>
    </sheetView>
  </sheetViews>
  <sheetFormatPr defaultColWidth="9.140625" defaultRowHeight="15" x14ac:dyDescent="0.25"/>
  <cols>
    <col min="1" max="1" width="11.42578125" style="14" customWidth="1"/>
    <col min="2" max="2" width="9.28515625" style="37" customWidth="1"/>
    <col min="3" max="3" width="8.7109375" style="37" customWidth="1"/>
    <col min="4" max="4" width="8.42578125" style="37" customWidth="1"/>
    <col min="5" max="5" width="8.5703125" style="37" customWidth="1"/>
    <col min="6" max="6" width="8.28515625" style="37" customWidth="1"/>
    <col min="7" max="7" width="7" style="37" customWidth="1"/>
    <col min="8" max="16384" width="9.140625" style="14"/>
  </cols>
  <sheetData>
    <row r="1" spans="1:7" ht="36.75" customHeight="1" thickBot="1" x14ac:dyDescent="0.3">
      <c r="A1" s="442" t="s">
        <v>2694</v>
      </c>
      <c r="B1" s="442"/>
      <c r="C1" s="442"/>
      <c r="D1" s="442"/>
      <c r="E1" s="442"/>
      <c r="F1" s="442"/>
      <c r="G1" s="442"/>
    </row>
    <row r="2" spans="1:7" ht="23.25" customHeight="1" x14ac:dyDescent="0.25">
      <c r="A2" s="425" t="s">
        <v>0</v>
      </c>
      <c r="B2" s="423" t="s">
        <v>2684</v>
      </c>
      <c r="C2" s="423" t="s">
        <v>2689</v>
      </c>
      <c r="D2" s="443" t="s">
        <v>2686</v>
      </c>
      <c r="E2" s="444"/>
      <c r="F2" s="444"/>
      <c r="G2" s="445"/>
    </row>
    <row r="3" spans="1:7" ht="59.25" customHeight="1" thickBot="1" x14ac:dyDescent="0.3">
      <c r="A3" s="436"/>
      <c r="B3" s="441"/>
      <c r="C3" s="441"/>
      <c r="D3" s="180" t="s">
        <v>2687</v>
      </c>
      <c r="E3" s="193" t="s">
        <v>735</v>
      </c>
      <c r="F3" s="180" t="s">
        <v>2688</v>
      </c>
      <c r="G3" s="194" t="s">
        <v>735</v>
      </c>
    </row>
    <row r="4" spans="1:7" ht="21" customHeight="1" x14ac:dyDescent="0.25">
      <c r="A4" s="120">
        <v>38718</v>
      </c>
      <c r="B4" s="112" t="s">
        <v>654</v>
      </c>
      <c r="C4" s="112">
        <v>8900</v>
      </c>
      <c r="D4" s="112">
        <v>0</v>
      </c>
      <c r="E4" s="112" t="s">
        <v>736</v>
      </c>
      <c r="F4" s="112" t="s">
        <v>736</v>
      </c>
      <c r="G4" s="189" t="s">
        <v>736</v>
      </c>
    </row>
    <row r="5" spans="1:7" ht="21" customHeight="1" x14ac:dyDescent="0.25">
      <c r="A5" s="95">
        <v>38719</v>
      </c>
      <c r="B5" s="96" t="s">
        <v>597</v>
      </c>
      <c r="C5" s="96">
        <v>9000</v>
      </c>
      <c r="D5" s="96">
        <v>0</v>
      </c>
      <c r="E5" s="96" t="s">
        <v>736</v>
      </c>
      <c r="F5" s="96" t="s">
        <v>736</v>
      </c>
      <c r="G5" s="186" t="s">
        <v>736</v>
      </c>
    </row>
    <row r="6" spans="1:7" ht="21" customHeight="1" x14ac:dyDescent="0.25">
      <c r="A6" s="95">
        <v>38720</v>
      </c>
      <c r="B6" s="96" t="s">
        <v>597</v>
      </c>
      <c r="C6" s="96">
        <v>9000</v>
      </c>
      <c r="D6" s="96">
        <v>0</v>
      </c>
      <c r="E6" s="96" t="s">
        <v>736</v>
      </c>
      <c r="F6" s="96" t="s">
        <v>736</v>
      </c>
      <c r="G6" s="186" t="s">
        <v>736</v>
      </c>
    </row>
    <row r="7" spans="1:7" ht="21" customHeight="1" x14ac:dyDescent="0.25">
      <c r="A7" s="95">
        <v>38721</v>
      </c>
      <c r="B7" s="96" t="s">
        <v>597</v>
      </c>
      <c r="C7" s="96">
        <v>9000</v>
      </c>
      <c r="D7" s="96">
        <v>0</v>
      </c>
      <c r="E7" s="96" t="s">
        <v>736</v>
      </c>
      <c r="F7" s="96" t="s">
        <v>736</v>
      </c>
      <c r="G7" s="186" t="s">
        <v>736</v>
      </c>
    </row>
    <row r="8" spans="1:7" ht="21" customHeight="1" x14ac:dyDescent="0.25">
      <c r="A8" s="95">
        <v>38722</v>
      </c>
      <c r="B8" s="96" t="s">
        <v>597</v>
      </c>
      <c r="C8" s="96">
        <v>9000</v>
      </c>
      <c r="D8" s="96">
        <v>0</v>
      </c>
      <c r="E8" s="96" t="s">
        <v>736</v>
      </c>
      <c r="F8" s="96" t="s">
        <v>736</v>
      </c>
      <c r="G8" s="186" t="s">
        <v>736</v>
      </c>
    </row>
    <row r="9" spans="1:7" ht="21" customHeight="1" x14ac:dyDescent="0.25">
      <c r="A9" s="95">
        <v>38723</v>
      </c>
      <c r="B9" s="96" t="s">
        <v>597</v>
      </c>
      <c r="C9" s="96">
        <v>9000</v>
      </c>
      <c r="D9" s="96">
        <v>0</v>
      </c>
      <c r="E9" s="96" t="s">
        <v>736</v>
      </c>
      <c r="F9" s="96" t="s">
        <v>736</v>
      </c>
      <c r="G9" s="186" t="s">
        <v>736</v>
      </c>
    </row>
    <row r="10" spans="1:7" ht="21" customHeight="1" x14ac:dyDescent="0.25">
      <c r="A10" s="95">
        <v>38724</v>
      </c>
      <c r="B10" s="96" t="s">
        <v>655</v>
      </c>
      <c r="C10" s="96">
        <v>9100</v>
      </c>
      <c r="D10" s="96">
        <v>0</v>
      </c>
      <c r="E10" s="96" t="s">
        <v>736</v>
      </c>
      <c r="F10" s="96" t="s">
        <v>736</v>
      </c>
      <c r="G10" s="186" t="s">
        <v>736</v>
      </c>
    </row>
    <row r="11" spans="1:7" ht="21" customHeight="1" x14ac:dyDescent="0.25">
      <c r="A11" s="95">
        <v>38725</v>
      </c>
      <c r="B11" s="96" t="s">
        <v>596</v>
      </c>
      <c r="C11" s="96">
        <v>9200</v>
      </c>
      <c r="D11" s="96">
        <v>0</v>
      </c>
      <c r="E11" s="96" t="s">
        <v>736</v>
      </c>
      <c r="F11" s="96" t="s">
        <v>736</v>
      </c>
      <c r="G11" s="186" t="s">
        <v>736</v>
      </c>
    </row>
    <row r="12" spans="1:7" ht="21" customHeight="1" x14ac:dyDescent="0.25">
      <c r="A12" s="95">
        <v>38726</v>
      </c>
      <c r="B12" s="96" t="s">
        <v>656</v>
      </c>
      <c r="C12" s="96">
        <v>9300</v>
      </c>
      <c r="D12" s="96">
        <v>0</v>
      </c>
      <c r="E12" s="96" t="s">
        <v>736</v>
      </c>
      <c r="F12" s="96" t="s">
        <v>736</v>
      </c>
      <c r="G12" s="186" t="s">
        <v>736</v>
      </c>
    </row>
    <row r="13" spans="1:7" ht="21" customHeight="1" x14ac:dyDescent="0.25">
      <c r="A13" s="95">
        <v>38727</v>
      </c>
      <c r="B13" s="96" t="s">
        <v>657</v>
      </c>
      <c r="C13" s="96">
        <v>9400</v>
      </c>
      <c r="D13" s="96">
        <v>0</v>
      </c>
      <c r="E13" s="96" t="s">
        <v>736</v>
      </c>
      <c r="F13" s="96" t="s">
        <v>736</v>
      </c>
      <c r="G13" s="186" t="s">
        <v>736</v>
      </c>
    </row>
    <row r="14" spans="1:7" ht="21" customHeight="1" x14ac:dyDescent="0.25">
      <c r="A14" s="95">
        <v>38728</v>
      </c>
      <c r="B14" s="96" t="s">
        <v>657</v>
      </c>
      <c r="C14" s="96">
        <v>9400</v>
      </c>
      <c r="D14" s="96">
        <v>0</v>
      </c>
      <c r="E14" s="96" t="s">
        <v>736</v>
      </c>
      <c r="F14" s="96" t="s">
        <v>736</v>
      </c>
      <c r="G14" s="186" t="s">
        <v>736</v>
      </c>
    </row>
    <row r="15" spans="1:7" ht="21" customHeight="1" x14ac:dyDescent="0.25">
      <c r="A15" s="95">
        <v>38729</v>
      </c>
      <c r="B15" s="96" t="s">
        <v>658</v>
      </c>
      <c r="C15" s="96">
        <v>9500</v>
      </c>
      <c r="D15" s="96">
        <v>0</v>
      </c>
      <c r="E15" s="96" t="s">
        <v>736</v>
      </c>
      <c r="F15" s="96" t="s">
        <v>736</v>
      </c>
      <c r="G15" s="186" t="s">
        <v>736</v>
      </c>
    </row>
    <row r="16" spans="1:7" ht="21" customHeight="1" x14ac:dyDescent="0.25">
      <c r="A16" s="95">
        <v>38730</v>
      </c>
      <c r="B16" s="96" t="s">
        <v>659</v>
      </c>
      <c r="C16" s="96">
        <v>10000</v>
      </c>
      <c r="D16" s="96">
        <v>0</v>
      </c>
      <c r="E16" s="96" t="s">
        <v>736</v>
      </c>
      <c r="F16" s="96" t="s">
        <v>736</v>
      </c>
      <c r="G16" s="186" t="s">
        <v>736</v>
      </c>
    </row>
    <row r="17" spans="1:7" ht="21" customHeight="1" x14ac:dyDescent="0.25">
      <c r="A17" s="95">
        <v>38731</v>
      </c>
      <c r="B17" s="96" t="s">
        <v>591</v>
      </c>
      <c r="C17" s="96">
        <v>10400</v>
      </c>
      <c r="D17" s="96">
        <v>0</v>
      </c>
      <c r="E17" s="96" t="s">
        <v>736</v>
      </c>
      <c r="F17" s="96" t="s">
        <v>736</v>
      </c>
      <c r="G17" s="186" t="s">
        <v>736</v>
      </c>
    </row>
    <row r="18" spans="1:7" ht="21" customHeight="1" x14ac:dyDescent="0.25">
      <c r="A18" s="95">
        <v>38732</v>
      </c>
      <c r="B18" s="96" t="s">
        <v>660</v>
      </c>
      <c r="C18" s="96">
        <v>11200</v>
      </c>
      <c r="D18" s="96">
        <v>0</v>
      </c>
      <c r="E18" s="96" t="s">
        <v>736</v>
      </c>
      <c r="F18" s="96" t="s">
        <v>736</v>
      </c>
      <c r="G18" s="186" t="s">
        <v>736</v>
      </c>
    </row>
    <row r="19" spans="1:7" ht="21" customHeight="1" x14ac:dyDescent="0.25">
      <c r="A19" s="95">
        <v>38733</v>
      </c>
      <c r="B19" s="96" t="s">
        <v>661</v>
      </c>
      <c r="C19" s="96">
        <v>11600</v>
      </c>
      <c r="D19" s="96">
        <v>0</v>
      </c>
      <c r="E19" s="96" t="s">
        <v>736</v>
      </c>
      <c r="F19" s="96" t="s">
        <v>736</v>
      </c>
      <c r="G19" s="186" t="s">
        <v>736</v>
      </c>
    </row>
    <row r="20" spans="1:7" ht="21" customHeight="1" x14ac:dyDescent="0.25">
      <c r="A20" s="95">
        <v>38734</v>
      </c>
      <c r="B20" s="96" t="s">
        <v>661</v>
      </c>
      <c r="C20" s="96">
        <v>11600</v>
      </c>
      <c r="D20" s="96">
        <v>0</v>
      </c>
      <c r="E20" s="96" t="s">
        <v>736</v>
      </c>
      <c r="F20" s="96" t="s">
        <v>736</v>
      </c>
      <c r="G20" s="186" t="s">
        <v>736</v>
      </c>
    </row>
    <row r="21" spans="1:7" ht="21" customHeight="1" x14ac:dyDescent="0.25">
      <c r="A21" s="95">
        <v>38735</v>
      </c>
      <c r="B21" s="96" t="s">
        <v>584</v>
      </c>
      <c r="C21" s="96">
        <v>12000</v>
      </c>
      <c r="D21" s="96">
        <v>0</v>
      </c>
      <c r="E21" s="96" t="s">
        <v>736</v>
      </c>
      <c r="F21" s="96" t="s">
        <v>736</v>
      </c>
      <c r="G21" s="186" t="s">
        <v>736</v>
      </c>
    </row>
    <row r="22" spans="1:7" ht="21" customHeight="1" x14ac:dyDescent="0.25">
      <c r="A22" s="95">
        <v>38736</v>
      </c>
      <c r="B22" s="96" t="s">
        <v>662</v>
      </c>
      <c r="C22" s="96">
        <v>12200</v>
      </c>
      <c r="D22" s="96">
        <v>12</v>
      </c>
      <c r="E22" s="96" t="s">
        <v>1498</v>
      </c>
      <c r="F22" s="96" t="s">
        <v>1249</v>
      </c>
      <c r="G22" s="186" t="s">
        <v>1498</v>
      </c>
    </row>
    <row r="23" spans="1:7" ht="21" customHeight="1" x14ac:dyDescent="0.25">
      <c r="A23" s="95">
        <v>38737</v>
      </c>
      <c r="B23" s="96" t="s">
        <v>584</v>
      </c>
      <c r="C23" s="96">
        <v>12000</v>
      </c>
      <c r="D23" s="96">
        <v>12</v>
      </c>
      <c r="E23" s="96" t="s">
        <v>1499</v>
      </c>
      <c r="F23" s="96" t="s">
        <v>1249</v>
      </c>
      <c r="G23" s="186" t="s">
        <v>1499</v>
      </c>
    </row>
    <row r="24" spans="1:7" ht="21" customHeight="1" x14ac:dyDescent="0.25">
      <c r="A24" s="95">
        <v>38738</v>
      </c>
      <c r="B24" s="96" t="s">
        <v>661</v>
      </c>
      <c r="C24" s="96">
        <v>11600</v>
      </c>
      <c r="D24" s="96">
        <v>12</v>
      </c>
      <c r="E24" s="96" t="s">
        <v>1500</v>
      </c>
      <c r="F24" s="96" t="s">
        <v>1249</v>
      </c>
      <c r="G24" s="186" t="s">
        <v>1500</v>
      </c>
    </row>
    <row r="25" spans="1:7" ht="21" customHeight="1" x14ac:dyDescent="0.25">
      <c r="A25" s="95">
        <v>38739</v>
      </c>
      <c r="B25" s="96" t="s">
        <v>586</v>
      </c>
      <c r="C25" s="96">
        <v>11500</v>
      </c>
      <c r="D25" s="96">
        <v>12</v>
      </c>
      <c r="E25" s="96" t="s">
        <v>1501</v>
      </c>
      <c r="F25" s="96" t="s">
        <v>1249</v>
      </c>
      <c r="G25" s="186" t="s">
        <v>1501</v>
      </c>
    </row>
    <row r="26" spans="1:7" ht="21" customHeight="1" x14ac:dyDescent="0.25">
      <c r="A26" s="95">
        <v>38740</v>
      </c>
      <c r="B26" s="96" t="s">
        <v>587</v>
      </c>
      <c r="C26" s="96">
        <v>11300</v>
      </c>
      <c r="D26" s="96">
        <v>12</v>
      </c>
      <c r="E26" s="96" t="s">
        <v>1505</v>
      </c>
      <c r="F26" s="96" t="s">
        <v>1249</v>
      </c>
      <c r="G26" s="186" t="s">
        <v>1505</v>
      </c>
    </row>
    <row r="27" spans="1:7" ht="21" customHeight="1" x14ac:dyDescent="0.25">
      <c r="A27" s="95">
        <v>38741</v>
      </c>
      <c r="B27" s="96" t="s">
        <v>588</v>
      </c>
      <c r="C27" s="96">
        <v>11100</v>
      </c>
      <c r="D27" s="96" t="s">
        <v>415</v>
      </c>
      <c r="E27" s="96" t="s">
        <v>1506</v>
      </c>
      <c r="F27" s="96" t="s">
        <v>415</v>
      </c>
      <c r="G27" s="186" t="s">
        <v>1506</v>
      </c>
    </row>
    <row r="28" spans="1:7" ht="21" customHeight="1" x14ac:dyDescent="0.25">
      <c r="A28" s="95">
        <v>38742</v>
      </c>
      <c r="B28" s="96" t="s">
        <v>663</v>
      </c>
      <c r="C28" s="96">
        <v>10700</v>
      </c>
      <c r="D28" s="96" t="s">
        <v>415</v>
      </c>
      <c r="E28" s="96" t="s">
        <v>1502</v>
      </c>
      <c r="F28" s="96" t="s">
        <v>415</v>
      </c>
      <c r="G28" s="186" t="s">
        <v>1502</v>
      </c>
    </row>
    <row r="29" spans="1:7" ht="21" customHeight="1" x14ac:dyDescent="0.25">
      <c r="A29" s="95">
        <v>38743</v>
      </c>
      <c r="B29" s="96" t="s">
        <v>664</v>
      </c>
      <c r="C29" s="96">
        <v>10500</v>
      </c>
      <c r="D29" s="96" t="s">
        <v>415</v>
      </c>
      <c r="E29" s="96" t="s">
        <v>1503</v>
      </c>
      <c r="F29" s="96" t="s">
        <v>415</v>
      </c>
      <c r="G29" s="186" t="s">
        <v>1503</v>
      </c>
    </row>
    <row r="30" spans="1:7" ht="21" customHeight="1" x14ac:dyDescent="0.25">
      <c r="A30" s="95">
        <v>38744</v>
      </c>
      <c r="B30" s="96" t="s">
        <v>591</v>
      </c>
      <c r="C30" s="96">
        <v>10400</v>
      </c>
      <c r="D30" s="96" t="s">
        <v>415</v>
      </c>
      <c r="E30" s="96" t="s">
        <v>1504</v>
      </c>
      <c r="F30" s="96" t="s">
        <v>415</v>
      </c>
      <c r="G30" s="186" t="s">
        <v>1504</v>
      </c>
    </row>
    <row r="31" spans="1:7" ht="21" customHeight="1" x14ac:dyDescent="0.25">
      <c r="A31" s="95">
        <v>38745</v>
      </c>
      <c r="B31" s="96" t="s">
        <v>665</v>
      </c>
      <c r="C31" s="96">
        <v>10300</v>
      </c>
      <c r="D31" s="96" t="s">
        <v>527</v>
      </c>
      <c r="E31" s="96" t="s">
        <v>1507</v>
      </c>
      <c r="F31" s="96" t="s">
        <v>527</v>
      </c>
      <c r="G31" s="186" t="s">
        <v>1507</v>
      </c>
    </row>
    <row r="32" spans="1:7" ht="21" customHeight="1" x14ac:dyDescent="0.25">
      <c r="A32" s="95">
        <v>38746</v>
      </c>
      <c r="B32" s="96" t="s">
        <v>592</v>
      </c>
      <c r="C32" s="96">
        <v>10200</v>
      </c>
      <c r="D32" s="96" t="s">
        <v>824</v>
      </c>
      <c r="E32" s="96" t="s">
        <v>1508</v>
      </c>
      <c r="F32" s="96" t="s">
        <v>415</v>
      </c>
      <c r="G32" s="186" t="s">
        <v>1509</v>
      </c>
    </row>
    <row r="33" spans="1:7" ht="21" customHeight="1" x14ac:dyDescent="0.25">
      <c r="A33" s="95">
        <v>38747</v>
      </c>
      <c r="B33" s="96" t="s">
        <v>593</v>
      </c>
      <c r="C33" s="96">
        <v>10100</v>
      </c>
      <c r="D33" s="96" t="s">
        <v>736</v>
      </c>
      <c r="E33" s="96" t="s">
        <v>736</v>
      </c>
      <c r="F33" s="96" t="s">
        <v>527</v>
      </c>
      <c r="G33" s="186" t="s">
        <v>1510</v>
      </c>
    </row>
    <row r="34" spans="1:7" ht="21" customHeight="1" x14ac:dyDescent="0.25">
      <c r="A34" s="95">
        <v>38748</v>
      </c>
      <c r="B34" s="96" t="s">
        <v>593</v>
      </c>
      <c r="C34" s="96">
        <v>10100</v>
      </c>
      <c r="D34" s="96" t="s">
        <v>736</v>
      </c>
      <c r="E34" s="96" t="s">
        <v>736</v>
      </c>
      <c r="F34" s="96" t="s">
        <v>736</v>
      </c>
      <c r="G34" s="186" t="s">
        <v>736</v>
      </c>
    </row>
    <row r="35" spans="1:7" ht="21" customHeight="1" x14ac:dyDescent="0.25">
      <c r="A35" s="95">
        <v>38749</v>
      </c>
      <c r="B35" s="96" t="s">
        <v>593</v>
      </c>
      <c r="C35" s="96">
        <v>10100</v>
      </c>
      <c r="D35" s="96" t="s">
        <v>736</v>
      </c>
      <c r="E35" s="96" t="s">
        <v>736</v>
      </c>
      <c r="F35" s="96" t="s">
        <v>736</v>
      </c>
      <c r="G35" s="186" t="s">
        <v>736</v>
      </c>
    </row>
    <row r="36" spans="1:7" ht="21" customHeight="1" x14ac:dyDescent="0.25">
      <c r="A36" s="95">
        <v>38750</v>
      </c>
      <c r="B36" s="96" t="s">
        <v>593</v>
      </c>
      <c r="C36" s="96">
        <v>10100</v>
      </c>
      <c r="D36" s="96" t="s">
        <v>736</v>
      </c>
      <c r="E36" s="96" t="s">
        <v>736</v>
      </c>
      <c r="F36" s="96" t="s">
        <v>736</v>
      </c>
      <c r="G36" s="186" t="s">
        <v>736</v>
      </c>
    </row>
    <row r="37" spans="1:7" ht="21" customHeight="1" x14ac:dyDescent="0.25">
      <c r="A37" s="95">
        <v>38751</v>
      </c>
      <c r="B37" s="96" t="s">
        <v>659</v>
      </c>
      <c r="C37" s="96">
        <v>10000</v>
      </c>
      <c r="D37" s="96" t="s">
        <v>415</v>
      </c>
      <c r="E37" s="96" t="s">
        <v>1511</v>
      </c>
      <c r="F37" s="96" t="s">
        <v>415</v>
      </c>
      <c r="G37" s="186" t="s">
        <v>1511</v>
      </c>
    </row>
    <row r="38" spans="1:7" ht="21" customHeight="1" x14ac:dyDescent="0.25">
      <c r="A38" s="95">
        <v>38752</v>
      </c>
      <c r="B38" s="96" t="s">
        <v>591</v>
      </c>
      <c r="C38" s="96">
        <v>10400</v>
      </c>
      <c r="D38" s="96" t="s">
        <v>736</v>
      </c>
      <c r="E38" s="96" t="s">
        <v>736</v>
      </c>
      <c r="F38" s="96" t="s">
        <v>736</v>
      </c>
      <c r="G38" s="186" t="s">
        <v>736</v>
      </c>
    </row>
    <row r="39" spans="1:7" ht="21" customHeight="1" x14ac:dyDescent="0.25">
      <c r="A39" s="95">
        <v>38753</v>
      </c>
      <c r="B39" s="96" t="s">
        <v>663</v>
      </c>
      <c r="C39" s="96">
        <v>10700</v>
      </c>
      <c r="D39" s="96" t="s">
        <v>736</v>
      </c>
      <c r="E39" s="96" t="s">
        <v>736</v>
      </c>
      <c r="F39" s="96" t="s">
        <v>736</v>
      </c>
      <c r="G39" s="186" t="s">
        <v>736</v>
      </c>
    </row>
    <row r="40" spans="1:7" ht="21" customHeight="1" x14ac:dyDescent="0.25">
      <c r="A40" s="95">
        <v>38754</v>
      </c>
      <c r="B40" s="96" t="s">
        <v>589</v>
      </c>
      <c r="C40" s="96">
        <v>10800</v>
      </c>
      <c r="D40" s="96" t="s">
        <v>736</v>
      </c>
      <c r="E40" s="96" t="s">
        <v>736</v>
      </c>
      <c r="F40" s="96" t="s">
        <v>736</v>
      </c>
      <c r="G40" s="186" t="s">
        <v>736</v>
      </c>
    </row>
    <row r="41" spans="1:7" ht="21" customHeight="1" x14ac:dyDescent="0.25">
      <c r="A41" s="95">
        <v>38755</v>
      </c>
      <c r="B41" s="96" t="s">
        <v>589</v>
      </c>
      <c r="C41" s="96">
        <v>10800</v>
      </c>
      <c r="D41" s="96" t="s">
        <v>736</v>
      </c>
      <c r="E41" s="96" t="s">
        <v>736</v>
      </c>
      <c r="F41" s="96" t="s">
        <v>736</v>
      </c>
      <c r="G41" s="186" t="s">
        <v>736</v>
      </c>
    </row>
    <row r="42" spans="1:7" ht="21" customHeight="1" x14ac:dyDescent="0.25">
      <c r="A42" s="95">
        <v>38756</v>
      </c>
      <c r="B42" s="96" t="s">
        <v>589</v>
      </c>
      <c r="C42" s="96">
        <v>10800</v>
      </c>
      <c r="D42" s="96" t="s">
        <v>736</v>
      </c>
      <c r="E42" s="96" t="s">
        <v>736</v>
      </c>
      <c r="F42" s="96" t="s">
        <v>736</v>
      </c>
      <c r="G42" s="186" t="s">
        <v>736</v>
      </c>
    </row>
    <row r="43" spans="1:7" ht="21" customHeight="1" x14ac:dyDescent="0.25">
      <c r="A43" s="95">
        <v>38757</v>
      </c>
      <c r="B43" s="96" t="s">
        <v>589</v>
      </c>
      <c r="C43" s="96">
        <v>10800</v>
      </c>
      <c r="D43" s="96" t="s">
        <v>736</v>
      </c>
      <c r="E43" s="96" t="s">
        <v>736</v>
      </c>
      <c r="F43" s="96" t="s">
        <v>736</v>
      </c>
      <c r="G43" s="186" t="s">
        <v>736</v>
      </c>
    </row>
    <row r="44" spans="1:7" ht="21" customHeight="1" x14ac:dyDescent="0.25">
      <c r="A44" s="95">
        <v>38758</v>
      </c>
      <c r="B44" s="96" t="s">
        <v>588</v>
      </c>
      <c r="C44" s="96">
        <v>11100</v>
      </c>
      <c r="D44" s="96" t="s">
        <v>823</v>
      </c>
      <c r="E44" s="96" t="s">
        <v>1512</v>
      </c>
      <c r="F44" s="96" t="s">
        <v>823</v>
      </c>
      <c r="G44" s="186" t="s">
        <v>1512</v>
      </c>
    </row>
    <row r="45" spans="1:7" ht="21" customHeight="1" x14ac:dyDescent="0.25">
      <c r="A45" s="95">
        <v>38759</v>
      </c>
      <c r="B45" s="96" t="s">
        <v>588</v>
      </c>
      <c r="C45" s="96">
        <v>11100</v>
      </c>
      <c r="D45" s="96"/>
      <c r="E45" s="96" t="s">
        <v>736</v>
      </c>
      <c r="F45" s="96" t="s">
        <v>736</v>
      </c>
      <c r="G45" s="186" t="s">
        <v>736</v>
      </c>
    </row>
    <row r="46" spans="1:7" ht="21" customHeight="1" x14ac:dyDescent="0.25">
      <c r="A46" s="95">
        <v>38760</v>
      </c>
      <c r="B46" s="96" t="s">
        <v>588</v>
      </c>
      <c r="C46" s="96">
        <v>11100</v>
      </c>
      <c r="D46" s="96" t="s">
        <v>736</v>
      </c>
      <c r="E46" s="96" t="s">
        <v>736</v>
      </c>
      <c r="F46" s="96" t="s">
        <v>736</v>
      </c>
      <c r="G46" s="186" t="s">
        <v>736</v>
      </c>
    </row>
    <row r="47" spans="1:7" ht="21" customHeight="1" x14ac:dyDescent="0.25">
      <c r="A47" s="95">
        <v>38761</v>
      </c>
      <c r="B47" s="96" t="s">
        <v>40</v>
      </c>
      <c r="C47" s="96">
        <v>11100</v>
      </c>
      <c r="D47" s="96" t="s">
        <v>736</v>
      </c>
      <c r="E47" s="96" t="s">
        <v>736</v>
      </c>
      <c r="F47" s="96" t="s">
        <v>736</v>
      </c>
      <c r="G47" s="186" t="s">
        <v>736</v>
      </c>
    </row>
    <row r="48" spans="1:7" ht="21" customHeight="1" x14ac:dyDescent="0.25">
      <c r="A48" s="95">
        <v>38762</v>
      </c>
      <c r="B48" s="96" t="s">
        <v>508</v>
      </c>
      <c r="C48" s="96" t="s">
        <v>1285</v>
      </c>
      <c r="D48" s="96" t="s">
        <v>415</v>
      </c>
      <c r="E48" s="96" t="s">
        <v>1513</v>
      </c>
      <c r="F48" s="96" t="s">
        <v>415</v>
      </c>
      <c r="G48" s="186" t="s">
        <v>1513</v>
      </c>
    </row>
    <row r="49" spans="1:7" ht="21" customHeight="1" x14ac:dyDescent="0.25">
      <c r="A49" s="95">
        <v>38763</v>
      </c>
      <c r="B49" s="96" t="s">
        <v>9</v>
      </c>
      <c r="C49" s="96" t="s">
        <v>1288</v>
      </c>
      <c r="D49" s="96" t="s">
        <v>415</v>
      </c>
      <c r="E49" s="96" t="s">
        <v>1502</v>
      </c>
      <c r="F49" s="96" t="s">
        <v>415</v>
      </c>
      <c r="G49" s="186" t="s">
        <v>1502</v>
      </c>
    </row>
    <row r="50" spans="1:7" ht="21" customHeight="1" x14ac:dyDescent="0.25">
      <c r="A50" s="95">
        <v>38764</v>
      </c>
      <c r="B50" s="96" t="s">
        <v>45</v>
      </c>
      <c r="C50" s="96" t="s">
        <v>8</v>
      </c>
      <c r="D50" s="96" t="s">
        <v>415</v>
      </c>
      <c r="E50" s="96" t="s">
        <v>1514</v>
      </c>
      <c r="F50" s="96" t="s">
        <v>415</v>
      </c>
      <c r="G50" s="186" t="s">
        <v>1514</v>
      </c>
    </row>
    <row r="51" spans="1:7" ht="21" customHeight="1" x14ac:dyDescent="0.25">
      <c r="A51" s="95">
        <v>38765</v>
      </c>
      <c r="B51" s="96" t="s">
        <v>395</v>
      </c>
      <c r="C51" s="96" t="s">
        <v>1296</v>
      </c>
      <c r="D51" s="96" t="s">
        <v>415</v>
      </c>
      <c r="E51" s="96" t="s">
        <v>1504</v>
      </c>
      <c r="F51" s="96" t="s">
        <v>415</v>
      </c>
      <c r="G51" s="186" t="s">
        <v>1504</v>
      </c>
    </row>
    <row r="52" spans="1:7" ht="21" customHeight="1" x14ac:dyDescent="0.25">
      <c r="A52" s="95">
        <v>38766</v>
      </c>
      <c r="B52" s="96" t="s">
        <v>49</v>
      </c>
      <c r="C52" s="96" t="s">
        <v>59</v>
      </c>
      <c r="D52" s="96" t="s">
        <v>415</v>
      </c>
      <c r="E52" s="96" t="s">
        <v>1515</v>
      </c>
      <c r="F52" s="96" t="s">
        <v>415</v>
      </c>
      <c r="G52" s="186" t="s">
        <v>1515</v>
      </c>
    </row>
    <row r="53" spans="1:7" ht="21" customHeight="1" x14ac:dyDescent="0.25">
      <c r="A53" s="95">
        <v>38767</v>
      </c>
      <c r="B53" s="96" t="s">
        <v>328</v>
      </c>
      <c r="C53" s="96" t="s">
        <v>1287</v>
      </c>
      <c r="D53" s="96" t="s">
        <v>415</v>
      </c>
      <c r="E53" s="96" t="s">
        <v>1509</v>
      </c>
      <c r="F53" s="96" t="s">
        <v>415</v>
      </c>
      <c r="G53" s="186" t="s">
        <v>1509</v>
      </c>
    </row>
    <row r="54" spans="1:7" ht="21" customHeight="1" x14ac:dyDescent="0.25">
      <c r="A54" s="95">
        <v>38768</v>
      </c>
      <c r="B54" s="96" t="s">
        <v>51</v>
      </c>
      <c r="C54" s="96" t="s">
        <v>1297</v>
      </c>
      <c r="D54" s="96" t="s">
        <v>415</v>
      </c>
      <c r="E54" s="96" t="s">
        <v>1516</v>
      </c>
      <c r="F54" s="96" t="s">
        <v>415</v>
      </c>
      <c r="G54" s="186" t="s">
        <v>1516</v>
      </c>
    </row>
    <row r="55" spans="1:7" ht="21" customHeight="1" x14ac:dyDescent="0.25">
      <c r="A55" s="95">
        <v>38769</v>
      </c>
      <c r="B55" s="96" t="s">
        <v>56</v>
      </c>
      <c r="C55" s="96" t="s">
        <v>1298</v>
      </c>
      <c r="D55" s="96" t="s">
        <v>427</v>
      </c>
      <c r="E55" s="96" t="s">
        <v>1517</v>
      </c>
      <c r="F55" s="96" t="s">
        <v>427</v>
      </c>
      <c r="G55" s="186" t="s">
        <v>1517</v>
      </c>
    </row>
    <row r="56" spans="1:7" ht="21" customHeight="1" x14ac:dyDescent="0.25">
      <c r="A56" s="95">
        <v>38770</v>
      </c>
      <c r="B56" s="96" t="s">
        <v>62</v>
      </c>
      <c r="C56" s="96" t="s">
        <v>1396</v>
      </c>
      <c r="D56" s="96" t="s">
        <v>427</v>
      </c>
      <c r="E56" s="96" t="s">
        <v>1518</v>
      </c>
      <c r="F56" s="96" t="s">
        <v>427</v>
      </c>
      <c r="G56" s="186" t="s">
        <v>1518</v>
      </c>
    </row>
    <row r="57" spans="1:7" ht="21" customHeight="1" x14ac:dyDescent="0.25">
      <c r="A57" s="95">
        <v>38771</v>
      </c>
      <c r="B57" s="96" t="s">
        <v>657</v>
      </c>
      <c r="C57" s="96">
        <v>9400</v>
      </c>
      <c r="D57" s="96" t="s">
        <v>736</v>
      </c>
      <c r="E57" s="96" t="s">
        <v>736</v>
      </c>
      <c r="F57" s="96" t="s">
        <v>736</v>
      </c>
      <c r="G57" s="186" t="s">
        <v>736</v>
      </c>
    </row>
    <row r="58" spans="1:7" ht="21" customHeight="1" x14ac:dyDescent="0.25">
      <c r="A58" s="95">
        <v>38772</v>
      </c>
      <c r="B58" s="96" t="s">
        <v>657</v>
      </c>
      <c r="C58" s="96">
        <v>9400</v>
      </c>
      <c r="D58" s="96" t="s">
        <v>736</v>
      </c>
      <c r="E58" s="96" t="s">
        <v>736</v>
      </c>
      <c r="F58" s="96" t="s">
        <v>736</v>
      </c>
      <c r="G58" s="186" t="s">
        <v>736</v>
      </c>
    </row>
    <row r="59" spans="1:7" ht="21" customHeight="1" x14ac:dyDescent="0.25">
      <c r="A59" s="95">
        <v>38773</v>
      </c>
      <c r="B59" s="96" t="s">
        <v>657</v>
      </c>
      <c r="C59" s="96">
        <v>9400</v>
      </c>
      <c r="D59" s="96" t="s">
        <v>736</v>
      </c>
      <c r="E59" s="96" t="s">
        <v>736</v>
      </c>
      <c r="F59" s="96" t="s">
        <v>736</v>
      </c>
      <c r="G59" s="186" t="s">
        <v>736</v>
      </c>
    </row>
    <row r="60" spans="1:7" ht="21" customHeight="1" x14ac:dyDescent="0.25">
      <c r="A60" s="95">
        <v>38774</v>
      </c>
      <c r="B60" s="96" t="s">
        <v>657</v>
      </c>
      <c r="C60" s="96">
        <v>9400</v>
      </c>
      <c r="D60" s="96" t="s">
        <v>736</v>
      </c>
      <c r="E60" s="96" t="s">
        <v>736</v>
      </c>
      <c r="F60" s="96" t="s">
        <v>736</v>
      </c>
      <c r="G60" s="186" t="s">
        <v>736</v>
      </c>
    </row>
    <row r="61" spans="1:7" ht="21" customHeight="1" x14ac:dyDescent="0.25">
      <c r="A61" s="95">
        <v>38775</v>
      </c>
      <c r="B61" s="96" t="s">
        <v>657</v>
      </c>
      <c r="C61" s="96">
        <v>9400</v>
      </c>
      <c r="D61" s="96" t="s">
        <v>736</v>
      </c>
      <c r="E61" s="96" t="s">
        <v>736</v>
      </c>
      <c r="F61" s="96" t="s">
        <v>736</v>
      </c>
      <c r="G61" s="186" t="s">
        <v>736</v>
      </c>
    </row>
    <row r="62" spans="1:7" ht="21" customHeight="1" x14ac:dyDescent="0.25">
      <c r="A62" s="95">
        <v>38776</v>
      </c>
      <c r="B62" s="96" t="s">
        <v>657</v>
      </c>
      <c r="C62" s="96">
        <v>9400</v>
      </c>
      <c r="D62" s="96" t="s">
        <v>736</v>
      </c>
      <c r="E62" s="96" t="s">
        <v>736</v>
      </c>
      <c r="F62" s="96" t="s">
        <v>736</v>
      </c>
      <c r="G62" s="186" t="s">
        <v>736</v>
      </c>
    </row>
    <row r="63" spans="1:7" ht="21" customHeight="1" x14ac:dyDescent="0.25">
      <c r="A63" s="95">
        <v>38777</v>
      </c>
      <c r="B63" s="96"/>
      <c r="C63" s="96"/>
      <c r="D63" s="96"/>
      <c r="E63" s="96"/>
      <c r="F63" s="96"/>
      <c r="G63" s="186"/>
    </row>
    <row r="64" spans="1:7" ht="21" customHeight="1" x14ac:dyDescent="0.25">
      <c r="A64" s="95">
        <v>38778</v>
      </c>
      <c r="B64" s="96" t="s">
        <v>657</v>
      </c>
      <c r="C64" s="96">
        <v>9400</v>
      </c>
      <c r="D64" s="96" t="s">
        <v>736</v>
      </c>
      <c r="E64" s="96" t="s">
        <v>736</v>
      </c>
      <c r="F64" s="96" t="s">
        <v>736</v>
      </c>
      <c r="G64" s="186" t="s">
        <v>736</v>
      </c>
    </row>
    <row r="65" spans="1:7" ht="21" customHeight="1" x14ac:dyDescent="0.25">
      <c r="A65" s="95">
        <v>38779</v>
      </c>
      <c r="B65" s="96" t="s">
        <v>657</v>
      </c>
      <c r="C65" s="96">
        <v>9400</v>
      </c>
      <c r="D65" s="96" t="s">
        <v>736</v>
      </c>
      <c r="E65" s="96" t="s">
        <v>736</v>
      </c>
      <c r="F65" s="96" t="s">
        <v>736</v>
      </c>
      <c r="G65" s="186" t="s">
        <v>736</v>
      </c>
    </row>
    <row r="66" spans="1:7" ht="21" customHeight="1" x14ac:dyDescent="0.25">
      <c r="A66" s="95">
        <v>38780</v>
      </c>
      <c r="B66" s="96" t="s">
        <v>595</v>
      </c>
      <c r="C66" s="96">
        <v>9700</v>
      </c>
      <c r="D66" s="96" t="s">
        <v>736</v>
      </c>
      <c r="E66" s="96" t="s">
        <v>736</v>
      </c>
      <c r="F66" s="96" t="s">
        <v>736</v>
      </c>
      <c r="G66" s="186" t="s">
        <v>736</v>
      </c>
    </row>
    <row r="67" spans="1:7" ht="21" customHeight="1" x14ac:dyDescent="0.25">
      <c r="A67" s="95">
        <v>38781</v>
      </c>
      <c r="B67" s="96" t="s">
        <v>592</v>
      </c>
      <c r="C67" s="96">
        <v>10200</v>
      </c>
      <c r="D67" s="96" t="s">
        <v>736</v>
      </c>
      <c r="E67" s="96" t="s">
        <v>736</v>
      </c>
      <c r="F67" s="96" t="s">
        <v>736</v>
      </c>
      <c r="G67" s="186" t="s">
        <v>736</v>
      </c>
    </row>
    <row r="68" spans="1:7" ht="21" customHeight="1" x14ac:dyDescent="0.25">
      <c r="A68" s="95">
        <v>38782</v>
      </c>
      <c r="B68" s="96" t="s">
        <v>591</v>
      </c>
      <c r="C68" s="96">
        <v>10400</v>
      </c>
      <c r="D68" s="96" t="s">
        <v>736</v>
      </c>
      <c r="E68" s="96" t="s">
        <v>736</v>
      </c>
      <c r="F68" s="96" t="s">
        <v>736</v>
      </c>
      <c r="G68" s="186" t="s">
        <v>736</v>
      </c>
    </row>
    <row r="69" spans="1:7" ht="21" customHeight="1" x14ac:dyDescent="0.25">
      <c r="A69" s="95">
        <v>38783</v>
      </c>
      <c r="B69" s="96" t="s">
        <v>664</v>
      </c>
      <c r="C69" s="96">
        <v>10500</v>
      </c>
      <c r="D69" s="96" t="s">
        <v>736</v>
      </c>
      <c r="E69" s="96" t="s">
        <v>736</v>
      </c>
      <c r="F69" s="96" t="s">
        <v>736</v>
      </c>
      <c r="G69" s="186" t="s">
        <v>736</v>
      </c>
    </row>
    <row r="70" spans="1:7" ht="21" customHeight="1" x14ac:dyDescent="0.25">
      <c r="A70" s="95">
        <v>38784</v>
      </c>
      <c r="B70" s="96" t="s">
        <v>586</v>
      </c>
      <c r="C70" s="96">
        <v>11500</v>
      </c>
      <c r="D70" s="96" t="s">
        <v>736</v>
      </c>
      <c r="E70" s="96" t="s">
        <v>736</v>
      </c>
      <c r="F70" s="96" t="s">
        <v>736</v>
      </c>
      <c r="G70" s="186" t="s">
        <v>736</v>
      </c>
    </row>
    <row r="71" spans="1:7" ht="21" customHeight="1" x14ac:dyDescent="0.25">
      <c r="A71" s="95">
        <v>38785</v>
      </c>
      <c r="B71" s="96" t="s">
        <v>662</v>
      </c>
      <c r="C71" s="96">
        <v>12200</v>
      </c>
      <c r="D71" s="96" t="s">
        <v>736</v>
      </c>
      <c r="E71" s="96" t="s">
        <v>736</v>
      </c>
      <c r="F71" s="96" t="s">
        <v>736</v>
      </c>
      <c r="G71" s="186" t="s">
        <v>736</v>
      </c>
    </row>
    <row r="72" spans="1:7" ht="21" customHeight="1" x14ac:dyDescent="0.25">
      <c r="A72" s="95">
        <v>38786</v>
      </c>
      <c r="B72" s="96" t="s">
        <v>667</v>
      </c>
      <c r="C72" s="96">
        <v>12300</v>
      </c>
      <c r="D72" s="96" t="s">
        <v>736</v>
      </c>
      <c r="E72" s="96" t="s">
        <v>736</v>
      </c>
      <c r="F72" s="96" t="s">
        <v>736</v>
      </c>
      <c r="G72" s="186" t="s">
        <v>736</v>
      </c>
    </row>
    <row r="73" spans="1:7" ht="21" customHeight="1" x14ac:dyDescent="0.25">
      <c r="A73" s="95">
        <v>38787</v>
      </c>
      <c r="B73" s="96" t="s">
        <v>668</v>
      </c>
      <c r="C73" s="96">
        <v>12500</v>
      </c>
      <c r="D73" s="96" t="s">
        <v>736</v>
      </c>
      <c r="E73" s="96" t="s">
        <v>736</v>
      </c>
      <c r="F73" s="96" t="s">
        <v>736</v>
      </c>
      <c r="G73" s="186" t="s">
        <v>736</v>
      </c>
    </row>
    <row r="74" spans="1:7" ht="21" customHeight="1" x14ac:dyDescent="0.25">
      <c r="A74" s="95">
        <v>38788</v>
      </c>
      <c r="B74" s="96" t="s">
        <v>582</v>
      </c>
      <c r="C74" s="96">
        <v>13000</v>
      </c>
      <c r="D74" s="96" t="s">
        <v>736</v>
      </c>
      <c r="E74" s="96" t="s">
        <v>736</v>
      </c>
      <c r="F74" s="96" t="s">
        <v>736</v>
      </c>
      <c r="G74" s="186" t="s">
        <v>736</v>
      </c>
    </row>
    <row r="75" spans="1:7" ht="21" customHeight="1" x14ac:dyDescent="0.25">
      <c r="A75" s="95">
        <v>38789</v>
      </c>
      <c r="B75" s="96" t="s">
        <v>578</v>
      </c>
      <c r="C75" s="96">
        <v>13800</v>
      </c>
      <c r="D75" s="96" t="s">
        <v>736</v>
      </c>
      <c r="E75" s="96" t="s">
        <v>736</v>
      </c>
      <c r="F75" s="96" t="s">
        <v>736</v>
      </c>
      <c r="G75" s="186" t="s">
        <v>736</v>
      </c>
    </row>
    <row r="76" spans="1:7" ht="21" customHeight="1" x14ac:dyDescent="0.25">
      <c r="A76" s="95">
        <v>38790</v>
      </c>
      <c r="B76" s="96" t="s">
        <v>575</v>
      </c>
      <c r="C76" s="96">
        <v>14400</v>
      </c>
      <c r="D76" s="96" t="s">
        <v>736</v>
      </c>
      <c r="E76" s="96" t="s">
        <v>736</v>
      </c>
      <c r="F76" s="96" t="s">
        <v>736</v>
      </c>
      <c r="G76" s="186" t="s">
        <v>736</v>
      </c>
    </row>
    <row r="77" spans="1:7" ht="21" customHeight="1" x14ac:dyDescent="0.25">
      <c r="A77" s="95">
        <v>38791</v>
      </c>
      <c r="B77" s="96" t="s">
        <v>575</v>
      </c>
      <c r="C77" s="96">
        <v>14400</v>
      </c>
      <c r="D77" s="96" t="s">
        <v>736</v>
      </c>
      <c r="E77" s="96" t="s">
        <v>736</v>
      </c>
      <c r="F77" s="96" t="s">
        <v>736</v>
      </c>
      <c r="G77" s="186" t="s">
        <v>736</v>
      </c>
    </row>
    <row r="78" spans="1:7" ht="21" customHeight="1" x14ac:dyDescent="0.25">
      <c r="A78" s="95">
        <v>38792</v>
      </c>
      <c r="B78" s="96" t="s">
        <v>575</v>
      </c>
      <c r="C78" s="96">
        <v>14400</v>
      </c>
      <c r="D78" s="96" t="s">
        <v>736</v>
      </c>
      <c r="E78" s="96" t="s">
        <v>736</v>
      </c>
      <c r="F78" s="96" t="s">
        <v>736</v>
      </c>
      <c r="G78" s="186" t="s">
        <v>736</v>
      </c>
    </row>
    <row r="79" spans="1:7" ht="21" customHeight="1" x14ac:dyDescent="0.25">
      <c r="A79" s="95">
        <v>38793</v>
      </c>
      <c r="B79" s="96" t="s">
        <v>575</v>
      </c>
      <c r="C79" s="96">
        <v>14400</v>
      </c>
      <c r="D79" s="96" t="s">
        <v>736</v>
      </c>
      <c r="E79" s="96" t="s">
        <v>736</v>
      </c>
      <c r="F79" s="96" t="s">
        <v>736</v>
      </c>
      <c r="G79" s="186" t="s">
        <v>736</v>
      </c>
    </row>
    <row r="80" spans="1:7" ht="21" customHeight="1" x14ac:dyDescent="0.25">
      <c r="A80" s="95">
        <v>38794</v>
      </c>
      <c r="B80" s="96" t="s">
        <v>575</v>
      </c>
      <c r="C80" s="96">
        <v>14400</v>
      </c>
      <c r="D80" s="96" t="s">
        <v>736</v>
      </c>
      <c r="E80" s="96" t="s">
        <v>736</v>
      </c>
      <c r="F80" s="96" t="s">
        <v>736</v>
      </c>
      <c r="G80" s="186" t="s">
        <v>736</v>
      </c>
    </row>
    <row r="81" spans="1:7" ht="21" customHeight="1" x14ac:dyDescent="0.25">
      <c r="A81" s="95">
        <v>38795</v>
      </c>
      <c r="B81" s="96" t="s">
        <v>575</v>
      </c>
      <c r="C81" s="96">
        <v>14400</v>
      </c>
      <c r="D81" s="96" t="s">
        <v>736</v>
      </c>
      <c r="E81" s="96" t="s">
        <v>736</v>
      </c>
      <c r="F81" s="96" t="s">
        <v>736</v>
      </c>
      <c r="G81" s="186" t="s">
        <v>736</v>
      </c>
    </row>
    <row r="82" spans="1:7" ht="21" customHeight="1" x14ac:dyDescent="0.25">
      <c r="A82" s="95">
        <v>38796</v>
      </c>
      <c r="B82" s="96" t="s">
        <v>575</v>
      </c>
      <c r="C82" s="96">
        <v>14400</v>
      </c>
      <c r="D82" s="96" t="s">
        <v>736</v>
      </c>
      <c r="E82" s="96" t="s">
        <v>736</v>
      </c>
      <c r="F82" s="96" t="s">
        <v>736</v>
      </c>
      <c r="G82" s="186" t="s">
        <v>736</v>
      </c>
    </row>
    <row r="83" spans="1:7" ht="21" customHeight="1" x14ac:dyDescent="0.25">
      <c r="A83" s="95">
        <v>38797</v>
      </c>
      <c r="B83" s="96" t="s">
        <v>575</v>
      </c>
      <c r="C83" s="96">
        <v>14400</v>
      </c>
      <c r="D83" s="96" t="s">
        <v>736</v>
      </c>
      <c r="E83" s="96" t="s">
        <v>736</v>
      </c>
      <c r="F83" s="96" t="s">
        <v>736</v>
      </c>
      <c r="G83" s="186" t="s">
        <v>736</v>
      </c>
    </row>
    <row r="84" spans="1:7" ht="21" customHeight="1" x14ac:dyDescent="0.25">
      <c r="A84" s="95">
        <v>38798</v>
      </c>
      <c r="B84" s="96" t="s">
        <v>575</v>
      </c>
      <c r="C84" s="96">
        <v>14400</v>
      </c>
      <c r="D84" s="96" t="s">
        <v>736</v>
      </c>
      <c r="E84" s="96" t="s">
        <v>736</v>
      </c>
      <c r="F84" s="96" t="s">
        <v>736</v>
      </c>
      <c r="G84" s="186" t="s">
        <v>736</v>
      </c>
    </row>
    <row r="85" spans="1:7" ht="21" customHeight="1" x14ac:dyDescent="0.25">
      <c r="A85" s="95">
        <v>38799</v>
      </c>
      <c r="B85" s="96" t="s">
        <v>575</v>
      </c>
      <c r="C85" s="96">
        <v>14400</v>
      </c>
      <c r="D85" s="96" t="s">
        <v>736</v>
      </c>
      <c r="E85" s="96" t="s">
        <v>736</v>
      </c>
      <c r="F85" s="96" t="s">
        <v>736</v>
      </c>
      <c r="G85" s="186" t="s">
        <v>736</v>
      </c>
    </row>
    <row r="86" spans="1:7" ht="21" customHeight="1" x14ac:dyDescent="0.25">
      <c r="A86" s="95">
        <v>38800</v>
      </c>
      <c r="B86" s="96" t="s">
        <v>575</v>
      </c>
      <c r="C86" s="96">
        <v>14400</v>
      </c>
      <c r="D86" s="96" t="s">
        <v>736</v>
      </c>
      <c r="E86" s="96" t="s">
        <v>736</v>
      </c>
      <c r="F86" s="96" t="s">
        <v>736</v>
      </c>
      <c r="G86" s="186" t="s">
        <v>736</v>
      </c>
    </row>
    <row r="87" spans="1:7" ht="21" customHeight="1" x14ac:dyDescent="0.25">
      <c r="A87" s="95">
        <v>38801</v>
      </c>
      <c r="B87" s="96" t="s">
        <v>575</v>
      </c>
      <c r="C87" s="96">
        <v>14400</v>
      </c>
      <c r="D87" s="96" t="s">
        <v>736</v>
      </c>
      <c r="E87" s="96" t="s">
        <v>736</v>
      </c>
      <c r="F87" s="96" t="s">
        <v>736</v>
      </c>
      <c r="G87" s="186" t="s">
        <v>736</v>
      </c>
    </row>
    <row r="88" spans="1:7" ht="21" customHeight="1" x14ac:dyDescent="0.25">
      <c r="A88" s="95">
        <v>38802</v>
      </c>
      <c r="B88" s="96" t="s">
        <v>575</v>
      </c>
      <c r="C88" s="96">
        <v>14400</v>
      </c>
      <c r="D88" s="96" t="s">
        <v>736</v>
      </c>
      <c r="E88" s="96" t="s">
        <v>736</v>
      </c>
      <c r="F88" s="96" t="s">
        <v>736</v>
      </c>
      <c r="G88" s="186" t="s">
        <v>736</v>
      </c>
    </row>
    <row r="89" spans="1:7" ht="21" customHeight="1" x14ac:dyDescent="0.25">
      <c r="A89" s="95">
        <v>38803</v>
      </c>
      <c r="B89" s="96" t="s">
        <v>575</v>
      </c>
      <c r="C89" s="96">
        <v>14400</v>
      </c>
      <c r="D89" s="96" t="s">
        <v>736</v>
      </c>
      <c r="E89" s="96" t="s">
        <v>736</v>
      </c>
      <c r="F89" s="96" t="s">
        <v>736</v>
      </c>
      <c r="G89" s="186" t="s">
        <v>736</v>
      </c>
    </row>
    <row r="90" spans="1:7" ht="21" customHeight="1" x14ac:dyDescent="0.25">
      <c r="A90" s="95">
        <v>38804</v>
      </c>
      <c r="B90" s="96" t="s">
        <v>575</v>
      </c>
      <c r="C90" s="96">
        <v>14400</v>
      </c>
      <c r="D90" s="96" t="s">
        <v>736</v>
      </c>
      <c r="E90" s="96" t="s">
        <v>736</v>
      </c>
      <c r="F90" s="96" t="s">
        <v>736</v>
      </c>
      <c r="G90" s="186" t="s">
        <v>736</v>
      </c>
    </row>
    <row r="91" spans="1:7" ht="21" customHeight="1" x14ac:dyDescent="0.25">
      <c r="A91" s="95">
        <v>38805</v>
      </c>
      <c r="B91" s="96" t="s">
        <v>575</v>
      </c>
      <c r="C91" s="96">
        <v>14400</v>
      </c>
      <c r="D91" s="96" t="s">
        <v>736</v>
      </c>
      <c r="E91" s="96" t="s">
        <v>736</v>
      </c>
      <c r="F91" s="96" t="s">
        <v>736</v>
      </c>
      <c r="G91" s="186" t="s">
        <v>736</v>
      </c>
    </row>
    <row r="92" spans="1:7" ht="21" customHeight="1" x14ac:dyDescent="0.25">
      <c r="A92" s="95">
        <v>38806</v>
      </c>
      <c r="B92" s="96" t="s">
        <v>736</v>
      </c>
      <c r="C92" s="96" t="s">
        <v>736</v>
      </c>
      <c r="D92" s="96" t="s">
        <v>736</v>
      </c>
      <c r="E92" s="96" t="s">
        <v>736</v>
      </c>
      <c r="F92" s="96" t="s">
        <v>736</v>
      </c>
      <c r="G92" s="186" t="s">
        <v>736</v>
      </c>
    </row>
    <row r="93" spans="1:7" ht="21" customHeight="1" x14ac:dyDescent="0.25">
      <c r="A93" s="95">
        <v>38807</v>
      </c>
      <c r="B93" s="96" t="s">
        <v>736</v>
      </c>
      <c r="C93" s="96" t="s">
        <v>736</v>
      </c>
      <c r="D93" s="96" t="s">
        <v>736</v>
      </c>
      <c r="E93" s="96" t="s">
        <v>736</v>
      </c>
      <c r="F93" s="96" t="s">
        <v>736</v>
      </c>
      <c r="G93" s="186" t="s">
        <v>736</v>
      </c>
    </row>
    <row r="94" spans="1:7" ht="21" customHeight="1" x14ac:dyDescent="0.25">
      <c r="A94" s="95">
        <v>38808</v>
      </c>
      <c r="B94" s="96" t="s">
        <v>736</v>
      </c>
      <c r="C94" s="96" t="s">
        <v>736</v>
      </c>
      <c r="D94" s="96" t="s">
        <v>736</v>
      </c>
      <c r="E94" s="96" t="s">
        <v>736</v>
      </c>
      <c r="F94" s="96" t="s">
        <v>736</v>
      </c>
      <c r="G94" s="186" t="s">
        <v>736</v>
      </c>
    </row>
    <row r="95" spans="1:7" ht="21" customHeight="1" x14ac:dyDescent="0.25">
      <c r="A95" s="95">
        <v>38809</v>
      </c>
      <c r="B95" s="96" t="s">
        <v>572</v>
      </c>
      <c r="C95" s="96">
        <v>14900</v>
      </c>
      <c r="D95" s="96" t="s">
        <v>736</v>
      </c>
      <c r="E95" s="96" t="s">
        <v>736</v>
      </c>
      <c r="F95" s="96" t="s">
        <v>736</v>
      </c>
      <c r="G95" s="186" t="s">
        <v>736</v>
      </c>
    </row>
    <row r="96" spans="1:7" ht="21" customHeight="1" x14ac:dyDescent="0.25">
      <c r="A96" s="95">
        <v>38810</v>
      </c>
      <c r="B96" s="96" t="s">
        <v>572</v>
      </c>
      <c r="C96" s="96">
        <v>14900</v>
      </c>
      <c r="D96" s="96" t="s">
        <v>736</v>
      </c>
      <c r="E96" s="96" t="s">
        <v>736</v>
      </c>
      <c r="F96" s="96" t="s">
        <v>736</v>
      </c>
      <c r="G96" s="186" t="s">
        <v>736</v>
      </c>
    </row>
    <row r="97" spans="1:7" ht="21" customHeight="1" x14ac:dyDescent="0.25">
      <c r="A97" s="95">
        <v>38811</v>
      </c>
      <c r="B97" s="96" t="s">
        <v>572</v>
      </c>
      <c r="C97" s="96">
        <v>14900</v>
      </c>
      <c r="D97" s="96" t="s">
        <v>736</v>
      </c>
      <c r="E97" s="96" t="s">
        <v>736</v>
      </c>
      <c r="F97" s="96" t="s">
        <v>736</v>
      </c>
      <c r="G97" s="186" t="s">
        <v>736</v>
      </c>
    </row>
    <row r="98" spans="1:7" ht="21" customHeight="1" x14ac:dyDescent="0.25">
      <c r="A98" s="95">
        <v>38812</v>
      </c>
      <c r="B98" s="96" t="s">
        <v>572</v>
      </c>
      <c r="C98" s="96">
        <v>14900</v>
      </c>
      <c r="D98" s="96" t="s">
        <v>736</v>
      </c>
      <c r="E98" s="96" t="s">
        <v>736</v>
      </c>
      <c r="F98" s="96" t="s">
        <v>736</v>
      </c>
      <c r="G98" s="186" t="s">
        <v>736</v>
      </c>
    </row>
    <row r="99" spans="1:7" ht="21" customHeight="1" x14ac:dyDescent="0.25">
      <c r="A99" s="95">
        <v>38813</v>
      </c>
      <c r="B99" s="96" t="s">
        <v>572</v>
      </c>
      <c r="C99" s="96">
        <v>14900</v>
      </c>
      <c r="D99" s="96" t="s">
        <v>736</v>
      </c>
      <c r="E99" s="96" t="s">
        <v>736</v>
      </c>
      <c r="F99" s="96" t="s">
        <v>736</v>
      </c>
      <c r="G99" s="186" t="s">
        <v>736</v>
      </c>
    </row>
    <row r="100" spans="1:7" ht="21" customHeight="1" x14ac:dyDescent="0.25">
      <c r="A100" s="95">
        <v>38814</v>
      </c>
      <c r="B100" s="96" t="s">
        <v>572</v>
      </c>
      <c r="C100" s="96">
        <v>14900</v>
      </c>
      <c r="D100" s="96" t="s">
        <v>736</v>
      </c>
      <c r="E100" s="96" t="s">
        <v>736</v>
      </c>
      <c r="F100" s="96" t="s">
        <v>736</v>
      </c>
      <c r="G100" s="186" t="s">
        <v>736</v>
      </c>
    </row>
    <row r="101" spans="1:7" ht="21" customHeight="1" x14ac:dyDescent="0.25">
      <c r="A101" s="95">
        <v>38815</v>
      </c>
      <c r="B101" s="96" t="s">
        <v>572</v>
      </c>
      <c r="C101" s="96">
        <v>14900</v>
      </c>
      <c r="D101" s="96" t="s">
        <v>736</v>
      </c>
      <c r="E101" s="96" t="s">
        <v>736</v>
      </c>
      <c r="F101" s="96" t="s">
        <v>736</v>
      </c>
      <c r="G101" s="186" t="s">
        <v>736</v>
      </c>
    </row>
    <row r="102" spans="1:7" ht="21" customHeight="1" x14ac:dyDescent="0.25">
      <c r="A102" s="95">
        <v>38816</v>
      </c>
      <c r="B102" s="96" t="s">
        <v>572</v>
      </c>
      <c r="C102" s="96">
        <v>14900</v>
      </c>
      <c r="D102" s="96" t="s">
        <v>736</v>
      </c>
      <c r="E102" s="96" t="s">
        <v>736</v>
      </c>
      <c r="F102" s="96" t="s">
        <v>736</v>
      </c>
      <c r="G102" s="186" t="s">
        <v>736</v>
      </c>
    </row>
    <row r="103" spans="1:7" ht="21" customHeight="1" x14ac:dyDescent="0.25">
      <c r="A103" s="95">
        <v>38817</v>
      </c>
      <c r="B103" s="96" t="s">
        <v>572</v>
      </c>
      <c r="C103" s="96">
        <v>14900</v>
      </c>
      <c r="D103" s="96" t="s">
        <v>736</v>
      </c>
      <c r="E103" s="96" t="s">
        <v>736</v>
      </c>
      <c r="F103" s="96" t="s">
        <v>736</v>
      </c>
      <c r="G103" s="186" t="s">
        <v>736</v>
      </c>
    </row>
    <row r="104" spans="1:7" ht="21" customHeight="1" x14ac:dyDescent="0.25">
      <c r="A104" s="95">
        <v>38818</v>
      </c>
      <c r="B104" s="96" t="s">
        <v>572</v>
      </c>
      <c r="C104" s="96">
        <v>14900</v>
      </c>
      <c r="D104" s="96" t="s">
        <v>736</v>
      </c>
      <c r="E104" s="96" t="s">
        <v>736</v>
      </c>
      <c r="F104" s="96" t="s">
        <v>736</v>
      </c>
      <c r="G104" s="186" t="s">
        <v>736</v>
      </c>
    </row>
    <row r="105" spans="1:7" ht="21" customHeight="1" x14ac:dyDescent="0.25">
      <c r="A105" s="95">
        <v>38819</v>
      </c>
      <c r="B105" s="96" t="s">
        <v>572</v>
      </c>
      <c r="C105" s="96">
        <v>14900</v>
      </c>
      <c r="D105" s="96" t="s">
        <v>736</v>
      </c>
      <c r="E105" s="96" t="s">
        <v>736</v>
      </c>
      <c r="F105" s="96" t="s">
        <v>736</v>
      </c>
      <c r="G105" s="186" t="s">
        <v>736</v>
      </c>
    </row>
    <row r="106" spans="1:7" ht="21" customHeight="1" x14ac:dyDescent="0.25">
      <c r="A106" s="95">
        <v>38820</v>
      </c>
      <c r="B106" s="96" t="s">
        <v>572</v>
      </c>
      <c r="C106" s="96">
        <v>14900</v>
      </c>
      <c r="D106" s="96" t="s">
        <v>736</v>
      </c>
      <c r="E106" s="96" t="s">
        <v>736</v>
      </c>
      <c r="F106" s="96" t="s">
        <v>736</v>
      </c>
      <c r="G106" s="186" t="s">
        <v>736</v>
      </c>
    </row>
    <row r="107" spans="1:7" ht="21" customHeight="1" x14ac:dyDescent="0.25">
      <c r="A107" s="95">
        <v>38821</v>
      </c>
      <c r="B107" s="96" t="s">
        <v>669</v>
      </c>
      <c r="C107" s="96">
        <v>15000</v>
      </c>
      <c r="D107" s="96" t="s">
        <v>736</v>
      </c>
      <c r="E107" s="96" t="s">
        <v>736</v>
      </c>
      <c r="F107" s="96" t="s">
        <v>736</v>
      </c>
      <c r="G107" s="186" t="s">
        <v>736</v>
      </c>
    </row>
    <row r="108" spans="1:7" ht="21" customHeight="1" x14ac:dyDescent="0.25">
      <c r="A108" s="95">
        <v>38822</v>
      </c>
      <c r="B108" s="96" t="s">
        <v>572</v>
      </c>
      <c r="C108" s="96">
        <v>14900</v>
      </c>
      <c r="D108" s="96" t="s">
        <v>736</v>
      </c>
      <c r="E108" s="96" t="s">
        <v>736</v>
      </c>
      <c r="F108" s="96" t="s">
        <v>736</v>
      </c>
      <c r="G108" s="186" t="s">
        <v>736</v>
      </c>
    </row>
    <row r="109" spans="1:7" ht="21" customHeight="1" x14ac:dyDescent="0.25">
      <c r="A109" s="95">
        <v>38823</v>
      </c>
      <c r="B109" s="96" t="s">
        <v>571</v>
      </c>
      <c r="C109" s="96">
        <v>15200</v>
      </c>
      <c r="D109" s="96" t="s">
        <v>736</v>
      </c>
      <c r="E109" s="96" t="s">
        <v>736</v>
      </c>
      <c r="F109" s="96" t="s">
        <v>736</v>
      </c>
      <c r="G109" s="186" t="s">
        <v>736</v>
      </c>
    </row>
    <row r="110" spans="1:7" ht="21" customHeight="1" x14ac:dyDescent="0.25">
      <c r="A110" s="95">
        <v>38824</v>
      </c>
      <c r="B110" s="96" t="s">
        <v>571</v>
      </c>
      <c r="C110" s="96">
        <v>15200</v>
      </c>
      <c r="D110" s="96" t="s">
        <v>736</v>
      </c>
      <c r="E110" s="96" t="s">
        <v>736</v>
      </c>
      <c r="F110" s="96" t="s">
        <v>736</v>
      </c>
      <c r="G110" s="186" t="s">
        <v>736</v>
      </c>
    </row>
    <row r="111" spans="1:7" ht="21" customHeight="1" x14ac:dyDescent="0.25">
      <c r="A111" s="95">
        <v>38825</v>
      </c>
      <c r="B111" s="96" t="s">
        <v>571</v>
      </c>
      <c r="C111" s="96">
        <v>15200</v>
      </c>
      <c r="D111" s="96" t="s">
        <v>736</v>
      </c>
      <c r="E111" s="96" t="s">
        <v>736</v>
      </c>
      <c r="F111" s="96" t="s">
        <v>736</v>
      </c>
      <c r="G111" s="186" t="s">
        <v>736</v>
      </c>
    </row>
    <row r="112" spans="1:7" ht="21" customHeight="1" x14ac:dyDescent="0.25">
      <c r="A112" s="95">
        <v>38826</v>
      </c>
      <c r="B112" s="96" t="s">
        <v>571</v>
      </c>
      <c r="C112" s="96">
        <v>15200</v>
      </c>
      <c r="D112" s="96" t="s">
        <v>736</v>
      </c>
      <c r="E112" s="96" t="s">
        <v>736</v>
      </c>
      <c r="F112" s="96" t="s">
        <v>736</v>
      </c>
      <c r="G112" s="186" t="s">
        <v>736</v>
      </c>
    </row>
    <row r="113" spans="1:7" ht="21" customHeight="1" x14ac:dyDescent="0.25">
      <c r="A113" s="95">
        <v>38827</v>
      </c>
      <c r="B113" s="96" t="s">
        <v>571</v>
      </c>
      <c r="C113" s="96">
        <v>15200</v>
      </c>
      <c r="D113" s="96" t="s">
        <v>736</v>
      </c>
      <c r="E113" s="96" t="s">
        <v>736</v>
      </c>
      <c r="F113" s="96" t="s">
        <v>736</v>
      </c>
      <c r="G113" s="186" t="s">
        <v>736</v>
      </c>
    </row>
    <row r="114" spans="1:7" ht="21" customHeight="1" x14ac:dyDescent="0.25">
      <c r="A114" s="95">
        <v>38828</v>
      </c>
      <c r="B114" s="96" t="s">
        <v>571</v>
      </c>
      <c r="C114" s="96">
        <v>15200</v>
      </c>
      <c r="D114" s="96" t="s">
        <v>1312</v>
      </c>
      <c r="E114" s="96" t="s">
        <v>736</v>
      </c>
      <c r="F114" s="96" t="s">
        <v>1061</v>
      </c>
      <c r="G114" s="186" t="s">
        <v>1519</v>
      </c>
    </row>
    <row r="115" spans="1:7" ht="21" customHeight="1" x14ac:dyDescent="0.25">
      <c r="A115" s="95">
        <v>38829</v>
      </c>
      <c r="B115" s="96" t="s">
        <v>571</v>
      </c>
      <c r="C115" s="96">
        <v>15200</v>
      </c>
      <c r="D115" s="96" t="s">
        <v>1312</v>
      </c>
      <c r="E115" s="96" t="s">
        <v>736</v>
      </c>
      <c r="F115" s="96" t="s">
        <v>1061</v>
      </c>
      <c r="G115" s="186" t="s">
        <v>1519</v>
      </c>
    </row>
    <row r="116" spans="1:7" ht="21" customHeight="1" x14ac:dyDescent="0.25">
      <c r="A116" s="95">
        <v>38830</v>
      </c>
      <c r="B116" s="96" t="s">
        <v>670</v>
      </c>
      <c r="C116" s="96">
        <v>15400</v>
      </c>
      <c r="D116" s="96" t="s">
        <v>1312</v>
      </c>
      <c r="E116" s="96" t="s">
        <v>736</v>
      </c>
      <c r="F116" s="96" t="s">
        <v>1383</v>
      </c>
      <c r="G116" s="186" t="s">
        <v>1520</v>
      </c>
    </row>
    <row r="117" spans="1:7" ht="21" customHeight="1" x14ac:dyDescent="0.25">
      <c r="A117" s="95">
        <v>38831</v>
      </c>
      <c r="B117" s="96" t="s">
        <v>670</v>
      </c>
      <c r="C117" s="96">
        <v>15400</v>
      </c>
      <c r="D117" s="96" t="s">
        <v>1312</v>
      </c>
      <c r="E117" s="96" t="s">
        <v>736</v>
      </c>
      <c r="F117" s="96" t="s">
        <v>1383</v>
      </c>
      <c r="G117" s="186" t="s">
        <v>1520</v>
      </c>
    </row>
    <row r="118" spans="1:7" ht="21" customHeight="1" x14ac:dyDescent="0.25">
      <c r="A118" s="95">
        <v>38832</v>
      </c>
      <c r="B118" s="96" t="s">
        <v>671</v>
      </c>
      <c r="C118" s="96">
        <v>15400</v>
      </c>
      <c r="D118" s="96" t="s">
        <v>1383</v>
      </c>
      <c r="E118" s="96" t="s">
        <v>736</v>
      </c>
      <c r="F118" s="96" t="s">
        <v>1312</v>
      </c>
      <c r="G118" s="186" t="s">
        <v>1521</v>
      </c>
    </row>
    <row r="119" spans="1:7" ht="21" customHeight="1" x14ac:dyDescent="0.25">
      <c r="A119" s="95">
        <v>38833</v>
      </c>
      <c r="B119" s="96" t="s">
        <v>570</v>
      </c>
      <c r="C119" s="96">
        <v>15500</v>
      </c>
      <c r="D119" s="96" t="s">
        <v>1383</v>
      </c>
      <c r="E119" s="96" t="s">
        <v>736</v>
      </c>
      <c r="F119" s="96" t="s">
        <v>1383</v>
      </c>
      <c r="G119" s="186" t="s">
        <v>1522</v>
      </c>
    </row>
    <row r="120" spans="1:7" ht="21" customHeight="1" x14ac:dyDescent="0.25">
      <c r="A120" s="95">
        <v>38834</v>
      </c>
      <c r="B120" s="96" t="s">
        <v>670</v>
      </c>
      <c r="C120" s="96">
        <v>15400</v>
      </c>
      <c r="D120" s="96" t="s">
        <v>1060</v>
      </c>
      <c r="E120" s="96" t="s">
        <v>736</v>
      </c>
      <c r="F120" s="96" t="s">
        <v>824</v>
      </c>
      <c r="G120" s="186" t="s">
        <v>1523</v>
      </c>
    </row>
    <row r="121" spans="1:7" ht="21" customHeight="1" x14ac:dyDescent="0.25">
      <c r="A121" s="95">
        <v>38835</v>
      </c>
      <c r="B121" s="96" t="s">
        <v>670</v>
      </c>
      <c r="C121" s="96">
        <v>15400</v>
      </c>
      <c r="D121" s="96" t="s">
        <v>1060</v>
      </c>
      <c r="E121" s="96" t="s">
        <v>736</v>
      </c>
      <c r="F121" s="96" t="s">
        <v>824</v>
      </c>
      <c r="G121" s="186" t="s">
        <v>1523</v>
      </c>
    </row>
    <row r="122" spans="1:7" ht="21" customHeight="1" x14ac:dyDescent="0.25">
      <c r="A122" s="95">
        <v>38836</v>
      </c>
      <c r="B122" s="96" t="s">
        <v>736</v>
      </c>
      <c r="C122" s="96" t="s">
        <v>736</v>
      </c>
      <c r="D122" s="96" t="s">
        <v>1272</v>
      </c>
      <c r="E122" s="96" t="s">
        <v>736</v>
      </c>
      <c r="F122" s="96" t="s">
        <v>1272</v>
      </c>
      <c r="G122" s="186" t="s">
        <v>1524</v>
      </c>
    </row>
    <row r="123" spans="1:7" ht="21" customHeight="1" x14ac:dyDescent="0.25">
      <c r="A123" s="95">
        <v>38837</v>
      </c>
      <c r="B123" s="96" t="s">
        <v>736</v>
      </c>
      <c r="C123" s="96" t="s">
        <v>736</v>
      </c>
      <c r="D123" s="96" t="s">
        <v>1272</v>
      </c>
      <c r="E123" s="96" t="s">
        <v>736</v>
      </c>
      <c r="F123" s="96" t="s">
        <v>1272</v>
      </c>
      <c r="G123" s="186" t="s">
        <v>1525</v>
      </c>
    </row>
    <row r="124" spans="1:7" ht="21" customHeight="1" x14ac:dyDescent="0.25">
      <c r="A124" s="95">
        <v>38838</v>
      </c>
      <c r="B124" s="96" t="s">
        <v>736</v>
      </c>
      <c r="C124" s="96" t="s">
        <v>736</v>
      </c>
      <c r="D124" s="96" t="s">
        <v>1272</v>
      </c>
      <c r="E124" s="96" t="s">
        <v>736</v>
      </c>
      <c r="F124" s="96" t="s">
        <v>1272</v>
      </c>
      <c r="G124" s="186" t="s">
        <v>1526</v>
      </c>
    </row>
    <row r="125" spans="1:7" ht="21" customHeight="1" x14ac:dyDescent="0.25">
      <c r="A125" s="95">
        <v>38839</v>
      </c>
      <c r="B125" s="96" t="s">
        <v>578</v>
      </c>
      <c r="C125" s="96">
        <v>13800</v>
      </c>
      <c r="D125" s="96" t="s">
        <v>1272</v>
      </c>
      <c r="E125" s="96" t="s">
        <v>736</v>
      </c>
      <c r="F125" s="96" t="s">
        <v>1272</v>
      </c>
      <c r="G125" s="186" t="s">
        <v>1527</v>
      </c>
    </row>
    <row r="126" spans="1:7" ht="21" customHeight="1" x14ac:dyDescent="0.25">
      <c r="A126" s="95">
        <v>38840</v>
      </c>
      <c r="B126" s="96" t="s">
        <v>672</v>
      </c>
      <c r="C126" s="96">
        <v>13600</v>
      </c>
      <c r="D126" s="96" t="s">
        <v>1060</v>
      </c>
      <c r="E126" s="96" t="s">
        <v>736</v>
      </c>
      <c r="F126" s="96" t="s">
        <v>1060</v>
      </c>
      <c r="G126" s="186" t="s">
        <v>1528</v>
      </c>
    </row>
    <row r="127" spans="1:7" ht="21" customHeight="1" x14ac:dyDescent="0.25">
      <c r="A127" s="95">
        <v>38841</v>
      </c>
      <c r="B127" s="96" t="s">
        <v>581</v>
      </c>
      <c r="C127" s="96">
        <v>13250</v>
      </c>
      <c r="D127" s="96" t="s">
        <v>1060</v>
      </c>
      <c r="E127" s="96" t="s">
        <v>736</v>
      </c>
      <c r="F127" s="96" t="s">
        <v>1060</v>
      </c>
      <c r="G127" s="186" t="s">
        <v>1529</v>
      </c>
    </row>
    <row r="128" spans="1:7" ht="21" customHeight="1" x14ac:dyDescent="0.25">
      <c r="A128" s="95">
        <v>38842</v>
      </c>
      <c r="B128" s="96" t="s">
        <v>582</v>
      </c>
      <c r="C128" s="96">
        <v>13000</v>
      </c>
      <c r="D128" s="96" t="s">
        <v>1060</v>
      </c>
      <c r="E128" s="96" t="s">
        <v>736</v>
      </c>
      <c r="F128" s="96" t="s">
        <v>1060</v>
      </c>
      <c r="G128" s="186" t="s">
        <v>1530</v>
      </c>
    </row>
    <row r="129" spans="1:7" ht="21" customHeight="1" x14ac:dyDescent="0.25">
      <c r="A129" s="95">
        <v>38843</v>
      </c>
      <c r="B129" s="96" t="s">
        <v>582</v>
      </c>
      <c r="C129" s="96">
        <v>13000</v>
      </c>
      <c r="D129" s="96" t="s">
        <v>1060</v>
      </c>
      <c r="E129" s="96" t="s">
        <v>736</v>
      </c>
      <c r="F129" s="96" t="s">
        <v>1060</v>
      </c>
      <c r="G129" s="186" t="s">
        <v>1530</v>
      </c>
    </row>
    <row r="130" spans="1:7" ht="21" customHeight="1" x14ac:dyDescent="0.25">
      <c r="A130" s="95">
        <v>38844</v>
      </c>
      <c r="B130" s="96" t="s">
        <v>581</v>
      </c>
      <c r="C130" s="96">
        <v>13250</v>
      </c>
      <c r="D130" s="96" t="s">
        <v>1060</v>
      </c>
      <c r="E130" s="96" t="s">
        <v>736</v>
      </c>
      <c r="F130" s="96" t="s">
        <v>1060</v>
      </c>
      <c r="G130" s="186" t="s">
        <v>1531</v>
      </c>
    </row>
    <row r="131" spans="1:7" ht="21" customHeight="1" x14ac:dyDescent="0.25">
      <c r="A131" s="95">
        <v>38845</v>
      </c>
      <c r="B131" s="96" t="s">
        <v>580</v>
      </c>
      <c r="C131" s="96">
        <v>13500</v>
      </c>
      <c r="D131" s="96" t="s">
        <v>1060</v>
      </c>
      <c r="E131" s="96" t="s">
        <v>736</v>
      </c>
      <c r="F131" s="96" t="s">
        <v>1060</v>
      </c>
      <c r="G131" s="186" t="s">
        <v>1528</v>
      </c>
    </row>
    <row r="132" spans="1:7" ht="21" customHeight="1" x14ac:dyDescent="0.25">
      <c r="A132" s="95">
        <v>38846</v>
      </c>
      <c r="B132" s="96" t="s">
        <v>580</v>
      </c>
      <c r="C132" s="96">
        <v>13500</v>
      </c>
      <c r="D132" s="96" t="s">
        <v>1060</v>
      </c>
      <c r="E132" s="96" t="s">
        <v>736</v>
      </c>
      <c r="F132" s="96" t="s">
        <v>1060</v>
      </c>
      <c r="G132" s="186" t="s">
        <v>1528</v>
      </c>
    </row>
    <row r="133" spans="1:7" ht="21" customHeight="1" x14ac:dyDescent="0.25">
      <c r="A133" s="95">
        <v>38847</v>
      </c>
      <c r="B133" s="96" t="s">
        <v>580</v>
      </c>
      <c r="C133" s="96">
        <v>13500</v>
      </c>
      <c r="D133" s="96" t="s">
        <v>1060</v>
      </c>
      <c r="E133" s="96" t="s">
        <v>736</v>
      </c>
      <c r="F133" s="96" t="s">
        <v>1060</v>
      </c>
      <c r="G133" s="186" t="s">
        <v>1528</v>
      </c>
    </row>
    <row r="134" spans="1:7" ht="21" customHeight="1" x14ac:dyDescent="0.25">
      <c r="A134" s="95">
        <v>38848</v>
      </c>
      <c r="B134" s="96" t="s">
        <v>580</v>
      </c>
      <c r="C134" s="96">
        <v>13500</v>
      </c>
      <c r="D134" s="96" t="s">
        <v>1249</v>
      </c>
      <c r="E134" s="96" t="s">
        <v>736</v>
      </c>
      <c r="F134" s="96" t="s">
        <v>1249</v>
      </c>
      <c r="G134" s="186" t="s">
        <v>1528</v>
      </c>
    </row>
    <row r="135" spans="1:7" ht="21" customHeight="1" x14ac:dyDescent="0.25">
      <c r="A135" s="95">
        <v>38849</v>
      </c>
      <c r="B135" s="96" t="s">
        <v>581</v>
      </c>
      <c r="C135" s="96">
        <v>13250</v>
      </c>
      <c r="D135" s="96" t="s">
        <v>1249</v>
      </c>
      <c r="E135" s="96" t="s">
        <v>736</v>
      </c>
      <c r="F135" s="96" t="s">
        <v>1062</v>
      </c>
      <c r="G135" s="186" t="s">
        <v>1532</v>
      </c>
    </row>
    <row r="136" spans="1:7" ht="21" customHeight="1" x14ac:dyDescent="0.25">
      <c r="A136" s="95">
        <v>38850</v>
      </c>
      <c r="B136" s="96" t="s">
        <v>583</v>
      </c>
      <c r="C136" s="96">
        <v>12900</v>
      </c>
      <c r="D136" s="96" t="s">
        <v>1249</v>
      </c>
      <c r="E136" s="96" t="s">
        <v>736</v>
      </c>
      <c r="F136" s="96" t="s">
        <v>1249</v>
      </c>
      <c r="G136" s="186" t="s">
        <v>1533</v>
      </c>
    </row>
    <row r="137" spans="1:7" ht="21" customHeight="1" x14ac:dyDescent="0.25">
      <c r="A137" s="95">
        <v>38851</v>
      </c>
      <c r="B137" s="96" t="s">
        <v>673</v>
      </c>
      <c r="C137" s="96">
        <v>12800</v>
      </c>
      <c r="D137" s="96" t="s">
        <v>1249</v>
      </c>
      <c r="E137" s="96" t="s">
        <v>736</v>
      </c>
      <c r="F137" s="96" t="s">
        <v>1249</v>
      </c>
      <c r="G137" s="186" t="s">
        <v>1534</v>
      </c>
    </row>
    <row r="138" spans="1:7" ht="21" customHeight="1" x14ac:dyDescent="0.25">
      <c r="A138" s="95">
        <v>38852</v>
      </c>
      <c r="B138" s="96" t="s">
        <v>668</v>
      </c>
      <c r="C138" s="96">
        <v>12500</v>
      </c>
      <c r="D138" s="96" t="s">
        <v>1249</v>
      </c>
      <c r="E138" s="96" t="s">
        <v>736</v>
      </c>
      <c r="F138" s="96" t="s">
        <v>1249</v>
      </c>
      <c r="G138" s="186" t="s">
        <v>1535</v>
      </c>
    </row>
    <row r="139" spans="1:7" ht="21" customHeight="1" x14ac:dyDescent="0.25">
      <c r="A139" s="95">
        <v>38853</v>
      </c>
      <c r="B139" s="96" t="s">
        <v>667</v>
      </c>
      <c r="C139" s="96">
        <v>12300</v>
      </c>
      <c r="D139" s="96" t="s">
        <v>1249</v>
      </c>
      <c r="E139" s="96" t="s">
        <v>736</v>
      </c>
      <c r="F139" s="96" t="s">
        <v>1249</v>
      </c>
      <c r="G139" s="186" t="s">
        <v>1536</v>
      </c>
    </row>
    <row r="140" spans="1:7" ht="21" customHeight="1" x14ac:dyDescent="0.25">
      <c r="A140" s="95">
        <v>38854</v>
      </c>
      <c r="B140" s="96" t="s">
        <v>662</v>
      </c>
      <c r="C140" s="96">
        <v>12200</v>
      </c>
      <c r="D140" s="96" t="s">
        <v>1247</v>
      </c>
      <c r="E140" s="96" t="s">
        <v>736</v>
      </c>
      <c r="F140" s="96" t="s">
        <v>1247</v>
      </c>
      <c r="G140" s="186" t="s">
        <v>1537</v>
      </c>
    </row>
    <row r="141" spans="1:7" ht="21" customHeight="1" x14ac:dyDescent="0.25">
      <c r="A141" s="95">
        <v>38855</v>
      </c>
      <c r="B141" s="96" t="s">
        <v>584</v>
      </c>
      <c r="C141" s="96">
        <v>12000</v>
      </c>
      <c r="D141" s="96" t="s">
        <v>1247</v>
      </c>
      <c r="E141" s="96" t="s">
        <v>736</v>
      </c>
      <c r="F141" s="96" t="s">
        <v>1247</v>
      </c>
      <c r="G141" s="186" t="s">
        <v>1538</v>
      </c>
    </row>
    <row r="142" spans="1:7" ht="21" customHeight="1" x14ac:dyDescent="0.25">
      <c r="A142" s="95">
        <v>38856</v>
      </c>
      <c r="B142" s="96" t="s">
        <v>391</v>
      </c>
      <c r="C142" s="96" t="s">
        <v>12</v>
      </c>
      <c r="D142" s="96" t="s">
        <v>1247</v>
      </c>
      <c r="E142" s="96" t="s">
        <v>736</v>
      </c>
      <c r="F142" s="96" t="s">
        <v>1247</v>
      </c>
      <c r="G142" s="186" t="s">
        <v>1539</v>
      </c>
    </row>
    <row r="143" spans="1:7" ht="21" customHeight="1" x14ac:dyDescent="0.25">
      <c r="A143" s="95">
        <v>38857</v>
      </c>
      <c r="B143" s="96" t="s">
        <v>661</v>
      </c>
      <c r="C143" s="96">
        <v>11600</v>
      </c>
      <c r="D143" s="96" t="s">
        <v>1247</v>
      </c>
      <c r="E143" s="96" t="s">
        <v>736</v>
      </c>
      <c r="F143" s="96" t="s">
        <v>1247</v>
      </c>
      <c r="G143" s="186" t="s">
        <v>1540</v>
      </c>
    </row>
    <row r="144" spans="1:7" ht="21" customHeight="1" x14ac:dyDescent="0.25">
      <c r="A144" s="95">
        <v>38858</v>
      </c>
      <c r="B144" s="96" t="s">
        <v>586</v>
      </c>
      <c r="C144" s="96">
        <v>11500</v>
      </c>
      <c r="D144" s="96" t="s">
        <v>1247</v>
      </c>
      <c r="E144" s="96" t="s">
        <v>736</v>
      </c>
      <c r="F144" s="96" t="s">
        <v>1247</v>
      </c>
      <c r="G144" s="186" t="s">
        <v>1541</v>
      </c>
    </row>
    <row r="145" spans="1:7" ht="21" customHeight="1" x14ac:dyDescent="0.25">
      <c r="A145" s="95">
        <v>38859</v>
      </c>
      <c r="B145" s="96" t="s">
        <v>674</v>
      </c>
      <c r="C145" s="96">
        <v>11400</v>
      </c>
      <c r="D145" s="96" t="s">
        <v>1247</v>
      </c>
      <c r="E145" s="96" t="s">
        <v>736</v>
      </c>
      <c r="F145" s="96" t="s">
        <v>1247</v>
      </c>
      <c r="G145" s="186" t="s">
        <v>1475</v>
      </c>
    </row>
    <row r="146" spans="1:7" ht="21" customHeight="1" x14ac:dyDescent="0.25">
      <c r="A146" s="95">
        <v>38860</v>
      </c>
      <c r="B146" s="96" t="s">
        <v>587</v>
      </c>
      <c r="C146" s="96">
        <v>11300</v>
      </c>
      <c r="D146" s="96" t="s">
        <v>1247</v>
      </c>
      <c r="E146" s="96" t="s">
        <v>736</v>
      </c>
      <c r="F146" s="96" t="s">
        <v>1247</v>
      </c>
      <c r="G146" s="186" t="s">
        <v>1542</v>
      </c>
    </row>
    <row r="147" spans="1:7" ht="21" customHeight="1" x14ac:dyDescent="0.25">
      <c r="A147" s="95">
        <v>38861</v>
      </c>
      <c r="B147" s="96" t="s">
        <v>660</v>
      </c>
      <c r="C147" s="96">
        <v>11200</v>
      </c>
      <c r="D147" s="96" t="s">
        <v>1249</v>
      </c>
      <c r="E147" s="96" t="s">
        <v>736</v>
      </c>
      <c r="F147" s="96" t="s">
        <v>1060</v>
      </c>
      <c r="G147" s="186" t="s">
        <v>1543</v>
      </c>
    </row>
    <row r="148" spans="1:7" ht="21" customHeight="1" x14ac:dyDescent="0.25">
      <c r="A148" s="95">
        <v>38862</v>
      </c>
      <c r="B148" s="96" t="s">
        <v>589</v>
      </c>
      <c r="C148" s="96">
        <v>10800</v>
      </c>
      <c r="D148" s="96" t="s">
        <v>1249</v>
      </c>
      <c r="E148" s="96" t="s">
        <v>736</v>
      </c>
      <c r="F148" s="96" t="s">
        <v>1442</v>
      </c>
      <c r="G148" s="186" t="s">
        <v>1544</v>
      </c>
    </row>
    <row r="149" spans="1:7" ht="21" customHeight="1" x14ac:dyDescent="0.25">
      <c r="A149" s="95">
        <v>38863</v>
      </c>
      <c r="B149" s="96" t="s">
        <v>590</v>
      </c>
      <c r="C149" s="96">
        <v>10600</v>
      </c>
      <c r="D149" s="96" t="s">
        <v>1249</v>
      </c>
      <c r="E149" s="96" t="s">
        <v>736</v>
      </c>
      <c r="F149" s="96" t="s">
        <v>1060</v>
      </c>
      <c r="G149" s="186" t="s">
        <v>1544</v>
      </c>
    </row>
    <row r="150" spans="1:7" ht="21" customHeight="1" x14ac:dyDescent="0.25">
      <c r="A150" s="95">
        <v>38864</v>
      </c>
      <c r="B150" s="96" t="s">
        <v>591</v>
      </c>
      <c r="C150" s="96">
        <v>10400</v>
      </c>
      <c r="D150" s="96" t="s">
        <v>824</v>
      </c>
      <c r="E150" s="96" t="s">
        <v>736</v>
      </c>
      <c r="F150" s="96" t="s">
        <v>1249</v>
      </c>
      <c r="G150" s="186" t="s">
        <v>1545</v>
      </c>
    </row>
    <row r="151" spans="1:7" ht="21" customHeight="1" x14ac:dyDescent="0.25">
      <c r="A151" s="95">
        <v>38865</v>
      </c>
      <c r="B151" s="96" t="s">
        <v>592</v>
      </c>
      <c r="C151" s="96">
        <v>10200</v>
      </c>
      <c r="D151" s="96" t="s">
        <v>1249</v>
      </c>
      <c r="E151" s="96" t="s">
        <v>736</v>
      </c>
      <c r="F151" s="96" t="s">
        <v>1060</v>
      </c>
      <c r="G151" s="186" t="s">
        <v>1545</v>
      </c>
    </row>
    <row r="152" spans="1:7" ht="21" customHeight="1" x14ac:dyDescent="0.25">
      <c r="A152" s="95">
        <v>38866</v>
      </c>
      <c r="B152" s="96" t="s">
        <v>659</v>
      </c>
      <c r="C152" s="96">
        <v>10000</v>
      </c>
      <c r="D152" s="96" t="s">
        <v>1249</v>
      </c>
      <c r="E152" s="96" t="s">
        <v>736</v>
      </c>
      <c r="F152" s="96" t="s">
        <v>1060</v>
      </c>
      <c r="G152" s="186" t="s">
        <v>1545</v>
      </c>
    </row>
    <row r="153" spans="1:7" ht="21" customHeight="1" x14ac:dyDescent="0.25">
      <c r="A153" s="95">
        <v>38867</v>
      </c>
      <c r="B153" s="96" t="s">
        <v>594</v>
      </c>
      <c r="C153" s="96">
        <v>9900</v>
      </c>
      <c r="D153" s="96" t="s">
        <v>1249</v>
      </c>
      <c r="E153" s="96" t="s">
        <v>736</v>
      </c>
      <c r="F153" s="96" t="s">
        <v>1060</v>
      </c>
      <c r="G153" s="186" t="s">
        <v>1546</v>
      </c>
    </row>
    <row r="154" spans="1:7" ht="21" customHeight="1" x14ac:dyDescent="0.25">
      <c r="A154" s="95">
        <v>38868</v>
      </c>
      <c r="B154" s="96" t="s">
        <v>595</v>
      </c>
      <c r="C154" s="96">
        <v>9700</v>
      </c>
      <c r="D154" s="96" t="s">
        <v>1249</v>
      </c>
      <c r="E154" s="96" t="s">
        <v>736</v>
      </c>
      <c r="F154" s="96" t="s">
        <v>1249</v>
      </c>
      <c r="G154" s="186" t="s">
        <v>736</v>
      </c>
    </row>
    <row r="155" spans="1:7" ht="21" customHeight="1" x14ac:dyDescent="0.25">
      <c r="A155" s="95">
        <v>38869</v>
      </c>
      <c r="B155" s="96" t="s">
        <v>666</v>
      </c>
      <c r="C155" s="96">
        <v>9600</v>
      </c>
      <c r="D155" s="96" t="s">
        <v>1249</v>
      </c>
      <c r="E155" s="96" t="s">
        <v>736</v>
      </c>
      <c r="F155" s="96" t="s">
        <v>1249</v>
      </c>
      <c r="G155" s="186" t="s">
        <v>736</v>
      </c>
    </row>
    <row r="156" spans="1:7" ht="21" customHeight="1" x14ac:dyDescent="0.25">
      <c r="A156" s="95">
        <v>38870</v>
      </c>
      <c r="B156" s="96" t="s">
        <v>658</v>
      </c>
      <c r="C156" s="96">
        <v>9500</v>
      </c>
      <c r="D156" s="96" t="s">
        <v>824</v>
      </c>
      <c r="E156" s="96" t="s">
        <v>736</v>
      </c>
      <c r="F156" s="96" t="s">
        <v>1062</v>
      </c>
      <c r="G156" s="186" t="s">
        <v>736</v>
      </c>
    </row>
    <row r="157" spans="1:7" ht="21" customHeight="1" x14ac:dyDescent="0.25">
      <c r="A157" s="95">
        <v>38871</v>
      </c>
      <c r="B157" s="96" t="s">
        <v>657</v>
      </c>
      <c r="C157" s="96">
        <v>9400</v>
      </c>
      <c r="D157" s="96" t="s">
        <v>824</v>
      </c>
      <c r="E157" s="96" t="s">
        <v>736</v>
      </c>
      <c r="F157" s="96" t="s">
        <v>1062</v>
      </c>
      <c r="G157" s="186" t="s">
        <v>736</v>
      </c>
    </row>
    <row r="158" spans="1:7" ht="21" customHeight="1" x14ac:dyDescent="0.25">
      <c r="A158" s="95">
        <v>38872</v>
      </c>
      <c r="B158" s="96" t="s">
        <v>596</v>
      </c>
      <c r="C158" s="96">
        <v>9200</v>
      </c>
      <c r="D158" s="96" t="s">
        <v>1249</v>
      </c>
      <c r="E158" s="96" t="s">
        <v>736</v>
      </c>
      <c r="F158" s="96" t="s">
        <v>1062</v>
      </c>
      <c r="G158" s="186" t="s">
        <v>736</v>
      </c>
    </row>
    <row r="159" spans="1:7" ht="21" customHeight="1" x14ac:dyDescent="0.25">
      <c r="A159" s="95">
        <v>38873</v>
      </c>
      <c r="B159" s="96" t="s">
        <v>655</v>
      </c>
      <c r="C159" s="96">
        <v>9100</v>
      </c>
      <c r="D159" s="96" t="s">
        <v>1249</v>
      </c>
      <c r="E159" s="96" t="s">
        <v>736</v>
      </c>
      <c r="F159" s="96" t="s">
        <v>1062</v>
      </c>
      <c r="G159" s="186" t="s">
        <v>736</v>
      </c>
    </row>
    <row r="160" spans="1:7" ht="21" customHeight="1" x14ac:dyDescent="0.25">
      <c r="A160" s="95">
        <v>38874</v>
      </c>
      <c r="B160" s="96" t="s">
        <v>597</v>
      </c>
      <c r="C160" s="96">
        <v>9000</v>
      </c>
      <c r="D160" s="96" t="s">
        <v>1249</v>
      </c>
      <c r="E160" s="96" t="s">
        <v>736</v>
      </c>
      <c r="F160" s="96" t="s">
        <v>1062</v>
      </c>
      <c r="G160" s="186" t="s">
        <v>736</v>
      </c>
    </row>
    <row r="161" spans="1:7" ht="21" customHeight="1" x14ac:dyDescent="0.25">
      <c r="A161" s="95">
        <v>38875</v>
      </c>
      <c r="B161" s="96" t="s">
        <v>654</v>
      </c>
      <c r="C161" s="96">
        <v>8900</v>
      </c>
      <c r="D161" s="96" t="s">
        <v>1249</v>
      </c>
      <c r="E161" s="96" t="s">
        <v>736</v>
      </c>
      <c r="F161" s="96" t="s">
        <v>1062</v>
      </c>
      <c r="G161" s="186" t="s">
        <v>736</v>
      </c>
    </row>
    <row r="162" spans="1:7" ht="21" customHeight="1" x14ac:dyDescent="0.25">
      <c r="A162" s="95">
        <v>38876</v>
      </c>
      <c r="B162" s="96" t="s">
        <v>653</v>
      </c>
      <c r="C162" s="96">
        <v>8700</v>
      </c>
      <c r="D162" s="96" t="s">
        <v>1249</v>
      </c>
      <c r="E162" s="96" t="s">
        <v>736</v>
      </c>
      <c r="F162" s="96" t="s">
        <v>1249</v>
      </c>
      <c r="G162" s="186" t="s">
        <v>736</v>
      </c>
    </row>
    <row r="163" spans="1:7" ht="21" customHeight="1" x14ac:dyDescent="0.25">
      <c r="A163" s="95">
        <v>38877</v>
      </c>
      <c r="B163" s="96" t="s">
        <v>675</v>
      </c>
      <c r="C163" s="96">
        <v>8500</v>
      </c>
      <c r="D163" s="96" t="s">
        <v>1249</v>
      </c>
      <c r="E163" s="96" t="s">
        <v>736</v>
      </c>
      <c r="F163" s="96" t="s">
        <v>1249</v>
      </c>
      <c r="G163" s="186" t="s">
        <v>736</v>
      </c>
    </row>
    <row r="164" spans="1:7" ht="21" customHeight="1" x14ac:dyDescent="0.25">
      <c r="A164" s="95">
        <v>38878</v>
      </c>
      <c r="B164" s="96" t="s">
        <v>676</v>
      </c>
      <c r="C164" s="96">
        <v>8300</v>
      </c>
      <c r="D164" s="96" t="s">
        <v>1249</v>
      </c>
      <c r="E164" s="96" t="s">
        <v>736</v>
      </c>
      <c r="F164" s="96" t="s">
        <v>1249</v>
      </c>
      <c r="G164" s="186" t="s">
        <v>736</v>
      </c>
    </row>
    <row r="165" spans="1:7" ht="21" customHeight="1" x14ac:dyDescent="0.25">
      <c r="A165" s="95">
        <v>38879</v>
      </c>
      <c r="B165" s="96" t="s">
        <v>677</v>
      </c>
      <c r="C165" s="96">
        <v>8200</v>
      </c>
      <c r="D165" s="96" t="s">
        <v>1249</v>
      </c>
      <c r="E165" s="96" t="s">
        <v>736</v>
      </c>
      <c r="F165" s="96" t="s">
        <v>1249</v>
      </c>
      <c r="G165" s="186" t="s">
        <v>736</v>
      </c>
    </row>
    <row r="166" spans="1:7" ht="21" customHeight="1" x14ac:dyDescent="0.25">
      <c r="A166" s="95">
        <v>38880</v>
      </c>
      <c r="B166" s="96" t="s">
        <v>678</v>
      </c>
      <c r="C166" s="96">
        <v>800</v>
      </c>
      <c r="D166" s="96" t="s">
        <v>1249</v>
      </c>
      <c r="E166" s="96" t="s">
        <v>736</v>
      </c>
      <c r="F166" s="96" t="s">
        <v>1249</v>
      </c>
      <c r="G166" s="186" t="s">
        <v>736</v>
      </c>
    </row>
    <row r="167" spans="1:7" ht="21" customHeight="1" x14ac:dyDescent="0.25">
      <c r="A167" s="95">
        <v>38881</v>
      </c>
      <c r="B167" s="96" t="s">
        <v>652</v>
      </c>
      <c r="C167" s="96">
        <v>7800</v>
      </c>
      <c r="D167" s="96" t="s">
        <v>1249</v>
      </c>
      <c r="E167" s="96" t="s">
        <v>736</v>
      </c>
      <c r="F167" s="96" t="s">
        <v>1249</v>
      </c>
      <c r="G167" s="186" t="s">
        <v>736</v>
      </c>
    </row>
    <row r="168" spans="1:7" ht="21" customHeight="1" x14ac:dyDescent="0.25">
      <c r="A168" s="95">
        <v>38882</v>
      </c>
      <c r="B168" s="96" t="s">
        <v>679</v>
      </c>
      <c r="C168" s="96">
        <v>7500</v>
      </c>
      <c r="D168" s="96" t="s">
        <v>1249</v>
      </c>
      <c r="E168" s="96" t="s">
        <v>736</v>
      </c>
      <c r="F168" s="96" t="s">
        <v>1249</v>
      </c>
      <c r="G168" s="186" t="s">
        <v>736</v>
      </c>
    </row>
    <row r="169" spans="1:7" ht="21" customHeight="1" x14ac:dyDescent="0.25">
      <c r="A169" s="95">
        <v>38883</v>
      </c>
      <c r="B169" s="96" t="s">
        <v>605</v>
      </c>
      <c r="C169" s="96">
        <v>7400</v>
      </c>
      <c r="D169" s="96" t="s">
        <v>1249</v>
      </c>
      <c r="E169" s="96" t="s">
        <v>736</v>
      </c>
      <c r="F169" s="96" t="s">
        <v>1249</v>
      </c>
      <c r="G169" s="186" t="s">
        <v>736</v>
      </c>
    </row>
    <row r="170" spans="1:7" ht="21" customHeight="1" x14ac:dyDescent="0.25">
      <c r="A170" s="95">
        <v>38884</v>
      </c>
      <c r="B170" s="96" t="s">
        <v>606</v>
      </c>
      <c r="C170" s="96">
        <v>7200</v>
      </c>
      <c r="D170" s="96" t="s">
        <v>1249</v>
      </c>
      <c r="E170" s="96" t="s">
        <v>736</v>
      </c>
      <c r="F170" s="96" t="s">
        <v>1249</v>
      </c>
      <c r="G170" s="186" t="s">
        <v>736</v>
      </c>
    </row>
    <row r="171" spans="1:7" ht="21" customHeight="1" x14ac:dyDescent="0.25">
      <c r="A171" s="95">
        <v>38885</v>
      </c>
      <c r="B171" s="96" t="s">
        <v>680</v>
      </c>
      <c r="C171" s="96">
        <v>700</v>
      </c>
      <c r="D171" s="96" t="s">
        <v>1249</v>
      </c>
      <c r="E171" s="96" t="s">
        <v>736</v>
      </c>
      <c r="F171" s="96" t="s">
        <v>1249</v>
      </c>
      <c r="G171" s="186" t="s">
        <v>736</v>
      </c>
    </row>
    <row r="172" spans="1:7" ht="21" customHeight="1" x14ac:dyDescent="0.25">
      <c r="A172" s="95">
        <v>38886</v>
      </c>
      <c r="B172" s="96" t="s">
        <v>650</v>
      </c>
      <c r="C172" s="96">
        <v>6800</v>
      </c>
      <c r="D172" s="96" t="s">
        <v>1249</v>
      </c>
      <c r="E172" s="96" t="s">
        <v>736</v>
      </c>
      <c r="F172" s="96" t="s">
        <v>1249</v>
      </c>
      <c r="G172" s="186" t="s">
        <v>736</v>
      </c>
    </row>
    <row r="173" spans="1:7" ht="21" customHeight="1" x14ac:dyDescent="0.25">
      <c r="A173" s="95">
        <v>38887</v>
      </c>
      <c r="B173" s="96" t="s">
        <v>608</v>
      </c>
      <c r="C173" s="96">
        <v>6700</v>
      </c>
      <c r="D173" s="96" t="s">
        <v>1249</v>
      </c>
      <c r="E173" s="96" t="s">
        <v>736</v>
      </c>
      <c r="F173" s="96" t="s">
        <v>1249</v>
      </c>
      <c r="G173" s="186" t="s">
        <v>736</v>
      </c>
    </row>
    <row r="174" spans="1:7" ht="21" customHeight="1" x14ac:dyDescent="0.25">
      <c r="A174" s="95">
        <v>38888</v>
      </c>
      <c r="B174" s="96" t="s">
        <v>609</v>
      </c>
      <c r="C174" s="96">
        <v>6500</v>
      </c>
      <c r="D174" s="96" t="s">
        <v>1249</v>
      </c>
      <c r="E174" s="96" t="s">
        <v>736</v>
      </c>
      <c r="F174" s="96" t="s">
        <v>1249</v>
      </c>
      <c r="G174" s="186" t="s">
        <v>736</v>
      </c>
    </row>
    <row r="175" spans="1:7" ht="21" customHeight="1" x14ac:dyDescent="0.25">
      <c r="A175" s="95">
        <v>38889</v>
      </c>
      <c r="B175" s="96" t="s">
        <v>609</v>
      </c>
      <c r="C175" s="96">
        <v>6500</v>
      </c>
      <c r="D175" s="96" t="s">
        <v>1249</v>
      </c>
      <c r="E175" s="96" t="s">
        <v>736</v>
      </c>
      <c r="F175" s="96" t="s">
        <v>1249</v>
      </c>
      <c r="G175" s="186" t="s">
        <v>736</v>
      </c>
    </row>
    <row r="176" spans="1:7" ht="21" customHeight="1" x14ac:dyDescent="0.25">
      <c r="A176" s="95">
        <v>38890</v>
      </c>
      <c r="B176" s="96" t="s">
        <v>681</v>
      </c>
      <c r="C176" s="96">
        <v>6450</v>
      </c>
      <c r="D176" s="96" t="s">
        <v>1272</v>
      </c>
      <c r="E176" s="96" t="s">
        <v>736</v>
      </c>
      <c r="F176" s="96" t="s">
        <v>1272</v>
      </c>
      <c r="G176" s="186" t="s">
        <v>736</v>
      </c>
    </row>
    <row r="177" spans="1:7" ht="21" customHeight="1" x14ac:dyDescent="0.25">
      <c r="A177" s="95">
        <v>38891</v>
      </c>
      <c r="B177" s="96" t="s">
        <v>682</v>
      </c>
      <c r="C177" s="96">
        <v>6300</v>
      </c>
      <c r="D177" s="96" t="s">
        <v>1272</v>
      </c>
      <c r="E177" s="96" t="s">
        <v>736</v>
      </c>
      <c r="F177" s="96" t="s">
        <v>1272</v>
      </c>
      <c r="G177" s="186" t="s">
        <v>736</v>
      </c>
    </row>
    <row r="178" spans="1:7" ht="21" customHeight="1" x14ac:dyDescent="0.25">
      <c r="A178" s="95">
        <v>38892</v>
      </c>
      <c r="B178" s="96" t="s">
        <v>614</v>
      </c>
      <c r="C178" s="96">
        <v>6100</v>
      </c>
      <c r="D178" s="96" t="s">
        <v>1272</v>
      </c>
      <c r="E178" s="96" t="s">
        <v>736</v>
      </c>
      <c r="F178" s="96" t="s">
        <v>1272</v>
      </c>
      <c r="G178" s="186" t="s">
        <v>736</v>
      </c>
    </row>
    <row r="179" spans="1:7" ht="21" customHeight="1" x14ac:dyDescent="0.25">
      <c r="A179" s="95">
        <v>38893</v>
      </c>
      <c r="B179" s="96" t="s">
        <v>683</v>
      </c>
      <c r="C179" s="96">
        <v>6000</v>
      </c>
      <c r="D179" s="96" t="s">
        <v>1272</v>
      </c>
      <c r="E179" s="96" t="s">
        <v>736</v>
      </c>
      <c r="F179" s="96" t="s">
        <v>1272</v>
      </c>
      <c r="G179" s="186" t="s">
        <v>736</v>
      </c>
    </row>
    <row r="180" spans="1:7" ht="21" customHeight="1" x14ac:dyDescent="0.25">
      <c r="A180" s="95">
        <v>38894</v>
      </c>
      <c r="B180" s="96" t="s">
        <v>615</v>
      </c>
      <c r="C180" s="96">
        <v>5900</v>
      </c>
      <c r="D180" s="96" t="s">
        <v>1272</v>
      </c>
      <c r="E180" s="96" t="s">
        <v>736</v>
      </c>
      <c r="F180" s="96" t="s">
        <v>1272</v>
      </c>
      <c r="G180" s="186" t="s">
        <v>736</v>
      </c>
    </row>
    <row r="181" spans="1:7" ht="21" customHeight="1" x14ac:dyDescent="0.25">
      <c r="A181" s="95">
        <v>38895</v>
      </c>
      <c r="B181" s="96" t="s">
        <v>684</v>
      </c>
      <c r="C181" s="96">
        <v>5850</v>
      </c>
      <c r="D181" s="96" t="s">
        <v>1272</v>
      </c>
      <c r="E181" s="96" t="s">
        <v>736</v>
      </c>
      <c r="F181" s="96" t="s">
        <v>1272</v>
      </c>
      <c r="G181" s="186" t="s">
        <v>736</v>
      </c>
    </row>
    <row r="182" spans="1:7" ht="21" customHeight="1" x14ac:dyDescent="0.25">
      <c r="A182" s="95">
        <v>38896</v>
      </c>
      <c r="B182" s="96" t="s">
        <v>685</v>
      </c>
      <c r="C182" s="96">
        <v>5700</v>
      </c>
      <c r="D182" s="96" t="s">
        <v>1272</v>
      </c>
      <c r="E182" s="96" t="s">
        <v>736</v>
      </c>
      <c r="F182" s="96" t="s">
        <v>1272</v>
      </c>
      <c r="G182" s="186" t="s">
        <v>736</v>
      </c>
    </row>
    <row r="183" spans="1:7" ht="21" customHeight="1" x14ac:dyDescent="0.25">
      <c r="A183" s="95">
        <v>38897</v>
      </c>
      <c r="B183" s="96" t="s">
        <v>617</v>
      </c>
      <c r="C183" s="96">
        <v>5600</v>
      </c>
      <c r="D183" s="96" t="s">
        <v>1272</v>
      </c>
      <c r="E183" s="96" t="s">
        <v>736</v>
      </c>
      <c r="F183" s="96" t="s">
        <v>1272</v>
      </c>
      <c r="G183" s="186" t="s">
        <v>736</v>
      </c>
    </row>
    <row r="184" spans="1:7" ht="21" customHeight="1" x14ac:dyDescent="0.25">
      <c r="A184" s="95">
        <v>38898</v>
      </c>
      <c r="B184" s="96" t="s">
        <v>618</v>
      </c>
      <c r="C184" s="96">
        <v>5400</v>
      </c>
      <c r="D184" s="96" t="s">
        <v>1272</v>
      </c>
      <c r="E184" s="96" t="s">
        <v>736</v>
      </c>
      <c r="F184" s="96" t="s">
        <v>1272</v>
      </c>
      <c r="G184" s="186" t="s">
        <v>736</v>
      </c>
    </row>
    <row r="185" spans="1:7" ht="21" customHeight="1" x14ac:dyDescent="0.25">
      <c r="A185" s="95">
        <v>38899</v>
      </c>
      <c r="B185" s="96" t="s">
        <v>619</v>
      </c>
      <c r="C185" s="96">
        <v>5350</v>
      </c>
      <c r="D185" s="96" t="s">
        <v>1272</v>
      </c>
      <c r="E185" s="96" t="s">
        <v>736</v>
      </c>
      <c r="F185" s="96" t="s">
        <v>1272</v>
      </c>
      <c r="G185" s="186" t="s">
        <v>736</v>
      </c>
    </row>
    <row r="186" spans="1:7" ht="21" customHeight="1" x14ac:dyDescent="0.25">
      <c r="A186" s="95">
        <v>38900</v>
      </c>
      <c r="B186" s="96" t="s">
        <v>151</v>
      </c>
      <c r="C186" s="96" t="s">
        <v>1372</v>
      </c>
      <c r="D186" s="96" t="s">
        <v>1272</v>
      </c>
      <c r="E186" s="96" t="s">
        <v>1550</v>
      </c>
      <c r="F186" s="96" t="s">
        <v>1272</v>
      </c>
      <c r="G186" s="186" t="s">
        <v>1550</v>
      </c>
    </row>
    <row r="187" spans="1:7" ht="21" customHeight="1" x14ac:dyDescent="0.25">
      <c r="A187" s="95">
        <v>38901</v>
      </c>
      <c r="B187" s="96" t="s">
        <v>262</v>
      </c>
      <c r="C187" s="96" t="s">
        <v>1082</v>
      </c>
      <c r="D187" s="96" t="s">
        <v>1272</v>
      </c>
      <c r="E187" s="96" t="s">
        <v>1551</v>
      </c>
      <c r="F187" s="96" t="s">
        <v>1272</v>
      </c>
      <c r="G187" s="186" t="s">
        <v>1551</v>
      </c>
    </row>
    <row r="188" spans="1:7" ht="21" customHeight="1" x14ac:dyDescent="0.25">
      <c r="A188" s="95">
        <v>38902</v>
      </c>
      <c r="B188" s="96" t="s">
        <v>149</v>
      </c>
      <c r="C188" s="96" t="s">
        <v>1548</v>
      </c>
      <c r="D188" s="96" t="s">
        <v>1272</v>
      </c>
      <c r="E188" s="96" t="s">
        <v>1552</v>
      </c>
      <c r="F188" s="96" t="s">
        <v>1272</v>
      </c>
      <c r="G188" s="186" t="s">
        <v>1552</v>
      </c>
    </row>
    <row r="189" spans="1:7" ht="21" customHeight="1" x14ac:dyDescent="0.25">
      <c r="A189" s="95">
        <v>38903</v>
      </c>
      <c r="B189" s="96" t="s">
        <v>686</v>
      </c>
      <c r="C189" s="96">
        <v>5100</v>
      </c>
      <c r="D189" s="96" t="s">
        <v>1272</v>
      </c>
      <c r="E189" s="96" t="s">
        <v>1553</v>
      </c>
      <c r="F189" s="96" t="s">
        <v>1272</v>
      </c>
      <c r="G189" s="186" t="s">
        <v>1553</v>
      </c>
    </row>
    <row r="190" spans="1:7" ht="21" customHeight="1" x14ac:dyDescent="0.25">
      <c r="A190" s="95">
        <v>38904</v>
      </c>
      <c r="B190" s="96" t="s">
        <v>622</v>
      </c>
      <c r="C190" s="96">
        <v>5050</v>
      </c>
      <c r="D190" s="96" t="s">
        <v>1272</v>
      </c>
      <c r="E190" s="96" t="s">
        <v>1554</v>
      </c>
      <c r="F190" s="96" t="s">
        <v>1272</v>
      </c>
      <c r="G190" s="186" t="s">
        <v>1554</v>
      </c>
    </row>
    <row r="191" spans="1:7" ht="21" customHeight="1" x14ac:dyDescent="0.25">
      <c r="A191" s="95">
        <v>38905</v>
      </c>
      <c r="B191" s="96" t="s">
        <v>687</v>
      </c>
      <c r="C191" s="96">
        <v>4900</v>
      </c>
      <c r="D191" s="96" t="s">
        <v>1248</v>
      </c>
      <c r="E191" s="96" t="s">
        <v>1555</v>
      </c>
      <c r="F191" s="96" t="s">
        <v>1248</v>
      </c>
      <c r="G191" s="186" t="s">
        <v>1555</v>
      </c>
    </row>
    <row r="192" spans="1:7" ht="21" customHeight="1" x14ac:dyDescent="0.25">
      <c r="A192" s="95">
        <v>38906</v>
      </c>
      <c r="B192" s="96" t="s">
        <v>688</v>
      </c>
      <c r="C192" s="96">
        <v>4700</v>
      </c>
      <c r="D192" s="96" t="s">
        <v>1248</v>
      </c>
      <c r="E192" s="96" t="s">
        <v>1556</v>
      </c>
      <c r="F192" s="96" t="s">
        <v>1248</v>
      </c>
      <c r="G192" s="186" t="s">
        <v>1556</v>
      </c>
    </row>
    <row r="193" spans="1:7" ht="21" customHeight="1" x14ac:dyDescent="0.25">
      <c r="A193" s="95">
        <v>38907</v>
      </c>
      <c r="B193" s="96" t="s">
        <v>643</v>
      </c>
      <c r="C193" s="96">
        <v>4500</v>
      </c>
      <c r="D193" s="96" t="s">
        <v>1248</v>
      </c>
      <c r="E193" s="96" t="s">
        <v>1557</v>
      </c>
      <c r="F193" s="96" t="s">
        <v>1248</v>
      </c>
      <c r="G193" s="186" t="s">
        <v>1565</v>
      </c>
    </row>
    <row r="194" spans="1:7" ht="21" customHeight="1" x14ac:dyDescent="0.25">
      <c r="A194" s="95">
        <v>38908</v>
      </c>
      <c r="B194" s="96" t="s">
        <v>689</v>
      </c>
      <c r="C194" s="96">
        <v>4350</v>
      </c>
      <c r="D194" s="96" t="s">
        <v>1248</v>
      </c>
      <c r="E194" s="96" t="s">
        <v>1558</v>
      </c>
      <c r="F194" s="96" t="s">
        <v>1248</v>
      </c>
      <c r="G194" s="186" t="s">
        <v>1558</v>
      </c>
    </row>
    <row r="195" spans="1:7" ht="21" customHeight="1" x14ac:dyDescent="0.25">
      <c r="A195" s="95">
        <v>38909</v>
      </c>
      <c r="B195" s="96" t="s">
        <v>623</v>
      </c>
      <c r="C195" s="96">
        <v>4250</v>
      </c>
      <c r="D195" s="96" t="s">
        <v>1248</v>
      </c>
      <c r="E195" s="96" t="s">
        <v>1559</v>
      </c>
      <c r="F195" s="96" t="s">
        <v>1248</v>
      </c>
      <c r="G195" s="186" t="s">
        <v>1559</v>
      </c>
    </row>
    <row r="196" spans="1:7" ht="21" customHeight="1" x14ac:dyDescent="0.25">
      <c r="A196" s="95">
        <v>38910</v>
      </c>
      <c r="B196" s="96" t="s">
        <v>639</v>
      </c>
      <c r="C196" s="96">
        <v>4150</v>
      </c>
      <c r="D196" s="96" t="s">
        <v>736</v>
      </c>
      <c r="E196" s="96" t="s">
        <v>736</v>
      </c>
      <c r="F196" s="96" t="s">
        <v>1248</v>
      </c>
      <c r="G196" s="186" t="s">
        <v>1566</v>
      </c>
    </row>
    <row r="197" spans="1:7" ht="21" customHeight="1" x14ac:dyDescent="0.25">
      <c r="A197" s="95">
        <v>38911</v>
      </c>
      <c r="B197" s="96" t="s">
        <v>690</v>
      </c>
      <c r="C197" s="96">
        <v>4000</v>
      </c>
      <c r="D197" s="96" t="s">
        <v>736</v>
      </c>
      <c r="E197" s="96" t="s">
        <v>736</v>
      </c>
      <c r="F197" s="96" t="s">
        <v>1248</v>
      </c>
      <c r="G197" s="186" t="s">
        <v>1567</v>
      </c>
    </row>
    <row r="198" spans="1:7" ht="21" customHeight="1" x14ac:dyDescent="0.25">
      <c r="A198" s="95">
        <v>38912</v>
      </c>
      <c r="B198" s="96" t="s">
        <v>624</v>
      </c>
      <c r="C198" s="96">
        <v>3900</v>
      </c>
      <c r="D198" s="96" t="s">
        <v>736</v>
      </c>
      <c r="E198" s="96" t="s">
        <v>736</v>
      </c>
      <c r="F198" s="96" t="s">
        <v>1248</v>
      </c>
      <c r="G198" s="186" t="s">
        <v>1568</v>
      </c>
    </row>
    <row r="199" spans="1:7" ht="21" customHeight="1" x14ac:dyDescent="0.25">
      <c r="A199" s="95">
        <v>38913</v>
      </c>
      <c r="B199" s="96" t="s">
        <v>625</v>
      </c>
      <c r="C199" s="96">
        <v>3750</v>
      </c>
      <c r="D199" s="96" t="s">
        <v>1549</v>
      </c>
      <c r="E199" s="96" t="s">
        <v>1560</v>
      </c>
      <c r="F199" s="96" t="s">
        <v>1248</v>
      </c>
      <c r="G199" s="186" t="s">
        <v>1569</v>
      </c>
    </row>
    <row r="200" spans="1:7" ht="21" customHeight="1" x14ac:dyDescent="0.25">
      <c r="A200" s="95">
        <v>38914</v>
      </c>
      <c r="B200" s="96" t="s">
        <v>626</v>
      </c>
      <c r="C200" s="96">
        <v>3650</v>
      </c>
      <c r="D200" s="96" t="s">
        <v>1549</v>
      </c>
      <c r="E200" s="96" t="s">
        <v>1561</v>
      </c>
      <c r="F200" s="96" t="s">
        <v>1248</v>
      </c>
      <c r="G200" s="186" t="s">
        <v>1570</v>
      </c>
    </row>
    <row r="201" spans="1:7" ht="21" customHeight="1" x14ac:dyDescent="0.25">
      <c r="A201" s="95">
        <v>38915</v>
      </c>
      <c r="B201" s="96" t="s">
        <v>627</v>
      </c>
      <c r="C201" s="96">
        <v>3550</v>
      </c>
      <c r="D201" s="96" t="s">
        <v>1549</v>
      </c>
      <c r="E201" s="96" t="s">
        <v>1562</v>
      </c>
      <c r="F201" s="96" t="s">
        <v>1248</v>
      </c>
      <c r="G201" s="186" t="s">
        <v>1571</v>
      </c>
    </row>
    <row r="202" spans="1:7" ht="21" customHeight="1" x14ac:dyDescent="0.25">
      <c r="A202" s="95">
        <v>38916</v>
      </c>
      <c r="B202" s="96" t="s">
        <v>628</v>
      </c>
      <c r="C202" s="96">
        <v>3450</v>
      </c>
      <c r="D202" s="96" t="s">
        <v>1549</v>
      </c>
      <c r="E202" s="96" t="s">
        <v>814</v>
      </c>
      <c r="F202" s="96" t="s">
        <v>1248</v>
      </c>
      <c r="G202" s="186" t="s">
        <v>1572</v>
      </c>
    </row>
    <row r="203" spans="1:7" ht="21" customHeight="1" x14ac:dyDescent="0.25">
      <c r="A203" s="95">
        <v>38917</v>
      </c>
      <c r="B203" s="96" t="s">
        <v>629</v>
      </c>
      <c r="C203" s="96">
        <v>3300</v>
      </c>
      <c r="D203" s="96" t="s">
        <v>1429</v>
      </c>
      <c r="E203" s="96" t="s">
        <v>1563</v>
      </c>
      <c r="F203" s="96" t="s">
        <v>1429</v>
      </c>
      <c r="G203" s="186" t="s">
        <v>1563</v>
      </c>
    </row>
    <row r="204" spans="1:7" ht="21" customHeight="1" x14ac:dyDescent="0.25">
      <c r="A204" s="95">
        <v>38918</v>
      </c>
      <c r="B204" s="96" t="s">
        <v>630</v>
      </c>
      <c r="C204" s="96">
        <v>3250</v>
      </c>
      <c r="D204" s="96" t="s">
        <v>1429</v>
      </c>
      <c r="E204" s="96" t="s">
        <v>1564</v>
      </c>
      <c r="F204" s="96" t="s">
        <v>1429</v>
      </c>
      <c r="G204" s="186" t="s">
        <v>1564</v>
      </c>
    </row>
    <row r="205" spans="1:7" ht="21" customHeight="1" x14ac:dyDescent="0.25">
      <c r="A205" s="95">
        <v>38919</v>
      </c>
      <c r="B205" s="96" t="s">
        <v>631</v>
      </c>
      <c r="C205" s="96">
        <v>3200</v>
      </c>
      <c r="D205" s="96" t="s">
        <v>1429</v>
      </c>
      <c r="E205" s="96" t="s">
        <v>1149</v>
      </c>
      <c r="F205" s="96" t="s">
        <v>1429</v>
      </c>
      <c r="G205" s="186" t="s">
        <v>1149</v>
      </c>
    </row>
    <row r="206" spans="1:7" ht="21" customHeight="1" x14ac:dyDescent="0.25">
      <c r="A206" s="95">
        <v>38920</v>
      </c>
      <c r="B206" s="96" t="s">
        <v>633</v>
      </c>
      <c r="C206" s="96">
        <v>3000</v>
      </c>
      <c r="D206" s="96" t="s">
        <v>736</v>
      </c>
      <c r="E206" s="96" t="s">
        <v>736</v>
      </c>
      <c r="F206" s="96" t="s">
        <v>736</v>
      </c>
      <c r="G206" s="186" t="s">
        <v>736</v>
      </c>
    </row>
    <row r="207" spans="1:7" ht="21" customHeight="1" x14ac:dyDescent="0.25">
      <c r="A207" s="95">
        <v>38921</v>
      </c>
      <c r="B207" s="96" t="s">
        <v>636</v>
      </c>
      <c r="C207" s="96">
        <v>2800</v>
      </c>
      <c r="D207" s="96" t="s">
        <v>736</v>
      </c>
      <c r="E207" s="96" t="s">
        <v>736</v>
      </c>
      <c r="F207" s="96" t="s">
        <v>736</v>
      </c>
      <c r="G207" s="186" t="s">
        <v>736</v>
      </c>
    </row>
    <row r="208" spans="1:7" ht="21" customHeight="1" x14ac:dyDescent="0.25">
      <c r="A208" s="95">
        <v>38922</v>
      </c>
      <c r="B208" s="96" t="s">
        <v>691</v>
      </c>
      <c r="C208" s="96" t="s">
        <v>1128</v>
      </c>
      <c r="D208" s="96" t="s">
        <v>736</v>
      </c>
      <c r="E208" s="96" t="s">
        <v>736</v>
      </c>
      <c r="F208" s="96" t="s">
        <v>736</v>
      </c>
      <c r="G208" s="186" t="s">
        <v>736</v>
      </c>
    </row>
    <row r="209" spans="1:7" ht="21" customHeight="1" x14ac:dyDescent="0.25">
      <c r="A209" s="95">
        <v>38923</v>
      </c>
      <c r="B209" s="96" t="s">
        <v>430</v>
      </c>
      <c r="C209" s="96" t="s">
        <v>1486</v>
      </c>
      <c r="D209" s="96" t="s">
        <v>736</v>
      </c>
      <c r="E209" s="96" t="s">
        <v>736</v>
      </c>
      <c r="F209" s="96" t="s">
        <v>736</v>
      </c>
      <c r="G209" s="186" t="s">
        <v>736</v>
      </c>
    </row>
    <row r="210" spans="1:7" ht="21" customHeight="1" x14ac:dyDescent="0.25">
      <c r="A210" s="95">
        <v>38924</v>
      </c>
      <c r="B210" s="96" t="s">
        <v>736</v>
      </c>
      <c r="C210" s="96" t="s">
        <v>736</v>
      </c>
      <c r="D210" s="96" t="s">
        <v>736</v>
      </c>
      <c r="E210" s="96" t="s">
        <v>736</v>
      </c>
      <c r="F210" s="96" t="s">
        <v>736</v>
      </c>
      <c r="G210" s="186" t="s">
        <v>736</v>
      </c>
    </row>
    <row r="211" spans="1:7" ht="21" customHeight="1" x14ac:dyDescent="0.25">
      <c r="A211" s="95">
        <v>38925</v>
      </c>
      <c r="B211" s="96" t="s">
        <v>736</v>
      </c>
      <c r="C211" s="96" t="s">
        <v>736</v>
      </c>
      <c r="D211" s="96" t="s">
        <v>736</v>
      </c>
      <c r="E211" s="96" t="s">
        <v>736</v>
      </c>
      <c r="F211" s="96" t="s">
        <v>736</v>
      </c>
      <c r="G211" s="186" t="s">
        <v>736</v>
      </c>
    </row>
    <row r="212" spans="1:7" ht="21" customHeight="1" x14ac:dyDescent="0.25">
      <c r="A212" s="95">
        <v>38926</v>
      </c>
      <c r="B212" s="96" t="s">
        <v>736</v>
      </c>
      <c r="C212" s="96" t="s">
        <v>736</v>
      </c>
      <c r="D212" s="96" t="s">
        <v>736</v>
      </c>
      <c r="E212" s="96" t="s">
        <v>736</v>
      </c>
      <c r="F212" s="96" t="s">
        <v>736</v>
      </c>
      <c r="G212" s="186" t="s">
        <v>736</v>
      </c>
    </row>
    <row r="213" spans="1:7" ht="21" customHeight="1" x14ac:dyDescent="0.25">
      <c r="A213" s="95">
        <v>38927</v>
      </c>
      <c r="B213" s="96" t="s">
        <v>736</v>
      </c>
      <c r="C213" s="96" t="s">
        <v>736</v>
      </c>
      <c r="D213" s="96" t="s">
        <v>736</v>
      </c>
      <c r="E213" s="96" t="s">
        <v>736</v>
      </c>
      <c r="F213" s="96" t="s">
        <v>736</v>
      </c>
      <c r="G213" s="186" t="s">
        <v>736</v>
      </c>
    </row>
    <row r="214" spans="1:7" ht="21" customHeight="1" x14ac:dyDescent="0.25">
      <c r="A214" s="95">
        <v>38928</v>
      </c>
      <c r="B214" s="96" t="s">
        <v>736</v>
      </c>
      <c r="C214" s="96" t="s">
        <v>736</v>
      </c>
      <c r="D214" s="96" t="s">
        <v>736</v>
      </c>
      <c r="E214" s="96" t="s">
        <v>736</v>
      </c>
      <c r="F214" s="96" t="s">
        <v>736</v>
      </c>
      <c r="G214" s="186" t="s">
        <v>736</v>
      </c>
    </row>
    <row r="215" spans="1:7" ht="21" customHeight="1" x14ac:dyDescent="0.25">
      <c r="A215" s="95">
        <v>38929</v>
      </c>
      <c r="B215" s="96" t="s">
        <v>736</v>
      </c>
      <c r="C215" s="96" t="s">
        <v>736</v>
      </c>
      <c r="D215" s="96" t="s">
        <v>736</v>
      </c>
      <c r="E215" s="96" t="s">
        <v>736</v>
      </c>
      <c r="F215" s="96" t="s">
        <v>736</v>
      </c>
      <c r="G215" s="186" t="s">
        <v>736</v>
      </c>
    </row>
    <row r="216" spans="1:7" ht="21" customHeight="1" x14ac:dyDescent="0.25">
      <c r="A216" s="95">
        <v>38930</v>
      </c>
      <c r="B216" s="96" t="s">
        <v>736</v>
      </c>
      <c r="C216" s="96" t="s">
        <v>736</v>
      </c>
      <c r="D216" s="96" t="s">
        <v>736</v>
      </c>
      <c r="E216" s="96" t="s">
        <v>736</v>
      </c>
      <c r="F216" s="96" t="s">
        <v>736</v>
      </c>
      <c r="G216" s="186" t="s">
        <v>736</v>
      </c>
    </row>
    <row r="217" spans="1:7" ht="21" customHeight="1" x14ac:dyDescent="0.25">
      <c r="A217" s="95">
        <v>38931</v>
      </c>
      <c r="B217" s="96"/>
      <c r="C217" s="96"/>
      <c r="D217" s="96"/>
      <c r="E217" s="96"/>
      <c r="F217" s="96"/>
      <c r="G217" s="186"/>
    </row>
    <row r="218" spans="1:7" ht="21" customHeight="1" x14ac:dyDescent="0.25">
      <c r="A218" s="95">
        <v>38932</v>
      </c>
      <c r="B218" s="96"/>
      <c r="C218" s="96"/>
      <c r="D218" s="96"/>
      <c r="E218" s="96"/>
      <c r="F218" s="96"/>
      <c r="G218" s="186"/>
    </row>
    <row r="219" spans="1:7" ht="21" customHeight="1" x14ac:dyDescent="0.25">
      <c r="A219" s="95">
        <v>38933</v>
      </c>
      <c r="B219" s="96"/>
      <c r="C219" s="96"/>
      <c r="D219" s="96"/>
      <c r="E219" s="96"/>
      <c r="F219" s="96"/>
      <c r="G219" s="186"/>
    </row>
    <row r="220" spans="1:7" ht="21" customHeight="1" x14ac:dyDescent="0.25">
      <c r="A220" s="95">
        <v>38934</v>
      </c>
      <c r="B220" s="96"/>
      <c r="C220" s="96"/>
      <c r="D220" s="96"/>
      <c r="E220" s="96"/>
      <c r="F220" s="96"/>
      <c r="G220" s="186"/>
    </row>
    <row r="221" spans="1:7" ht="21" customHeight="1" x14ac:dyDescent="0.25">
      <c r="A221" s="95">
        <v>38935</v>
      </c>
      <c r="B221" s="96"/>
      <c r="C221" s="96"/>
      <c r="D221" s="96"/>
      <c r="E221" s="96"/>
      <c r="F221" s="96"/>
      <c r="G221" s="186"/>
    </row>
    <row r="222" spans="1:7" ht="21" customHeight="1" x14ac:dyDescent="0.25">
      <c r="A222" s="95">
        <v>38936</v>
      </c>
      <c r="B222" s="96"/>
      <c r="C222" s="96"/>
      <c r="D222" s="96"/>
      <c r="E222" s="96"/>
      <c r="F222" s="96"/>
      <c r="G222" s="186"/>
    </row>
    <row r="223" spans="1:7" ht="21" customHeight="1" x14ac:dyDescent="0.25">
      <c r="A223" s="95">
        <v>38937</v>
      </c>
      <c r="B223" s="96"/>
      <c r="C223" s="96"/>
      <c r="D223" s="96"/>
      <c r="E223" s="96"/>
      <c r="F223" s="96"/>
      <c r="G223" s="186"/>
    </row>
    <row r="224" spans="1:7" ht="21" customHeight="1" x14ac:dyDescent="0.25">
      <c r="A224" s="95">
        <v>38938</v>
      </c>
      <c r="B224" s="96"/>
      <c r="C224" s="96"/>
      <c r="D224" s="96"/>
      <c r="E224" s="96"/>
      <c r="F224" s="96"/>
      <c r="G224" s="186"/>
    </row>
    <row r="225" spans="1:7" ht="21" customHeight="1" x14ac:dyDescent="0.25">
      <c r="A225" s="95">
        <v>38939</v>
      </c>
      <c r="B225" s="96"/>
      <c r="C225" s="96"/>
      <c r="D225" s="96"/>
      <c r="E225" s="96"/>
      <c r="F225" s="96"/>
      <c r="G225" s="186"/>
    </row>
    <row r="226" spans="1:7" ht="21" customHeight="1" x14ac:dyDescent="0.25">
      <c r="A226" s="95">
        <v>38940</v>
      </c>
      <c r="B226" s="96"/>
      <c r="C226" s="96"/>
      <c r="D226" s="96"/>
      <c r="E226" s="96"/>
      <c r="F226" s="96"/>
      <c r="G226" s="186"/>
    </row>
    <row r="227" spans="1:7" ht="21" customHeight="1" x14ac:dyDescent="0.25">
      <c r="A227" s="95">
        <v>38941</v>
      </c>
      <c r="B227" s="96"/>
      <c r="C227" s="96"/>
      <c r="D227" s="96"/>
      <c r="E227" s="96"/>
      <c r="F227" s="96"/>
      <c r="G227" s="186"/>
    </row>
    <row r="228" spans="1:7" ht="21" customHeight="1" x14ac:dyDescent="0.25">
      <c r="A228" s="95">
        <v>38942</v>
      </c>
      <c r="B228" s="96"/>
      <c r="C228" s="96"/>
      <c r="D228" s="96"/>
      <c r="E228" s="96"/>
      <c r="F228" s="96"/>
      <c r="G228" s="186"/>
    </row>
    <row r="229" spans="1:7" ht="21" customHeight="1" x14ac:dyDescent="0.25">
      <c r="A229" s="95">
        <v>38943</v>
      </c>
      <c r="B229" s="96"/>
      <c r="C229" s="96"/>
      <c r="D229" s="96"/>
      <c r="E229" s="96"/>
      <c r="F229" s="96"/>
      <c r="G229" s="186"/>
    </row>
    <row r="230" spans="1:7" ht="21" customHeight="1" x14ac:dyDescent="0.25">
      <c r="A230" s="95">
        <v>38944</v>
      </c>
      <c r="B230" s="96"/>
      <c r="C230" s="96"/>
      <c r="D230" s="96"/>
      <c r="E230" s="96"/>
      <c r="F230" s="96"/>
      <c r="G230" s="186"/>
    </row>
    <row r="231" spans="1:7" ht="21" customHeight="1" x14ac:dyDescent="0.25">
      <c r="A231" s="95">
        <v>38945</v>
      </c>
      <c r="B231" s="96"/>
      <c r="C231" s="96"/>
      <c r="D231" s="96"/>
      <c r="E231" s="96"/>
      <c r="F231" s="96"/>
      <c r="G231" s="186"/>
    </row>
    <row r="232" spans="1:7" ht="21" customHeight="1" x14ac:dyDescent="0.25">
      <c r="A232" s="95">
        <v>38946</v>
      </c>
      <c r="B232" s="96"/>
      <c r="C232" s="96"/>
      <c r="D232" s="96"/>
      <c r="E232" s="96"/>
      <c r="F232" s="96"/>
      <c r="G232" s="186"/>
    </row>
    <row r="233" spans="1:7" ht="21" customHeight="1" x14ac:dyDescent="0.25">
      <c r="A233" s="95">
        <v>38947</v>
      </c>
      <c r="B233" s="96"/>
      <c r="C233" s="96"/>
      <c r="D233" s="96"/>
      <c r="E233" s="96"/>
      <c r="F233" s="96"/>
      <c r="G233" s="186"/>
    </row>
    <row r="234" spans="1:7" ht="21" customHeight="1" x14ac:dyDescent="0.25">
      <c r="A234" s="95">
        <v>38948</v>
      </c>
      <c r="B234" s="96"/>
      <c r="C234" s="96"/>
      <c r="D234" s="96"/>
      <c r="E234" s="96"/>
      <c r="F234" s="96"/>
      <c r="G234" s="186"/>
    </row>
    <row r="235" spans="1:7" ht="21" customHeight="1" x14ac:dyDescent="0.25">
      <c r="A235" s="95">
        <v>38949</v>
      </c>
      <c r="B235" s="96"/>
      <c r="C235" s="96"/>
      <c r="D235" s="96"/>
      <c r="E235" s="96"/>
      <c r="F235" s="96"/>
      <c r="G235" s="186"/>
    </row>
    <row r="236" spans="1:7" ht="21" customHeight="1" x14ac:dyDescent="0.25">
      <c r="A236" s="95">
        <v>38950</v>
      </c>
      <c r="B236" s="96"/>
      <c r="C236" s="96"/>
      <c r="D236" s="96"/>
      <c r="E236" s="96"/>
      <c r="F236" s="96"/>
      <c r="G236" s="186"/>
    </row>
    <row r="237" spans="1:7" ht="21" customHeight="1" x14ac:dyDescent="0.25">
      <c r="A237" s="95">
        <v>38951</v>
      </c>
      <c r="B237" s="96"/>
      <c r="C237" s="96"/>
      <c r="D237" s="96"/>
      <c r="E237" s="96"/>
      <c r="F237" s="96"/>
      <c r="G237" s="186"/>
    </row>
    <row r="238" spans="1:7" ht="21" customHeight="1" x14ac:dyDescent="0.25">
      <c r="A238" s="95">
        <v>38952</v>
      </c>
      <c r="B238" s="96"/>
      <c r="C238" s="96"/>
      <c r="D238" s="96"/>
      <c r="E238" s="96"/>
      <c r="F238" s="96"/>
      <c r="G238" s="186"/>
    </row>
    <row r="239" spans="1:7" ht="21" customHeight="1" x14ac:dyDescent="0.25">
      <c r="A239" s="95">
        <v>38953</v>
      </c>
      <c r="B239" s="96"/>
      <c r="C239" s="96"/>
      <c r="D239" s="96"/>
      <c r="E239" s="96"/>
      <c r="F239" s="96"/>
      <c r="G239" s="186"/>
    </row>
    <row r="240" spans="1:7" ht="21" customHeight="1" x14ac:dyDescent="0.25">
      <c r="A240" s="95">
        <v>38954</v>
      </c>
      <c r="B240" s="96"/>
      <c r="C240" s="96"/>
      <c r="D240" s="96"/>
      <c r="E240" s="96"/>
      <c r="F240" s="96"/>
      <c r="G240" s="186"/>
    </row>
    <row r="241" spans="1:7" ht="21" customHeight="1" x14ac:dyDescent="0.25">
      <c r="A241" s="95">
        <v>38955</v>
      </c>
      <c r="B241" s="96"/>
      <c r="C241" s="96"/>
      <c r="D241" s="96"/>
      <c r="E241" s="96"/>
      <c r="F241" s="96"/>
      <c r="G241" s="186"/>
    </row>
    <row r="242" spans="1:7" ht="21" customHeight="1" x14ac:dyDescent="0.25">
      <c r="A242" s="95">
        <v>38956</v>
      </c>
      <c r="B242" s="96"/>
      <c r="C242" s="96"/>
      <c r="D242" s="96"/>
      <c r="E242" s="96"/>
      <c r="F242" s="96"/>
      <c r="G242" s="186"/>
    </row>
    <row r="243" spans="1:7" ht="21" customHeight="1" x14ac:dyDescent="0.25">
      <c r="A243" s="95">
        <v>38957</v>
      </c>
      <c r="B243" s="96"/>
      <c r="C243" s="96"/>
      <c r="D243" s="96"/>
      <c r="E243" s="96"/>
      <c r="F243" s="96"/>
      <c r="G243" s="186"/>
    </row>
    <row r="244" spans="1:7" ht="21" customHeight="1" x14ac:dyDescent="0.25">
      <c r="A244" s="95">
        <v>38958</v>
      </c>
      <c r="B244" s="96"/>
      <c r="C244" s="96"/>
      <c r="D244" s="96"/>
      <c r="E244" s="96"/>
      <c r="F244" s="96"/>
      <c r="G244" s="186"/>
    </row>
    <row r="245" spans="1:7" ht="21" customHeight="1" x14ac:dyDescent="0.25">
      <c r="A245" s="95">
        <v>38959</v>
      </c>
      <c r="B245" s="96"/>
      <c r="C245" s="96"/>
      <c r="D245" s="96"/>
      <c r="E245" s="96"/>
      <c r="F245" s="96"/>
      <c r="G245" s="186"/>
    </row>
    <row r="246" spans="1:7" ht="21" customHeight="1" x14ac:dyDescent="0.25">
      <c r="A246" s="95">
        <v>38960</v>
      </c>
      <c r="B246" s="96"/>
      <c r="C246" s="96"/>
      <c r="D246" s="96"/>
      <c r="E246" s="96"/>
      <c r="F246" s="96"/>
      <c r="G246" s="186"/>
    </row>
    <row r="247" spans="1:7" ht="21" customHeight="1" x14ac:dyDescent="0.25">
      <c r="A247" s="95">
        <v>38961</v>
      </c>
      <c r="B247" s="116"/>
      <c r="C247" s="116"/>
      <c r="D247" s="96"/>
      <c r="E247" s="96"/>
      <c r="F247" s="96"/>
      <c r="G247" s="186"/>
    </row>
    <row r="248" spans="1:7" ht="21" customHeight="1" x14ac:dyDescent="0.25">
      <c r="A248" s="95">
        <v>38962</v>
      </c>
      <c r="B248" s="96"/>
      <c r="C248" s="96"/>
      <c r="D248" s="96"/>
      <c r="E248" s="96"/>
      <c r="F248" s="96"/>
      <c r="G248" s="186"/>
    </row>
    <row r="249" spans="1:7" ht="21" customHeight="1" x14ac:dyDescent="0.25">
      <c r="A249" s="95">
        <v>38963</v>
      </c>
      <c r="B249" s="96"/>
      <c r="C249" s="96"/>
      <c r="D249" s="96"/>
      <c r="E249" s="96"/>
      <c r="F249" s="96"/>
      <c r="G249" s="186"/>
    </row>
    <row r="250" spans="1:7" ht="21" customHeight="1" x14ac:dyDescent="0.25">
      <c r="A250" s="95">
        <v>38964</v>
      </c>
      <c r="B250" s="96"/>
      <c r="C250" s="96"/>
      <c r="D250" s="96"/>
      <c r="E250" s="96"/>
      <c r="F250" s="96"/>
      <c r="G250" s="186"/>
    </row>
    <row r="251" spans="1:7" ht="21" customHeight="1" x14ac:dyDescent="0.25">
      <c r="A251" s="95">
        <v>38965</v>
      </c>
      <c r="B251" s="96"/>
      <c r="C251" s="96"/>
      <c r="D251" s="96"/>
      <c r="E251" s="96"/>
      <c r="F251" s="96"/>
      <c r="G251" s="186"/>
    </row>
    <row r="252" spans="1:7" ht="21" customHeight="1" x14ac:dyDescent="0.25">
      <c r="A252" s="95">
        <v>38966</v>
      </c>
      <c r="B252" s="96"/>
      <c r="C252" s="96"/>
      <c r="D252" s="96"/>
      <c r="E252" s="96"/>
      <c r="F252" s="96"/>
      <c r="G252" s="186"/>
    </row>
    <row r="253" spans="1:7" ht="21" customHeight="1" x14ac:dyDescent="0.25">
      <c r="A253" s="95">
        <v>38967</v>
      </c>
      <c r="B253" s="96"/>
      <c r="C253" s="96"/>
      <c r="D253" s="96"/>
      <c r="E253" s="96"/>
      <c r="F253" s="96"/>
      <c r="G253" s="186"/>
    </row>
    <row r="254" spans="1:7" ht="21" customHeight="1" x14ac:dyDescent="0.25">
      <c r="A254" s="95">
        <v>38968</v>
      </c>
      <c r="B254" s="96"/>
      <c r="C254" s="96"/>
      <c r="D254" s="96"/>
      <c r="E254" s="96"/>
      <c r="F254" s="96"/>
      <c r="G254" s="186"/>
    </row>
    <row r="255" spans="1:7" ht="21" customHeight="1" x14ac:dyDescent="0.25">
      <c r="A255" s="95">
        <v>38969</v>
      </c>
      <c r="B255" s="96"/>
      <c r="C255" s="96"/>
      <c r="D255" s="96"/>
      <c r="E255" s="96"/>
      <c r="F255" s="96"/>
      <c r="G255" s="186"/>
    </row>
    <row r="256" spans="1:7" ht="21" customHeight="1" x14ac:dyDescent="0.25">
      <c r="A256" s="95">
        <v>38970</v>
      </c>
      <c r="B256" s="96"/>
      <c r="C256" s="96"/>
      <c r="D256" s="96"/>
      <c r="E256" s="96"/>
      <c r="F256" s="96"/>
      <c r="G256" s="186"/>
    </row>
    <row r="257" spans="1:7" ht="21" customHeight="1" x14ac:dyDescent="0.25">
      <c r="A257" s="95">
        <v>38971</v>
      </c>
      <c r="B257" s="96"/>
      <c r="C257" s="96"/>
      <c r="D257" s="96"/>
      <c r="E257" s="96"/>
      <c r="F257" s="96"/>
      <c r="G257" s="186"/>
    </row>
    <row r="258" spans="1:7" ht="21" customHeight="1" x14ac:dyDescent="0.25">
      <c r="A258" s="95">
        <v>38972</v>
      </c>
      <c r="B258" s="96"/>
      <c r="C258" s="96"/>
      <c r="D258" s="96"/>
      <c r="E258" s="96"/>
      <c r="F258" s="96"/>
      <c r="G258" s="186"/>
    </row>
    <row r="259" spans="1:7" ht="21" customHeight="1" x14ac:dyDescent="0.25">
      <c r="A259" s="95">
        <v>38973</v>
      </c>
      <c r="B259" s="96"/>
      <c r="C259" s="96"/>
      <c r="D259" s="96"/>
      <c r="E259" s="96"/>
      <c r="F259" s="96"/>
      <c r="G259" s="186"/>
    </row>
    <row r="260" spans="1:7" ht="21" customHeight="1" x14ac:dyDescent="0.25">
      <c r="A260" s="95">
        <v>38974</v>
      </c>
      <c r="B260" s="96"/>
      <c r="C260" s="96"/>
      <c r="D260" s="96"/>
      <c r="E260" s="96"/>
      <c r="F260" s="96"/>
      <c r="G260" s="186"/>
    </row>
    <row r="261" spans="1:7" ht="21" customHeight="1" x14ac:dyDescent="0.25">
      <c r="A261" s="95">
        <v>38975</v>
      </c>
      <c r="B261" s="96"/>
      <c r="C261" s="96"/>
      <c r="D261" s="96"/>
      <c r="E261" s="96"/>
      <c r="F261" s="96"/>
      <c r="G261" s="186"/>
    </row>
    <row r="262" spans="1:7" ht="21" customHeight="1" x14ac:dyDescent="0.25">
      <c r="A262" s="95">
        <v>38976</v>
      </c>
      <c r="B262" s="96"/>
      <c r="C262" s="96"/>
      <c r="D262" s="96"/>
      <c r="E262" s="96"/>
      <c r="F262" s="96"/>
      <c r="G262" s="186"/>
    </row>
    <row r="263" spans="1:7" ht="21" customHeight="1" x14ac:dyDescent="0.25">
      <c r="A263" s="95">
        <v>38977</v>
      </c>
      <c r="B263" s="96"/>
      <c r="C263" s="96"/>
      <c r="D263" s="96"/>
      <c r="E263" s="96"/>
      <c r="F263" s="96"/>
      <c r="G263" s="186"/>
    </row>
    <row r="264" spans="1:7" ht="21" customHeight="1" x14ac:dyDescent="0.25">
      <c r="A264" s="95">
        <v>38978</v>
      </c>
      <c r="B264" s="96"/>
      <c r="C264" s="96"/>
      <c r="D264" s="96"/>
      <c r="E264" s="96"/>
      <c r="F264" s="96"/>
      <c r="G264" s="186"/>
    </row>
    <row r="265" spans="1:7" ht="21" customHeight="1" x14ac:dyDescent="0.25">
      <c r="A265" s="95">
        <v>38979</v>
      </c>
      <c r="B265" s="96"/>
      <c r="C265" s="96"/>
      <c r="D265" s="96"/>
      <c r="E265" s="96"/>
      <c r="F265" s="96"/>
      <c r="G265" s="186"/>
    </row>
    <row r="266" spans="1:7" ht="21" customHeight="1" x14ac:dyDescent="0.25">
      <c r="A266" s="95">
        <v>38980</v>
      </c>
      <c r="B266" s="96"/>
      <c r="C266" s="96"/>
      <c r="D266" s="96"/>
      <c r="E266" s="96"/>
      <c r="F266" s="96"/>
      <c r="G266" s="186"/>
    </row>
    <row r="267" spans="1:7" ht="21" customHeight="1" x14ac:dyDescent="0.25">
      <c r="A267" s="95">
        <v>38981</v>
      </c>
      <c r="B267" s="96"/>
      <c r="C267" s="96"/>
      <c r="D267" s="96"/>
      <c r="E267" s="96"/>
      <c r="F267" s="96"/>
      <c r="G267" s="186"/>
    </row>
    <row r="268" spans="1:7" ht="21" customHeight="1" x14ac:dyDescent="0.25">
      <c r="A268" s="95">
        <v>38982</v>
      </c>
      <c r="B268" s="96"/>
      <c r="C268" s="96"/>
      <c r="D268" s="96"/>
      <c r="E268" s="96"/>
      <c r="F268" s="96"/>
      <c r="G268" s="186"/>
    </row>
    <row r="269" spans="1:7" ht="21" customHeight="1" x14ac:dyDescent="0.25">
      <c r="A269" s="95">
        <v>38983</v>
      </c>
      <c r="B269" s="96"/>
      <c r="C269" s="96"/>
      <c r="D269" s="96"/>
      <c r="E269" s="96"/>
      <c r="F269" s="96"/>
      <c r="G269" s="186"/>
    </row>
    <row r="270" spans="1:7" ht="21" customHeight="1" x14ac:dyDescent="0.25">
      <c r="A270" s="95">
        <v>38984</v>
      </c>
      <c r="B270" s="96"/>
      <c r="C270" s="96"/>
      <c r="D270" s="96"/>
      <c r="E270" s="96"/>
      <c r="F270" s="96"/>
      <c r="G270" s="186"/>
    </row>
    <row r="271" spans="1:7" ht="21" customHeight="1" x14ac:dyDescent="0.25">
      <c r="A271" s="95">
        <v>38985</v>
      </c>
      <c r="B271" s="96"/>
      <c r="C271" s="96"/>
      <c r="D271" s="96"/>
      <c r="E271" s="96"/>
      <c r="F271" s="96"/>
      <c r="G271" s="186"/>
    </row>
    <row r="272" spans="1:7" ht="21" customHeight="1" x14ac:dyDescent="0.25">
      <c r="A272" s="95">
        <v>38986</v>
      </c>
      <c r="B272" s="96"/>
      <c r="C272" s="96"/>
      <c r="D272" s="96"/>
      <c r="E272" s="96"/>
      <c r="F272" s="96"/>
      <c r="G272" s="186"/>
    </row>
    <row r="273" spans="1:7" ht="21" customHeight="1" x14ac:dyDescent="0.25">
      <c r="A273" s="95">
        <v>38987</v>
      </c>
      <c r="B273" s="96"/>
      <c r="C273" s="96"/>
      <c r="D273" s="96"/>
      <c r="E273" s="96"/>
      <c r="F273" s="96"/>
      <c r="G273" s="186"/>
    </row>
    <row r="274" spans="1:7" ht="21" customHeight="1" x14ac:dyDescent="0.25">
      <c r="A274" s="95">
        <v>38988</v>
      </c>
      <c r="B274" s="96"/>
      <c r="C274" s="96"/>
      <c r="D274" s="96"/>
      <c r="E274" s="96"/>
      <c r="F274" s="96"/>
      <c r="G274" s="186"/>
    </row>
    <row r="275" spans="1:7" ht="21" customHeight="1" x14ac:dyDescent="0.25">
      <c r="A275" s="95">
        <v>38989</v>
      </c>
      <c r="B275" s="96"/>
      <c r="C275" s="96"/>
      <c r="D275" s="96"/>
      <c r="E275" s="96"/>
      <c r="F275" s="96"/>
      <c r="G275" s="186"/>
    </row>
    <row r="276" spans="1:7" ht="21" customHeight="1" x14ac:dyDescent="0.25">
      <c r="A276" s="95">
        <v>38990</v>
      </c>
      <c r="B276" s="96"/>
      <c r="C276" s="96"/>
      <c r="D276" s="96"/>
      <c r="E276" s="96"/>
      <c r="F276" s="96"/>
      <c r="G276" s="186"/>
    </row>
    <row r="277" spans="1:7" ht="21" customHeight="1" x14ac:dyDescent="0.25">
      <c r="A277" s="95">
        <v>38991</v>
      </c>
      <c r="B277" s="116"/>
      <c r="C277" s="116"/>
      <c r="D277" s="96"/>
      <c r="E277" s="96"/>
      <c r="F277" s="96"/>
      <c r="G277" s="186"/>
    </row>
    <row r="278" spans="1:7" ht="21" customHeight="1" x14ac:dyDescent="0.25">
      <c r="A278" s="95">
        <v>38992</v>
      </c>
      <c r="B278" s="96"/>
      <c r="C278" s="96"/>
      <c r="D278" s="96"/>
      <c r="E278" s="96"/>
      <c r="F278" s="96"/>
      <c r="G278" s="186"/>
    </row>
    <row r="279" spans="1:7" ht="21" customHeight="1" x14ac:dyDescent="0.25">
      <c r="A279" s="95">
        <v>38993</v>
      </c>
      <c r="B279" s="96"/>
      <c r="C279" s="96"/>
      <c r="D279" s="96"/>
      <c r="E279" s="96"/>
      <c r="F279" s="96"/>
      <c r="G279" s="186"/>
    </row>
    <row r="280" spans="1:7" ht="21" customHeight="1" x14ac:dyDescent="0.25">
      <c r="A280" s="95">
        <v>38994</v>
      </c>
      <c r="B280" s="96"/>
      <c r="C280" s="96"/>
      <c r="D280" s="96"/>
      <c r="E280" s="96"/>
      <c r="F280" s="96"/>
      <c r="G280" s="186"/>
    </row>
    <row r="281" spans="1:7" ht="21" customHeight="1" x14ac:dyDescent="0.25">
      <c r="A281" s="95">
        <v>38995</v>
      </c>
      <c r="B281" s="96"/>
      <c r="C281" s="96"/>
      <c r="D281" s="96"/>
      <c r="E281" s="96"/>
      <c r="F281" s="96"/>
      <c r="G281" s="186"/>
    </row>
    <row r="282" spans="1:7" ht="21" customHeight="1" x14ac:dyDescent="0.25">
      <c r="A282" s="95">
        <v>38996</v>
      </c>
      <c r="B282" s="96"/>
      <c r="C282" s="96"/>
      <c r="D282" s="96"/>
      <c r="E282" s="96"/>
      <c r="F282" s="96"/>
      <c r="G282" s="186"/>
    </row>
    <row r="283" spans="1:7" ht="21" customHeight="1" x14ac:dyDescent="0.25">
      <c r="A283" s="95">
        <v>38997</v>
      </c>
      <c r="B283" s="96"/>
      <c r="C283" s="96"/>
      <c r="D283" s="96"/>
      <c r="E283" s="96"/>
      <c r="F283" s="96"/>
      <c r="G283" s="186"/>
    </row>
    <row r="284" spans="1:7" ht="21" customHeight="1" x14ac:dyDescent="0.25">
      <c r="A284" s="95">
        <v>38998</v>
      </c>
      <c r="B284" s="96"/>
      <c r="C284" s="96"/>
      <c r="D284" s="96"/>
      <c r="E284" s="96"/>
      <c r="F284" s="96"/>
      <c r="G284" s="186"/>
    </row>
    <row r="285" spans="1:7" ht="21" customHeight="1" x14ac:dyDescent="0.25">
      <c r="A285" s="95">
        <v>38999</v>
      </c>
      <c r="B285" s="96"/>
      <c r="C285" s="96"/>
      <c r="D285" s="96"/>
      <c r="E285" s="96"/>
      <c r="F285" s="96"/>
      <c r="G285" s="186"/>
    </row>
    <row r="286" spans="1:7" ht="21" customHeight="1" x14ac:dyDescent="0.25">
      <c r="A286" s="95">
        <v>39000</v>
      </c>
      <c r="B286" s="96"/>
      <c r="C286" s="96"/>
      <c r="D286" s="96"/>
      <c r="E286" s="96"/>
      <c r="F286" s="96"/>
      <c r="G286" s="186"/>
    </row>
    <row r="287" spans="1:7" ht="21" customHeight="1" x14ac:dyDescent="0.25">
      <c r="A287" s="95">
        <v>39001</v>
      </c>
      <c r="B287" s="96"/>
      <c r="C287" s="96"/>
      <c r="D287" s="96"/>
      <c r="E287" s="96"/>
      <c r="F287" s="96"/>
      <c r="G287" s="186"/>
    </row>
    <row r="288" spans="1:7" ht="21" customHeight="1" x14ac:dyDescent="0.25">
      <c r="A288" s="95">
        <v>39002</v>
      </c>
      <c r="B288" s="96"/>
      <c r="C288" s="96"/>
      <c r="D288" s="96"/>
      <c r="E288" s="96"/>
      <c r="F288" s="96"/>
      <c r="G288" s="186"/>
    </row>
    <row r="289" spans="1:7" ht="21" customHeight="1" x14ac:dyDescent="0.25">
      <c r="A289" s="95">
        <v>39003</v>
      </c>
      <c r="B289" s="96"/>
      <c r="C289" s="96"/>
      <c r="D289" s="96"/>
      <c r="E289" s="96"/>
      <c r="F289" s="96"/>
      <c r="G289" s="186"/>
    </row>
    <row r="290" spans="1:7" ht="21" customHeight="1" x14ac:dyDescent="0.25">
      <c r="A290" s="95">
        <v>39004</v>
      </c>
      <c r="B290" s="96"/>
      <c r="C290" s="96"/>
      <c r="D290" s="96"/>
      <c r="E290" s="96"/>
      <c r="F290" s="96"/>
      <c r="G290" s="186"/>
    </row>
    <row r="291" spans="1:7" ht="21" customHeight="1" x14ac:dyDescent="0.25">
      <c r="A291" s="95">
        <v>39005</v>
      </c>
      <c r="B291" s="96"/>
      <c r="C291" s="96"/>
      <c r="D291" s="96"/>
      <c r="E291" s="96"/>
      <c r="F291" s="96"/>
      <c r="G291" s="186"/>
    </row>
    <row r="292" spans="1:7" ht="21" customHeight="1" x14ac:dyDescent="0.25">
      <c r="A292" s="95">
        <v>39006</v>
      </c>
      <c r="B292" s="96"/>
      <c r="C292" s="96"/>
      <c r="D292" s="96"/>
      <c r="E292" s="96"/>
      <c r="F292" s="96"/>
      <c r="G292" s="186"/>
    </row>
    <row r="293" spans="1:7" ht="21" customHeight="1" x14ac:dyDescent="0.25">
      <c r="A293" s="95">
        <v>39007</v>
      </c>
      <c r="B293" s="96"/>
      <c r="C293" s="96"/>
      <c r="D293" s="96"/>
      <c r="E293" s="96"/>
      <c r="F293" s="96"/>
      <c r="G293" s="186"/>
    </row>
    <row r="294" spans="1:7" ht="21" customHeight="1" x14ac:dyDescent="0.25">
      <c r="A294" s="95">
        <v>39008</v>
      </c>
      <c r="B294" s="96"/>
      <c r="C294" s="96"/>
      <c r="D294" s="96"/>
      <c r="E294" s="96"/>
      <c r="F294" s="96"/>
      <c r="G294" s="186"/>
    </row>
    <row r="295" spans="1:7" ht="21" customHeight="1" x14ac:dyDescent="0.25">
      <c r="A295" s="95">
        <v>39009</v>
      </c>
      <c r="B295" s="96"/>
      <c r="C295" s="96"/>
      <c r="D295" s="96"/>
      <c r="E295" s="96"/>
      <c r="F295" s="96"/>
      <c r="G295" s="186"/>
    </row>
    <row r="296" spans="1:7" ht="21" customHeight="1" x14ac:dyDescent="0.25">
      <c r="A296" s="95">
        <v>39010</v>
      </c>
      <c r="B296" s="96"/>
      <c r="C296" s="96"/>
      <c r="D296" s="96"/>
      <c r="E296" s="96"/>
      <c r="F296" s="96"/>
      <c r="G296" s="186"/>
    </row>
    <row r="297" spans="1:7" ht="21" customHeight="1" x14ac:dyDescent="0.25">
      <c r="A297" s="95">
        <v>39011</v>
      </c>
      <c r="B297" s="96"/>
      <c r="C297" s="96"/>
      <c r="D297" s="96"/>
      <c r="E297" s="96"/>
      <c r="F297" s="96"/>
      <c r="G297" s="186"/>
    </row>
    <row r="298" spans="1:7" ht="21" customHeight="1" x14ac:dyDescent="0.25">
      <c r="A298" s="95">
        <v>39012</v>
      </c>
      <c r="B298" s="96"/>
      <c r="C298" s="96"/>
      <c r="D298" s="96"/>
      <c r="E298" s="96"/>
      <c r="F298" s="96"/>
      <c r="G298" s="186"/>
    </row>
    <row r="299" spans="1:7" ht="21" customHeight="1" x14ac:dyDescent="0.25">
      <c r="A299" s="95">
        <v>39013</v>
      </c>
      <c r="B299" s="96"/>
      <c r="C299" s="96"/>
      <c r="D299" s="96"/>
      <c r="E299" s="96"/>
      <c r="F299" s="96"/>
      <c r="G299" s="186"/>
    </row>
    <row r="300" spans="1:7" ht="21" customHeight="1" x14ac:dyDescent="0.25">
      <c r="A300" s="95">
        <v>39014</v>
      </c>
      <c r="B300" s="96"/>
      <c r="C300" s="96"/>
      <c r="D300" s="96"/>
      <c r="E300" s="96"/>
      <c r="F300" s="96"/>
      <c r="G300" s="186"/>
    </row>
    <row r="301" spans="1:7" ht="21" customHeight="1" x14ac:dyDescent="0.25">
      <c r="A301" s="95">
        <v>39015</v>
      </c>
      <c r="B301" s="96" t="s">
        <v>536</v>
      </c>
      <c r="C301" s="96">
        <v>500</v>
      </c>
      <c r="D301" s="96"/>
      <c r="E301" s="96"/>
      <c r="F301" s="96"/>
      <c r="G301" s="186"/>
    </row>
    <row r="302" spans="1:7" ht="21" customHeight="1" x14ac:dyDescent="0.25">
      <c r="A302" s="95">
        <v>39016</v>
      </c>
      <c r="B302" s="96" t="s">
        <v>535</v>
      </c>
      <c r="C302" s="96">
        <v>1000</v>
      </c>
      <c r="D302" s="96"/>
      <c r="E302" s="96"/>
      <c r="F302" s="96"/>
      <c r="G302" s="186"/>
    </row>
    <row r="303" spans="1:7" ht="21" customHeight="1" x14ac:dyDescent="0.25">
      <c r="A303" s="95">
        <v>39017</v>
      </c>
      <c r="B303" s="96" t="s">
        <v>534</v>
      </c>
      <c r="C303" s="96">
        <v>2000</v>
      </c>
      <c r="D303" s="96"/>
      <c r="E303" s="96"/>
      <c r="F303" s="96"/>
      <c r="G303" s="186"/>
    </row>
    <row r="304" spans="1:7" ht="21" customHeight="1" x14ac:dyDescent="0.25">
      <c r="A304" s="95">
        <v>39018</v>
      </c>
      <c r="B304" s="96" t="s">
        <v>431</v>
      </c>
      <c r="C304" s="96">
        <v>2300</v>
      </c>
      <c r="D304" s="96"/>
      <c r="E304" s="96"/>
      <c r="F304" s="96"/>
      <c r="G304" s="186"/>
    </row>
    <row r="305" spans="1:7" ht="21" customHeight="1" x14ac:dyDescent="0.25">
      <c r="A305" s="95">
        <v>39019</v>
      </c>
      <c r="B305" s="96" t="s">
        <v>430</v>
      </c>
      <c r="C305" s="96">
        <v>2400</v>
      </c>
      <c r="D305" s="96"/>
      <c r="E305" s="96"/>
      <c r="F305" s="96"/>
      <c r="G305" s="186"/>
    </row>
    <row r="306" spans="1:7" ht="21" customHeight="1" x14ac:dyDescent="0.25">
      <c r="A306" s="95">
        <v>39020</v>
      </c>
      <c r="B306" s="96" t="s">
        <v>430</v>
      </c>
      <c r="C306" s="96">
        <v>2400</v>
      </c>
      <c r="D306" s="96"/>
      <c r="E306" s="96"/>
      <c r="F306" s="96"/>
      <c r="G306" s="186"/>
    </row>
    <row r="307" spans="1:7" ht="21" customHeight="1" x14ac:dyDescent="0.25">
      <c r="A307" s="95">
        <v>39021</v>
      </c>
      <c r="B307" s="96" t="s">
        <v>430</v>
      </c>
      <c r="C307" s="96">
        <v>2400</v>
      </c>
      <c r="D307" s="96"/>
      <c r="E307" s="96"/>
      <c r="F307" s="96"/>
      <c r="G307" s="186"/>
    </row>
    <row r="308" spans="1:7" ht="21" customHeight="1" x14ac:dyDescent="0.25">
      <c r="A308" s="95">
        <v>39022</v>
      </c>
      <c r="B308" s="96" t="s">
        <v>692</v>
      </c>
      <c r="C308" s="96">
        <v>2700</v>
      </c>
      <c r="D308" s="96"/>
      <c r="E308" s="96"/>
      <c r="F308" s="96"/>
      <c r="G308" s="186"/>
    </row>
    <row r="309" spans="1:7" ht="21" customHeight="1" x14ac:dyDescent="0.25">
      <c r="A309" s="95">
        <v>39023</v>
      </c>
      <c r="B309" s="96" t="s">
        <v>692</v>
      </c>
      <c r="C309" s="96">
        <v>2700</v>
      </c>
      <c r="D309" s="96" t="s">
        <v>736</v>
      </c>
      <c r="E309" s="96" t="s">
        <v>736</v>
      </c>
      <c r="F309" s="96" t="s">
        <v>736</v>
      </c>
      <c r="G309" s="186" t="s">
        <v>736</v>
      </c>
    </row>
    <row r="310" spans="1:7" ht="21" customHeight="1" x14ac:dyDescent="0.25">
      <c r="A310" s="95">
        <v>39024</v>
      </c>
      <c r="B310" s="96" t="s">
        <v>413</v>
      </c>
      <c r="C310" s="96" t="s">
        <v>1020</v>
      </c>
      <c r="D310" s="96" t="s">
        <v>736</v>
      </c>
      <c r="E310" s="96" t="s">
        <v>736</v>
      </c>
      <c r="F310" s="96" t="s">
        <v>736</v>
      </c>
      <c r="G310" s="186" t="s">
        <v>736</v>
      </c>
    </row>
    <row r="311" spans="1:7" ht="21" customHeight="1" x14ac:dyDescent="0.25">
      <c r="A311" s="95">
        <v>39025</v>
      </c>
      <c r="B311" s="96" t="s">
        <v>413</v>
      </c>
      <c r="C311" s="96" t="s">
        <v>1020</v>
      </c>
      <c r="D311" s="96" t="s">
        <v>736</v>
      </c>
      <c r="E311" s="96" t="s">
        <v>736</v>
      </c>
      <c r="F311" s="96" t="s">
        <v>736</v>
      </c>
      <c r="G311" s="186" t="s">
        <v>736</v>
      </c>
    </row>
    <row r="312" spans="1:7" ht="21" customHeight="1" x14ac:dyDescent="0.25">
      <c r="A312" s="95">
        <v>39026</v>
      </c>
      <c r="B312" s="96" t="s">
        <v>413</v>
      </c>
      <c r="C312" s="96" t="s">
        <v>1020</v>
      </c>
      <c r="D312" s="96" t="s">
        <v>736</v>
      </c>
      <c r="E312" s="96" t="s">
        <v>736</v>
      </c>
      <c r="F312" s="96" t="s">
        <v>736</v>
      </c>
      <c r="G312" s="186" t="s">
        <v>736</v>
      </c>
    </row>
    <row r="313" spans="1:7" ht="21" customHeight="1" x14ac:dyDescent="0.25">
      <c r="A313" s="95">
        <v>39027</v>
      </c>
      <c r="B313" s="96" t="s">
        <v>413</v>
      </c>
      <c r="C313" s="96" t="s">
        <v>1020</v>
      </c>
      <c r="D313" s="96" t="s">
        <v>736</v>
      </c>
      <c r="E313" s="96" t="s">
        <v>736</v>
      </c>
      <c r="F313" s="96" t="s">
        <v>736</v>
      </c>
      <c r="G313" s="186" t="s">
        <v>736</v>
      </c>
    </row>
    <row r="314" spans="1:7" ht="21" customHeight="1" x14ac:dyDescent="0.25">
      <c r="A314" s="95">
        <v>39028</v>
      </c>
      <c r="B314" s="96" t="s">
        <v>413</v>
      </c>
      <c r="C314" s="96" t="s">
        <v>1020</v>
      </c>
      <c r="D314" s="96" t="s">
        <v>736</v>
      </c>
      <c r="E314" s="96" t="s">
        <v>736</v>
      </c>
      <c r="F314" s="96" t="s">
        <v>736</v>
      </c>
      <c r="G314" s="186" t="s">
        <v>736</v>
      </c>
    </row>
    <row r="315" spans="1:7" ht="21" customHeight="1" x14ac:dyDescent="0.25">
      <c r="A315" s="95">
        <v>39029</v>
      </c>
      <c r="B315" s="96" t="s">
        <v>413</v>
      </c>
      <c r="C315" s="96" t="s">
        <v>1020</v>
      </c>
      <c r="D315" s="96" t="s">
        <v>736</v>
      </c>
      <c r="E315" s="96" t="s">
        <v>736</v>
      </c>
      <c r="F315" s="96" t="s">
        <v>736</v>
      </c>
      <c r="G315" s="186" t="s">
        <v>736</v>
      </c>
    </row>
    <row r="316" spans="1:7" ht="21" customHeight="1" x14ac:dyDescent="0.25">
      <c r="A316" s="95">
        <v>39030</v>
      </c>
      <c r="B316" s="96" t="s">
        <v>693</v>
      </c>
      <c r="C316" s="96">
        <v>3400</v>
      </c>
      <c r="D316" s="96" t="s">
        <v>736</v>
      </c>
      <c r="E316" s="96" t="s">
        <v>736</v>
      </c>
      <c r="F316" s="96" t="s">
        <v>736</v>
      </c>
      <c r="G316" s="186" t="s">
        <v>736</v>
      </c>
    </row>
    <row r="317" spans="1:7" ht="21" customHeight="1" x14ac:dyDescent="0.25">
      <c r="A317" s="95">
        <v>39031</v>
      </c>
      <c r="B317" s="96" t="s">
        <v>628</v>
      </c>
      <c r="C317" s="96">
        <v>3450</v>
      </c>
      <c r="D317" s="96" t="s">
        <v>736</v>
      </c>
      <c r="E317" s="96" t="s">
        <v>736</v>
      </c>
      <c r="F317" s="96" t="s">
        <v>736</v>
      </c>
      <c r="G317" s="186" t="s">
        <v>736</v>
      </c>
    </row>
    <row r="318" spans="1:7" ht="21" customHeight="1" x14ac:dyDescent="0.25">
      <c r="A318" s="95">
        <v>39032</v>
      </c>
      <c r="B318" s="96" t="s">
        <v>690</v>
      </c>
      <c r="C318" s="96">
        <v>4000</v>
      </c>
      <c r="D318" s="96" t="s">
        <v>736</v>
      </c>
      <c r="E318" s="96" t="s">
        <v>736</v>
      </c>
      <c r="F318" s="96" t="s">
        <v>736</v>
      </c>
      <c r="G318" s="186" t="s">
        <v>736</v>
      </c>
    </row>
    <row r="319" spans="1:7" ht="21" customHeight="1" x14ac:dyDescent="0.25">
      <c r="A319" s="95">
        <v>39033</v>
      </c>
      <c r="B319" s="96" t="s">
        <v>641</v>
      </c>
      <c r="C319" s="96">
        <v>4300</v>
      </c>
      <c r="D319" s="96" t="s">
        <v>736</v>
      </c>
      <c r="E319" s="96" t="s">
        <v>736</v>
      </c>
      <c r="F319" s="96" t="s">
        <v>736</v>
      </c>
      <c r="G319" s="186" t="s">
        <v>736</v>
      </c>
    </row>
    <row r="320" spans="1:7" ht="21" customHeight="1" x14ac:dyDescent="0.25">
      <c r="A320" s="95">
        <v>39034</v>
      </c>
      <c r="B320" s="96" t="s">
        <v>643</v>
      </c>
      <c r="C320" s="96">
        <v>4500</v>
      </c>
      <c r="D320" s="96" t="s">
        <v>736</v>
      </c>
      <c r="E320" s="96" t="s">
        <v>736</v>
      </c>
      <c r="F320" s="96" t="s">
        <v>736</v>
      </c>
      <c r="G320" s="186" t="s">
        <v>736</v>
      </c>
    </row>
    <row r="321" spans="1:7" ht="21" customHeight="1" x14ac:dyDescent="0.25">
      <c r="A321" s="95">
        <v>39035</v>
      </c>
      <c r="B321" s="96" t="s">
        <v>645</v>
      </c>
      <c r="C321" s="96">
        <v>5000</v>
      </c>
      <c r="D321" s="96" t="s">
        <v>736</v>
      </c>
      <c r="E321" s="96" t="s">
        <v>736</v>
      </c>
      <c r="F321" s="96" t="s">
        <v>736</v>
      </c>
      <c r="G321" s="186" t="s">
        <v>736</v>
      </c>
    </row>
    <row r="322" spans="1:7" ht="21" customHeight="1" x14ac:dyDescent="0.25">
      <c r="A322" s="95">
        <v>39036</v>
      </c>
      <c r="B322" s="96" t="s">
        <v>620</v>
      </c>
      <c r="C322" s="96">
        <v>5200</v>
      </c>
      <c r="D322" s="96" t="s">
        <v>736</v>
      </c>
      <c r="E322" s="96" t="s">
        <v>736</v>
      </c>
      <c r="F322" s="96" t="s">
        <v>736</v>
      </c>
      <c r="G322" s="186" t="s">
        <v>736</v>
      </c>
    </row>
    <row r="323" spans="1:7" ht="21" customHeight="1" x14ac:dyDescent="0.25">
      <c r="A323" s="95">
        <v>39037</v>
      </c>
      <c r="B323" s="96" t="s">
        <v>694</v>
      </c>
      <c r="C323" s="96">
        <v>5350</v>
      </c>
      <c r="D323" s="96" t="s">
        <v>736</v>
      </c>
      <c r="E323" s="96" t="s">
        <v>736</v>
      </c>
      <c r="F323" s="96" t="s">
        <v>736</v>
      </c>
      <c r="G323" s="186" t="s">
        <v>736</v>
      </c>
    </row>
    <row r="324" spans="1:7" ht="21" customHeight="1" x14ac:dyDescent="0.25">
      <c r="A324" s="95">
        <v>39038</v>
      </c>
      <c r="B324" s="96" t="s">
        <v>648</v>
      </c>
      <c r="C324" s="96">
        <v>5500</v>
      </c>
      <c r="D324" s="96" t="s">
        <v>736</v>
      </c>
      <c r="E324" s="96" t="s">
        <v>736</v>
      </c>
      <c r="F324" s="96" t="s">
        <v>736</v>
      </c>
      <c r="G324" s="186" t="s">
        <v>736</v>
      </c>
    </row>
    <row r="325" spans="1:7" ht="21" customHeight="1" x14ac:dyDescent="0.25">
      <c r="A325" s="95">
        <v>39039</v>
      </c>
      <c r="B325" s="96" t="s">
        <v>648</v>
      </c>
      <c r="C325" s="96">
        <v>5500</v>
      </c>
      <c r="D325" s="96" t="s">
        <v>736</v>
      </c>
      <c r="E325" s="96" t="s">
        <v>736</v>
      </c>
      <c r="F325" s="96" t="s">
        <v>736</v>
      </c>
      <c r="G325" s="186" t="s">
        <v>736</v>
      </c>
    </row>
    <row r="326" spans="1:7" ht="21" customHeight="1" x14ac:dyDescent="0.25">
      <c r="A326" s="95">
        <v>39040</v>
      </c>
      <c r="B326" s="96" t="s">
        <v>650</v>
      </c>
      <c r="C326" s="96">
        <v>6900</v>
      </c>
      <c r="D326" s="96" t="s">
        <v>736</v>
      </c>
      <c r="E326" s="96" t="s">
        <v>736</v>
      </c>
      <c r="F326" s="96" t="s">
        <v>736</v>
      </c>
      <c r="G326" s="186" t="s">
        <v>736</v>
      </c>
    </row>
    <row r="327" spans="1:7" ht="21" customHeight="1" x14ac:dyDescent="0.25">
      <c r="A327" s="95">
        <v>39041</v>
      </c>
      <c r="B327" s="96" t="s">
        <v>601</v>
      </c>
      <c r="C327" s="96">
        <v>7000</v>
      </c>
      <c r="D327" s="96" t="s">
        <v>736</v>
      </c>
      <c r="E327" s="96" t="s">
        <v>736</v>
      </c>
      <c r="F327" s="96" t="s">
        <v>736</v>
      </c>
      <c r="G327" s="186" t="s">
        <v>736</v>
      </c>
    </row>
    <row r="328" spans="1:7" ht="21" customHeight="1" x14ac:dyDescent="0.25">
      <c r="A328" s="95">
        <v>39042</v>
      </c>
      <c r="B328" s="96" t="s">
        <v>695</v>
      </c>
      <c r="C328" s="96">
        <v>8800</v>
      </c>
      <c r="D328" s="96" t="s">
        <v>736</v>
      </c>
      <c r="E328" s="96" t="s">
        <v>736</v>
      </c>
      <c r="F328" s="96" t="s">
        <v>736</v>
      </c>
      <c r="G328" s="186" t="s">
        <v>736</v>
      </c>
    </row>
    <row r="329" spans="1:7" ht="21" customHeight="1" x14ac:dyDescent="0.25">
      <c r="A329" s="95">
        <v>39043</v>
      </c>
      <c r="B329" s="96" t="s">
        <v>656</v>
      </c>
      <c r="C329" s="96">
        <v>9300</v>
      </c>
      <c r="D329" s="96" t="s">
        <v>736</v>
      </c>
      <c r="E329" s="96" t="s">
        <v>736</v>
      </c>
      <c r="F329" s="96" t="s">
        <v>736</v>
      </c>
      <c r="G329" s="186" t="s">
        <v>736</v>
      </c>
    </row>
    <row r="330" spans="1:7" ht="21" customHeight="1" x14ac:dyDescent="0.25">
      <c r="A330" s="95">
        <v>39044</v>
      </c>
      <c r="B330" s="96" t="s">
        <v>592</v>
      </c>
      <c r="C330" s="96">
        <v>10200</v>
      </c>
      <c r="D330" s="96" t="s">
        <v>736</v>
      </c>
      <c r="E330" s="96" t="s">
        <v>736</v>
      </c>
      <c r="F330" s="96" t="s">
        <v>736</v>
      </c>
      <c r="G330" s="186" t="s">
        <v>736</v>
      </c>
    </row>
    <row r="331" spans="1:7" ht="21" customHeight="1" x14ac:dyDescent="0.25">
      <c r="A331" s="95">
        <v>39045</v>
      </c>
      <c r="B331" s="96" t="s">
        <v>662</v>
      </c>
      <c r="C331" s="96">
        <v>12200</v>
      </c>
      <c r="D331" s="96" t="s">
        <v>736</v>
      </c>
      <c r="E331" s="96" t="s">
        <v>736</v>
      </c>
      <c r="F331" s="96" t="s">
        <v>736</v>
      </c>
      <c r="G331" s="186" t="s">
        <v>736</v>
      </c>
    </row>
    <row r="332" spans="1:7" ht="21" customHeight="1" x14ac:dyDescent="0.25">
      <c r="A332" s="95">
        <v>39046</v>
      </c>
      <c r="B332" s="96" t="s">
        <v>581</v>
      </c>
      <c r="C332" s="96">
        <v>13250</v>
      </c>
      <c r="D332" s="96" t="s">
        <v>736</v>
      </c>
      <c r="E332" s="96" t="s">
        <v>736</v>
      </c>
      <c r="F332" s="96" t="s">
        <v>736</v>
      </c>
      <c r="G332" s="186" t="s">
        <v>736</v>
      </c>
    </row>
    <row r="333" spans="1:7" ht="21" customHeight="1" x14ac:dyDescent="0.25">
      <c r="A333" s="95">
        <v>39047</v>
      </c>
      <c r="B333" s="96" t="s">
        <v>579</v>
      </c>
      <c r="C333" s="96">
        <v>13700</v>
      </c>
      <c r="D333" s="96" t="s">
        <v>736</v>
      </c>
      <c r="E333" s="96" t="s">
        <v>736</v>
      </c>
      <c r="F333" s="96" t="s">
        <v>736</v>
      </c>
      <c r="G333" s="186" t="s">
        <v>736</v>
      </c>
    </row>
    <row r="334" spans="1:7" ht="21" customHeight="1" x14ac:dyDescent="0.25">
      <c r="A334" s="95">
        <v>39048</v>
      </c>
      <c r="B334" s="96" t="s">
        <v>577</v>
      </c>
      <c r="C334" s="96">
        <v>14000</v>
      </c>
      <c r="D334" s="96" t="s">
        <v>736</v>
      </c>
      <c r="E334" s="96" t="s">
        <v>736</v>
      </c>
      <c r="F334" s="96" t="s">
        <v>736</v>
      </c>
      <c r="G334" s="186" t="s">
        <v>736</v>
      </c>
    </row>
    <row r="335" spans="1:7" ht="21" customHeight="1" x14ac:dyDescent="0.25">
      <c r="A335" s="95">
        <v>39049</v>
      </c>
      <c r="B335" s="96" t="s">
        <v>576</v>
      </c>
      <c r="C335" s="96">
        <v>14200</v>
      </c>
      <c r="D335" s="96" t="s">
        <v>736</v>
      </c>
      <c r="E335" s="96" t="s">
        <v>736</v>
      </c>
      <c r="F335" s="96" t="s">
        <v>736</v>
      </c>
      <c r="G335" s="186" t="s">
        <v>736</v>
      </c>
    </row>
    <row r="336" spans="1:7" ht="21" customHeight="1" x14ac:dyDescent="0.25">
      <c r="A336" s="95">
        <v>39050</v>
      </c>
      <c r="B336" s="96" t="s">
        <v>575</v>
      </c>
      <c r="C336" s="96">
        <v>14400</v>
      </c>
      <c r="D336" s="96" t="s">
        <v>736</v>
      </c>
      <c r="E336" s="96" t="s">
        <v>736</v>
      </c>
      <c r="F336" s="96" t="s">
        <v>736</v>
      </c>
      <c r="G336" s="186" t="s">
        <v>736</v>
      </c>
    </row>
    <row r="337" spans="1:7" ht="21" customHeight="1" x14ac:dyDescent="0.25">
      <c r="A337" s="95">
        <v>39051</v>
      </c>
      <c r="B337" s="96" t="s">
        <v>736</v>
      </c>
      <c r="C337" s="96" t="s">
        <v>736</v>
      </c>
      <c r="D337" s="96" t="s">
        <v>736</v>
      </c>
      <c r="E337" s="96" t="s">
        <v>736</v>
      </c>
      <c r="F337" s="96" t="s">
        <v>736</v>
      </c>
      <c r="G337" s="186" t="s">
        <v>736</v>
      </c>
    </row>
    <row r="338" spans="1:7" ht="21" customHeight="1" x14ac:dyDescent="0.25">
      <c r="A338" s="95">
        <v>39052</v>
      </c>
      <c r="B338" s="96" t="s">
        <v>736</v>
      </c>
      <c r="C338" s="96" t="s">
        <v>736</v>
      </c>
      <c r="D338" s="96" t="s">
        <v>736</v>
      </c>
      <c r="E338" s="96" t="s">
        <v>736</v>
      </c>
      <c r="F338" s="96" t="s">
        <v>736</v>
      </c>
      <c r="G338" s="186" t="s">
        <v>736</v>
      </c>
    </row>
    <row r="339" spans="1:7" ht="21" customHeight="1" x14ac:dyDescent="0.25">
      <c r="A339" s="95">
        <v>39053</v>
      </c>
      <c r="B339" s="96" t="s">
        <v>572</v>
      </c>
      <c r="C339" s="96">
        <v>14900</v>
      </c>
      <c r="D339" s="96" t="s">
        <v>736</v>
      </c>
      <c r="E339" s="96" t="s">
        <v>736</v>
      </c>
      <c r="F339" s="96" t="s">
        <v>736</v>
      </c>
      <c r="G339" s="186" t="s">
        <v>736</v>
      </c>
    </row>
    <row r="340" spans="1:7" ht="21" customHeight="1" x14ac:dyDescent="0.25">
      <c r="A340" s="95">
        <v>39054</v>
      </c>
      <c r="B340" s="96" t="s">
        <v>572</v>
      </c>
      <c r="C340" s="96">
        <v>14900</v>
      </c>
      <c r="D340" s="96" t="s">
        <v>736</v>
      </c>
      <c r="E340" s="96" t="s">
        <v>736</v>
      </c>
      <c r="F340" s="96" t="s">
        <v>736</v>
      </c>
      <c r="G340" s="186" t="s">
        <v>736</v>
      </c>
    </row>
    <row r="341" spans="1:7" ht="21" customHeight="1" x14ac:dyDescent="0.25">
      <c r="A341" s="95">
        <v>39055</v>
      </c>
      <c r="B341" s="96" t="s">
        <v>572</v>
      </c>
      <c r="C341" s="96">
        <v>14900</v>
      </c>
      <c r="D341" s="96" t="s">
        <v>1061</v>
      </c>
      <c r="E341" s="96" t="s">
        <v>1573</v>
      </c>
      <c r="F341" s="96" t="s">
        <v>1061</v>
      </c>
      <c r="G341" s="186" t="s">
        <v>1580</v>
      </c>
    </row>
    <row r="342" spans="1:7" ht="21" customHeight="1" x14ac:dyDescent="0.25">
      <c r="A342" s="95">
        <v>39056</v>
      </c>
      <c r="B342" s="96" t="s">
        <v>572</v>
      </c>
      <c r="C342" s="96">
        <v>14900</v>
      </c>
      <c r="D342" s="96" t="s">
        <v>1061</v>
      </c>
      <c r="E342" s="96" t="s">
        <v>1573</v>
      </c>
      <c r="F342" s="96" t="s">
        <v>1061</v>
      </c>
      <c r="G342" s="186" t="s">
        <v>1580</v>
      </c>
    </row>
    <row r="343" spans="1:7" ht="21" customHeight="1" x14ac:dyDescent="0.25">
      <c r="A343" s="95">
        <v>39057</v>
      </c>
      <c r="B343" s="96" t="s">
        <v>669</v>
      </c>
      <c r="C343" s="96">
        <v>15000</v>
      </c>
      <c r="D343" s="96" t="s">
        <v>736</v>
      </c>
      <c r="E343" s="96" t="s">
        <v>736</v>
      </c>
      <c r="F343" s="96" t="s">
        <v>1061</v>
      </c>
      <c r="G343" s="186" t="s">
        <v>1581</v>
      </c>
    </row>
    <row r="344" spans="1:7" ht="21" customHeight="1" x14ac:dyDescent="0.25">
      <c r="A344" s="95">
        <v>39058</v>
      </c>
      <c r="B344" s="96" t="s">
        <v>669</v>
      </c>
      <c r="C344" s="96">
        <v>15000</v>
      </c>
      <c r="D344" s="96" t="s">
        <v>1061</v>
      </c>
      <c r="E344" s="96" t="s">
        <v>1574</v>
      </c>
      <c r="F344" s="96" t="s">
        <v>1061</v>
      </c>
      <c r="G344" s="186" t="s">
        <v>1581</v>
      </c>
    </row>
    <row r="345" spans="1:7" ht="21" customHeight="1" x14ac:dyDescent="0.25">
      <c r="A345" s="95">
        <v>39059</v>
      </c>
      <c r="B345" s="96" t="s">
        <v>669</v>
      </c>
      <c r="C345" s="96">
        <v>15000</v>
      </c>
      <c r="D345" s="179" t="s">
        <v>1061</v>
      </c>
      <c r="E345" s="96" t="s">
        <v>1574</v>
      </c>
      <c r="F345" s="96" t="s">
        <v>1061</v>
      </c>
      <c r="G345" s="186" t="s">
        <v>1581</v>
      </c>
    </row>
    <row r="346" spans="1:7" ht="21" customHeight="1" x14ac:dyDescent="0.25">
      <c r="A346" s="95">
        <v>39060</v>
      </c>
      <c r="B346" s="96" t="s">
        <v>669</v>
      </c>
      <c r="C346" s="96">
        <v>15000</v>
      </c>
      <c r="D346" s="179" t="s">
        <v>1061</v>
      </c>
      <c r="E346" s="96" t="s">
        <v>1574</v>
      </c>
      <c r="F346" s="96" t="s">
        <v>1061</v>
      </c>
      <c r="G346" s="186" t="s">
        <v>1581</v>
      </c>
    </row>
    <row r="347" spans="1:7" ht="21" customHeight="1" x14ac:dyDescent="0.25">
      <c r="A347" s="95">
        <v>39061</v>
      </c>
      <c r="B347" s="96" t="s">
        <v>669</v>
      </c>
      <c r="C347" s="96">
        <v>15000</v>
      </c>
      <c r="D347" s="179" t="s">
        <v>1061</v>
      </c>
      <c r="E347" s="96" t="s">
        <v>1574</v>
      </c>
      <c r="F347" s="96" t="s">
        <v>1061</v>
      </c>
      <c r="G347" s="186" t="s">
        <v>1581</v>
      </c>
    </row>
    <row r="348" spans="1:7" ht="21" customHeight="1" x14ac:dyDescent="0.25">
      <c r="A348" s="95">
        <v>39062</v>
      </c>
      <c r="B348" s="96" t="s">
        <v>572</v>
      </c>
      <c r="C348" s="96">
        <v>14900</v>
      </c>
      <c r="D348" s="179" t="s">
        <v>1061</v>
      </c>
      <c r="E348" s="96" t="s">
        <v>1573</v>
      </c>
      <c r="F348" s="96" t="s">
        <v>1061</v>
      </c>
      <c r="G348" s="186" t="s">
        <v>1580</v>
      </c>
    </row>
    <row r="349" spans="1:7" ht="21" customHeight="1" x14ac:dyDescent="0.25">
      <c r="A349" s="95">
        <v>39063</v>
      </c>
      <c r="B349" s="96" t="s">
        <v>573</v>
      </c>
      <c r="C349" s="96">
        <v>14700</v>
      </c>
      <c r="D349" s="179" t="s">
        <v>736</v>
      </c>
      <c r="E349" s="96" t="s">
        <v>736</v>
      </c>
      <c r="F349" s="96" t="s">
        <v>736</v>
      </c>
      <c r="G349" s="186" t="s">
        <v>736</v>
      </c>
    </row>
    <row r="350" spans="1:7" ht="21" customHeight="1" x14ac:dyDescent="0.25">
      <c r="A350" s="95">
        <v>39064</v>
      </c>
      <c r="B350" s="96" t="s">
        <v>522</v>
      </c>
      <c r="C350" s="96" t="s">
        <v>846</v>
      </c>
      <c r="D350" s="179" t="s">
        <v>736</v>
      </c>
      <c r="E350" s="96" t="s">
        <v>736</v>
      </c>
      <c r="F350" s="96" t="s">
        <v>736</v>
      </c>
      <c r="G350" s="186" t="s">
        <v>736</v>
      </c>
    </row>
    <row r="351" spans="1:7" ht="21" customHeight="1" x14ac:dyDescent="0.25">
      <c r="A351" s="95">
        <v>39065</v>
      </c>
      <c r="B351" s="96" t="s">
        <v>573</v>
      </c>
      <c r="C351" s="96">
        <v>14700</v>
      </c>
      <c r="D351" s="179" t="s">
        <v>736</v>
      </c>
      <c r="E351" s="96" t="s">
        <v>736</v>
      </c>
      <c r="F351" s="96" t="s">
        <v>736</v>
      </c>
      <c r="G351" s="186" t="s">
        <v>736</v>
      </c>
    </row>
    <row r="352" spans="1:7" ht="21" customHeight="1" x14ac:dyDescent="0.25">
      <c r="A352" s="95">
        <v>39066</v>
      </c>
      <c r="B352" s="96" t="s">
        <v>573</v>
      </c>
      <c r="C352" s="96">
        <v>14700</v>
      </c>
      <c r="D352" s="179" t="s">
        <v>736</v>
      </c>
      <c r="E352" s="96" t="s">
        <v>736</v>
      </c>
      <c r="F352" s="96" t="s">
        <v>736</v>
      </c>
      <c r="G352" s="186" t="s">
        <v>736</v>
      </c>
    </row>
    <row r="353" spans="1:7" ht="21" customHeight="1" x14ac:dyDescent="0.25">
      <c r="A353" s="95">
        <v>39067</v>
      </c>
      <c r="B353" s="96" t="s">
        <v>573</v>
      </c>
      <c r="C353" s="96">
        <v>14700</v>
      </c>
      <c r="D353" s="179" t="s">
        <v>1383</v>
      </c>
      <c r="E353" s="96" t="s">
        <v>1575</v>
      </c>
      <c r="F353" s="96" t="s">
        <v>1383</v>
      </c>
      <c r="G353" s="186" t="s">
        <v>1582</v>
      </c>
    </row>
    <row r="354" spans="1:7" ht="21" customHeight="1" x14ac:dyDescent="0.25">
      <c r="A354" s="95">
        <v>39068</v>
      </c>
      <c r="B354" s="96" t="s">
        <v>572</v>
      </c>
      <c r="C354" s="96">
        <v>14900</v>
      </c>
      <c r="D354" s="179" t="s">
        <v>1383</v>
      </c>
      <c r="E354" s="96" t="s">
        <v>1576</v>
      </c>
      <c r="F354" s="96" t="s">
        <v>1383</v>
      </c>
      <c r="G354" s="186" t="s">
        <v>1583</v>
      </c>
    </row>
    <row r="355" spans="1:7" ht="21" customHeight="1" x14ac:dyDescent="0.25">
      <c r="A355" s="95">
        <v>39069</v>
      </c>
      <c r="B355" s="96" t="s">
        <v>572</v>
      </c>
      <c r="C355" s="96">
        <v>14900</v>
      </c>
      <c r="D355" s="179" t="s">
        <v>1383</v>
      </c>
      <c r="E355" s="96" t="s">
        <v>1576</v>
      </c>
      <c r="F355" s="96" t="s">
        <v>1383</v>
      </c>
      <c r="G355" s="186" t="s">
        <v>1583</v>
      </c>
    </row>
    <row r="356" spans="1:7" ht="21" customHeight="1" x14ac:dyDescent="0.25">
      <c r="A356" s="95">
        <v>39070</v>
      </c>
      <c r="B356" s="96" t="s">
        <v>572</v>
      </c>
      <c r="C356" s="96">
        <v>14900</v>
      </c>
      <c r="D356" s="96" t="s">
        <v>1383</v>
      </c>
      <c r="E356" s="96" t="s">
        <v>1576</v>
      </c>
      <c r="F356" s="96" t="s">
        <v>1383</v>
      </c>
      <c r="G356" s="186" t="s">
        <v>1583</v>
      </c>
    </row>
    <row r="357" spans="1:7" ht="21" customHeight="1" x14ac:dyDescent="0.25">
      <c r="A357" s="95">
        <v>39071</v>
      </c>
      <c r="B357" s="96" t="s">
        <v>380</v>
      </c>
      <c r="C357" s="96" t="s">
        <v>1274</v>
      </c>
      <c r="D357" s="96" t="s">
        <v>736</v>
      </c>
      <c r="E357" s="96" t="s">
        <v>736</v>
      </c>
      <c r="F357" s="96" t="s">
        <v>736</v>
      </c>
      <c r="G357" s="186" t="s">
        <v>736</v>
      </c>
    </row>
    <row r="358" spans="1:7" ht="21" customHeight="1" x14ac:dyDescent="0.25">
      <c r="A358" s="95">
        <v>39072</v>
      </c>
      <c r="B358" s="96" t="s">
        <v>316</v>
      </c>
      <c r="C358" s="96" t="s">
        <v>1268</v>
      </c>
      <c r="D358" s="96" t="s">
        <v>736</v>
      </c>
      <c r="E358" s="96" t="s">
        <v>736</v>
      </c>
      <c r="F358" s="96" t="s">
        <v>736</v>
      </c>
      <c r="G358" s="186" t="s">
        <v>736</v>
      </c>
    </row>
    <row r="359" spans="1:7" ht="21" customHeight="1" x14ac:dyDescent="0.25">
      <c r="A359" s="95">
        <v>39073</v>
      </c>
      <c r="B359" s="96" t="s">
        <v>513</v>
      </c>
      <c r="C359" s="96" t="s">
        <v>1266</v>
      </c>
      <c r="D359" s="96" t="s">
        <v>736</v>
      </c>
      <c r="E359" s="96" t="s">
        <v>736</v>
      </c>
      <c r="F359" s="96" t="s">
        <v>736</v>
      </c>
      <c r="G359" s="186" t="s">
        <v>736</v>
      </c>
    </row>
    <row r="360" spans="1:7" ht="21" customHeight="1" x14ac:dyDescent="0.25">
      <c r="A360" s="95">
        <v>39074</v>
      </c>
      <c r="B360" s="96" t="s">
        <v>517</v>
      </c>
      <c r="C360" s="96" t="s">
        <v>1413</v>
      </c>
      <c r="D360" s="96" t="s">
        <v>824</v>
      </c>
      <c r="E360" s="96" t="s">
        <v>1577</v>
      </c>
      <c r="F360" s="96" t="s">
        <v>824</v>
      </c>
      <c r="G360" s="186" t="s">
        <v>1584</v>
      </c>
    </row>
    <row r="361" spans="1:7" ht="21" customHeight="1" x14ac:dyDescent="0.25">
      <c r="A361" s="95">
        <v>39075</v>
      </c>
      <c r="B361" s="96" t="s">
        <v>498</v>
      </c>
      <c r="C361" s="96" t="s">
        <v>1228</v>
      </c>
      <c r="D361" s="96" t="s">
        <v>824</v>
      </c>
      <c r="E361" s="96" t="s">
        <v>1578</v>
      </c>
      <c r="F361" s="96" t="s">
        <v>824</v>
      </c>
      <c r="G361" s="186" t="s">
        <v>1585</v>
      </c>
    </row>
    <row r="362" spans="1:7" ht="21" customHeight="1" x14ac:dyDescent="0.25">
      <c r="A362" s="95">
        <v>39076</v>
      </c>
      <c r="B362" s="96" t="s">
        <v>338</v>
      </c>
      <c r="C362" s="96" t="s">
        <v>1229</v>
      </c>
      <c r="D362" s="96" t="s">
        <v>824</v>
      </c>
      <c r="E362" s="96" t="s">
        <v>1579</v>
      </c>
      <c r="F362" s="96" t="s">
        <v>824</v>
      </c>
      <c r="G362" s="186" t="s">
        <v>1586</v>
      </c>
    </row>
    <row r="363" spans="1:7" ht="21" customHeight="1" x14ac:dyDescent="0.25">
      <c r="A363" s="95">
        <v>39077</v>
      </c>
      <c r="B363" s="96" t="s">
        <v>342</v>
      </c>
      <c r="C363" s="96" t="s">
        <v>1260</v>
      </c>
      <c r="D363" s="96" t="s">
        <v>824</v>
      </c>
      <c r="E363" s="96" t="s">
        <v>1531</v>
      </c>
      <c r="F363" s="96" t="s">
        <v>824</v>
      </c>
      <c r="G363" s="186" t="s">
        <v>1587</v>
      </c>
    </row>
    <row r="364" spans="1:7" ht="21" customHeight="1" x14ac:dyDescent="0.25">
      <c r="A364" s="95">
        <v>39078</v>
      </c>
      <c r="B364" s="96" t="s">
        <v>342</v>
      </c>
      <c r="C364" s="96" t="s">
        <v>1260</v>
      </c>
      <c r="D364" s="179" t="s">
        <v>824</v>
      </c>
      <c r="E364" s="96" t="s">
        <v>1531</v>
      </c>
      <c r="F364" s="96" t="s">
        <v>824</v>
      </c>
      <c r="G364" s="186" t="s">
        <v>1587</v>
      </c>
    </row>
    <row r="365" spans="1:7" ht="21" customHeight="1" x14ac:dyDescent="0.25">
      <c r="A365" s="95">
        <v>39079</v>
      </c>
      <c r="B365" s="96" t="s">
        <v>342</v>
      </c>
      <c r="C365" s="96" t="s">
        <v>1260</v>
      </c>
      <c r="D365" s="179" t="s">
        <v>824</v>
      </c>
      <c r="E365" s="96" t="s">
        <v>1531</v>
      </c>
      <c r="F365" s="96" t="s">
        <v>824</v>
      </c>
      <c r="G365" s="186" t="s">
        <v>1587</v>
      </c>
    </row>
    <row r="366" spans="1:7" ht="21" customHeight="1" x14ac:dyDescent="0.25">
      <c r="A366" s="95">
        <v>39080</v>
      </c>
      <c r="B366" s="96" t="s">
        <v>338</v>
      </c>
      <c r="C366" s="96" t="s">
        <v>1229</v>
      </c>
      <c r="D366" s="96" t="s">
        <v>736</v>
      </c>
      <c r="E366" s="96" t="s">
        <v>736</v>
      </c>
      <c r="F366" s="96" t="s">
        <v>736</v>
      </c>
      <c r="G366" s="186" t="s">
        <v>736</v>
      </c>
    </row>
    <row r="367" spans="1:7" ht="21" customHeight="1" x14ac:dyDescent="0.25">
      <c r="A367" s="95">
        <v>39081</v>
      </c>
      <c r="B367" s="96" t="s">
        <v>497</v>
      </c>
      <c r="C367" s="96" t="s">
        <v>978</v>
      </c>
      <c r="D367" s="96" t="s">
        <v>736</v>
      </c>
      <c r="E367" s="96" t="s">
        <v>736</v>
      </c>
      <c r="F367" s="96" t="s">
        <v>736</v>
      </c>
      <c r="G367" s="186" t="s">
        <v>736</v>
      </c>
    </row>
    <row r="368" spans="1:7" ht="21" customHeight="1" thickBot="1" x14ac:dyDescent="0.3">
      <c r="A368" s="97">
        <v>39082</v>
      </c>
      <c r="B368" s="185" t="s">
        <v>497</v>
      </c>
      <c r="C368" s="185" t="s">
        <v>978</v>
      </c>
      <c r="D368" s="185" t="s">
        <v>736</v>
      </c>
      <c r="E368" s="185" t="s">
        <v>736</v>
      </c>
      <c r="F368" s="185" t="s">
        <v>736</v>
      </c>
      <c r="G368" s="192" t="s">
        <v>736</v>
      </c>
    </row>
    <row r="369" spans="1:7" x14ac:dyDescent="0.25">
      <c r="A369" s="409" t="s">
        <v>1759</v>
      </c>
      <c r="B369" s="410"/>
      <c r="C369" s="410"/>
      <c r="D369" s="410"/>
      <c r="E369" s="410"/>
      <c r="F369" s="410"/>
      <c r="G369" s="410"/>
    </row>
  </sheetData>
  <mergeCells count="6">
    <mergeCell ref="A369:G369"/>
    <mergeCell ref="A1:G1"/>
    <mergeCell ref="B2:B3"/>
    <mergeCell ref="C2:C3"/>
    <mergeCell ref="A2:A3"/>
    <mergeCell ref="D2:G2"/>
  </mergeCells>
  <printOptions horizontalCentered="1"/>
  <pageMargins left="1" right="0.75" top="0.5" bottom="0.5" header="0.3" footer="0.3"/>
  <pageSetup paperSize="9" orientation="portrait" useFirstPageNumber="1" r:id="rId1"/>
  <ignoredErrors>
    <ignoredError sqref="B5:B24 B32 B116:B121 B131:B141 B308:B309 B172:B185 D31 B53 B67 B143:B152 B160 B189:B204 B316:B330" twoDigitTextYear="1"/>
    <ignoredError sqref="E4:G30 E34:G34 E31:E33 G31:G33 C36:C62 C35 E35:G35 C64:C94 B92:B94 C95:C124 B122:B124 C125:C155 C156:C185 C186:C215 B210:B216 C216 G186:G215 C309:C338 G309:G338 B337:B338 C339:C368 D36:G62 D35 D64:G94 D95:G124 D125:G155 D156:G185 D186:F215 D216:G216 D309:F338 D339:G368" numberStoredAsText="1"/>
    <ignoredError sqref="F31:F33 D32:D34" twoDigitTextYear="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pane ySplit="3" topLeftCell="A354" activePane="bottomLeft" state="frozen"/>
      <selection pane="bottomLeft" sqref="A1:G3"/>
    </sheetView>
  </sheetViews>
  <sheetFormatPr defaultColWidth="9.140625" defaultRowHeight="15" x14ac:dyDescent="0.25"/>
  <cols>
    <col min="1" max="1" width="12" style="14" customWidth="1"/>
    <col min="2" max="7" width="9.5703125" style="37" customWidth="1"/>
    <col min="8" max="16384" width="9.140625" style="14"/>
  </cols>
  <sheetData>
    <row r="1" spans="1:7" ht="31.5" customHeight="1" thickBot="1" x14ac:dyDescent="0.3">
      <c r="A1" s="442" t="s">
        <v>2695</v>
      </c>
      <c r="B1" s="442"/>
      <c r="C1" s="442"/>
      <c r="D1" s="442"/>
      <c r="E1" s="442"/>
      <c r="F1" s="442"/>
      <c r="G1" s="442"/>
    </row>
    <row r="2" spans="1:7" ht="24" customHeight="1" x14ac:dyDescent="0.25">
      <c r="A2" s="425" t="s">
        <v>0</v>
      </c>
      <c r="B2" s="423" t="s">
        <v>2684</v>
      </c>
      <c r="C2" s="423" t="s">
        <v>2689</v>
      </c>
      <c r="D2" s="443" t="s">
        <v>2686</v>
      </c>
      <c r="E2" s="444"/>
      <c r="F2" s="444"/>
      <c r="G2" s="445"/>
    </row>
    <row r="3" spans="1:7" ht="48.75" customHeight="1" thickBot="1" x14ac:dyDescent="0.3">
      <c r="A3" s="426"/>
      <c r="B3" s="424"/>
      <c r="C3" s="424"/>
      <c r="D3" s="181" t="s">
        <v>2687</v>
      </c>
      <c r="E3" s="184" t="s">
        <v>735</v>
      </c>
      <c r="F3" s="181" t="s">
        <v>2688</v>
      </c>
      <c r="G3" s="183" t="s">
        <v>735</v>
      </c>
    </row>
    <row r="4" spans="1:7" ht="27" customHeight="1" x14ac:dyDescent="0.25">
      <c r="A4" s="120">
        <v>39083</v>
      </c>
      <c r="B4" s="112" t="s">
        <v>562</v>
      </c>
      <c r="C4" s="112">
        <v>16900</v>
      </c>
      <c r="D4" s="112" t="s">
        <v>736</v>
      </c>
      <c r="E4" s="112" t="s">
        <v>736</v>
      </c>
      <c r="F4" s="112" t="s">
        <v>736</v>
      </c>
      <c r="G4" s="189" t="s">
        <v>736</v>
      </c>
    </row>
    <row r="5" spans="1:7" ht="27" customHeight="1" x14ac:dyDescent="0.25">
      <c r="A5" s="95">
        <v>39084</v>
      </c>
      <c r="B5" s="96" t="s">
        <v>696</v>
      </c>
      <c r="C5" s="96">
        <v>16800</v>
      </c>
      <c r="D5" s="96" t="s">
        <v>736</v>
      </c>
      <c r="E5" s="96" t="s">
        <v>736</v>
      </c>
      <c r="F5" s="96" t="s">
        <v>736</v>
      </c>
      <c r="G5" s="186" t="s">
        <v>736</v>
      </c>
    </row>
    <row r="6" spans="1:7" ht="27" customHeight="1" x14ac:dyDescent="0.25">
      <c r="A6" s="95">
        <v>39085</v>
      </c>
      <c r="B6" s="96" t="s">
        <v>697</v>
      </c>
      <c r="C6" s="96">
        <v>16700</v>
      </c>
      <c r="D6" s="96" t="s">
        <v>736</v>
      </c>
      <c r="E6" s="96" t="s">
        <v>736</v>
      </c>
      <c r="F6" s="96" t="s">
        <v>736</v>
      </c>
      <c r="G6" s="186" t="s">
        <v>736</v>
      </c>
    </row>
    <row r="7" spans="1:7" ht="27" customHeight="1" x14ac:dyDescent="0.25">
      <c r="A7" s="95">
        <v>39086</v>
      </c>
      <c r="B7" s="96" t="s">
        <v>563</v>
      </c>
      <c r="C7" s="96">
        <v>16600</v>
      </c>
      <c r="D7" s="96" t="s">
        <v>736</v>
      </c>
      <c r="E7" s="96" t="s">
        <v>736</v>
      </c>
      <c r="F7" s="96" t="s">
        <v>736</v>
      </c>
      <c r="G7" s="186" t="s">
        <v>736</v>
      </c>
    </row>
    <row r="8" spans="1:7" ht="27" customHeight="1" x14ac:dyDescent="0.25">
      <c r="A8" s="95">
        <v>39087</v>
      </c>
      <c r="B8" s="96" t="s">
        <v>563</v>
      </c>
      <c r="C8" s="96">
        <v>16600</v>
      </c>
      <c r="D8" s="96" t="s">
        <v>736</v>
      </c>
      <c r="E8" s="96" t="s">
        <v>736</v>
      </c>
      <c r="F8" s="96" t="s">
        <v>736</v>
      </c>
      <c r="G8" s="186" t="s">
        <v>736</v>
      </c>
    </row>
    <row r="9" spans="1:7" ht="27" customHeight="1" x14ac:dyDescent="0.25">
      <c r="A9" s="95">
        <v>39088</v>
      </c>
      <c r="B9" s="96" t="s">
        <v>698</v>
      </c>
      <c r="C9" s="96">
        <v>16500</v>
      </c>
      <c r="D9" s="96" t="s">
        <v>736</v>
      </c>
      <c r="E9" s="96" t="s">
        <v>736</v>
      </c>
      <c r="F9" s="96" t="s">
        <v>736</v>
      </c>
      <c r="G9" s="186" t="s">
        <v>736</v>
      </c>
    </row>
    <row r="10" spans="1:7" ht="27" customHeight="1" x14ac:dyDescent="0.25">
      <c r="A10" s="95">
        <v>39089</v>
      </c>
      <c r="B10" s="96" t="s">
        <v>564</v>
      </c>
      <c r="C10" s="96">
        <v>16500</v>
      </c>
      <c r="D10" s="96" t="s">
        <v>736</v>
      </c>
      <c r="E10" s="96" t="s">
        <v>736</v>
      </c>
      <c r="F10" s="96" t="s">
        <v>736</v>
      </c>
      <c r="G10" s="186" t="s">
        <v>736</v>
      </c>
    </row>
    <row r="11" spans="1:7" ht="27" customHeight="1" x14ac:dyDescent="0.25">
      <c r="A11" s="95">
        <v>39090</v>
      </c>
      <c r="B11" s="96" t="s">
        <v>564</v>
      </c>
      <c r="C11" s="96">
        <v>16500</v>
      </c>
      <c r="D11" s="96" t="s">
        <v>736</v>
      </c>
      <c r="E11" s="96" t="s">
        <v>736</v>
      </c>
      <c r="F11" s="96" t="s">
        <v>736</v>
      </c>
      <c r="G11" s="186" t="s">
        <v>736</v>
      </c>
    </row>
    <row r="12" spans="1:7" ht="27" customHeight="1" x14ac:dyDescent="0.25">
      <c r="A12" s="95">
        <v>39091</v>
      </c>
      <c r="B12" s="96" t="s">
        <v>697</v>
      </c>
      <c r="C12" s="96">
        <v>16700</v>
      </c>
      <c r="D12" s="96" t="s">
        <v>736</v>
      </c>
      <c r="E12" s="96" t="s">
        <v>736</v>
      </c>
      <c r="F12" s="96" t="s">
        <v>736</v>
      </c>
      <c r="G12" s="186" t="s">
        <v>736</v>
      </c>
    </row>
    <row r="13" spans="1:7" ht="27" customHeight="1" x14ac:dyDescent="0.25">
      <c r="A13" s="95">
        <v>39092</v>
      </c>
      <c r="B13" s="96" t="s">
        <v>696</v>
      </c>
      <c r="C13" s="96">
        <v>16800</v>
      </c>
      <c r="D13" s="96" t="s">
        <v>736</v>
      </c>
      <c r="E13" s="96" t="s">
        <v>736</v>
      </c>
      <c r="F13" s="96" t="s">
        <v>736</v>
      </c>
      <c r="G13" s="186" t="s">
        <v>736</v>
      </c>
    </row>
    <row r="14" spans="1:7" ht="27" customHeight="1" x14ac:dyDescent="0.25">
      <c r="A14" s="95">
        <v>39093</v>
      </c>
      <c r="B14" s="96" t="s">
        <v>699</v>
      </c>
      <c r="C14" s="96">
        <v>16900</v>
      </c>
      <c r="D14" s="96" t="s">
        <v>736</v>
      </c>
      <c r="E14" s="96" t="s">
        <v>736</v>
      </c>
      <c r="F14" s="96" t="s">
        <v>736</v>
      </c>
      <c r="G14" s="186" t="s">
        <v>736</v>
      </c>
    </row>
    <row r="15" spans="1:7" ht="27" customHeight="1" x14ac:dyDescent="0.25">
      <c r="A15" s="95">
        <v>39094</v>
      </c>
      <c r="B15" s="96" t="s">
        <v>700</v>
      </c>
      <c r="C15" s="96">
        <v>17000</v>
      </c>
      <c r="D15" s="96" t="s">
        <v>736</v>
      </c>
      <c r="E15" s="96" t="s">
        <v>736</v>
      </c>
      <c r="F15" s="96" t="s">
        <v>736</v>
      </c>
      <c r="G15" s="186" t="s">
        <v>736</v>
      </c>
    </row>
    <row r="16" spans="1:7" ht="27" customHeight="1" x14ac:dyDescent="0.25">
      <c r="A16" s="95">
        <v>39095</v>
      </c>
      <c r="B16" s="96" t="s">
        <v>700</v>
      </c>
      <c r="C16" s="96">
        <v>17000</v>
      </c>
      <c r="D16" s="96" t="s">
        <v>736</v>
      </c>
      <c r="E16" s="96" t="s">
        <v>736</v>
      </c>
      <c r="F16" s="96" t="s">
        <v>736</v>
      </c>
      <c r="G16" s="186" t="s">
        <v>736</v>
      </c>
    </row>
    <row r="17" spans="1:7" ht="27" customHeight="1" x14ac:dyDescent="0.25">
      <c r="A17" s="95">
        <v>39096</v>
      </c>
      <c r="B17" s="96" t="s">
        <v>701</v>
      </c>
      <c r="C17" s="96">
        <v>17250</v>
      </c>
      <c r="D17" s="96" t="s">
        <v>1060</v>
      </c>
      <c r="E17" s="96" t="s">
        <v>1588</v>
      </c>
      <c r="F17" s="96" t="s">
        <v>1060</v>
      </c>
      <c r="G17" s="186" t="s">
        <v>1596</v>
      </c>
    </row>
    <row r="18" spans="1:7" ht="27" customHeight="1" x14ac:dyDescent="0.25">
      <c r="A18" s="95">
        <v>39097</v>
      </c>
      <c r="B18" s="96" t="s">
        <v>701</v>
      </c>
      <c r="C18" s="96">
        <v>17250</v>
      </c>
      <c r="D18" s="96" t="s">
        <v>1060</v>
      </c>
      <c r="E18" s="96" t="s">
        <v>1588</v>
      </c>
      <c r="F18" s="96" t="s">
        <v>1060</v>
      </c>
      <c r="G18" s="186" t="s">
        <v>1596</v>
      </c>
    </row>
    <row r="19" spans="1:7" ht="27" customHeight="1" x14ac:dyDescent="0.25">
      <c r="A19" s="95">
        <v>39098</v>
      </c>
      <c r="B19" s="96" t="s">
        <v>702</v>
      </c>
      <c r="C19" s="96">
        <v>17000</v>
      </c>
      <c r="D19" s="96" t="s">
        <v>1060</v>
      </c>
      <c r="E19" s="96" t="s">
        <v>1589</v>
      </c>
      <c r="F19" s="96" t="s">
        <v>1060</v>
      </c>
      <c r="G19" s="186" t="s">
        <v>1597</v>
      </c>
    </row>
    <row r="20" spans="1:7" ht="27" customHeight="1" x14ac:dyDescent="0.25">
      <c r="A20" s="95">
        <v>39099</v>
      </c>
      <c r="B20" s="96" t="s">
        <v>562</v>
      </c>
      <c r="C20" s="96">
        <v>16900</v>
      </c>
      <c r="D20" s="96" t="s">
        <v>1060</v>
      </c>
      <c r="E20" s="96" t="s">
        <v>1590</v>
      </c>
      <c r="F20" s="96" t="s">
        <v>1060</v>
      </c>
      <c r="G20" s="186" t="s">
        <v>1529</v>
      </c>
    </row>
    <row r="21" spans="1:7" ht="27" customHeight="1" x14ac:dyDescent="0.25">
      <c r="A21" s="95">
        <v>39100</v>
      </c>
      <c r="B21" s="96" t="s">
        <v>703</v>
      </c>
      <c r="C21" s="96">
        <v>16700</v>
      </c>
      <c r="D21" s="96" t="s">
        <v>1060</v>
      </c>
      <c r="E21" s="96" t="s">
        <v>1591</v>
      </c>
      <c r="F21" s="96" t="s">
        <v>1060</v>
      </c>
      <c r="G21" s="186" t="s">
        <v>1598</v>
      </c>
    </row>
    <row r="22" spans="1:7" ht="27" customHeight="1" x14ac:dyDescent="0.25">
      <c r="A22" s="95">
        <v>39101</v>
      </c>
      <c r="B22" s="96" t="s">
        <v>563</v>
      </c>
      <c r="C22" s="96">
        <v>16600</v>
      </c>
      <c r="D22" s="96" t="s">
        <v>1060</v>
      </c>
      <c r="E22" s="96" t="s">
        <v>1592</v>
      </c>
      <c r="F22" s="96" t="s">
        <v>1060</v>
      </c>
      <c r="G22" s="186" t="s">
        <v>1599</v>
      </c>
    </row>
    <row r="23" spans="1:7" ht="27" customHeight="1" x14ac:dyDescent="0.25">
      <c r="A23" s="95">
        <v>39102</v>
      </c>
      <c r="B23" s="96" t="s">
        <v>564</v>
      </c>
      <c r="C23" s="96">
        <v>16500</v>
      </c>
      <c r="D23" s="96" t="s">
        <v>1060</v>
      </c>
      <c r="E23" s="96" t="s">
        <v>1593</v>
      </c>
      <c r="F23" s="96" t="s">
        <v>1060</v>
      </c>
      <c r="G23" s="186" t="s">
        <v>1600</v>
      </c>
    </row>
    <row r="24" spans="1:7" ht="27" customHeight="1" x14ac:dyDescent="0.25">
      <c r="A24" s="95">
        <v>39103</v>
      </c>
      <c r="B24" s="96" t="s">
        <v>565</v>
      </c>
      <c r="C24" s="96">
        <v>16400</v>
      </c>
      <c r="D24" s="96" t="s">
        <v>1060</v>
      </c>
      <c r="E24" s="96" t="s">
        <v>1594</v>
      </c>
      <c r="F24" s="96" t="s">
        <v>1060</v>
      </c>
      <c r="G24" s="186" t="s">
        <v>1601</v>
      </c>
    </row>
    <row r="25" spans="1:7" ht="27" customHeight="1" x14ac:dyDescent="0.25">
      <c r="A25" s="95">
        <v>39104</v>
      </c>
      <c r="B25" s="96" t="s">
        <v>566</v>
      </c>
      <c r="C25" s="96">
        <v>16200</v>
      </c>
      <c r="D25" s="96" t="s">
        <v>1060</v>
      </c>
      <c r="E25" s="96" t="s">
        <v>1595</v>
      </c>
      <c r="F25" s="96" t="s">
        <v>1060</v>
      </c>
      <c r="G25" s="186" t="s">
        <v>1602</v>
      </c>
    </row>
    <row r="26" spans="1:7" ht="27" customHeight="1" x14ac:dyDescent="0.25">
      <c r="A26" s="95">
        <v>39105</v>
      </c>
      <c r="B26" s="96" t="s">
        <v>567</v>
      </c>
      <c r="C26" s="96">
        <v>16000</v>
      </c>
      <c r="D26" s="96" t="s">
        <v>736</v>
      </c>
      <c r="E26" s="96" t="s">
        <v>736</v>
      </c>
      <c r="F26" s="96" t="s">
        <v>1060</v>
      </c>
      <c r="G26" s="186" t="s">
        <v>1603</v>
      </c>
    </row>
    <row r="27" spans="1:7" ht="27" customHeight="1" x14ac:dyDescent="0.25">
      <c r="A27" s="95">
        <v>39106</v>
      </c>
      <c r="B27" s="96" t="s">
        <v>568</v>
      </c>
      <c r="C27" s="96">
        <v>15750</v>
      </c>
      <c r="D27" s="96" t="s">
        <v>736</v>
      </c>
      <c r="E27" s="96" t="s">
        <v>736</v>
      </c>
      <c r="F27" s="96" t="s">
        <v>736</v>
      </c>
      <c r="G27" s="186" t="s">
        <v>736</v>
      </c>
    </row>
    <row r="28" spans="1:7" ht="27" customHeight="1" x14ac:dyDescent="0.25">
      <c r="A28" s="95">
        <v>39107</v>
      </c>
      <c r="B28" s="96" t="s">
        <v>568</v>
      </c>
      <c r="C28" s="96">
        <v>15750</v>
      </c>
      <c r="D28" s="96" t="s">
        <v>736</v>
      </c>
      <c r="E28" s="96" t="s">
        <v>736</v>
      </c>
      <c r="F28" s="96" t="s">
        <v>736</v>
      </c>
      <c r="G28" s="186" t="s">
        <v>736</v>
      </c>
    </row>
    <row r="29" spans="1:7" ht="27" customHeight="1" x14ac:dyDescent="0.25">
      <c r="A29" s="95">
        <v>39108</v>
      </c>
      <c r="B29" s="96" t="s">
        <v>568</v>
      </c>
      <c r="C29" s="96">
        <v>15750</v>
      </c>
      <c r="D29" s="96" t="s">
        <v>736</v>
      </c>
      <c r="E29" s="96" t="s">
        <v>736</v>
      </c>
      <c r="F29" s="96" t="s">
        <v>736</v>
      </c>
      <c r="G29" s="186" t="s">
        <v>736</v>
      </c>
    </row>
    <row r="30" spans="1:7" ht="27" customHeight="1" x14ac:dyDescent="0.25">
      <c r="A30" s="95">
        <v>39109</v>
      </c>
      <c r="B30" s="96" t="s">
        <v>565</v>
      </c>
      <c r="C30" s="96">
        <v>16400</v>
      </c>
      <c r="D30" s="96" t="s">
        <v>736</v>
      </c>
      <c r="E30" s="96" t="s">
        <v>736</v>
      </c>
      <c r="F30" s="96" t="s">
        <v>736</v>
      </c>
      <c r="G30" s="186" t="s">
        <v>736</v>
      </c>
    </row>
    <row r="31" spans="1:7" ht="27" customHeight="1" x14ac:dyDescent="0.25">
      <c r="A31" s="95">
        <v>39110</v>
      </c>
      <c r="B31" s="96" t="s">
        <v>697</v>
      </c>
      <c r="C31" s="96">
        <v>16700</v>
      </c>
      <c r="D31" s="96" t="s">
        <v>736</v>
      </c>
      <c r="E31" s="96" t="s">
        <v>736</v>
      </c>
      <c r="F31" s="96" t="s">
        <v>736</v>
      </c>
      <c r="G31" s="186" t="s">
        <v>736</v>
      </c>
    </row>
    <row r="32" spans="1:7" ht="27" customHeight="1" x14ac:dyDescent="0.25">
      <c r="A32" s="95">
        <v>39111</v>
      </c>
      <c r="B32" s="96" t="s">
        <v>562</v>
      </c>
      <c r="C32" s="96">
        <v>16900</v>
      </c>
      <c r="D32" s="96" t="s">
        <v>736</v>
      </c>
      <c r="E32" s="96" t="s">
        <v>736</v>
      </c>
      <c r="F32" s="96" t="s">
        <v>736</v>
      </c>
      <c r="G32" s="186" t="s">
        <v>736</v>
      </c>
    </row>
    <row r="33" spans="1:7" ht="27" customHeight="1" x14ac:dyDescent="0.25">
      <c r="A33" s="95">
        <v>39112</v>
      </c>
      <c r="B33" s="96" t="s">
        <v>498</v>
      </c>
      <c r="C33" s="96">
        <v>17000</v>
      </c>
      <c r="D33" s="96" t="s">
        <v>736</v>
      </c>
      <c r="E33" s="96" t="s">
        <v>736</v>
      </c>
      <c r="F33" s="96" t="s">
        <v>736</v>
      </c>
      <c r="G33" s="186" t="s">
        <v>736</v>
      </c>
    </row>
    <row r="34" spans="1:7" ht="27" customHeight="1" x14ac:dyDescent="0.25">
      <c r="A34" s="95">
        <v>39113</v>
      </c>
      <c r="B34" s="96" t="s">
        <v>514</v>
      </c>
      <c r="C34" s="96">
        <v>17250</v>
      </c>
      <c r="D34" s="96" t="s">
        <v>736</v>
      </c>
      <c r="E34" s="96" t="s">
        <v>736</v>
      </c>
      <c r="F34" s="96" t="s">
        <v>736</v>
      </c>
      <c r="G34" s="186" t="s">
        <v>736</v>
      </c>
    </row>
    <row r="35" spans="1:7" ht="27" customHeight="1" x14ac:dyDescent="0.25">
      <c r="A35" s="95">
        <v>39114</v>
      </c>
      <c r="B35" s="96" t="s">
        <v>497</v>
      </c>
      <c r="C35" s="96">
        <v>17400</v>
      </c>
      <c r="D35" s="96" t="s">
        <v>1060</v>
      </c>
      <c r="E35" s="96" t="s">
        <v>1604</v>
      </c>
      <c r="F35" s="96" t="s">
        <v>1442</v>
      </c>
      <c r="G35" s="186" t="s">
        <v>1615</v>
      </c>
    </row>
    <row r="36" spans="1:7" ht="27" customHeight="1" x14ac:dyDescent="0.25">
      <c r="A36" s="95">
        <v>39115</v>
      </c>
      <c r="B36" s="96" t="s">
        <v>514</v>
      </c>
      <c r="C36" s="96">
        <v>17250</v>
      </c>
      <c r="D36" s="96" t="s">
        <v>1060</v>
      </c>
      <c r="E36" s="96" t="s">
        <v>1588</v>
      </c>
      <c r="F36" s="96" t="s">
        <v>1442</v>
      </c>
      <c r="G36" s="186" t="s">
        <v>1616</v>
      </c>
    </row>
    <row r="37" spans="1:7" ht="27" customHeight="1" x14ac:dyDescent="0.25">
      <c r="A37" s="95">
        <v>39116</v>
      </c>
      <c r="B37" s="96" t="s">
        <v>562</v>
      </c>
      <c r="C37" s="96">
        <v>16900</v>
      </c>
      <c r="D37" s="96" t="s">
        <v>1060</v>
      </c>
      <c r="E37" s="96" t="s">
        <v>1590</v>
      </c>
      <c r="F37" s="96" t="s">
        <v>1442</v>
      </c>
      <c r="G37" s="186" t="s">
        <v>1617</v>
      </c>
    </row>
    <row r="38" spans="1:7" ht="27" customHeight="1" x14ac:dyDescent="0.25">
      <c r="A38" s="95">
        <v>39117</v>
      </c>
      <c r="B38" s="96" t="s">
        <v>696</v>
      </c>
      <c r="C38" s="96">
        <v>16800</v>
      </c>
      <c r="D38" s="96" t="s">
        <v>1060</v>
      </c>
      <c r="E38" s="96" t="s">
        <v>1605</v>
      </c>
      <c r="F38" s="96" t="s">
        <v>1442</v>
      </c>
      <c r="G38" s="186" t="s">
        <v>1618</v>
      </c>
    </row>
    <row r="39" spans="1:7" ht="27" customHeight="1" x14ac:dyDescent="0.25">
      <c r="A39" s="95">
        <v>39118</v>
      </c>
      <c r="B39" s="96" t="s">
        <v>697</v>
      </c>
      <c r="C39" s="96">
        <v>16700</v>
      </c>
      <c r="D39" s="96" t="s">
        <v>1060</v>
      </c>
      <c r="E39" s="96" t="s">
        <v>1591</v>
      </c>
      <c r="F39" s="96" t="s">
        <v>1442</v>
      </c>
      <c r="G39" s="186" t="s">
        <v>1619</v>
      </c>
    </row>
    <row r="40" spans="1:7" ht="27" customHeight="1" x14ac:dyDescent="0.25">
      <c r="A40" s="95">
        <v>39119</v>
      </c>
      <c r="B40" s="96" t="s">
        <v>563</v>
      </c>
      <c r="C40" s="96">
        <v>16600</v>
      </c>
      <c r="D40" s="96" t="s">
        <v>1060</v>
      </c>
      <c r="E40" s="96" t="s">
        <v>1592</v>
      </c>
      <c r="F40" s="96" t="s">
        <v>1442</v>
      </c>
      <c r="G40" s="186" t="s">
        <v>961</v>
      </c>
    </row>
    <row r="41" spans="1:7" ht="27" customHeight="1" x14ac:dyDescent="0.25">
      <c r="A41" s="95">
        <v>39120</v>
      </c>
      <c r="B41" s="96" t="s">
        <v>564</v>
      </c>
      <c r="C41" s="96">
        <v>16500</v>
      </c>
      <c r="D41" s="96" t="s">
        <v>1060</v>
      </c>
      <c r="E41" s="96" t="s">
        <v>1593</v>
      </c>
      <c r="F41" s="96" t="s">
        <v>1442</v>
      </c>
      <c r="G41" s="186" t="s">
        <v>1620</v>
      </c>
    </row>
    <row r="42" spans="1:7" ht="27" customHeight="1" x14ac:dyDescent="0.25">
      <c r="A42" s="95">
        <v>39121</v>
      </c>
      <c r="B42" s="96" t="s">
        <v>565</v>
      </c>
      <c r="C42" s="96">
        <v>16400</v>
      </c>
      <c r="D42" s="96" t="s">
        <v>1060</v>
      </c>
      <c r="E42" s="96" t="s">
        <v>1594</v>
      </c>
      <c r="F42" s="96" t="s">
        <v>1249</v>
      </c>
      <c r="G42" s="186" t="s">
        <v>1621</v>
      </c>
    </row>
    <row r="43" spans="1:7" ht="27" customHeight="1" x14ac:dyDescent="0.25">
      <c r="A43" s="95">
        <v>39122</v>
      </c>
      <c r="B43" s="96" t="s">
        <v>567</v>
      </c>
      <c r="C43" s="96">
        <v>16000</v>
      </c>
      <c r="D43" s="96" t="s">
        <v>1060</v>
      </c>
      <c r="E43" s="96" t="s">
        <v>1606</v>
      </c>
      <c r="F43" s="96" t="s">
        <v>1249</v>
      </c>
      <c r="G43" s="186" t="s">
        <v>1622</v>
      </c>
    </row>
    <row r="44" spans="1:7" ht="27" customHeight="1" x14ac:dyDescent="0.25">
      <c r="A44" s="95">
        <v>39123</v>
      </c>
      <c r="B44" s="96" t="s">
        <v>568</v>
      </c>
      <c r="C44" s="96">
        <v>15750</v>
      </c>
      <c r="D44" s="96" t="s">
        <v>1060</v>
      </c>
      <c r="E44" s="96" t="s">
        <v>1607</v>
      </c>
      <c r="F44" s="96" t="s">
        <v>736</v>
      </c>
      <c r="G44" s="186" t="s">
        <v>736</v>
      </c>
    </row>
    <row r="45" spans="1:7" ht="27" customHeight="1" x14ac:dyDescent="0.25">
      <c r="A45" s="95">
        <v>39124</v>
      </c>
      <c r="B45" s="96" t="s">
        <v>568</v>
      </c>
      <c r="C45" s="96">
        <v>15750</v>
      </c>
      <c r="D45" s="96" t="s">
        <v>1060</v>
      </c>
      <c r="E45" s="96" t="s">
        <v>1607</v>
      </c>
      <c r="F45" s="96" t="s">
        <v>736</v>
      </c>
      <c r="G45" s="186" t="s">
        <v>736</v>
      </c>
    </row>
    <row r="46" spans="1:7" ht="27" customHeight="1" x14ac:dyDescent="0.25">
      <c r="A46" s="95">
        <v>39125</v>
      </c>
      <c r="B46" s="96" t="s">
        <v>569</v>
      </c>
      <c r="C46" s="96">
        <v>15600</v>
      </c>
      <c r="D46" s="96" t="s">
        <v>736</v>
      </c>
      <c r="E46" s="96" t="s">
        <v>736</v>
      </c>
      <c r="F46" s="96" t="s">
        <v>736</v>
      </c>
      <c r="G46" s="186" t="s">
        <v>736</v>
      </c>
    </row>
    <row r="47" spans="1:7" ht="27" customHeight="1" x14ac:dyDescent="0.25">
      <c r="A47" s="95">
        <v>39126</v>
      </c>
      <c r="B47" s="96" t="s">
        <v>569</v>
      </c>
      <c r="C47" s="96">
        <v>15600</v>
      </c>
      <c r="D47" s="96" t="s">
        <v>736</v>
      </c>
      <c r="E47" s="96" t="s">
        <v>736</v>
      </c>
      <c r="F47" s="96" t="s">
        <v>415</v>
      </c>
      <c r="G47" s="186" t="s">
        <v>1623</v>
      </c>
    </row>
    <row r="48" spans="1:7" ht="27" customHeight="1" x14ac:dyDescent="0.25">
      <c r="A48" s="95">
        <v>39127</v>
      </c>
      <c r="B48" s="96" t="s">
        <v>569</v>
      </c>
      <c r="C48" s="96">
        <v>15600</v>
      </c>
      <c r="D48" s="96" t="s">
        <v>736</v>
      </c>
      <c r="E48" s="96" t="s">
        <v>736</v>
      </c>
      <c r="F48" s="96" t="s">
        <v>415</v>
      </c>
      <c r="G48" s="186" t="s">
        <v>1623</v>
      </c>
    </row>
    <row r="49" spans="1:7" ht="27" customHeight="1" x14ac:dyDescent="0.25">
      <c r="A49" s="95">
        <v>39128</v>
      </c>
      <c r="B49" s="96" t="s">
        <v>670</v>
      </c>
      <c r="C49" s="96">
        <v>15400</v>
      </c>
      <c r="D49" s="96" t="s">
        <v>1062</v>
      </c>
      <c r="E49" s="96" t="s">
        <v>1608</v>
      </c>
      <c r="F49" s="96" t="s">
        <v>415</v>
      </c>
      <c r="G49" s="186" t="s">
        <v>1624</v>
      </c>
    </row>
    <row r="50" spans="1:7" ht="27" customHeight="1" x14ac:dyDescent="0.25">
      <c r="A50" s="95">
        <v>39129</v>
      </c>
      <c r="B50" s="96" t="s">
        <v>571</v>
      </c>
      <c r="C50" s="96">
        <v>15200</v>
      </c>
      <c r="D50" s="96" t="s">
        <v>1062</v>
      </c>
      <c r="E50" s="96" t="s">
        <v>1609</v>
      </c>
      <c r="F50" s="96" t="s">
        <v>415</v>
      </c>
      <c r="G50" s="186" t="s">
        <v>1625</v>
      </c>
    </row>
    <row r="51" spans="1:7" ht="27" customHeight="1" x14ac:dyDescent="0.25">
      <c r="A51" s="95">
        <v>39130</v>
      </c>
      <c r="B51" s="96" t="s">
        <v>573</v>
      </c>
      <c r="C51" s="96">
        <v>14700</v>
      </c>
      <c r="D51" s="96" t="s">
        <v>1062</v>
      </c>
      <c r="E51" s="96" t="s">
        <v>1501</v>
      </c>
      <c r="F51" s="96" t="s">
        <v>415</v>
      </c>
      <c r="G51" s="186" t="s">
        <v>1626</v>
      </c>
    </row>
    <row r="52" spans="1:7" ht="27" customHeight="1" x14ac:dyDescent="0.25">
      <c r="A52" s="95">
        <v>39131</v>
      </c>
      <c r="B52" s="96" t="s">
        <v>572</v>
      </c>
      <c r="C52" s="96">
        <v>14900</v>
      </c>
      <c r="D52" s="96" t="s">
        <v>1062</v>
      </c>
      <c r="E52" s="96" t="s">
        <v>1610</v>
      </c>
      <c r="F52" s="96" t="s">
        <v>415</v>
      </c>
      <c r="G52" s="186" t="s">
        <v>1627</v>
      </c>
    </row>
    <row r="53" spans="1:7" ht="27" customHeight="1" x14ac:dyDescent="0.25">
      <c r="A53" s="95">
        <v>39132</v>
      </c>
      <c r="B53" s="96" t="s">
        <v>573</v>
      </c>
      <c r="C53" s="96">
        <v>14700</v>
      </c>
      <c r="D53" s="96" t="s">
        <v>1062</v>
      </c>
      <c r="E53" s="96" t="s">
        <v>1501</v>
      </c>
      <c r="F53" s="96" t="s">
        <v>415</v>
      </c>
      <c r="G53" s="186" t="s">
        <v>1626</v>
      </c>
    </row>
    <row r="54" spans="1:7" ht="27" customHeight="1" x14ac:dyDescent="0.25">
      <c r="A54" s="95">
        <v>39133</v>
      </c>
      <c r="B54" s="96" t="s">
        <v>574</v>
      </c>
      <c r="C54" s="96">
        <v>14600</v>
      </c>
      <c r="D54" s="96" t="s">
        <v>1062</v>
      </c>
      <c r="E54" s="96" t="s">
        <v>1611</v>
      </c>
      <c r="F54" s="96" t="s">
        <v>736</v>
      </c>
      <c r="G54" s="186" t="s">
        <v>736</v>
      </c>
    </row>
    <row r="55" spans="1:7" ht="27" customHeight="1" x14ac:dyDescent="0.25">
      <c r="A55" s="95">
        <v>39134</v>
      </c>
      <c r="B55" s="96" t="s">
        <v>575</v>
      </c>
      <c r="C55" s="96">
        <v>14400</v>
      </c>
      <c r="D55" s="96" t="s">
        <v>1062</v>
      </c>
      <c r="E55" s="96" t="s">
        <v>1612</v>
      </c>
      <c r="F55" s="96" t="s">
        <v>736</v>
      </c>
      <c r="G55" s="186" t="s">
        <v>736</v>
      </c>
    </row>
    <row r="56" spans="1:7" ht="27" customHeight="1" x14ac:dyDescent="0.25">
      <c r="A56" s="95">
        <v>39135</v>
      </c>
      <c r="B56" s="96" t="s">
        <v>575</v>
      </c>
      <c r="C56" s="96">
        <v>14400</v>
      </c>
      <c r="D56" s="96" t="s">
        <v>736</v>
      </c>
      <c r="E56" s="96" t="s">
        <v>736</v>
      </c>
      <c r="F56" s="96" t="s">
        <v>736</v>
      </c>
      <c r="G56" s="186" t="s">
        <v>736</v>
      </c>
    </row>
    <row r="57" spans="1:7" ht="27" customHeight="1" x14ac:dyDescent="0.25">
      <c r="A57" s="95">
        <v>39136</v>
      </c>
      <c r="B57" s="96" t="s">
        <v>575</v>
      </c>
      <c r="C57" s="96">
        <v>14400</v>
      </c>
      <c r="D57" s="96" t="s">
        <v>736</v>
      </c>
      <c r="E57" s="96" t="s">
        <v>736</v>
      </c>
      <c r="F57" s="96" t="s">
        <v>736</v>
      </c>
      <c r="G57" s="186" t="s">
        <v>736</v>
      </c>
    </row>
    <row r="58" spans="1:7" ht="27" customHeight="1" x14ac:dyDescent="0.25">
      <c r="A58" s="95">
        <v>39137</v>
      </c>
      <c r="B58" s="96" t="s">
        <v>575</v>
      </c>
      <c r="C58" s="96">
        <v>14400</v>
      </c>
      <c r="D58" s="96" t="s">
        <v>736</v>
      </c>
      <c r="E58" s="96" t="s">
        <v>736</v>
      </c>
      <c r="F58" s="96" t="s">
        <v>736</v>
      </c>
      <c r="G58" s="186" t="s">
        <v>736</v>
      </c>
    </row>
    <row r="59" spans="1:7" ht="27" customHeight="1" x14ac:dyDescent="0.25">
      <c r="A59" s="95">
        <v>39138</v>
      </c>
      <c r="B59" s="96" t="s">
        <v>575</v>
      </c>
      <c r="C59" s="96">
        <v>14400</v>
      </c>
      <c r="D59" s="96" t="s">
        <v>736</v>
      </c>
      <c r="E59" s="96" t="s">
        <v>736</v>
      </c>
      <c r="F59" s="96" t="s">
        <v>736</v>
      </c>
      <c r="G59" s="186" t="s">
        <v>736</v>
      </c>
    </row>
    <row r="60" spans="1:7" ht="27" customHeight="1" x14ac:dyDescent="0.25">
      <c r="A60" s="95">
        <v>39139</v>
      </c>
      <c r="B60" s="96" t="s">
        <v>504</v>
      </c>
      <c r="C60" s="96">
        <v>14400</v>
      </c>
      <c r="D60" s="96" t="s">
        <v>736</v>
      </c>
      <c r="E60" s="96" t="s">
        <v>736</v>
      </c>
      <c r="F60" s="96" t="s">
        <v>736</v>
      </c>
      <c r="G60" s="186" t="s">
        <v>736</v>
      </c>
    </row>
    <row r="61" spans="1:7" ht="27" customHeight="1" x14ac:dyDescent="0.25">
      <c r="A61" s="95">
        <v>39140</v>
      </c>
      <c r="B61" s="96" t="s">
        <v>523</v>
      </c>
      <c r="C61" s="96" t="s">
        <v>1414</v>
      </c>
      <c r="D61" s="96" t="s">
        <v>414</v>
      </c>
      <c r="E61" s="96" t="s">
        <v>1613</v>
      </c>
      <c r="F61" s="96" t="s">
        <v>415</v>
      </c>
      <c r="G61" s="186" t="s">
        <v>1628</v>
      </c>
    </row>
    <row r="62" spans="1:7" ht="27" customHeight="1" x14ac:dyDescent="0.25">
      <c r="A62" s="95">
        <v>39141</v>
      </c>
      <c r="B62" s="96" t="s">
        <v>505</v>
      </c>
      <c r="C62" s="96" t="s">
        <v>1428</v>
      </c>
      <c r="D62" s="96" t="s">
        <v>414</v>
      </c>
      <c r="E62" s="96" t="s">
        <v>1614</v>
      </c>
      <c r="F62" s="96" t="s">
        <v>415</v>
      </c>
      <c r="G62" s="186" t="s">
        <v>1629</v>
      </c>
    </row>
    <row r="63" spans="1:7" ht="27" customHeight="1" x14ac:dyDescent="0.25">
      <c r="A63" s="95">
        <v>39142</v>
      </c>
      <c r="B63" s="96"/>
      <c r="C63" s="96"/>
      <c r="D63" s="96"/>
      <c r="E63" s="96"/>
      <c r="F63" s="96"/>
      <c r="G63" s="186"/>
    </row>
    <row r="64" spans="1:7" ht="27" customHeight="1" x14ac:dyDescent="0.25">
      <c r="A64" s="95">
        <v>39143</v>
      </c>
      <c r="B64" s="96" t="s">
        <v>579</v>
      </c>
      <c r="C64" s="96">
        <v>13700</v>
      </c>
      <c r="D64" s="96" t="s">
        <v>414</v>
      </c>
      <c r="E64" s="96" t="s">
        <v>1630</v>
      </c>
      <c r="F64" s="96" t="s">
        <v>415</v>
      </c>
      <c r="G64" s="186" t="s">
        <v>1634</v>
      </c>
    </row>
    <row r="65" spans="1:7" ht="27" customHeight="1" x14ac:dyDescent="0.25">
      <c r="A65" s="95">
        <v>39144</v>
      </c>
      <c r="B65" s="96" t="s">
        <v>580</v>
      </c>
      <c r="C65" s="96">
        <v>13500</v>
      </c>
      <c r="D65" s="96" t="s">
        <v>414</v>
      </c>
      <c r="E65" s="96" t="s">
        <v>1631</v>
      </c>
      <c r="F65" s="96" t="s">
        <v>415</v>
      </c>
      <c r="G65" s="186" t="s">
        <v>1635</v>
      </c>
    </row>
    <row r="66" spans="1:7" ht="27" customHeight="1" x14ac:dyDescent="0.25">
      <c r="A66" s="95">
        <v>39145</v>
      </c>
      <c r="B66" s="96" t="s">
        <v>581</v>
      </c>
      <c r="C66" s="96">
        <v>13250</v>
      </c>
      <c r="D66" s="96" t="s">
        <v>414</v>
      </c>
      <c r="E66" s="96" t="s">
        <v>1632</v>
      </c>
      <c r="F66" s="96" t="s">
        <v>415</v>
      </c>
      <c r="G66" s="186" t="s">
        <v>1636</v>
      </c>
    </row>
    <row r="67" spans="1:7" ht="27" customHeight="1" x14ac:dyDescent="0.25">
      <c r="A67" s="95">
        <v>39146</v>
      </c>
      <c r="B67" s="96" t="s">
        <v>583</v>
      </c>
      <c r="C67" s="96">
        <v>12900</v>
      </c>
      <c r="D67" s="96" t="s">
        <v>414</v>
      </c>
      <c r="E67" s="96" t="s">
        <v>1633</v>
      </c>
      <c r="F67" s="96" t="s">
        <v>415</v>
      </c>
      <c r="G67" s="186" t="s">
        <v>1637</v>
      </c>
    </row>
    <row r="68" spans="1:7" ht="27" customHeight="1" x14ac:dyDescent="0.25">
      <c r="A68" s="95">
        <v>39147</v>
      </c>
      <c r="B68" s="96" t="s">
        <v>583</v>
      </c>
      <c r="C68" s="96">
        <v>12900</v>
      </c>
      <c r="D68" s="96" t="s">
        <v>414</v>
      </c>
      <c r="E68" s="96" t="s">
        <v>1633</v>
      </c>
      <c r="F68" s="96" t="s">
        <v>415</v>
      </c>
      <c r="G68" s="186" t="s">
        <v>1637</v>
      </c>
    </row>
    <row r="69" spans="1:7" ht="27" customHeight="1" x14ac:dyDescent="0.25">
      <c r="A69" s="95">
        <v>39148</v>
      </c>
      <c r="B69" s="96" t="s">
        <v>583</v>
      </c>
      <c r="C69" s="96">
        <v>12900</v>
      </c>
      <c r="D69" s="96" t="s">
        <v>736</v>
      </c>
      <c r="E69" s="96" t="s">
        <v>736</v>
      </c>
      <c r="F69" s="96" t="s">
        <v>736</v>
      </c>
      <c r="G69" s="186" t="s">
        <v>736</v>
      </c>
    </row>
    <row r="70" spans="1:7" ht="27" customHeight="1" x14ac:dyDescent="0.25">
      <c r="A70" s="95">
        <v>39149</v>
      </c>
      <c r="B70" s="96" t="s">
        <v>583</v>
      </c>
      <c r="C70" s="96">
        <v>12900</v>
      </c>
      <c r="D70" s="96" t="s">
        <v>736</v>
      </c>
      <c r="E70" s="96" t="s">
        <v>736</v>
      </c>
      <c r="F70" s="96" t="s">
        <v>736</v>
      </c>
      <c r="G70" s="186" t="s">
        <v>736</v>
      </c>
    </row>
    <row r="71" spans="1:7" ht="27" customHeight="1" x14ac:dyDescent="0.25">
      <c r="A71" s="95">
        <v>39150</v>
      </c>
      <c r="B71" s="96" t="s">
        <v>583</v>
      </c>
      <c r="C71" s="96">
        <v>12900</v>
      </c>
      <c r="D71" s="96" t="s">
        <v>736</v>
      </c>
      <c r="E71" s="96" t="s">
        <v>736</v>
      </c>
      <c r="F71" s="96" t="s">
        <v>736</v>
      </c>
      <c r="G71" s="186" t="s">
        <v>736</v>
      </c>
    </row>
    <row r="72" spans="1:7" ht="27" customHeight="1" x14ac:dyDescent="0.25">
      <c r="A72" s="95">
        <v>39151</v>
      </c>
      <c r="B72" s="96" t="s">
        <v>583</v>
      </c>
      <c r="C72" s="96">
        <v>12900</v>
      </c>
      <c r="D72" s="96" t="s">
        <v>736</v>
      </c>
      <c r="E72" s="96" t="s">
        <v>736</v>
      </c>
      <c r="F72" s="96" t="s">
        <v>736</v>
      </c>
      <c r="G72" s="186" t="s">
        <v>736</v>
      </c>
    </row>
    <row r="73" spans="1:7" ht="27" customHeight="1" x14ac:dyDescent="0.25">
      <c r="A73" s="95">
        <v>39152</v>
      </c>
      <c r="B73" s="96" t="s">
        <v>583</v>
      </c>
      <c r="C73" s="96">
        <v>12900</v>
      </c>
      <c r="D73" s="96" t="s">
        <v>736</v>
      </c>
      <c r="E73" s="96" t="s">
        <v>736</v>
      </c>
      <c r="F73" s="96" t="s">
        <v>736</v>
      </c>
      <c r="G73" s="186" t="s">
        <v>736</v>
      </c>
    </row>
    <row r="74" spans="1:7" ht="27" customHeight="1" x14ac:dyDescent="0.25">
      <c r="A74" s="95">
        <v>39153</v>
      </c>
      <c r="B74" s="96" t="s">
        <v>583</v>
      </c>
      <c r="C74" s="96">
        <v>12900</v>
      </c>
      <c r="D74" s="96" t="s">
        <v>736</v>
      </c>
      <c r="E74" s="96" t="s">
        <v>736</v>
      </c>
      <c r="F74" s="96" t="s">
        <v>736</v>
      </c>
      <c r="G74" s="186" t="s">
        <v>736</v>
      </c>
    </row>
    <row r="75" spans="1:7" ht="27" customHeight="1" x14ac:dyDescent="0.25">
      <c r="A75" s="95">
        <v>39154</v>
      </c>
      <c r="B75" s="96" t="s">
        <v>583</v>
      </c>
      <c r="C75" s="96">
        <v>12900</v>
      </c>
      <c r="D75" s="96" t="s">
        <v>736</v>
      </c>
      <c r="E75" s="96" t="s">
        <v>736</v>
      </c>
      <c r="F75" s="96" t="s">
        <v>736</v>
      </c>
      <c r="G75" s="186" t="s">
        <v>736</v>
      </c>
    </row>
    <row r="76" spans="1:7" ht="27" customHeight="1" x14ac:dyDescent="0.25">
      <c r="A76" s="95">
        <v>39155</v>
      </c>
      <c r="B76" s="96" t="s">
        <v>583</v>
      </c>
      <c r="C76" s="96">
        <v>12900</v>
      </c>
      <c r="D76" s="96" t="s">
        <v>736</v>
      </c>
      <c r="E76" s="96" t="s">
        <v>736</v>
      </c>
      <c r="F76" s="96" t="s">
        <v>736</v>
      </c>
      <c r="G76" s="186" t="s">
        <v>736</v>
      </c>
    </row>
    <row r="77" spans="1:7" ht="27" customHeight="1" x14ac:dyDescent="0.25">
      <c r="A77" s="95">
        <v>39156</v>
      </c>
      <c r="B77" s="96" t="s">
        <v>583</v>
      </c>
      <c r="C77" s="96">
        <v>12900</v>
      </c>
      <c r="D77" s="96" t="s">
        <v>736</v>
      </c>
      <c r="E77" s="96" t="s">
        <v>736</v>
      </c>
      <c r="F77" s="96" t="s">
        <v>736</v>
      </c>
      <c r="G77" s="186" t="s">
        <v>736</v>
      </c>
    </row>
    <row r="78" spans="1:7" ht="27" customHeight="1" x14ac:dyDescent="0.25">
      <c r="A78" s="95">
        <v>39157</v>
      </c>
      <c r="B78" s="96" t="s">
        <v>583</v>
      </c>
      <c r="C78" s="96">
        <v>12900</v>
      </c>
      <c r="D78" s="96" t="s">
        <v>736</v>
      </c>
      <c r="E78" s="96" t="s">
        <v>736</v>
      </c>
      <c r="F78" s="96" t="s">
        <v>736</v>
      </c>
      <c r="G78" s="186" t="s">
        <v>736</v>
      </c>
    </row>
    <row r="79" spans="1:7" ht="27" customHeight="1" x14ac:dyDescent="0.25">
      <c r="A79" s="95">
        <v>39158</v>
      </c>
      <c r="B79" s="96" t="s">
        <v>583</v>
      </c>
      <c r="C79" s="96">
        <v>12900</v>
      </c>
      <c r="D79" s="96" t="s">
        <v>736</v>
      </c>
      <c r="E79" s="96" t="s">
        <v>736</v>
      </c>
      <c r="F79" s="96" t="s">
        <v>736</v>
      </c>
      <c r="G79" s="186" t="s">
        <v>736</v>
      </c>
    </row>
    <row r="80" spans="1:7" ht="27" customHeight="1" x14ac:dyDescent="0.25">
      <c r="A80" s="95">
        <v>39159</v>
      </c>
      <c r="B80" s="96" t="s">
        <v>583</v>
      </c>
      <c r="C80" s="96">
        <v>12900</v>
      </c>
      <c r="D80" s="96" t="s">
        <v>736</v>
      </c>
      <c r="E80" s="96" t="s">
        <v>736</v>
      </c>
      <c r="F80" s="96" t="s">
        <v>736</v>
      </c>
      <c r="G80" s="186" t="s">
        <v>736</v>
      </c>
    </row>
    <row r="81" spans="1:7" ht="27" customHeight="1" x14ac:dyDescent="0.25">
      <c r="A81" s="95">
        <v>39160</v>
      </c>
      <c r="B81" s="96" t="s">
        <v>583</v>
      </c>
      <c r="C81" s="96">
        <v>12900</v>
      </c>
      <c r="D81" s="96" t="s">
        <v>736</v>
      </c>
      <c r="E81" s="96" t="s">
        <v>736</v>
      </c>
      <c r="F81" s="96" t="s">
        <v>736</v>
      </c>
      <c r="G81" s="186" t="s">
        <v>736</v>
      </c>
    </row>
    <row r="82" spans="1:7" ht="27" customHeight="1" x14ac:dyDescent="0.25">
      <c r="A82" s="95">
        <v>39161</v>
      </c>
      <c r="B82" s="96" t="s">
        <v>583</v>
      </c>
      <c r="C82" s="96">
        <v>12900</v>
      </c>
      <c r="D82" s="96" t="s">
        <v>736</v>
      </c>
      <c r="E82" s="96" t="s">
        <v>736</v>
      </c>
      <c r="F82" s="96" t="s">
        <v>736</v>
      </c>
      <c r="G82" s="186" t="s">
        <v>736</v>
      </c>
    </row>
    <row r="83" spans="1:7" ht="27" customHeight="1" x14ac:dyDescent="0.25">
      <c r="A83" s="95">
        <v>39162</v>
      </c>
      <c r="B83" s="96" t="s">
        <v>704</v>
      </c>
      <c r="C83" s="96">
        <v>12600</v>
      </c>
      <c r="D83" s="96" t="s">
        <v>736</v>
      </c>
      <c r="E83" s="96" t="s">
        <v>736</v>
      </c>
      <c r="F83" s="96" t="s">
        <v>736</v>
      </c>
      <c r="G83" s="186" t="s">
        <v>736</v>
      </c>
    </row>
    <row r="84" spans="1:7" ht="27" customHeight="1" x14ac:dyDescent="0.25">
      <c r="A84" s="95">
        <v>39163</v>
      </c>
      <c r="B84" s="96" t="s">
        <v>704</v>
      </c>
      <c r="C84" s="96">
        <v>12600</v>
      </c>
      <c r="D84" s="96" t="s">
        <v>736</v>
      </c>
      <c r="E84" s="96" t="s">
        <v>736</v>
      </c>
      <c r="F84" s="96" t="s">
        <v>736</v>
      </c>
      <c r="G84" s="186" t="s">
        <v>736</v>
      </c>
    </row>
    <row r="85" spans="1:7" ht="27" customHeight="1" x14ac:dyDescent="0.25">
      <c r="A85" s="95">
        <v>39164</v>
      </c>
      <c r="B85" s="96" t="s">
        <v>668</v>
      </c>
      <c r="C85" s="96">
        <v>12500</v>
      </c>
      <c r="D85" s="96" t="s">
        <v>736</v>
      </c>
      <c r="E85" s="96" t="s">
        <v>736</v>
      </c>
      <c r="F85" s="96" t="s">
        <v>736</v>
      </c>
      <c r="G85" s="186" t="s">
        <v>736</v>
      </c>
    </row>
    <row r="86" spans="1:7" ht="27" customHeight="1" x14ac:dyDescent="0.25">
      <c r="A86" s="95">
        <v>39165</v>
      </c>
      <c r="B86" s="96" t="s">
        <v>668</v>
      </c>
      <c r="C86" s="96">
        <v>12500</v>
      </c>
      <c r="D86" s="96" t="s">
        <v>736</v>
      </c>
      <c r="E86" s="96" t="s">
        <v>736</v>
      </c>
      <c r="F86" s="96" t="s">
        <v>736</v>
      </c>
      <c r="G86" s="186" t="s">
        <v>736</v>
      </c>
    </row>
    <row r="87" spans="1:7" ht="27" customHeight="1" x14ac:dyDescent="0.25">
      <c r="A87" s="95">
        <v>39166</v>
      </c>
      <c r="B87" s="96" t="s">
        <v>705</v>
      </c>
      <c r="C87" s="96">
        <v>12400</v>
      </c>
      <c r="D87" s="96" t="s">
        <v>736</v>
      </c>
      <c r="E87" s="96" t="s">
        <v>736</v>
      </c>
      <c r="F87" s="96" t="s">
        <v>736</v>
      </c>
      <c r="G87" s="186" t="s">
        <v>736</v>
      </c>
    </row>
    <row r="88" spans="1:7" ht="27" customHeight="1" x14ac:dyDescent="0.25">
      <c r="A88" s="95">
        <v>39167</v>
      </c>
      <c r="B88" s="96" t="s">
        <v>705</v>
      </c>
      <c r="C88" s="96">
        <v>12400</v>
      </c>
      <c r="D88" s="96" t="s">
        <v>736</v>
      </c>
      <c r="E88" s="96" t="s">
        <v>736</v>
      </c>
      <c r="F88" s="96" t="s">
        <v>736</v>
      </c>
      <c r="G88" s="186" t="s">
        <v>736</v>
      </c>
    </row>
    <row r="89" spans="1:7" ht="27" customHeight="1" x14ac:dyDescent="0.25">
      <c r="A89" s="95">
        <v>39168</v>
      </c>
      <c r="B89" s="96" t="s">
        <v>705</v>
      </c>
      <c r="C89" s="96">
        <v>12400</v>
      </c>
      <c r="D89" s="96" t="s">
        <v>736</v>
      </c>
      <c r="E89" s="96" t="s">
        <v>736</v>
      </c>
      <c r="F89" s="96" t="s">
        <v>736</v>
      </c>
      <c r="G89" s="186" t="s">
        <v>736</v>
      </c>
    </row>
    <row r="90" spans="1:7" ht="27" customHeight="1" x14ac:dyDescent="0.25">
      <c r="A90" s="95">
        <v>39169</v>
      </c>
      <c r="B90" s="96" t="s">
        <v>705</v>
      </c>
      <c r="C90" s="96">
        <v>12400</v>
      </c>
      <c r="D90" s="96" t="s">
        <v>736</v>
      </c>
      <c r="E90" s="96" t="s">
        <v>736</v>
      </c>
      <c r="F90" s="96" t="s">
        <v>736</v>
      </c>
      <c r="G90" s="186" t="s">
        <v>736</v>
      </c>
    </row>
    <row r="91" spans="1:7" ht="27" customHeight="1" x14ac:dyDescent="0.25">
      <c r="A91" s="95">
        <v>39170</v>
      </c>
      <c r="B91" s="96" t="s">
        <v>705</v>
      </c>
      <c r="C91" s="96">
        <v>12400</v>
      </c>
      <c r="D91" s="96" t="s">
        <v>736</v>
      </c>
      <c r="E91" s="96" t="s">
        <v>736</v>
      </c>
      <c r="F91" s="96" t="s">
        <v>736</v>
      </c>
      <c r="G91" s="186" t="s">
        <v>736</v>
      </c>
    </row>
    <row r="92" spans="1:7" ht="27" customHeight="1" x14ac:dyDescent="0.25">
      <c r="A92" s="95">
        <v>39171</v>
      </c>
      <c r="B92" s="96" t="s">
        <v>667</v>
      </c>
      <c r="C92" s="96">
        <v>12300</v>
      </c>
      <c r="D92" s="96" t="s">
        <v>736</v>
      </c>
      <c r="E92" s="96" t="s">
        <v>736</v>
      </c>
      <c r="F92" s="96" t="s">
        <v>736</v>
      </c>
      <c r="G92" s="186" t="s">
        <v>736</v>
      </c>
    </row>
    <row r="93" spans="1:7" ht="27" customHeight="1" x14ac:dyDescent="0.25">
      <c r="A93" s="95">
        <v>39172</v>
      </c>
      <c r="B93" s="96" t="s">
        <v>667</v>
      </c>
      <c r="C93" s="96">
        <v>12300</v>
      </c>
      <c r="D93" s="96" t="s">
        <v>736</v>
      </c>
      <c r="E93" s="96" t="s">
        <v>736</v>
      </c>
      <c r="F93" s="96" t="s">
        <v>736</v>
      </c>
      <c r="G93" s="186" t="s">
        <v>736</v>
      </c>
    </row>
    <row r="94" spans="1:7" ht="27" customHeight="1" x14ac:dyDescent="0.25">
      <c r="A94" s="95">
        <v>39173</v>
      </c>
      <c r="B94" s="96" t="s">
        <v>667</v>
      </c>
      <c r="C94" s="96">
        <v>12300</v>
      </c>
      <c r="D94" s="96" t="s">
        <v>736</v>
      </c>
      <c r="E94" s="96" t="s">
        <v>736</v>
      </c>
      <c r="F94" s="96" t="s">
        <v>736</v>
      </c>
      <c r="G94" s="186" t="s">
        <v>736</v>
      </c>
    </row>
    <row r="95" spans="1:7" ht="27" customHeight="1" x14ac:dyDescent="0.25">
      <c r="A95" s="95">
        <v>39174</v>
      </c>
      <c r="B95" s="96" t="s">
        <v>667</v>
      </c>
      <c r="C95" s="96">
        <v>12300</v>
      </c>
      <c r="D95" s="96" t="s">
        <v>736</v>
      </c>
      <c r="E95" s="96" t="s">
        <v>736</v>
      </c>
      <c r="F95" s="96" t="s">
        <v>736</v>
      </c>
      <c r="G95" s="186" t="s">
        <v>736</v>
      </c>
    </row>
    <row r="96" spans="1:7" ht="27" customHeight="1" x14ac:dyDescent="0.25">
      <c r="A96" s="95">
        <v>39175</v>
      </c>
      <c r="B96" s="96" t="s">
        <v>667</v>
      </c>
      <c r="C96" s="96">
        <v>12300</v>
      </c>
      <c r="D96" s="96" t="s">
        <v>736</v>
      </c>
      <c r="E96" s="96" t="s">
        <v>736</v>
      </c>
      <c r="F96" s="96" t="s">
        <v>736</v>
      </c>
      <c r="G96" s="186" t="s">
        <v>736</v>
      </c>
    </row>
    <row r="97" spans="1:7" ht="27" customHeight="1" x14ac:dyDescent="0.25">
      <c r="A97" s="95">
        <v>39176</v>
      </c>
      <c r="B97" s="96" t="s">
        <v>667</v>
      </c>
      <c r="C97" s="96">
        <v>12300</v>
      </c>
      <c r="D97" s="96" t="s">
        <v>736</v>
      </c>
      <c r="E97" s="96" t="s">
        <v>736</v>
      </c>
      <c r="F97" s="96" t="s">
        <v>736</v>
      </c>
      <c r="G97" s="186" t="s">
        <v>736</v>
      </c>
    </row>
    <row r="98" spans="1:7" ht="27" customHeight="1" x14ac:dyDescent="0.25">
      <c r="A98" s="95">
        <v>39177</v>
      </c>
      <c r="B98" s="96" t="s">
        <v>667</v>
      </c>
      <c r="C98" s="96">
        <v>12300</v>
      </c>
      <c r="D98" s="96" t="s">
        <v>736</v>
      </c>
      <c r="E98" s="96" t="s">
        <v>736</v>
      </c>
      <c r="F98" s="96" t="s">
        <v>736</v>
      </c>
      <c r="G98" s="186" t="s">
        <v>736</v>
      </c>
    </row>
    <row r="99" spans="1:7" ht="27" customHeight="1" x14ac:dyDescent="0.25">
      <c r="A99" s="95">
        <v>39178</v>
      </c>
      <c r="B99" s="96" t="s">
        <v>662</v>
      </c>
      <c r="C99" s="96">
        <v>12200</v>
      </c>
      <c r="D99" s="96" t="s">
        <v>736</v>
      </c>
      <c r="E99" s="96" t="s">
        <v>736</v>
      </c>
      <c r="F99" s="96" t="s">
        <v>736</v>
      </c>
      <c r="G99" s="186" t="s">
        <v>736</v>
      </c>
    </row>
    <row r="100" spans="1:7" ht="27" customHeight="1" x14ac:dyDescent="0.25">
      <c r="A100" s="95">
        <v>39179</v>
      </c>
      <c r="B100" s="96" t="s">
        <v>662</v>
      </c>
      <c r="C100" s="96">
        <v>12200</v>
      </c>
      <c r="D100" s="96" t="s">
        <v>736</v>
      </c>
      <c r="E100" s="96" t="s">
        <v>736</v>
      </c>
      <c r="F100" s="96" t="s">
        <v>736</v>
      </c>
      <c r="G100" s="186" t="s">
        <v>736</v>
      </c>
    </row>
    <row r="101" spans="1:7" ht="27" customHeight="1" x14ac:dyDescent="0.25">
      <c r="A101" s="95">
        <v>39180</v>
      </c>
      <c r="B101" s="96" t="s">
        <v>662</v>
      </c>
      <c r="C101" s="96">
        <v>12200</v>
      </c>
      <c r="D101" s="96" t="s">
        <v>736</v>
      </c>
      <c r="E101" s="96" t="s">
        <v>736</v>
      </c>
      <c r="F101" s="96" t="s">
        <v>736</v>
      </c>
      <c r="G101" s="186" t="s">
        <v>736</v>
      </c>
    </row>
    <row r="102" spans="1:7" ht="27" customHeight="1" x14ac:dyDescent="0.25">
      <c r="A102" s="95">
        <v>39181</v>
      </c>
      <c r="B102" s="96" t="s">
        <v>662</v>
      </c>
      <c r="C102" s="96">
        <v>12200</v>
      </c>
      <c r="D102" s="96" t="s">
        <v>736</v>
      </c>
      <c r="E102" s="96" t="s">
        <v>736</v>
      </c>
      <c r="F102" s="96" t="s">
        <v>736</v>
      </c>
      <c r="G102" s="186" t="s">
        <v>736</v>
      </c>
    </row>
    <row r="103" spans="1:7" ht="27" customHeight="1" x14ac:dyDescent="0.25">
      <c r="A103" s="95">
        <v>39182</v>
      </c>
      <c r="B103" s="96" t="s">
        <v>662</v>
      </c>
      <c r="C103" s="96">
        <v>12200</v>
      </c>
      <c r="D103" s="96" t="s">
        <v>736</v>
      </c>
      <c r="E103" s="96" t="s">
        <v>736</v>
      </c>
      <c r="F103" s="96" t="s">
        <v>736</v>
      </c>
      <c r="G103" s="186" t="s">
        <v>736</v>
      </c>
    </row>
    <row r="104" spans="1:7" ht="27" customHeight="1" x14ac:dyDescent="0.25">
      <c r="A104" s="95">
        <v>39183</v>
      </c>
      <c r="B104" s="96" t="s">
        <v>662</v>
      </c>
      <c r="C104" s="96">
        <v>12200</v>
      </c>
      <c r="D104" s="96" t="s">
        <v>736</v>
      </c>
      <c r="E104" s="96" t="s">
        <v>736</v>
      </c>
      <c r="F104" s="96" t="s">
        <v>736</v>
      </c>
      <c r="G104" s="186" t="s">
        <v>736</v>
      </c>
    </row>
    <row r="105" spans="1:7" ht="27" customHeight="1" x14ac:dyDescent="0.25">
      <c r="A105" s="95">
        <v>39184</v>
      </c>
      <c r="B105" s="96" t="s">
        <v>662</v>
      </c>
      <c r="C105" s="96">
        <v>12200</v>
      </c>
      <c r="D105" s="96" t="s">
        <v>736</v>
      </c>
      <c r="E105" s="96" t="s">
        <v>736</v>
      </c>
      <c r="F105" s="96" t="s">
        <v>736</v>
      </c>
      <c r="G105" s="186" t="s">
        <v>736</v>
      </c>
    </row>
    <row r="106" spans="1:7" ht="27" customHeight="1" x14ac:dyDescent="0.25">
      <c r="A106" s="95">
        <v>39185</v>
      </c>
      <c r="B106" s="96" t="s">
        <v>662</v>
      </c>
      <c r="C106" s="96">
        <v>12200</v>
      </c>
      <c r="D106" s="96" t="s">
        <v>736</v>
      </c>
      <c r="E106" s="96" t="s">
        <v>736</v>
      </c>
      <c r="F106" s="96" t="s">
        <v>736</v>
      </c>
      <c r="G106" s="186" t="s">
        <v>736</v>
      </c>
    </row>
    <row r="107" spans="1:7" ht="27" customHeight="1" x14ac:dyDescent="0.25">
      <c r="A107" s="95">
        <v>39186</v>
      </c>
      <c r="B107" s="96" t="s">
        <v>662</v>
      </c>
      <c r="C107" s="96">
        <v>12200</v>
      </c>
      <c r="D107" s="96" t="s">
        <v>736</v>
      </c>
      <c r="E107" s="96" t="s">
        <v>736</v>
      </c>
      <c r="F107" s="96" t="s">
        <v>736</v>
      </c>
      <c r="G107" s="186" t="s">
        <v>736</v>
      </c>
    </row>
    <row r="108" spans="1:7" ht="27" customHeight="1" x14ac:dyDescent="0.25">
      <c r="A108" s="95">
        <v>39187</v>
      </c>
      <c r="B108" s="96" t="s">
        <v>662</v>
      </c>
      <c r="C108" s="96">
        <v>12200</v>
      </c>
      <c r="D108" s="96" t="s">
        <v>736</v>
      </c>
      <c r="E108" s="96" t="s">
        <v>736</v>
      </c>
      <c r="F108" s="96" t="s">
        <v>736</v>
      </c>
      <c r="G108" s="186" t="s">
        <v>736</v>
      </c>
    </row>
    <row r="109" spans="1:7" ht="27" customHeight="1" x14ac:dyDescent="0.25">
      <c r="A109" s="95">
        <v>39188</v>
      </c>
      <c r="B109" s="96" t="s">
        <v>662</v>
      </c>
      <c r="C109" s="96">
        <v>12200</v>
      </c>
      <c r="D109" s="96" t="s">
        <v>736</v>
      </c>
      <c r="E109" s="96" t="s">
        <v>736</v>
      </c>
      <c r="F109" s="96" t="s">
        <v>736</v>
      </c>
      <c r="G109" s="186" t="s">
        <v>736</v>
      </c>
    </row>
    <row r="110" spans="1:7" ht="27" customHeight="1" x14ac:dyDescent="0.25">
      <c r="A110" s="95">
        <v>39189</v>
      </c>
      <c r="B110" s="96" t="s">
        <v>662</v>
      </c>
      <c r="C110" s="96">
        <v>12200</v>
      </c>
      <c r="D110" s="96" t="s">
        <v>736</v>
      </c>
      <c r="E110" s="96" t="s">
        <v>736</v>
      </c>
      <c r="F110" s="96" t="s">
        <v>736</v>
      </c>
      <c r="G110" s="186" t="s">
        <v>736</v>
      </c>
    </row>
    <row r="111" spans="1:7" ht="27" customHeight="1" x14ac:dyDescent="0.25">
      <c r="A111" s="95">
        <v>39190</v>
      </c>
      <c r="B111" s="96" t="s">
        <v>662</v>
      </c>
      <c r="C111" s="96">
        <v>12200</v>
      </c>
      <c r="D111" s="96" t="s">
        <v>736</v>
      </c>
      <c r="E111" s="96" t="s">
        <v>736</v>
      </c>
      <c r="F111" s="96" t="s">
        <v>736</v>
      </c>
      <c r="G111" s="186" t="s">
        <v>736</v>
      </c>
    </row>
    <row r="112" spans="1:7" ht="27" customHeight="1" x14ac:dyDescent="0.25">
      <c r="A112" s="95">
        <v>39191</v>
      </c>
      <c r="B112" s="96" t="s">
        <v>662</v>
      </c>
      <c r="C112" s="96">
        <v>12200</v>
      </c>
      <c r="D112" s="96" t="s">
        <v>736</v>
      </c>
      <c r="E112" s="96" t="s">
        <v>736</v>
      </c>
      <c r="F112" s="96" t="s">
        <v>736</v>
      </c>
      <c r="G112" s="186" t="s">
        <v>736</v>
      </c>
    </row>
    <row r="113" spans="1:7" ht="27" customHeight="1" x14ac:dyDescent="0.25">
      <c r="A113" s="95">
        <v>39192</v>
      </c>
      <c r="B113" s="96" t="s">
        <v>662</v>
      </c>
      <c r="C113" s="96">
        <v>12200</v>
      </c>
      <c r="D113" s="96" t="s">
        <v>736</v>
      </c>
      <c r="E113" s="96" t="s">
        <v>736</v>
      </c>
      <c r="F113" s="96" t="s">
        <v>736</v>
      </c>
      <c r="G113" s="186" t="s">
        <v>736</v>
      </c>
    </row>
    <row r="114" spans="1:7" ht="27" customHeight="1" x14ac:dyDescent="0.25">
      <c r="A114" s="95">
        <v>39193</v>
      </c>
      <c r="B114" s="96" t="s">
        <v>662</v>
      </c>
      <c r="C114" s="96">
        <v>12200</v>
      </c>
      <c r="D114" s="96" t="s">
        <v>736</v>
      </c>
      <c r="E114" s="96" t="s">
        <v>736</v>
      </c>
      <c r="F114" s="96" t="s">
        <v>736</v>
      </c>
      <c r="G114" s="186" t="s">
        <v>736</v>
      </c>
    </row>
    <row r="115" spans="1:7" ht="27" customHeight="1" x14ac:dyDescent="0.25">
      <c r="A115" s="95">
        <v>39194</v>
      </c>
      <c r="B115" s="96" t="s">
        <v>673</v>
      </c>
      <c r="C115" s="96">
        <v>12800</v>
      </c>
      <c r="D115" s="96" t="s">
        <v>736</v>
      </c>
      <c r="E115" s="96" t="s">
        <v>736</v>
      </c>
      <c r="F115" s="96" t="s">
        <v>736</v>
      </c>
      <c r="G115" s="186" t="s">
        <v>736</v>
      </c>
    </row>
    <row r="116" spans="1:7" ht="27" customHeight="1" x14ac:dyDescent="0.25">
      <c r="A116" s="95">
        <v>39195</v>
      </c>
      <c r="B116" s="96" t="s">
        <v>673</v>
      </c>
      <c r="C116" s="96">
        <v>12800</v>
      </c>
      <c r="D116" s="96" t="s">
        <v>736</v>
      </c>
      <c r="E116" s="96" t="s">
        <v>736</v>
      </c>
      <c r="F116" s="96" t="s">
        <v>736</v>
      </c>
      <c r="G116" s="186" t="s">
        <v>736</v>
      </c>
    </row>
    <row r="117" spans="1:7" ht="27" customHeight="1" x14ac:dyDescent="0.25">
      <c r="A117" s="95">
        <v>39196</v>
      </c>
      <c r="B117" s="96" t="s">
        <v>583</v>
      </c>
      <c r="C117" s="96">
        <v>12900</v>
      </c>
      <c r="D117" s="96" t="s">
        <v>736</v>
      </c>
      <c r="E117" s="96" t="s">
        <v>736</v>
      </c>
      <c r="F117" s="96" t="s">
        <v>736</v>
      </c>
      <c r="G117" s="186" t="s">
        <v>736</v>
      </c>
    </row>
    <row r="118" spans="1:7" ht="27" customHeight="1" x14ac:dyDescent="0.25">
      <c r="A118" s="95">
        <v>39197</v>
      </c>
      <c r="B118" s="96" t="s">
        <v>583</v>
      </c>
      <c r="C118" s="96">
        <v>12900</v>
      </c>
      <c r="D118" s="96" t="s">
        <v>736</v>
      </c>
      <c r="E118" s="96" t="s">
        <v>736</v>
      </c>
      <c r="F118" s="96" t="s">
        <v>736</v>
      </c>
      <c r="G118" s="186" t="s">
        <v>736</v>
      </c>
    </row>
    <row r="119" spans="1:7" ht="27" customHeight="1" x14ac:dyDescent="0.25">
      <c r="A119" s="95">
        <v>39198</v>
      </c>
      <c r="B119" s="96" t="s">
        <v>583</v>
      </c>
      <c r="C119" s="96">
        <v>12900</v>
      </c>
      <c r="D119" s="96" t="s">
        <v>736</v>
      </c>
      <c r="E119" s="96" t="s">
        <v>736</v>
      </c>
      <c r="F119" s="96" t="s">
        <v>736</v>
      </c>
      <c r="G119" s="186" t="s">
        <v>736</v>
      </c>
    </row>
    <row r="120" spans="1:7" ht="27" customHeight="1" x14ac:dyDescent="0.25">
      <c r="A120" s="95">
        <v>39199</v>
      </c>
      <c r="B120" s="96" t="s">
        <v>583</v>
      </c>
      <c r="C120" s="96">
        <v>12900</v>
      </c>
      <c r="D120" s="96" t="s">
        <v>736</v>
      </c>
      <c r="E120" s="96" t="s">
        <v>736</v>
      </c>
      <c r="F120" s="96" t="s">
        <v>736</v>
      </c>
      <c r="G120" s="186" t="s">
        <v>736</v>
      </c>
    </row>
    <row r="121" spans="1:7" ht="27" customHeight="1" x14ac:dyDescent="0.25">
      <c r="A121" s="95">
        <v>39200</v>
      </c>
      <c r="B121" s="96" t="s">
        <v>582</v>
      </c>
      <c r="C121" s="96">
        <v>13000</v>
      </c>
      <c r="D121" s="96" t="s">
        <v>736</v>
      </c>
      <c r="E121" s="96" t="s">
        <v>736</v>
      </c>
      <c r="F121" s="96" t="s">
        <v>736</v>
      </c>
      <c r="G121" s="186" t="s">
        <v>736</v>
      </c>
    </row>
    <row r="122" spans="1:7" ht="27" customHeight="1" x14ac:dyDescent="0.25">
      <c r="A122" s="95">
        <v>39201</v>
      </c>
      <c r="B122" s="96" t="s">
        <v>582</v>
      </c>
      <c r="C122" s="96">
        <v>13000</v>
      </c>
      <c r="D122" s="96" t="s">
        <v>736</v>
      </c>
      <c r="E122" s="96" t="s">
        <v>736</v>
      </c>
      <c r="F122" s="96" t="s">
        <v>736</v>
      </c>
      <c r="G122" s="186" t="s">
        <v>736</v>
      </c>
    </row>
    <row r="123" spans="1:7" ht="27" customHeight="1" x14ac:dyDescent="0.25">
      <c r="A123" s="95">
        <v>39202</v>
      </c>
      <c r="B123" s="96" t="s">
        <v>582</v>
      </c>
      <c r="C123" s="96">
        <v>13000</v>
      </c>
      <c r="D123" s="96" t="s">
        <v>736</v>
      </c>
      <c r="E123" s="96" t="s">
        <v>736</v>
      </c>
      <c r="F123" s="96" t="s">
        <v>736</v>
      </c>
      <c r="G123" s="186" t="s">
        <v>736</v>
      </c>
    </row>
    <row r="124" spans="1:7" ht="27" customHeight="1" x14ac:dyDescent="0.25">
      <c r="A124" s="95">
        <v>39203</v>
      </c>
      <c r="B124" s="96" t="s">
        <v>582</v>
      </c>
      <c r="C124" s="96">
        <v>13000</v>
      </c>
      <c r="D124" s="96" t="s">
        <v>736</v>
      </c>
      <c r="E124" s="96" t="s">
        <v>736</v>
      </c>
      <c r="F124" s="96" t="s">
        <v>736</v>
      </c>
      <c r="G124" s="186" t="s">
        <v>736</v>
      </c>
    </row>
    <row r="125" spans="1:7" ht="27" customHeight="1" x14ac:dyDescent="0.25">
      <c r="A125" s="95">
        <v>39204</v>
      </c>
      <c r="B125" s="96" t="s">
        <v>582</v>
      </c>
      <c r="C125" s="96">
        <v>13000</v>
      </c>
      <c r="D125" s="96" t="s">
        <v>736</v>
      </c>
      <c r="E125" s="96" t="s">
        <v>736</v>
      </c>
      <c r="F125" s="96" t="s">
        <v>736</v>
      </c>
      <c r="G125" s="186" t="s">
        <v>736</v>
      </c>
    </row>
    <row r="126" spans="1:7" ht="27" customHeight="1" x14ac:dyDescent="0.25">
      <c r="A126" s="95">
        <v>39205</v>
      </c>
      <c r="B126" s="96" t="s">
        <v>582</v>
      </c>
      <c r="C126" s="96">
        <v>13000</v>
      </c>
      <c r="D126" s="96" t="s">
        <v>736</v>
      </c>
      <c r="E126" s="96" t="s">
        <v>736</v>
      </c>
      <c r="F126" s="96" t="s">
        <v>736</v>
      </c>
      <c r="G126" s="186" t="s">
        <v>736</v>
      </c>
    </row>
    <row r="127" spans="1:7" ht="27" customHeight="1" x14ac:dyDescent="0.25">
      <c r="A127" s="95">
        <v>39206</v>
      </c>
      <c r="B127" s="96" t="s">
        <v>582</v>
      </c>
      <c r="C127" s="96">
        <v>13000</v>
      </c>
      <c r="D127" s="96" t="s">
        <v>736</v>
      </c>
      <c r="E127" s="96" t="s">
        <v>736</v>
      </c>
      <c r="F127" s="96" t="s">
        <v>736</v>
      </c>
      <c r="G127" s="186" t="s">
        <v>736</v>
      </c>
    </row>
    <row r="128" spans="1:7" ht="27" customHeight="1" x14ac:dyDescent="0.25">
      <c r="A128" s="95">
        <v>39207</v>
      </c>
      <c r="B128" s="96" t="s">
        <v>582</v>
      </c>
      <c r="C128" s="96">
        <v>13000</v>
      </c>
      <c r="D128" s="96" t="s">
        <v>1063</v>
      </c>
      <c r="E128" s="96" t="s">
        <v>1638</v>
      </c>
      <c r="F128" s="96" t="s">
        <v>736</v>
      </c>
      <c r="G128" s="186" t="s">
        <v>736</v>
      </c>
    </row>
    <row r="129" spans="1:7" ht="27" customHeight="1" x14ac:dyDescent="0.25">
      <c r="A129" s="95">
        <v>39208</v>
      </c>
      <c r="B129" s="96" t="s">
        <v>583</v>
      </c>
      <c r="C129" s="96">
        <v>12900</v>
      </c>
      <c r="D129" s="96" t="s">
        <v>824</v>
      </c>
      <c r="E129" s="96" t="s">
        <v>1639</v>
      </c>
      <c r="F129" s="96" t="s">
        <v>824</v>
      </c>
      <c r="G129" s="186" t="s">
        <v>1649</v>
      </c>
    </row>
    <row r="130" spans="1:7" ht="27" customHeight="1" x14ac:dyDescent="0.25">
      <c r="A130" s="95">
        <v>39209</v>
      </c>
      <c r="B130" s="96" t="s">
        <v>673</v>
      </c>
      <c r="C130" s="96">
        <v>12800</v>
      </c>
      <c r="D130" s="96" t="s">
        <v>824</v>
      </c>
      <c r="E130" s="96" t="s">
        <v>1640</v>
      </c>
      <c r="F130" s="96" t="s">
        <v>824</v>
      </c>
      <c r="G130" s="186" t="s">
        <v>1650</v>
      </c>
    </row>
    <row r="131" spans="1:7" ht="27" customHeight="1" x14ac:dyDescent="0.25">
      <c r="A131" s="95">
        <v>39210</v>
      </c>
      <c r="B131" s="96" t="s">
        <v>704</v>
      </c>
      <c r="C131" s="96">
        <v>12600</v>
      </c>
      <c r="D131" s="96" t="s">
        <v>824</v>
      </c>
      <c r="E131" s="96" t="s">
        <v>1641</v>
      </c>
      <c r="F131" s="96" t="s">
        <v>824</v>
      </c>
      <c r="G131" s="186" t="s">
        <v>1651</v>
      </c>
    </row>
    <row r="132" spans="1:7" ht="27" customHeight="1" x14ac:dyDescent="0.25">
      <c r="A132" s="95">
        <v>39211</v>
      </c>
      <c r="B132" s="96" t="s">
        <v>705</v>
      </c>
      <c r="C132" s="96">
        <v>12400</v>
      </c>
      <c r="D132" s="96" t="s">
        <v>824</v>
      </c>
      <c r="E132" s="96" t="s">
        <v>1642</v>
      </c>
      <c r="F132" s="96" t="s">
        <v>824</v>
      </c>
      <c r="G132" s="186" t="s">
        <v>1652</v>
      </c>
    </row>
    <row r="133" spans="1:7" ht="27" customHeight="1" x14ac:dyDescent="0.25">
      <c r="A133" s="95">
        <v>39212</v>
      </c>
      <c r="B133" s="96" t="s">
        <v>584</v>
      </c>
      <c r="C133" s="96">
        <v>12000</v>
      </c>
      <c r="D133" s="96" t="s">
        <v>824</v>
      </c>
      <c r="E133" s="96" t="s">
        <v>1643</v>
      </c>
      <c r="F133" s="96" t="s">
        <v>824</v>
      </c>
      <c r="G133" s="186" t="s">
        <v>1653</v>
      </c>
    </row>
    <row r="134" spans="1:7" ht="27" customHeight="1" x14ac:dyDescent="0.25">
      <c r="A134" s="95">
        <v>39213</v>
      </c>
      <c r="B134" s="96" t="s">
        <v>661</v>
      </c>
      <c r="C134" s="96">
        <v>11600</v>
      </c>
      <c r="D134" s="96" t="s">
        <v>824</v>
      </c>
      <c r="E134" s="96" t="s">
        <v>1523</v>
      </c>
      <c r="F134" s="96" t="s">
        <v>824</v>
      </c>
      <c r="G134" s="186" t="s">
        <v>1508</v>
      </c>
    </row>
    <row r="135" spans="1:7" ht="27" customHeight="1" x14ac:dyDescent="0.25">
      <c r="A135" s="95">
        <v>39214</v>
      </c>
      <c r="B135" s="96" t="s">
        <v>586</v>
      </c>
      <c r="C135" s="96">
        <v>11500</v>
      </c>
      <c r="D135" s="96" t="s">
        <v>824</v>
      </c>
      <c r="E135" s="96" t="s">
        <v>1644</v>
      </c>
      <c r="F135" s="96" t="s">
        <v>824</v>
      </c>
      <c r="G135" s="186" t="s">
        <v>1648</v>
      </c>
    </row>
    <row r="136" spans="1:7" ht="27" customHeight="1" x14ac:dyDescent="0.25">
      <c r="A136" s="95">
        <v>39215</v>
      </c>
      <c r="B136" s="96" t="s">
        <v>587</v>
      </c>
      <c r="C136" s="96">
        <v>11300</v>
      </c>
      <c r="D136" s="96" t="s">
        <v>823</v>
      </c>
      <c r="E136" s="96" t="s">
        <v>1645</v>
      </c>
      <c r="F136" s="96" t="s">
        <v>823</v>
      </c>
      <c r="G136" s="186" t="s">
        <v>1654</v>
      </c>
    </row>
    <row r="137" spans="1:7" ht="27" customHeight="1" x14ac:dyDescent="0.25">
      <c r="A137" s="95">
        <v>39216</v>
      </c>
      <c r="B137" s="96" t="s">
        <v>587</v>
      </c>
      <c r="C137" s="96">
        <v>11300</v>
      </c>
      <c r="D137" s="96" t="s">
        <v>823</v>
      </c>
      <c r="E137" s="96" t="s">
        <v>1645</v>
      </c>
      <c r="F137" s="96" t="s">
        <v>823</v>
      </c>
      <c r="G137" s="186" t="s">
        <v>1654</v>
      </c>
    </row>
    <row r="138" spans="1:7" ht="27" customHeight="1" x14ac:dyDescent="0.25">
      <c r="A138" s="95">
        <v>39217</v>
      </c>
      <c r="B138" s="96" t="s">
        <v>587</v>
      </c>
      <c r="C138" s="96">
        <v>11300</v>
      </c>
      <c r="D138" s="96" t="s">
        <v>736</v>
      </c>
      <c r="E138" s="96" t="s">
        <v>736</v>
      </c>
      <c r="F138" s="96" t="s">
        <v>736</v>
      </c>
      <c r="G138" s="186" t="s">
        <v>736</v>
      </c>
    </row>
    <row r="139" spans="1:7" ht="27" customHeight="1" x14ac:dyDescent="0.25">
      <c r="A139" s="95">
        <v>39218</v>
      </c>
      <c r="B139" s="96" t="s">
        <v>660</v>
      </c>
      <c r="C139" s="96">
        <v>11200</v>
      </c>
      <c r="D139" s="96" t="s">
        <v>736</v>
      </c>
      <c r="E139" s="96" t="s">
        <v>736</v>
      </c>
      <c r="F139" s="96" t="s">
        <v>736</v>
      </c>
      <c r="G139" s="186" t="s">
        <v>736</v>
      </c>
    </row>
    <row r="140" spans="1:7" ht="27" customHeight="1" x14ac:dyDescent="0.25">
      <c r="A140" s="95">
        <v>39219</v>
      </c>
      <c r="B140" s="96" t="s">
        <v>660</v>
      </c>
      <c r="C140" s="96">
        <v>11200</v>
      </c>
      <c r="D140" s="96" t="s">
        <v>736</v>
      </c>
      <c r="E140" s="96" t="s">
        <v>736</v>
      </c>
      <c r="F140" s="96" t="s">
        <v>736</v>
      </c>
      <c r="G140" s="186" t="s">
        <v>736</v>
      </c>
    </row>
    <row r="141" spans="1:7" ht="27" customHeight="1" x14ac:dyDescent="0.25">
      <c r="A141" s="95">
        <v>39220</v>
      </c>
      <c r="B141" s="96" t="s">
        <v>660</v>
      </c>
      <c r="C141" s="96">
        <v>11200</v>
      </c>
      <c r="D141" s="96" t="s">
        <v>736</v>
      </c>
      <c r="E141" s="96" t="s">
        <v>736</v>
      </c>
      <c r="F141" s="96" t="s">
        <v>736</v>
      </c>
      <c r="G141" s="186" t="s">
        <v>736</v>
      </c>
    </row>
    <row r="142" spans="1:7" ht="27" customHeight="1" x14ac:dyDescent="0.25">
      <c r="A142" s="95">
        <v>39221</v>
      </c>
      <c r="B142" s="96" t="s">
        <v>660</v>
      </c>
      <c r="C142" s="96">
        <v>11200</v>
      </c>
      <c r="D142" s="96" t="s">
        <v>736</v>
      </c>
      <c r="E142" s="96" t="s">
        <v>736</v>
      </c>
      <c r="F142" s="96" t="s">
        <v>736</v>
      </c>
      <c r="G142" s="186" t="s">
        <v>736</v>
      </c>
    </row>
    <row r="143" spans="1:7" ht="27" customHeight="1" x14ac:dyDescent="0.25">
      <c r="A143" s="95">
        <v>39222</v>
      </c>
      <c r="B143" s="96" t="s">
        <v>588</v>
      </c>
      <c r="C143" s="96">
        <v>11100</v>
      </c>
      <c r="D143" s="96" t="s">
        <v>736</v>
      </c>
      <c r="E143" s="96" t="s">
        <v>736</v>
      </c>
      <c r="F143" s="96" t="s">
        <v>736</v>
      </c>
      <c r="G143" s="186" t="s">
        <v>736</v>
      </c>
    </row>
    <row r="144" spans="1:7" ht="27" customHeight="1" x14ac:dyDescent="0.25">
      <c r="A144" s="95">
        <v>39223</v>
      </c>
      <c r="B144" s="96" t="s">
        <v>588</v>
      </c>
      <c r="C144" s="96">
        <v>11100</v>
      </c>
      <c r="D144" s="96" t="s">
        <v>736</v>
      </c>
      <c r="E144" s="96" t="s">
        <v>736</v>
      </c>
      <c r="F144" s="96" t="s">
        <v>1060</v>
      </c>
      <c r="G144" s="186" t="s">
        <v>1655</v>
      </c>
    </row>
    <row r="145" spans="1:7" ht="27" customHeight="1" x14ac:dyDescent="0.25">
      <c r="A145" s="95">
        <v>39224</v>
      </c>
      <c r="B145" s="96" t="s">
        <v>663</v>
      </c>
      <c r="C145" s="96">
        <v>10700</v>
      </c>
      <c r="D145" s="96" t="s">
        <v>736</v>
      </c>
      <c r="E145" s="96" t="s">
        <v>736</v>
      </c>
      <c r="F145" s="96" t="s">
        <v>1060</v>
      </c>
      <c r="G145" s="186" t="s">
        <v>1656</v>
      </c>
    </row>
    <row r="146" spans="1:7" ht="27" customHeight="1" x14ac:dyDescent="0.25">
      <c r="A146" s="95">
        <v>39225</v>
      </c>
      <c r="B146" s="96" t="s">
        <v>664</v>
      </c>
      <c r="C146" s="96">
        <v>10500</v>
      </c>
      <c r="D146" s="96" t="s">
        <v>824</v>
      </c>
      <c r="E146" s="96" t="s">
        <v>1646</v>
      </c>
      <c r="F146" s="96" t="s">
        <v>1060</v>
      </c>
      <c r="G146" s="186" t="s">
        <v>1657</v>
      </c>
    </row>
    <row r="147" spans="1:7" ht="27" customHeight="1" x14ac:dyDescent="0.25">
      <c r="A147" s="95">
        <v>39226</v>
      </c>
      <c r="B147" s="96" t="s">
        <v>665</v>
      </c>
      <c r="C147" s="96">
        <v>10300</v>
      </c>
      <c r="D147" s="96" t="s">
        <v>824</v>
      </c>
      <c r="E147" s="96" t="s">
        <v>1647</v>
      </c>
      <c r="F147" s="96" t="s">
        <v>1060</v>
      </c>
      <c r="G147" s="186" t="s">
        <v>1658</v>
      </c>
    </row>
    <row r="148" spans="1:7" ht="27" customHeight="1" x14ac:dyDescent="0.25">
      <c r="A148" s="95">
        <v>39227</v>
      </c>
      <c r="B148" s="96" t="s">
        <v>593</v>
      </c>
      <c r="C148" s="96">
        <v>10100</v>
      </c>
      <c r="D148" s="96" t="s">
        <v>824</v>
      </c>
      <c r="E148" s="96" t="s">
        <v>1648</v>
      </c>
      <c r="F148" s="96" t="s">
        <v>736</v>
      </c>
      <c r="G148" s="186" t="s">
        <v>736</v>
      </c>
    </row>
    <row r="149" spans="1:7" ht="27" customHeight="1" x14ac:dyDescent="0.25">
      <c r="A149" s="95">
        <v>39228</v>
      </c>
      <c r="B149" s="96" t="s">
        <v>593</v>
      </c>
      <c r="C149" s="96">
        <v>10100</v>
      </c>
      <c r="D149" s="96" t="s">
        <v>736</v>
      </c>
      <c r="E149" s="96" t="s">
        <v>1547</v>
      </c>
      <c r="F149" s="96" t="s">
        <v>736</v>
      </c>
      <c r="G149" s="186" t="s">
        <v>736</v>
      </c>
    </row>
    <row r="150" spans="1:7" ht="27" customHeight="1" x14ac:dyDescent="0.25">
      <c r="A150" s="95">
        <v>39229</v>
      </c>
      <c r="B150" s="96" t="s">
        <v>593</v>
      </c>
      <c r="C150" s="96">
        <v>10100</v>
      </c>
      <c r="D150" s="96" t="s">
        <v>736</v>
      </c>
      <c r="E150" s="96" t="s">
        <v>736</v>
      </c>
      <c r="F150" s="96" t="s">
        <v>736</v>
      </c>
      <c r="G150" s="186" t="s">
        <v>736</v>
      </c>
    </row>
    <row r="151" spans="1:7" ht="27" customHeight="1" x14ac:dyDescent="0.25">
      <c r="A151" s="95">
        <v>39230</v>
      </c>
      <c r="B151" s="96" t="s">
        <v>593</v>
      </c>
      <c r="C151" s="96">
        <v>10100</v>
      </c>
      <c r="D151" s="96" t="s">
        <v>736</v>
      </c>
      <c r="E151" s="96" t="s">
        <v>736</v>
      </c>
      <c r="F151" s="96" t="s">
        <v>736</v>
      </c>
      <c r="G151" s="186" t="s">
        <v>736</v>
      </c>
    </row>
    <row r="152" spans="1:7" ht="27" customHeight="1" x14ac:dyDescent="0.25">
      <c r="A152" s="95">
        <v>39231</v>
      </c>
      <c r="B152" s="96" t="s">
        <v>659</v>
      </c>
      <c r="C152" s="96">
        <v>10000</v>
      </c>
      <c r="D152" s="96" t="s">
        <v>736</v>
      </c>
      <c r="E152" s="96" t="s">
        <v>736</v>
      </c>
      <c r="F152" s="96" t="s">
        <v>736</v>
      </c>
      <c r="G152" s="186" t="s">
        <v>736</v>
      </c>
    </row>
    <row r="153" spans="1:7" ht="27" customHeight="1" x14ac:dyDescent="0.25">
      <c r="A153" s="95">
        <v>39232</v>
      </c>
      <c r="B153" s="96" t="s">
        <v>659</v>
      </c>
      <c r="C153" s="96">
        <v>10000</v>
      </c>
      <c r="D153" s="96" t="s">
        <v>736</v>
      </c>
      <c r="E153" s="96" t="s">
        <v>736</v>
      </c>
      <c r="F153" s="96" t="s">
        <v>736</v>
      </c>
      <c r="G153" s="186" t="s">
        <v>736</v>
      </c>
    </row>
    <row r="154" spans="1:7" ht="27" customHeight="1" x14ac:dyDescent="0.25">
      <c r="A154" s="95">
        <v>39233</v>
      </c>
      <c r="B154" s="96" t="s">
        <v>659</v>
      </c>
      <c r="C154" s="96">
        <v>10000</v>
      </c>
      <c r="D154" s="96" t="s">
        <v>736</v>
      </c>
      <c r="E154" s="96" t="s">
        <v>736</v>
      </c>
      <c r="F154" s="96" t="s">
        <v>736</v>
      </c>
      <c r="G154" s="186" t="s">
        <v>736</v>
      </c>
    </row>
    <row r="155" spans="1:7" ht="27" customHeight="1" x14ac:dyDescent="0.25">
      <c r="A155" s="95">
        <v>39234</v>
      </c>
      <c r="B155" s="96" t="s">
        <v>659</v>
      </c>
      <c r="C155" s="96">
        <v>10000</v>
      </c>
      <c r="D155" s="96" t="s">
        <v>824</v>
      </c>
      <c r="E155" s="96" t="s">
        <v>736</v>
      </c>
      <c r="F155" s="96" t="s">
        <v>824</v>
      </c>
      <c r="G155" s="186" t="s">
        <v>736</v>
      </c>
    </row>
    <row r="156" spans="1:7" ht="27" customHeight="1" x14ac:dyDescent="0.25">
      <c r="A156" s="95">
        <v>39235</v>
      </c>
      <c r="B156" s="96" t="s">
        <v>706</v>
      </c>
      <c r="C156" s="96">
        <v>9800</v>
      </c>
      <c r="D156" s="96" t="s">
        <v>824</v>
      </c>
      <c r="E156" s="96" t="s">
        <v>1659</v>
      </c>
      <c r="F156" s="96" t="s">
        <v>1249</v>
      </c>
      <c r="G156" s="186" t="s">
        <v>1670</v>
      </c>
    </row>
    <row r="157" spans="1:7" ht="27" customHeight="1" x14ac:dyDescent="0.25">
      <c r="A157" s="95">
        <v>39236</v>
      </c>
      <c r="B157" s="96" t="s">
        <v>666</v>
      </c>
      <c r="C157" s="96">
        <v>9600</v>
      </c>
      <c r="D157" s="96" t="s">
        <v>824</v>
      </c>
      <c r="E157" s="96" t="s">
        <v>1660</v>
      </c>
      <c r="F157" s="96" t="s">
        <v>1249</v>
      </c>
      <c r="G157" s="186" t="s">
        <v>1671</v>
      </c>
    </row>
    <row r="158" spans="1:7" ht="27" customHeight="1" x14ac:dyDescent="0.25">
      <c r="A158" s="95">
        <v>39237</v>
      </c>
      <c r="B158" s="96" t="s">
        <v>657</v>
      </c>
      <c r="C158" s="96">
        <v>9400</v>
      </c>
      <c r="D158" s="96" t="s">
        <v>824</v>
      </c>
      <c r="E158" s="96" t="s">
        <v>1661</v>
      </c>
      <c r="F158" s="96" t="s">
        <v>1249</v>
      </c>
      <c r="G158" s="186" t="s">
        <v>1672</v>
      </c>
    </row>
    <row r="159" spans="1:7" ht="27" customHeight="1" x14ac:dyDescent="0.25">
      <c r="A159" s="95">
        <v>39238</v>
      </c>
      <c r="B159" s="96" t="s">
        <v>596</v>
      </c>
      <c r="C159" s="96">
        <v>9200</v>
      </c>
      <c r="D159" s="96" t="s">
        <v>736</v>
      </c>
      <c r="E159" s="96" t="s">
        <v>736</v>
      </c>
      <c r="F159" s="96" t="s">
        <v>1249</v>
      </c>
      <c r="G159" s="186" t="s">
        <v>1673</v>
      </c>
    </row>
    <row r="160" spans="1:7" ht="27" customHeight="1" x14ac:dyDescent="0.25">
      <c r="A160" s="95">
        <v>39239</v>
      </c>
      <c r="B160" s="96" t="s">
        <v>596</v>
      </c>
      <c r="C160" s="96">
        <v>9200</v>
      </c>
      <c r="D160" s="96" t="s">
        <v>736</v>
      </c>
      <c r="E160" s="96" t="s">
        <v>736</v>
      </c>
      <c r="F160" s="96" t="s">
        <v>736</v>
      </c>
      <c r="G160" s="186" t="s">
        <v>736</v>
      </c>
    </row>
    <row r="161" spans="1:7" ht="27" customHeight="1" x14ac:dyDescent="0.25">
      <c r="A161" s="95">
        <v>39240</v>
      </c>
      <c r="B161" s="96" t="s">
        <v>596</v>
      </c>
      <c r="C161" s="96">
        <v>9200</v>
      </c>
      <c r="D161" s="96" t="s">
        <v>736</v>
      </c>
      <c r="E161" s="96" t="s">
        <v>736</v>
      </c>
      <c r="F161" s="96" t="s">
        <v>736</v>
      </c>
      <c r="G161" s="186" t="s">
        <v>736</v>
      </c>
    </row>
    <row r="162" spans="1:7" ht="27" customHeight="1" x14ac:dyDescent="0.25">
      <c r="A162" s="95">
        <v>39241</v>
      </c>
      <c r="B162" s="96" t="s">
        <v>596</v>
      </c>
      <c r="C162" s="96">
        <v>9200</v>
      </c>
      <c r="D162" s="96" t="s">
        <v>736</v>
      </c>
      <c r="E162" s="96" t="s">
        <v>736</v>
      </c>
      <c r="F162" s="96" t="s">
        <v>736</v>
      </c>
      <c r="G162" s="186" t="s">
        <v>736</v>
      </c>
    </row>
    <row r="163" spans="1:7" ht="27" customHeight="1" x14ac:dyDescent="0.25">
      <c r="A163" s="95">
        <v>39242</v>
      </c>
      <c r="B163" s="96" t="s">
        <v>596</v>
      </c>
      <c r="C163" s="96">
        <v>9200</v>
      </c>
      <c r="D163" s="96" t="s">
        <v>736</v>
      </c>
      <c r="E163" s="96" t="s">
        <v>736</v>
      </c>
      <c r="F163" s="96" t="s">
        <v>736</v>
      </c>
      <c r="G163" s="186" t="s">
        <v>736</v>
      </c>
    </row>
    <row r="164" spans="1:7" ht="27" customHeight="1" x14ac:dyDescent="0.25">
      <c r="A164" s="95">
        <v>39243</v>
      </c>
      <c r="B164" s="96" t="s">
        <v>596</v>
      </c>
      <c r="C164" s="96">
        <v>9200</v>
      </c>
      <c r="D164" s="96" t="s">
        <v>736</v>
      </c>
      <c r="E164" s="96" t="s">
        <v>736</v>
      </c>
      <c r="F164" s="96" t="s">
        <v>736</v>
      </c>
      <c r="G164" s="186" t="s">
        <v>736</v>
      </c>
    </row>
    <row r="165" spans="1:7" ht="27" customHeight="1" x14ac:dyDescent="0.25">
      <c r="A165" s="95">
        <v>39244</v>
      </c>
      <c r="B165" s="96" t="s">
        <v>596</v>
      </c>
      <c r="C165" s="96">
        <v>9200</v>
      </c>
      <c r="D165" s="96" t="s">
        <v>736</v>
      </c>
      <c r="E165" s="96" t="s">
        <v>736</v>
      </c>
      <c r="F165" s="96" t="s">
        <v>736</v>
      </c>
      <c r="G165" s="186" t="s">
        <v>736</v>
      </c>
    </row>
    <row r="166" spans="1:7" ht="27" customHeight="1" x14ac:dyDescent="0.25">
      <c r="A166" s="95">
        <v>39245</v>
      </c>
      <c r="B166" s="96" t="s">
        <v>596</v>
      </c>
      <c r="C166" s="96">
        <v>9200</v>
      </c>
      <c r="D166" s="96" t="s">
        <v>736</v>
      </c>
      <c r="E166" s="96" t="s">
        <v>736</v>
      </c>
      <c r="F166" s="96" t="s">
        <v>736</v>
      </c>
      <c r="G166" s="186" t="s">
        <v>736</v>
      </c>
    </row>
    <row r="167" spans="1:7" ht="27" customHeight="1" x14ac:dyDescent="0.25">
      <c r="A167" s="95">
        <v>39246</v>
      </c>
      <c r="B167" s="96" t="s">
        <v>596</v>
      </c>
      <c r="C167" s="96">
        <v>9200</v>
      </c>
      <c r="D167" s="96" t="s">
        <v>736</v>
      </c>
      <c r="E167" s="96" t="s">
        <v>736</v>
      </c>
      <c r="F167" s="96" t="s">
        <v>736</v>
      </c>
      <c r="G167" s="186" t="s">
        <v>736</v>
      </c>
    </row>
    <row r="168" spans="1:7" ht="27" customHeight="1" x14ac:dyDescent="0.25">
      <c r="A168" s="95">
        <v>39247</v>
      </c>
      <c r="B168" s="96" t="s">
        <v>596</v>
      </c>
      <c r="C168" s="96">
        <v>9200</v>
      </c>
      <c r="D168" s="96" t="s">
        <v>1249</v>
      </c>
      <c r="E168" s="96" t="s">
        <v>1662</v>
      </c>
      <c r="F168" s="96" t="s">
        <v>1248</v>
      </c>
      <c r="G168" s="186" t="s">
        <v>1677</v>
      </c>
    </row>
    <row r="169" spans="1:7" ht="27" customHeight="1" x14ac:dyDescent="0.25">
      <c r="A169" s="95">
        <v>39248</v>
      </c>
      <c r="B169" s="96" t="s">
        <v>597</v>
      </c>
      <c r="C169" s="96">
        <v>9000</v>
      </c>
      <c r="D169" s="96" t="s">
        <v>1060</v>
      </c>
      <c r="E169" s="96" t="s">
        <v>1663</v>
      </c>
      <c r="F169" s="96" t="s">
        <v>1060</v>
      </c>
      <c r="G169" s="186" t="s">
        <v>1674</v>
      </c>
    </row>
    <row r="170" spans="1:7" ht="27" customHeight="1" x14ac:dyDescent="0.25">
      <c r="A170" s="95">
        <v>39249</v>
      </c>
      <c r="B170" s="96" t="s">
        <v>654</v>
      </c>
      <c r="C170" s="96">
        <v>8900</v>
      </c>
      <c r="D170" s="96" t="s">
        <v>1060</v>
      </c>
      <c r="E170" s="96" t="s">
        <v>1664</v>
      </c>
      <c r="F170" s="96" t="s">
        <v>1060</v>
      </c>
      <c r="G170" s="186" t="s">
        <v>1675</v>
      </c>
    </row>
    <row r="171" spans="1:7" ht="27" customHeight="1" x14ac:dyDescent="0.25">
      <c r="A171" s="95">
        <v>39250</v>
      </c>
      <c r="B171" s="96" t="s">
        <v>598</v>
      </c>
      <c r="C171" s="96">
        <v>8600</v>
      </c>
      <c r="D171" s="96" t="s">
        <v>824</v>
      </c>
      <c r="E171" s="96" t="s">
        <v>1665</v>
      </c>
      <c r="F171" s="96" t="s">
        <v>1249</v>
      </c>
      <c r="G171" s="186" t="s">
        <v>1676</v>
      </c>
    </row>
    <row r="172" spans="1:7" ht="27" customHeight="1" x14ac:dyDescent="0.25">
      <c r="A172" s="95">
        <v>39251</v>
      </c>
      <c r="B172" s="96" t="s">
        <v>675</v>
      </c>
      <c r="C172" s="96">
        <v>8500</v>
      </c>
      <c r="D172" s="96" t="s">
        <v>824</v>
      </c>
      <c r="E172" s="96" t="s">
        <v>1666</v>
      </c>
      <c r="F172" s="96" t="s">
        <v>1063</v>
      </c>
      <c r="G172" s="186" t="s">
        <v>1678</v>
      </c>
    </row>
    <row r="173" spans="1:7" ht="27" customHeight="1" x14ac:dyDescent="0.25">
      <c r="A173" s="95">
        <v>39252</v>
      </c>
      <c r="B173" s="96" t="s">
        <v>599</v>
      </c>
      <c r="C173" s="96">
        <v>8400</v>
      </c>
      <c r="D173" s="96" t="s">
        <v>736</v>
      </c>
      <c r="E173" s="96" t="s">
        <v>736</v>
      </c>
      <c r="F173" s="96" t="s">
        <v>736</v>
      </c>
      <c r="G173" s="186" t="s">
        <v>736</v>
      </c>
    </row>
    <row r="174" spans="1:7" ht="27" customHeight="1" x14ac:dyDescent="0.25">
      <c r="A174" s="95">
        <v>39253</v>
      </c>
      <c r="B174" s="96" t="s">
        <v>599</v>
      </c>
      <c r="C174" s="96">
        <v>8400</v>
      </c>
      <c r="D174" s="96" t="s">
        <v>736</v>
      </c>
      <c r="E174" s="96" t="s">
        <v>736</v>
      </c>
      <c r="F174" s="96" t="s">
        <v>736</v>
      </c>
      <c r="G174" s="186" t="s">
        <v>736</v>
      </c>
    </row>
    <row r="175" spans="1:7" ht="27" customHeight="1" x14ac:dyDescent="0.25">
      <c r="A175" s="95">
        <v>39254</v>
      </c>
      <c r="B175" s="96" t="s">
        <v>599</v>
      </c>
      <c r="C175" s="96">
        <v>8400</v>
      </c>
      <c r="D175" s="96" t="s">
        <v>736</v>
      </c>
      <c r="E175" s="96" t="s">
        <v>736</v>
      </c>
      <c r="F175" s="96" t="s">
        <v>736</v>
      </c>
      <c r="G175" s="186" t="s">
        <v>736</v>
      </c>
    </row>
    <row r="176" spans="1:7" ht="27" customHeight="1" x14ac:dyDescent="0.25">
      <c r="A176" s="95">
        <v>39255</v>
      </c>
      <c r="B176" s="96" t="s">
        <v>599</v>
      </c>
      <c r="C176" s="96">
        <v>8400</v>
      </c>
      <c r="D176" s="96" t="s">
        <v>736</v>
      </c>
      <c r="E176" s="96" t="s">
        <v>736</v>
      </c>
      <c r="F176" s="96" t="s">
        <v>736</v>
      </c>
      <c r="G176" s="186" t="s">
        <v>736</v>
      </c>
    </row>
    <row r="177" spans="1:7" ht="27" customHeight="1" x14ac:dyDescent="0.25">
      <c r="A177" s="95">
        <v>39256</v>
      </c>
      <c r="B177" s="96" t="s">
        <v>599</v>
      </c>
      <c r="C177" s="96">
        <v>8400</v>
      </c>
      <c r="D177" s="96" t="s">
        <v>736</v>
      </c>
      <c r="E177" s="96" t="s">
        <v>736</v>
      </c>
      <c r="F177" s="96" t="s">
        <v>415</v>
      </c>
      <c r="G177" s="186" t="s">
        <v>1679</v>
      </c>
    </row>
    <row r="178" spans="1:7" ht="27" customHeight="1" x14ac:dyDescent="0.25">
      <c r="A178" s="95">
        <v>39257</v>
      </c>
      <c r="B178" s="96" t="s">
        <v>88</v>
      </c>
      <c r="C178" s="96">
        <v>8400</v>
      </c>
      <c r="D178" s="96" t="s">
        <v>736</v>
      </c>
      <c r="E178" s="96" t="s">
        <v>736</v>
      </c>
      <c r="F178" s="96" t="s">
        <v>415</v>
      </c>
      <c r="G178" s="186" t="s">
        <v>1680</v>
      </c>
    </row>
    <row r="179" spans="1:7" ht="27" customHeight="1" x14ac:dyDescent="0.25">
      <c r="A179" s="95">
        <v>39258</v>
      </c>
      <c r="B179" s="96" t="s">
        <v>92</v>
      </c>
      <c r="C179" s="96" t="s">
        <v>1394</v>
      </c>
      <c r="D179" s="96" t="s">
        <v>1442</v>
      </c>
      <c r="E179" s="96" t="s">
        <v>1667</v>
      </c>
      <c r="F179" s="96" t="s">
        <v>415</v>
      </c>
      <c r="G179" s="186" t="s">
        <v>1681</v>
      </c>
    </row>
    <row r="180" spans="1:7" ht="27" customHeight="1" x14ac:dyDescent="0.25">
      <c r="A180" s="95">
        <v>39259</v>
      </c>
      <c r="B180" s="96" t="s">
        <v>599</v>
      </c>
      <c r="C180" s="96">
        <v>8400</v>
      </c>
      <c r="D180" s="96" t="s">
        <v>736</v>
      </c>
      <c r="E180" s="96" t="s">
        <v>736</v>
      </c>
      <c r="F180" s="96" t="s">
        <v>736</v>
      </c>
      <c r="G180" s="186" t="s">
        <v>736</v>
      </c>
    </row>
    <row r="181" spans="1:7" ht="27" customHeight="1" x14ac:dyDescent="0.25">
      <c r="A181" s="95">
        <v>39260</v>
      </c>
      <c r="B181" s="96" t="s">
        <v>599</v>
      </c>
      <c r="C181" s="96">
        <v>8400</v>
      </c>
      <c r="D181" s="96" t="s">
        <v>736</v>
      </c>
      <c r="E181" s="96" t="s">
        <v>736</v>
      </c>
      <c r="F181" s="96" t="s">
        <v>736</v>
      </c>
      <c r="G181" s="186" t="s">
        <v>736</v>
      </c>
    </row>
    <row r="182" spans="1:7" ht="27" customHeight="1" x14ac:dyDescent="0.25">
      <c r="A182" s="95">
        <v>39261</v>
      </c>
      <c r="B182" s="96" t="s">
        <v>676</v>
      </c>
      <c r="C182" s="96">
        <v>8300</v>
      </c>
      <c r="D182" s="96" t="s">
        <v>736</v>
      </c>
      <c r="E182" s="96" t="s">
        <v>736</v>
      </c>
      <c r="F182" s="96" t="s">
        <v>736</v>
      </c>
      <c r="G182" s="186" t="s">
        <v>736</v>
      </c>
    </row>
    <row r="183" spans="1:7" ht="27" customHeight="1" x14ac:dyDescent="0.25">
      <c r="A183" s="95">
        <v>39262</v>
      </c>
      <c r="B183" s="96" t="s">
        <v>677</v>
      </c>
      <c r="C183" s="96">
        <v>8200</v>
      </c>
      <c r="D183" s="96" t="s">
        <v>736</v>
      </c>
      <c r="E183" s="96" t="s">
        <v>736</v>
      </c>
      <c r="F183" s="96" t="s">
        <v>736</v>
      </c>
      <c r="G183" s="186" t="s">
        <v>736</v>
      </c>
    </row>
    <row r="184" spans="1:7" ht="27" customHeight="1" x14ac:dyDescent="0.25">
      <c r="A184" s="95">
        <v>39263</v>
      </c>
      <c r="B184" s="96" t="s">
        <v>602</v>
      </c>
      <c r="C184" s="96">
        <v>7900</v>
      </c>
      <c r="D184" s="96" t="s">
        <v>824</v>
      </c>
      <c r="E184" s="96" t="s">
        <v>1668</v>
      </c>
      <c r="F184" s="96" t="s">
        <v>1061</v>
      </c>
      <c r="G184" s="186" t="s">
        <v>1682</v>
      </c>
    </row>
    <row r="185" spans="1:7" ht="27" customHeight="1" x14ac:dyDescent="0.25">
      <c r="A185" s="95">
        <v>39264</v>
      </c>
      <c r="B185" s="96" t="s">
        <v>603</v>
      </c>
      <c r="C185" s="96">
        <v>7700</v>
      </c>
      <c r="D185" s="96" t="s">
        <v>824</v>
      </c>
      <c r="E185" s="96" t="s">
        <v>1669</v>
      </c>
      <c r="F185" s="96" t="s">
        <v>1061</v>
      </c>
      <c r="G185" s="186" t="s">
        <v>1683</v>
      </c>
    </row>
    <row r="186" spans="1:7" ht="27" customHeight="1" x14ac:dyDescent="0.25">
      <c r="A186" s="95">
        <v>39265</v>
      </c>
      <c r="B186" s="96" t="s">
        <v>679</v>
      </c>
      <c r="C186" s="96">
        <v>7500</v>
      </c>
      <c r="D186" s="96" t="s">
        <v>736</v>
      </c>
      <c r="E186" s="96" t="s">
        <v>736</v>
      </c>
      <c r="F186" s="96" t="s">
        <v>736</v>
      </c>
      <c r="G186" s="186" t="s">
        <v>736</v>
      </c>
    </row>
    <row r="187" spans="1:7" ht="27" customHeight="1" x14ac:dyDescent="0.25">
      <c r="A187" s="95">
        <v>39266</v>
      </c>
      <c r="B187" s="96" t="s">
        <v>604</v>
      </c>
      <c r="C187" s="96">
        <v>7450</v>
      </c>
      <c r="D187" s="96" t="s">
        <v>736</v>
      </c>
      <c r="E187" s="96" t="s">
        <v>736</v>
      </c>
      <c r="F187" s="96" t="s">
        <v>736</v>
      </c>
      <c r="G187" s="186" t="s">
        <v>736</v>
      </c>
    </row>
    <row r="188" spans="1:7" ht="27" customHeight="1" x14ac:dyDescent="0.25">
      <c r="A188" s="95">
        <v>39267</v>
      </c>
      <c r="B188" s="96" t="s">
        <v>604</v>
      </c>
      <c r="C188" s="96">
        <v>7450</v>
      </c>
      <c r="D188" s="96" t="s">
        <v>736</v>
      </c>
      <c r="E188" s="96" t="s">
        <v>736</v>
      </c>
      <c r="F188" s="96" t="s">
        <v>736</v>
      </c>
      <c r="G188" s="186" t="s">
        <v>736</v>
      </c>
    </row>
    <row r="189" spans="1:7" ht="27" customHeight="1" x14ac:dyDescent="0.25">
      <c r="A189" s="95">
        <v>39268</v>
      </c>
      <c r="B189" s="96" t="s">
        <v>604</v>
      </c>
      <c r="C189" s="96">
        <v>7450</v>
      </c>
      <c r="D189" s="96" t="s">
        <v>736</v>
      </c>
      <c r="E189" s="96" t="s">
        <v>736</v>
      </c>
      <c r="F189" s="96" t="s">
        <v>736</v>
      </c>
      <c r="G189" s="186" t="s">
        <v>736</v>
      </c>
    </row>
    <row r="190" spans="1:7" ht="27" customHeight="1" x14ac:dyDescent="0.25">
      <c r="A190" s="95">
        <v>39269</v>
      </c>
      <c r="B190" s="96" t="s">
        <v>604</v>
      </c>
      <c r="C190" s="96">
        <v>7450</v>
      </c>
      <c r="D190" s="96" t="s">
        <v>736</v>
      </c>
      <c r="E190" s="96" t="s">
        <v>736</v>
      </c>
      <c r="F190" s="96" t="s">
        <v>736</v>
      </c>
      <c r="G190" s="186" t="s">
        <v>736</v>
      </c>
    </row>
    <row r="191" spans="1:7" ht="27" customHeight="1" x14ac:dyDescent="0.25">
      <c r="A191" s="95">
        <v>39270</v>
      </c>
      <c r="B191" s="96" t="s">
        <v>604</v>
      </c>
      <c r="C191" s="96">
        <v>7450</v>
      </c>
      <c r="D191" s="96" t="s">
        <v>736</v>
      </c>
      <c r="E191" s="96" t="s">
        <v>736</v>
      </c>
      <c r="F191" s="96" t="s">
        <v>736</v>
      </c>
      <c r="G191" s="186" t="s">
        <v>736</v>
      </c>
    </row>
    <row r="192" spans="1:7" ht="27" customHeight="1" x14ac:dyDescent="0.25">
      <c r="A192" s="95">
        <v>39271</v>
      </c>
      <c r="B192" s="96" t="s">
        <v>605</v>
      </c>
      <c r="C192" s="96">
        <v>7400</v>
      </c>
      <c r="D192" s="96" t="s">
        <v>736</v>
      </c>
      <c r="E192" s="96" t="s">
        <v>736</v>
      </c>
      <c r="F192" s="96" t="s">
        <v>736</v>
      </c>
      <c r="G192" s="186" t="s">
        <v>736</v>
      </c>
    </row>
    <row r="193" spans="1:7" ht="27" customHeight="1" x14ac:dyDescent="0.25">
      <c r="A193" s="95">
        <v>39272</v>
      </c>
      <c r="B193" s="96" t="s">
        <v>605</v>
      </c>
      <c r="C193" s="96">
        <v>7400</v>
      </c>
      <c r="D193" s="96" t="s">
        <v>1442</v>
      </c>
      <c r="E193" s="96" t="s">
        <v>1684</v>
      </c>
      <c r="F193" s="96" t="s">
        <v>415</v>
      </c>
      <c r="G193" s="186" t="s">
        <v>1693</v>
      </c>
    </row>
    <row r="194" spans="1:7" ht="27" customHeight="1" x14ac:dyDescent="0.25">
      <c r="A194" s="95">
        <v>39273</v>
      </c>
      <c r="B194" s="96" t="s">
        <v>606</v>
      </c>
      <c r="C194" s="96">
        <v>7200</v>
      </c>
      <c r="D194" s="96" t="s">
        <v>1442</v>
      </c>
      <c r="E194" s="96" t="s">
        <v>1685</v>
      </c>
      <c r="F194" s="96" t="s">
        <v>527</v>
      </c>
      <c r="G194" s="186" t="s">
        <v>1694</v>
      </c>
    </row>
    <row r="195" spans="1:7" ht="27" customHeight="1" x14ac:dyDescent="0.25">
      <c r="A195" s="95">
        <v>39274</v>
      </c>
      <c r="B195" s="96" t="s">
        <v>680</v>
      </c>
      <c r="C195" s="96">
        <v>7000</v>
      </c>
      <c r="D195" s="96" t="s">
        <v>1442</v>
      </c>
      <c r="E195" s="96" t="s">
        <v>1686</v>
      </c>
      <c r="F195" s="96" t="s">
        <v>527</v>
      </c>
      <c r="G195" s="186" t="s">
        <v>1695</v>
      </c>
    </row>
    <row r="196" spans="1:7" ht="27" customHeight="1" x14ac:dyDescent="0.25">
      <c r="A196" s="95">
        <v>39275</v>
      </c>
      <c r="B196" s="96" t="s">
        <v>650</v>
      </c>
      <c r="C196" s="96">
        <v>6900</v>
      </c>
      <c r="D196" s="96" t="s">
        <v>1442</v>
      </c>
      <c r="E196" s="96" t="s">
        <v>1687</v>
      </c>
      <c r="F196" s="96" t="s">
        <v>527</v>
      </c>
      <c r="G196" s="186" t="s">
        <v>1696</v>
      </c>
    </row>
    <row r="197" spans="1:7" ht="27" customHeight="1" x14ac:dyDescent="0.25">
      <c r="A197" s="95">
        <v>39276</v>
      </c>
      <c r="B197" s="96" t="s">
        <v>608</v>
      </c>
      <c r="C197" s="96">
        <v>6700</v>
      </c>
      <c r="D197" s="96" t="s">
        <v>736</v>
      </c>
      <c r="E197" s="96" t="s">
        <v>736</v>
      </c>
      <c r="F197" s="96" t="s">
        <v>736</v>
      </c>
      <c r="G197" s="186" t="s">
        <v>736</v>
      </c>
    </row>
    <row r="198" spans="1:7" ht="27" customHeight="1" x14ac:dyDescent="0.25">
      <c r="A198" s="95">
        <v>39277</v>
      </c>
      <c r="B198" s="96" t="s">
        <v>707</v>
      </c>
      <c r="C198" s="96">
        <v>6600</v>
      </c>
      <c r="D198" s="96" t="s">
        <v>736</v>
      </c>
      <c r="E198" s="96" t="s">
        <v>736</v>
      </c>
      <c r="F198" s="96" t="s">
        <v>736</v>
      </c>
      <c r="G198" s="186" t="s">
        <v>736</v>
      </c>
    </row>
    <row r="199" spans="1:7" ht="27" customHeight="1" x14ac:dyDescent="0.25">
      <c r="A199" s="95">
        <v>39278</v>
      </c>
      <c r="B199" s="96" t="s">
        <v>707</v>
      </c>
      <c r="C199" s="96">
        <v>6600</v>
      </c>
      <c r="D199" s="96" t="s">
        <v>736</v>
      </c>
      <c r="E199" s="96" t="s">
        <v>736</v>
      </c>
      <c r="F199" s="96" t="s">
        <v>736</v>
      </c>
      <c r="G199" s="186" t="s">
        <v>736</v>
      </c>
    </row>
    <row r="200" spans="1:7" ht="27" customHeight="1" x14ac:dyDescent="0.25">
      <c r="A200" s="95">
        <v>39279</v>
      </c>
      <c r="B200" s="96" t="s">
        <v>707</v>
      </c>
      <c r="C200" s="96">
        <v>6600</v>
      </c>
      <c r="D200" s="96" t="s">
        <v>736</v>
      </c>
      <c r="E200" s="96" t="s">
        <v>736</v>
      </c>
      <c r="F200" s="96" t="s">
        <v>736</v>
      </c>
      <c r="G200" s="186" t="s">
        <v>736</v>
      </c>
    </row>
    <row r="201" spans="1:7" ht="27" customHeight="1" x14ac:dyDescent="0.25">
      <c r="A201" s="95">
        <v>39280</v>
      </c>
      <c r="B201" s="96" t="s">
        <v>707</v>
      </c>
      <c r="C201" s="96">
        <v>6600</v>
      </c>
      <c r="D201" s="96" t="s">
        <v>736</v>
      </c>
      <c r="E201" s="96" t="s">
        <v>736</v>
      </c>
      <c r="F201" s="96" t="s">
        <v>736</v>
      </c>
      <c r="G201" s="186" t="s">
        <v>736</v>
      </c>
    </row>
    <row r="202" spans="1:7" ht="27" customHeight="1" x14ac:dyDescent="0.25">
      <c r="A202" s="95">
        <v>39281</v>
      </c>
      <c r="B202" s="96" t="s">
        <v>609</v>
      </c>
      <c r="C202" s="96">
        <v>6500</v>
      </c>
      <c r="D202" s="96" t="s">
        <v>736</v>
      </c>
      <c r="E202" s="96" t="s">
        <v>736</v>
      </c>
      <c r="F202" s="96" t="s">
        <v>736</v>
      </c>
      <c r="G202" s="186" t="s">
        <v>736</v>
      </c>
    </row>
    <row r="203" spans="1:7" ht="27" customHeight="1" x14ac:dyDescent="0.25">
      <c r="A203" s="95">
        <v>39282</v>
      </c>
      <c r="B203" s="96" t="s">
        <v>609</v>
      </c>
      <c r="C203" s="96">
        <v>6500</v>
      </c>
      <c r="D203" s="96" t="s">
        <v>736</v>
      </c>
      <c r="E203" s="96" t="s">
        <v>736</v>
      </c>
      <c r="F203" s="96" t="s">
        <v>736</v>
      </c>
      <c r="G203" s="186" t="s">
        <v>736</v>
      </c>
    </row>
    <row r="204" spans="1:7" ht="27" customHeight="1" x14ac:dyDescent="0.25">
      <c r="A204" s="95">
        <v>39283</v>
      </c>
      <c r="B204" s="96" t="s">
        <v>609</v>
      </c>
      <c r="C204" s="96">
        <v>6500</v>
      </c>
      <c r="D204" s="96" t="s">
        <v>736</v>
      </c>
      <c r="E204" s="96" t="s">
        <v>736</v>
      </c>
      <c r="F204" s="96" t="s">
        <v>736</v>
      </c>
      <c r="G204" s="186" t="s">
        <v>736</v>
      </c>
    </row>
    <row r="205" spans="1:7" ht="27" customHeight="1" x14ac:dyDescent="0.25">
      <c r="A205" s="95">
        <v>39284</v>
      </c>
      <c r="B205" s="96" t="s">
        <v>609</v>
      </c>
      <c r="C205" s="96">
        <v>6500</v>
      </c>
      <c r="D205" s="96" t="s">
        <v>736</v>
      </c>
      <c r="E205" s="96" t="s">
        <v>736</v>
      </c>
      <c r="F205" s="96" t="s">
        <v>736</v>
      </c>
      <c r="G205" s="186" t="s">
        <v>736</v>
      </c>
    </row>
    <row r="206" spans="1:7" ht="27" customHeight="1" x14ac:dyDescent="0.25">
      <c r="A206" s="95">
        <v>39285</v>
      </c>
      <c r="B206" s="96" t="s">
        <v>608</v>
      </c>
      <c r="C206" s="96">
        <v>6700</v>
      </c>
      <c r="D206" s="96" t="s">
        <v>736</v>
      </c>
      <c r="E206" s="96" t="s">
        <v>736</v>
      </c>
      <c r="F206" s="96" t="s">
        <v>736</v>
      </c>
      <c r="G206" s="186" t="s">
        <v>736</v>
      </c>
    </row>
    <row r="207" spans="1:7" ht="27" customHeight="1" x14ac:dyDescent="0.25">
      <c r="A207" s="95">
        <v>39286</v>
      </c>
      <c r="B207" s="96" t="s">
        <v>608</v>
      </c>
      <c r="C207" s="96">
        <v>6700</v>
      </c>
      <c r="D207" s="96" t="s">
        <v>736</v>
      </c>
      <c r="E207" s="96" t="s">
        <v>736</v>
      </c>
      <c r="F207" s="96" t="s">
        <v>736</v>
      </c>
      <c r="G207" s="186" t="s">
        <v>736</v>
      </c>
    </row>
    <row r="208" spans="1:7" ht="27" customHeight="1" x14ac:dyDescent="0.25">
      <c r="A208" s="95">
        <v>39287</v>
      </c>
      <c r="B208" s="96" t="s">
        <v>608</v>
      </c>
      <c r="C208" s="96">
        <v>6700</v>
      </c>
      <c r="D208" s="96" t="s">
        <v>736</v>
      </c>
      <c r="E208" s="96" t="s">
        <v>736</v>
      </c>
      <c r="F208" s="96" t="s">
        <v>736</v>
      </c>
      <c r="G208" s="186" t="s">
        <v>736</v>
      </c>
    </row>
    <row r="209" spans="1:7" ht="27" customHeight="1" x14ac:dyDescent="0.25">
      <c r="A209" s="95">
        <v>39288</v>
      </c>
      <c r="B209" s="96" t="s">
        <v>650</v>
      </c>
      <c r="C209" s="96">
        <v>6900</v>
      </c>
      <c r="D209" s="96" t="s">
        <v>736</v>
      </c>
      <c r="E209" s="96" t="s">
        <v>736</v>
      </c>
      <c r="F209" s="96" t="s">
        <v>736</v>
      </c>
      <c r="G209" s="186" t="s">
        <v>736</v>
      </c>
    </row>
    <row r="210" spans="1:7" ht="27" customHeight="1" x14ac:dyDescent="0.25">
      <c r="A210" s="95">
        <v>39289</v>
      </c>
      <c r="B210" s="96" t="s">
        <v>650</v>
      </c>
      <c r="C210" s="96">
        <v>6900</v>
      </c>
      <c r="D210" s="96" t="s">
        <v>736</v>
      </c>
      <c r="E210" s="96" t="s">
        <v>736</v>
      </c>
      <c r="F210" s="96" t="s">
        <v>736</v>
      </c>
      <c r="G210" s="186" t="s">
        <v>736</v>
      </c>
    </row>
    <row r="211" spans="1:7" ht="27" customHeight="1" x14ac:dyDescent="0.25">
      <c r="A211" s="95">
        <v>39290</v>
      </c>
      <c r="B211" s="96" t="s">
        <v>650</v>
      </c>
      <c r="C211" s="96">
        <v>6900</v>
      </c>
      <c r="D211" s="96" t="s">
        <v>736</v>
      </c>
      <c r="E211" s="96" t="s">
        <v>736</v>
      </c>
      <c r="F211" s="96" t="s">
        <v>736</v>
      </c>
      <c r="G211" s="186" t="s">
        <v>736</v>
      </c>
    </row>
    <row r="212" spans="1:7" ht="27" customHeight="1" x14ac:dyDescent="0.25">
      <c r="A212" s="95">
        <v>39291</v>
      </c>
      <c r="B212" s="96" t="s">
        <v>650</v>
      </c>
      <c r="C212" s="96">
        <v>6900</v>
      </c>
      <c r="D212" s="96" t="s">
        <v>736</v>
      </c>
      <c r="E212" s="96" t="s">
        <v>736</v>
      </c>
      <c r="F212" s="96" t="s">
        <v>736</v>
      </c>
      <c r="G212" s="186" t="s">
        <v>736</v>
      </c>
    </row>
    <row r="213" spans="1:7" ht="27" customHeight="1" x14ac:dyDescent="0.25">
      <c r="A213" s="95">
        <v>39292</v>
      </c>
      <c r="B213" s="96" t="s">
        <v>650</v>
      </c>
      <c r="C213" s="96">
        <v>6900</v>
      </c>
      <c r="D213" s="96" t="s">
        <v>736</v>
      </c>
      <c r="E213" s="96" t="s">
        <v>736</v>
      </c>
      <c r="F213" s="96" t="s">
        <v>736</v>
      </c>
      <c r="G213" s="186" t="s">
        <v>736</v>
      </c>
    </row>
    <row r="214" spans="1:7" ht="27" customHeight="1" x14ac:dyDescent="0.25">
      <c r="A214" s="95">
        <v>39293</v>
      </c>
      <c r="B214" s="96" t="s">
        <v>650</v>
      </c>
      <c r="C214" s="96">
        <v>6900</v>
      </c>
      <c r="D214" s="96" t="s">
        <v>1442</v>
      </c>
      <c r="E214" s="96" t="s">
        <v>1687</v>
      </c>
      <c r="F214" s="96" t="s">
        <v>415</v>
      </c>
      <c r="G214" s="186" t="s">
        <v>1690</v>
      </c>
    </row>
    <row r="215" spans="1:7" ht="27" customHeight="1" x14ac:dyDescent="0.25">
      <c r="A215" s="95">
        <v>39294</v>
      </c>
      <c r="B215" s="96" t="s">
        <v>608</v>
      </c>
      <c r="C215" s="96">
        <v>6700</v>
      </c>
      <c r="D215" s="96" t="s">
        <v>1442</v>
      </c>
      <c r="E215" s="96" t="s">
        <v>1688</v>
      </c>
      <c r="F215" s="96" t="s">
        <v>415</v>
      </c>
      <c r="G215" s="186" t="s">
        <v>1691</v>
      </c>
    </row>
    <row r="216" spans="1:7" ht="27" customHeight="1" x14ac:dyDescent="0.25">
      <c r="A216" s="95">
        <v>39295</v>
      </c>
      <c r="B216" s="96" t="s">
        <v>609</v>
      </c>
      <c r="C216" s="96">
        <v>6500</v>
      </c>
      <c r="D216" s="96" t="s">
        <v>415</v>
      </c>
      <c r="E216" s="96" t="s">
        <v>1689</v>
      </c>
      <c r="F216" s="96" t="s">
        <v>415</v>
      </c>
      <c r="G216" s="186" t="s">
        <v>1692</v>
      </c>
    </row>
    <row r="217" spans="1:7" ht="27" customHeight="1" x14ac:dyDescent="0.25">
      <c r="A217" s="95">
        <v>39296</v>
      </c>
      <c r="B217" s="96" t="s">
        <v>682</v>
      </c>
      <c r="C217" s="96">
        <v>6300</v>
      </c>
      <c r="D217" s="96" t="s">
        <v>415</v>
      </c>
      <c r="E217" s="96" t="s">
        <v>1697</v>
      </c>
      <c r="F217" s="96" t="s">
        <v>415</v>
      </c>
      <c r="G217" s="186" t="s">
        <v>1703</v>
      </c>
    </row>
    <row r="218" spans="1:7" ht="27" customHeight="1" x14ac:dyDescent="0.25">
      <c r="A218" s="95">
        <v>39297</v>
      </c>
      <c r="B218" s="96" t="s">
        <v>612</v>
      </c>
      <c r="C218" s="96">
        <v>6200</v>
      </c>
      <c r="D218" s="96" t="s">
        <v>415</v>
      </c>
      <c r="E218" s="96" t="s">
        <v>1698</v>
      </c>
      <c r="F218" s="96" t="s">
        <v>415</v>
      </c>
      <c r="G218" s="186" t="s">
        <v>1704</v>
      </c>
    </row>
    <row r="219" spans="1:7" ht="27" customHeight="1" x14ac:dyDescent="0.25">
      <c r="A219" s="95">
        <v>39298</v>
      </c>
      <c r="B219" s="96" t="s">
        <v>613</v>
      </c>
      <c r="C219" s="96">
        <v>6150</v>
      </c>
      <c r="D219" s="96" t="s">
        <v>415</v>
      </c>
      <c r="E219" s="96" t="s">
        <v>1699</v>
      </c>
      <c r="F219" s="96" t="s">
        <v>415</v>
      </c>
      <c r="G219" s="186" t="s">
        <v>1702</v>
      </c>
    </row>
    <row r="220" spans="1:7" ht="27" customHeight="1" x14ac:dyDescent="0.25">
      <c r="A220" s="95">
        <v>39299</v>
      </c>
      <c r="B220" s="96" t="s">
        <v>614</v>
      </c>
      <c r="C220" s="96">
        <v>6100</v>
      </c>
      <c r="D220" s="96" t="s">
        <v>415</v>
      </c>
      <c r="E220" s="96" t="s">
        <v>776</v>
      </c>
      <c r="F220" s="96" t="s">
        <v>736</v>
      </c>
      <c r="G220" s="186" t="s">
        <v>736</v>
      </c>
    </row>
    <row r="221" spans="1:7" ht="27" customHeight="1" x14ac:dyDescent="0.25">
      <c r="A221" s="95">
        <v>39300</v>
      </c>
      <c r="B221" s="96" t="s">
        <v>614</v>
      </c>
      <c r="C221" s="96">
        <v>6100</v>
      </c>
      <c r="D221" s="96" t="s">
        <v>415</v>
      </c>
      <c r="E221" s="96" t="s">
        <v>776</v>
      </c>
      <c r="F221" s="96" t="s">
        <v>736</v>
      </c>
      <c r="G221" s="186" t="s">
        <v>736</v>
      </c>
    </row>
    <row r="222" spans="1:7" ht="27" customHeight="1" x14ac:dyDescent="0.25">
      <c r="A222" s="95">
        <v>39301</v>
      </c>
      <c r="B222" s="96" t="s">
        <v>614</v>
      </c>
      <c r="C222" s="96">
        <v>6100</v>
      </c>
      <c r="D222" s="96" t="s">
        <v>736</v>
      </c>
      <c r="E222" s="96" t="s">
        <v>736</v>
      </c>
      <c r="F222" s="96" t="s">
        <v>736</v>
      </c>
      <c r="G222" s="186" t="s">
        <v>736</v>
      </c>
    </row>
    <row r="223" spans="1:7" ht="27" customHeight="1" x14ac:dyDescent="0.25">
      <c r="A223" s="95">
        <v>39302</v>
      </c>
      <c r="B223" s="96" t="s">
        <v>614</v>
      </c>
      <c r="C223" s="96">
        <v>6100</v>
      </c>
      <c r="D223" s="96" t="s">
        <v>736</v>
      </c>
      <c r="E223" s="96" t="s">
        <v>736</v>
      </c>
      <c r="F223" s="96" t="s">
        <v>736</v>
      </c>
      <c r="G223" s="186" t="s">
        <v>736</v>
      </c>
    </row>
    <row r="224" spans="1:7" ht="27" customHeight="1" x14ac:dyDescent="0.25">
      <c r="A224" s="95">
        <v>39303</v>
      </c>
      <c r="B224" s="96" t="s">
        <v>614</v>
      </c>
      <c r="C224" s="96">
        <v>6100</v>
      </c>
      <c r="D224" s="96" t="s">
        <v>736</v>
      </c>
      <c r="E224" s="96" t="s">
        <v>736</v>
      </c>
      <c r="F224" s="96" t="s">
        <v>736</v>
      </c>
      <c r="G224" s="186" t="s">
        <v>736</v>
      </c>
    </row>
    <row r="225" spans="1:7" ht="27" customHeight="1" x14ac:dyDescent="0.25">
      <c r="A225" s="95">
        <v>39304</v>
      </c>
      <c r="B225" s="96" t="s">
        <v>683</v>
      </c>
      <c r="C225" s="96">
        <v>6000</v>
      </c>
      <c r="D225" s="96" t="s">
        <v>736</v>
      </c>
      <c r="E225" s="96" t="s">
        <v>736</v>
      </c>
      <c r="F225" s="96" t="s">
        <v>736</v>
      </c>
      <c r="G225" s="186" t="s">
        <v>736</v>
      </c>
    </row>
    <row r="226" spans="1:7" ht="27" customHeight="1" x14ac:dyDescent="0.25">
      <c r="A226" s="95">
        <v>39305</v>
      </c>
      <c r="B226" s="96" t="s">
        <v>683</v>
      </c>
      <c r="C226" s="96">
        <v>6000</v>
      </c>
      <c r="D226" s="96" t="s">
        <v>415</v>
      </c>
      <c r="E226" s="96" t="s">
        <v>1700</v>
      </c>
      <c r="F226" s="96" t="s">
        <v>415</v>
      </c>
      <c r="G226" s="186" t="s">
        <v>1705</v>
      </c>
    </row>
    <row r="227" spans="1:7" ht="27" customHeight="1" x14ac:dyDescent="0.25">
      <c r="A227" s="95">
        <v>39306</v>
      </c>
      <c r="B227" s="96" t="s">
        <v>684</v>
      </c>
      <c r="C227" s="96">
        <v>5850</v>
      </c>
      <c r="D227" s="96" t="s">
        <v>736</v>
      </c>
      <c r="E227" s="96" t="s">
        <v>736</v>
      </c>
      <c r="F227" s="96" t="s">
        <v>736</v>
      </c>
      <c r="G227" s="186" t="s">
        <v>736</v>
      </c>
    </row>
    <row r="228" spans="1:7" ht="27" customHeight="1" x14ac:dyDescent="0.25">
      <c r="A228" s="95">
        <v>39307</v>
      </c>
      <c r="B228" s="96" t="s">
        <v>685</v>
      </c>
      <c r="C228" s="96">
        <v>5700</v>
      </c>
      <c r="D228" s="96" t="s">
        <v>736</v>
      </c>
      <c r="E228" s="96" t="s">
        <v>736</v>
      </c>
      <c r="F228" s="96" t="s">
        <v>736</v>
      </c>
      <c r="G228" s="186" t="s">
        <v>736</v>
      </c>
    </row>
    <row r="229" spans="1:7" ht="27" customHeight="1" x14ac:dyDescent="0.25">
      <c r="A229" s="95">
        <v>39308</v>
      </c>
      <c r="B229" s="96" t="s">
        <v>648</v>
      </c>
      <c r="C229" s="96">
        <v>5500</v>
      </c>
      <c r="D229" s="96" t="s">
        <v>736</v>
      </c>
      <c r="E229" s="96" t="s">
        <v>736</v>
      </c>
      <c r="F229" s="96" t="s">
        <v>736</v>
      </c>
      <c r="G229" s="186" t="s">
        <v>736</v>
      </c>
    </row>
    <row r="230" spans="1:7" ht="27" customHeight="1" x14ac:dyDescent="0.25">
      <c r="A230" s="95">
        <v>39309</v>
      </c>
      <c r="B230" s="96" t="s">
        <v>619</v>
      </c>
      <c r="C230" s="96">
        <v>5350</v>
      </c>
      <c r="D230" s="96" t="s">
        <v>415</v>
      </c>
      <c r="E230" s="96" t="s">
        <v>1701</v>
      </c>
      <c r="F230" s="96" t="s">
        <v>415</v>
      </c>
      <c r="G230" s="186" t="s">
        <v>1706</v>
      </c>
    </row>
    <row r="231" spans="1:7" ht="27" customHeight="1" x14ac:dyDescent="0.25">
      <c r="A231" s="95">
        <v>39310</v>
      </c>
      <c r="B231" s="96" t="s">
        <v>708</v>
      </c>
      <c r="C231" s="96">
        <v>5250</v>
      </c>
      <c r="D231" s="96" t="s">
        <v>415</v>
      </c>
      <c r="E231" s="96" t="s">
        <v>1702</v>
      </c>
      <c r="F231" s="96" t="s">
        <v>415</v>
      </c>
      <c r="G231" s="186" t="s">
        <v>1476</v>
      </c>
    </row>
    <row r="232" spans="1:7" ht="27" customHeight="1" x14ac:dyDescent="0.25">
      <c r="A232" s="95">
        <v>39311</v>
      </c>
      <c r="B232" s="96" t="s">
        <v>646</v>
      </c>
      <c r="C232" s="96">
        <v>5150</v>
      </c>
      <c r="D232" s="96" t="s">
        <v>736</v>
      </c>
      <c r="E232" s="96" t="s">
        <v>736</v>
      </c>
      <c r="F232" s="96" t="s">
        <v>736</v>
      </c>
      <c r="G232" s="186" t="s">
        <v>736</v>
      </c>
    </row>
    <row r="233" spans="1:7" ht="27" customHeight="1" x14ac:dyDescent="0.25">
      <c r="A233" s="95">
        <v>39312</v>
      </c>
      <c r="B233" s="96" t="s">
        <v>646</v>
      </c>
      <c r="C233" s="96">
        <v>5150</v>
      </c>
      <c r="D233" s="96" t="s">
        <v>736</v>
      </c>
      <c r="E233" s="96" t="s">
        <v>736</v>
      </c>
      <c r="F233" s="96" t="s">
        <v>736</v>
      </c>
      <c r="G233" s="186" t="s">
        <v>736</v>
      </c>
    </row>
    <row r="234" spans="1:7" ht="27" customHeight="1" x14ac:dyDescent="0.25">
      <c r="A234" s="95">
        <v>39313</v>
      </c>
      <c r="B234" s="96" t="s">
        <v>646</v>
      </c>
      <c r="C234" s="96">
        <v>5150</v>
      </c>
      <c r="D234" s="96" t="s">
        <v>736</v>
      </c>
      <c r="E234" s="96" t="s">
        <v>736</v>
      </c>
      <c r="F234" s="96" t="s">
        <v>736</v>
      </c>
      <c r="G234" s="186" t="s">
        <v>736</v>
      </c>
    </row>
    <row r="235" spans="1:7" ht="27" customHeight="1" x14ac:dyDescent="0.25">
      <c r="A235" s="95">
        <v>39314</v>
      </c>
      <c r="B235" s="96" t="s">
        <v>646</v>
      </c>
      <c r="C235" s="96">
        <v>5150</v>
      </c>
      <c r="D235" s="96" t="s">
        <v>736</v>
      </c>
      <c r="E235" s="96" t="s">
        <v>736</v>
      </c>
      <c r="F235" s="96" t="s">
        <v>736</v>
      </c>
      <c r="G235" s="186" t="s">
        <v>736</v>
      </c>
    </row>
    <row r="236" spans="1:7" ht="27" customHeight="1" x14ac:dyDescent="0.25">
      <c r="A236" s="95">
        <v>39315</v>
      </c>
      <c r="B236" s="96" t="s">
        <v>646</v>
      </c>
      <c r="C236" s="96">
        <v>5150</v>
      </c>
      <c r="D236" s="96" t="s">
        <v>736</v>
      </c>
      <c r="E236" s="96" t="s">
        <v>736</v>
      </c>
      <c r="F236" s="96" t="s">
        <v>736</v>
      </c>
      <c r="G236" s="186" t="s">
        <v>736</v>
      </c>
    </row>
    <row r="237" spans="1:7" ht="27" customHeight="1" x14ac:dyDescent="0.25">
      <c r="A237" s="95">
        <v>39316</v>
      </c>
      <c r="B237" s="96" t="s">
        <v>646</v>
      </c>
      <c r="C237" s="96">
        <v>5150</v>
      </c>
      <c r="D237" s="96" t="s">
        <v>736</v>
      </c>
      <c r="E237" s="96" t="s">
        <v>736</v>
      </c>
      <c r="F237" s="96" t="s">
        <v>736</v>
      </c>
      <c r="G237" s="186" t="s">
        <v>736</v>
      </c>
    </row>
    <row r="238" spans="1:7" ht="27" customHeight="1" x14ac:dyDescent="0.25">
      <c r="A238" s="95">
        <v>39317</v>
      </c>
      <c r="B238" s="96" t="s">
        <v>646</v>
      </c>
      <c r="C238" s="96">
        <v>5150</v>
      </c>
      <c r="D238" s="96" t="s">
        <v>736</v>
      </c>
      <c r="E238" s="96" t="s">
        <v>736</v>
      </c>
      <c r="F238" s="96" t="s">
        <v>736</v>
      </c>
      <c r="G238" s="186" t="s">
        <v>736</v>
      </c>
    </row>
    <row r="239" spans="1:7" ht="27" customHeight="1" x14ac:dyDescent="0.25">
      <c r="A239" s="95">
        <v>39318</v>
      </c>
      <c r="B239" s="96" t="s">
        <v>646</v>
      </c>
      <c r="C239" s="96">
        <v>5150</v>
      </c>
      <c r="D239" s="96" t="s">
        <v>736</v>
      </c>
      <c r="E239" s="96" t="s">
        <v>736</v>
      </c>
      <c r="F239" s="96" t="s">
        <v>736</v>
      </c>
      <c r="G239" s="186" t="s">
        <v>736</v>
      </c>
    </row>
    <row r="240" spans="1:7" ht="27" customHeight="1" x14ac:dyDescent="0.25">
      <c r="A240" s="95">
        <v>39319</v>
      </c>
      <c r="B240" s="96" t="s">
        <v>686</v>
      </c>
      <c r="C240" s="96">
        <v>5100</v>
      </c>
      <c r="D240" s="96" t="s">
        <v>736</v>
      </c>
      <c r="E240" s="96" t="s">
        <v>736</v>
      </c>
      <c r="F240" s="96" t="s">
        <v>736</v>
      </c>
      <c r="G240" s="186" t="s">
        <v>736</v>
      </c>
    </row>
    <row r="241" spans="1:7" ht="27" customHeight="1" x14ac:dyDescent="0.25">
      <c r="A241" s="95">
        <v>39320</v>
      </c>
      <c r="B241" s="96" t="s">
        <v>686</v>
      </c>
      <c r="C241" s="96">
        <v>5100</v>
      </c>
      <c r="D241" s="96" t="s">
        <v>736</v>
      </c>
      <c r="E241" s="96" t="s">
        <v>736</v>
      </c>
      <c r="F241" s="96" t="s">
        <v>736</v>
      </c>
      <c r="G241" s="186" t="s">
        <v>736</v>
      </c>
    </row>
    <row r="242" spans="1:7" ht="27" customHeight="1" x14ac:dyDescent="0.25">
      <c r="A242" s="95">
        <v>39321</v>
      </c>
      <c r="B242" s="96" t="s">
        <v>686</v>
      </c>
      <c r="C242" s="96">
        <v>5100</v>
      </c>
      <c r="D242" s="96" t="s">
        <v>736</v>
      </c>
      <c r="E242" s="96" t="s">
        <v>736</v>
      </c>
      <c r="F242" s="96" t="s">
        <v>736</v>
      </c>
      <c r="G242" s="186" t="s">
        <v>736</v>
      </c>
    </row>
    <row r="243" spans="1:7" ht="27" customHeight="1" x14ac:dyDescent="0.25">
      <c r="A243" s="95">
        <v>39322</v>
      </c>
      <c r="B243" s="96" t="s">
        <v>686</v>
      </c>
      <c r="C243" s="96">
        <v>5100</v>
      </c>
      <c r="D243" s="96" t="s">
        <v>736</v>
      </c>
      <c r="E243" s="96" t="s">
        <v>736</v>
      </c>
      <c r="F243" s="96" t="s">
        <v>736</v>
      </c>
      <c r="G243" s="186" t="s">
        <v>736</v>
      </c>
    </row>
    <row r="244" spans="1:7" ht="27" customHeight="1" x14ac:dyDescent="0.25">
      <c r="A244" s="95">
        <v>39323</v>
      </c>
      <c r="B244" s="96" t="s">
        <v>686</v>
      </c>
      <c r="C244" s="96">
        <v>5100</v>
      </c>
      <c r="D244" s="96" t="s">
        <v>736</v>
      </c>
      <c r="E244" s="96" t="s">
        <v>736</v>
      </c>
      <c r="F244" s="96" t="s">
        <v>736</v>
      </c>
      <c r="G244" s="186" t="s">
        <v>736</v>
      </c>
    </row>
    <row r="245" spans="1:7" ht="27" customHeight="1" x14ac:dyDescent="0.25">
      <c r="A245" s="95">
        <v>39324</v>
      </c>
      <c r="B245" s="96" t="s">
        <v>686</v>
      </c>
      <c r="C245" s="96">
        <v>5100</v>
      </c>
      <c r="D245" s="96" t="s">
        <v>736</v>
      </c>
      <c r="E245" s="96" t="s">
        <v>736</v>
      </c>
      <c r="F245" s="96" t="s">
        <v>736</v>
      </c>
      <c r="G245" s="186" t="s">
        <v>736</v>
      </c>
    </row>
    <row r="246" spans="1:7" ht="27" customHeight="1" x14ac:dyDescent="0.25">
      <c r="A246" s="95">
        <v>39325</v>
      </c>
      <c r="B246" s="96" t="s">
        <v>686</v>
      </c>
      <c r="C246" s="96">
        <v>5100</v>
      </c>
      <c r="D246" s="96" t="s">
        <v>736</v>
      </c>
      <c r="E246" s="96" t="s">
        <v>736</v>
      </c>
      <c r="F246" s="96" t="s">
        <v>736</v>
      </c>
      <c r="G246" s="186" t="s">
        <v>736</v>
      </c>
    </row>
    <row r="247" spans="1:7" ht="27" customHeight="1" x14ac:dyDescent="0.25">
      <c r="A247" s="95">
        <v>39326</v>
      </c>
      <c r="B247" s="96" t="s">
        <v>686</v>
      </c>
      <c r="C247" s="96">
        <v>5100</v>
      </c>
      <c r="D247" s="96" t="s">
        <v>736</v>
      </c>
      <c r="E247" s="96" t="s">
        <v>736</v>
      </c>
      <c r="F247" s="96" t="s">
        <v>736</v>
      </c>
      <c r="G247" s="186" t="s">
        <v>736</v>
      </c>
    </row>
    <row r="248" spans="1:7" ht="27" customHeight="1" x14ac:dyDescent="0.25">
      <c r="A248" s="95">
        <v>39327</v>
      </c>
      <c r="B248" s="96" t="s">
        <v>686</v>
      </c>
      <c r="C248" s="96">
        <v>5100</v>
      </c>
      <c r="D248" s="96" t="s">
        <v>736</v>
      </c>
      <c r="E248" s="96" t="s">
        <v>736</v>
      </c>
      <c r="F248" s="96" t="s">
        <v>736</v>
      </c>
      <c r="G248" s="186" t="s">
        <v>736</v>
      </c>
    </row>
    <row r="249" spans="1:7" ht="27" customHeight="1" x14ac:dyDescent="0.25">
      <c r="A249" s="95">
        <v>39328</v>
      </c>
      <c r="B249" s="96" t="s">
        <v>686</v>
      </c>
      <c r="C249" s="96">
        <v>5100</v>
      </c>
      <c r="D249" s="96" t="s">
        <v>736</v>
      </c>
      <c r="E249" s="96" t="s">
        <v>736</v>
      </c>
      <c r="F249" s="96" t="s">
        <v>736</v>
      </c>
      <c r="G249" s="186" t="s">
        <v>736</v>
      </c>
    </row>
    <row r="250" spans="1:7" ht="27" customHeight="1" x14ac:dyDescent="0.25">
      <c r="A250" s="95">
        <v>39329</v>
      </c>
      <c r="B250" s="96" t="s">
        <v>686</v>
      </c>
      <c r="C250" s="96">
        <v>5100</v>
      </c>
      <c r="D250" s="96" t="s">
        <v>736</v>
      </c>
      <c r="E250" s="96" t="s">
        <v>736</v>
      </c>
      <c r="F250" s="96" t="s">
        <v>736</v>
      </c>
      <c r="G250" s="186" t="s">
        <v>736</v>
      </c>
    </row>
    <row r="251" spans="1:7" ht="27" customHeight="1" x14ac:dyDescent="0.25">
      <c r="A251" s="95">
        <v>39330</v>
      </c>
      <c r="B251" s="96" t="s">
        <v>686</v>
      </c>
      <c r="C251" s="96">
        <v>5100</v>
      </c>
      <c r="D251" s="96" t="s">
        <v>736</v>
      </c>
      <c r="E251" s="96" t="s">
        <v>736</v>
      </c>
      <c r="F251" s="96" t="s">
        <v>736</v>
      </c>
      <c r="G251" s="186" t="s">
        <v>736</v>
      </c>
    </row>
    <row r="252" spans="1:7" ht="27" customHeight="1" x14ac:dyDescent="0.25">
      <c r="A252" s="95">
        <v>39331</v>
      </c>
      <c r="B252" s="96" t="s">
        <v>622</v>
      </c>
      <c r="C252" s="96">
        <v>5050</v>
      </c>
      <c r="D252" s="96" t="s">
        <v>736</v>
      </c>
      <c r="E252" s="96" t="s">
        <v>736</v>
      </c>
      <c r="F252" s="96" t="s">
        <v>736</v>
      </c>
      <c r="G252" s="186" t="s">
        <v>736</v>
      </c>
    </row>
    <row r="253" spans="1:7" ht="27" customHeight="1" x14ac:dyDescent="0.25">
      <c r="A253" s="95">
        <v>39332</v>
      </c>
      <c r="B253" s="96" t="s">
        <v>622</v>
      </c>
      <c r="C253" s="96">
        <v>5050</v>
      </c>
      <c r="D253" s="96" t="s">
        <v>736</v>
      </c>
      <c r="E253" s="96" t="s">
        <v>736</v>
      </c>
      <c r="F253" s="96" t="s">
        <v>736</v>
      </c>
      <c r="G253" s="186" t="s">
        <v>736</v>
      </c>
    </row>
    <row r="254" spans="1:7" ht="27" customHeight="1" x14ac:dyDescent="0.25">
      <c r="A254" s="95">
        <v>39333</v>
      </c>
      <c r="B254" s="96" t="s">
        <v>622</v>
      </c>
      <c r="C254" s="96">
        <v>5050</v>
      </c>
      <c r="D254" s="96" t="s">
        <v>736</v>
      </c>
      <c r="E254" s="96" t="s">
        <v>736</v>
      </c>
      <c r="F254" s="96" t="s">
        <v>736</v>
      </c>
      <c r="G254" s="186" t="s">
        <v>736</v>
      </c>
    </row>
    <row r="255" spans="1:7" ht="27" customHeight="1" x14ac:dyDescent="0.25">
      <c r="A255" s="95">
        <v>39334</v>
      </c>
      <c r="B255" s="96" t="s">
        <v>646</v>
      </c>
      <c r="C255" s="96">
        <v>5150</v>
      </c>
      <c r="D255" s="96" t="s">
        <v>736</v>
      </c>
      <c r="E255" s="96" t="s">
        <v>736</v>
      </c>
      <c r="F255" s="96" t="s">
        <v>736</v>
      </c>
      <c r="G255" s="186" t="s">
        <v>736</v>
      </c>
    </row>
    <row r="256" spans="1:7" ht="27" customHeight="1" x14ac:dyDescent="0.25">
      <c r="A256" s="95">
        <v>39335</v>
      </c>
      <c r="B256" s="96" t="s">
        <v>646</v>
      </c>
      <c r="C256" s="96">
        <v>5150</v>
      </c>
      <c r="D256" s="96" t="s">
        <v>736</v>
      </c>
      <c r="E256" s="96" t="s">
        <v>736</v>
      </c>
      <c r="F256" s="96" t="s">
        <v>736</v>
      </c>
      <c r="G256" s="186" t="s">
        <v>736</v>
      </c>
    </row>
    <row r="257" spans="1:7" ht="27" customHeight="1" x14ac:dyDescent="0.25">
      <c r="A257" s="95">
        <v>39336</v>
      </c>
      <c r="B257" s="96" t="s">
        <v>646</v>
      </c>
      <c r="C257" s="96">
        <v>5150</v>
      </c>
      <c r="D257" s="96" t="s">
        <v>736</v>
      </c>
      <c r="E257" s="96" t="s">
        <v>736</v>
      </c>
      <c r="F257" s="96" t="s">
        <v>736</v>
      </c>
      <c r="G257" s="186" t="s">
        <v>736</v>
      </c>
    </row>
    <row r="258" spans="1:7" ht="27" customHeight="1" x14ac:dyDescent="0.25">
      <c r="A258" s="95">
        <v>39337</v>
      </c>
      <c r="B258" s="96" t="s">
        <v>646</v>
      </c>
      <c r="C258" s="96">
        <v>5150</v>
      </c>
      <c r="D258" s="96" t="s">
        <v>736</v>
      </c>
      <c r="E258" s="96" t="s">
        <v>736</v>
      </c>
      <c r="F258" s="96" t="s">
        <v>736</v>
      </c>
      <c r="G258" s="186" t="s">
        <v>736</v>
      </c>
    </row>
    <row r="259" spans="1:7" ht="27" customHeight="1" x14ac:dyDescent="0.25">
      <c r="A259" s="95">
        <v>39338</v>
      </c>
      <c r="B259" s="96" t="s">
        <v>646</v>
      </c>
      <c r="C259" s="96">
        <v>5150</v>
      </c>
      <c r="D259" s="96" t="s">
        <v>736</v>
      </c>
      <c r="E259" s="96" t="s">
        <v>736</v>
      </c>
      <c r="F259" s="96" t="s">
        <v>736</v>
      </c>
      <c r="G259" s="186" t="s">
        <v>736</v>
      </c>
    </row>
    <row r="260" spans="1:7" ht="27" customHeight="1" x14ac:dyDescent="0.25">
      <c r="A260" s="95">
        <v>39339</v>
      </c>
      <c r="B260" s="96" t="s">
        <v>646</v>
      </c>
      <c r="C260" s="96">
        <v>5150</v>
      </c>
      <c r="D260" s="96" t="s">
        <v>736</v>
      </c>
      <c r="E260" s="96" t="s">
        <v>736</v>
      </c>
      <c r="F260" s="96" t="s">
        <v>736</v>
      </c>
      <c r="G260" s="186" t="s">
        <v>736</v>
      </c>
    </row>
    <row r="261" spans="1:7" ht="27" customHeight="1" x14ac:dyDescent="0.25">
      <c r="A261" s="95">
        <v>39340</v>
      </c>
      <c r="B261" s="96" t="s">
        <v>646</v>
      </c>
      <c r="C261" s="96">
        <v>5150</v>
      </c>
      <c r="D261" s="96" t="s">
        <v>736</v>
      </c>
      <c r="E261" s="96" t="s">
        <v>736</v>
      </c>
      <c r="F261" s="96" t="s">
        <v>736</v>
      </c>
      <c r="G261" s="186" t="s">
        <v>736</v>
      </c>
    </row>
    <row r="262" spans="1:7" ht="27" customHeight="1" x14ac:dyDescent="0.25">
      <c r="A262" s="95">
        <v>39341</v>
      </c>
      <c r="B262" s="96" t="s">
        <v>686</v>
      </c>
      <c r="C262" s="96">
        <v>5100</v>
      </c>
      <c r="D262" s="96" t="s">
        <v>736</v>
      </c>
      <c r="E262" s="96" t="s">
        <v>736</v>
      </c>
      <c r="F262" s="96" t="s">
        <v>736</v>
      </c>
      <c r="G262" s="186" t="s">
        <v>736</v>
      </c>
    </row>
    <row r="263" spans="1:7" ht="27" customHeight="1" x14ac:dyDescent="0.25">
      <c r="A263" s="95">
        <v>39342</v>
      </c>
      <c r="B263" s="96" t="s">
        <v>686</v>
      </c>
      <c r="C263" s="96">
        <v>5100</v>
      </c>
      <c r="D263" s="96" t="s">
        <v>736</v>
      </c>
      <c r="E263" s="96" t="s">
        <v>736</v>
      </c>
      <c r="F263" s="96" t="s">
        <v>736</v>
      </c>
      <c r="G263" s="186" t="s">
        <v>736</v>
      </c>
    </row>
    <row r="264" spans="1:7" ht="27" customHeight="1" x14ac:dyDescent="0.25">
      <c r="A264" s="95">
        <v>39343</v>
      </c>
      <c r="B264" s="96" t="s">
        <v>686</v>
      </c>
      <c r="C264" s="96">
        <v>5100</v>
      </c>
      <c r="D264" s="96" t="s">
        <v>736</v>
      </c>
      <c r="E264" s="96" t="s">
        <v>736</v>
      </c>
      <c r="F264" s="96" t="s">
        <v>736</v>
      </c>
      <c r="G264" s="186" t="s">
        <v>736</v>
      </c>
    </row>
    <row r="265" spans="1:7" ht="27" customHeight="1" x14ac:dyDescent="0.25">
      <c r="A265" s="95">
        <v>39344</v>
      </c>
      <c r="B265" s="96" t="s">
        <v>686</v>
      </c>
      <c r="C265" s="96">
        <v>5100</v>
      </c>
      <c r="D265" s="96" t="s">
        <v>736</v>
      </c>
      <c r="E265" s="96" t="s">
        <v>736</v>
      </c>
      <c r="F265" s="96" t="s">
        <v>736</v>
      </c>
      <c r="G265" s="186" t="s">
        <v>736</v>
      </c>
    </row>
    <row r="266" spans="1:7" ht="27" customHeight="1" x14ac:dyDescent="0.25">
      <c r="A266" s="95">
        <v>39345</v>
      </c>
      <c r="B266" s="96" t="s">
        <v>686</v>
      </c>
      <c r="C266" s="96">
        <v>5100</v>
      </c>
      <c r="D266" s="96" t="s">
        <v>736</v>
      </c>
      <c r="E266" s="96" t="s">
        <v>736</v>
      </c>
      <c r="F266" s="96" t="s">
        <v>736</v>
      </c>
      <c r="G266" s="186" t="s">
        <v>736</v>
      </c>
    </row>
    <row r="267" spans="1:7" ht="27" customHeight="1" x14ac:dyDescent="0.25">
      <c r="A267" s="95">
        <v>39346</v>
      </c>
      <c r="B267" s="96" t="s">
        <v>686</v>
      </c>
      <c r="C267" s="96">
        <v>5100</v>
      </c>
      <c r="D267" s="96" t="s">
        <v>736</v>
      </c>
      <c r="E267" s="96" t="s">
        <v>736</v>
      </c>
      <c r="F267" s="96" t="s">
        <v>736</v>
      </c>
      <c r="G267" s="186" t="s">
        <v>736</v>
      </c>
    </row>
    <row r="268" spans="1:7" ht="27" customHeight="1" x14ac:dyDescent="0.25">
      <c r="A268" s="95">
        <v>39347</v>
      </c>
      <c r="B268" s="96" t="s">
        <v>686</v>
      </c>
      <c r="C268" s="96">
        <v>5100</v>
      </c>
      <c r="D268" s="96" t="s">
        <v>736</v>
      </c>
      <c r="E268" s="96" t="s">
        <v>736</v>
      </c>
      <c r="F268" s="96" t="s">
        <v>736</v>
      </c>
      <c r="G268" s="186" t="s">
        <v>736</v>
      </c>
    </row>
    <row r="269" spans="1:7" ht="27" customHeight="1" x14ac:dyDescent="0.25">
      <c r="A269" s="95">
        <v>39348</v>
      </c>
      <c r="B269" s="96" t="s">
        <v>686</v>
      </c>
      <c r="C269" s="96">
        <v>5100</v>
      </c>
      <c r="D269" s="96" t="s">
        <v>736</v>
      </c>
      <c r="E269" s="96" t="s">
        <v>736</v>
      </c>
      <c r="F269" s="96" t="s">
        <v>736</v>
      </c>
      <c r="G269" s="186" t="s">
        <v>736</v>
      </c>
    </row>
    <row r="270" spans="1:7" ht="27" customHeight="1" x14ac:dyDescent="0.25">
      <c r="A270" s="95">
        <v>39349</v>
      </c>
      <c r="B270" s="96" t="s">
        <v>686</v>
      </c>
      <c r="C270" s="96">
        <v>5100</v>
      </c>
      <c r="D270" s="96" t="s">
        <v>736</v>
      </c>
      <c r="E270" s="96" t="s">
        <v>736</v>
      </c>
      <c r="F270" s="96" t="s">
        <v>736</v>
      </c>
      <c r="G270" s="186" t="s">
        <v>736</v>
      </c>
    </row>
    <row r="271" spans="1:7" ht="27" customHeight="1" x14ac:dyDescent="0.25">
      <c r="A271" s="95">
        <v>39350</v>
      </c>
      <c r="B271" s="96" t="s">
        <v>686</v>
      </c>
      <c r="C271" s="96">
        <v>5100</v>
      </c>
      <c r="D271" s="96" t="s">
        <v>736</v>
      </c>
      <c r="E271" s="96" t="s">
        <v>736</v>
      </c>
      <c r="F271" s="96" t="s">
        <v>736</v>
      </c>
      <c r="G271" s="186" t="s">
        <v>736</v>
      </c>
    </row>
    <row r="272" spans="1:7" ht="27" customHeight="1" x14ac:dyDescent="0.25">
      <c r="A272" s="95">
        <v>39351</v>
      </c>
      <c r="B272" s="96" t="s">
        <v>686</v>
      </c>
      <c r="C272" s="96">
        <v>5100</v>
      </c>
      <c r="D272" s="96" t="s">
        <v>736</v>
      </c>
      <c r="E272" s="96" t="s">
        <v>736</v>
      </c>
      <c r="F272" s="96" t="s">
        <v>736</v>
      </c>
      <c r="G272" s="186" t="s">
        <v>736</v>
      </c>
    </row>
    <row r="273" spans="1:7" ht="27" customHeight="1" x14ac:dyDescent="0.25">
      <c r="A273" s="95">
        <v>39352</v>
      </c>
      <c r="B273" s="96" t="s">
        <v>622</v>
      </c>
      <c r="C273" s="96">
        <v>5050</v>
      </c>
      <c r="D273" s="96" t="s">
        <v>736</v>
      </c>
      <c r="E273" s="96" t="s">
        <v>736</v>
      </c>
      <c r="F273" s="96" t="s">
        <v>736</v>
      </c>
      <c r="G273" s="186" t="s">
        <v>736</v>
      </c>
    </row>
    <row r="274" spans="1:7" ht="27" customHeight="1" x14ac:dyDescent="0.25">
      <c r="A274" s="95">
        <v>39353</v>
      </c>
      <c r="B274" s="96" t="s">
        <v>622</v>
      </c>
      <c r="C274" s="96">
        <v>5050</v>
      </c>
      <c r="D274" s="96" t="s">
        <v>736</v>
      </c>
      <c r="E274" s="96" t="s">
        <v>736</v>
      </c>
      <c r="F274" s="96" t="s">
        <v>736</v>
      </c>
      <c r="G274" s="186" t="s">
        <v>736</v>
      </c>
    </row>
    <row r="275" spans="1:7" ht="27" customHeight="1" x14ac:dyDescent="0.25">
      <c r="A275" s="95">
        <v>39354</v>
      </c>
      <c r="B275" s="96" t="s">
        <v>622</v>
      </c>
      <c r="C275" s="96">
        <v>5050</v>
      </c>
      <c r="D275" s="96" t="s">
        <v>736</v>
      </c>
      <c r="E275" s="96" t="s">
        <v>736</v>
      </c>
      <c r="F275" s="96" t="s">
        <v>736</v>
      </c>
      <c r="G275" s="186" t="s">
        <v>736</v>
      </c>
    </row>
    <row r="276" spans="1:7" ht="27" customHeight="1" x14ac:dyDescent="0.25">
      <c r="A276" s="95">
        <v>39355</v>
      </c>
      <c r="B276" s="96" t="s">
        <v>645</v>
      </c>
      <c r="C276" s="96">
        <v>5000</v>
      </c>
      <c r="D276" s="96" t="s">
        <v>736</v>
      </c>
      <c r="E276" s="96" t="s">
        <v>736</v>
      </c>
      <c r="F276" s="96" t="s">
        <v>736</v>
      </c>
      <c r="G276" s="186" t="s">
        <v>736</v>
      </c>
    </row>
    <row r="277" spans="1:7" ht="27" customHeight="1" x14ac:dyDescent="0.25">
      <c r="A277" s="95">
        <v>39356</v>
      </c>
      <c r="B277" s="96" t="s">
        <v>645</v>
      </c>
      <c r="C277" s="96">
        <v>5000</v>
      </c>
      <c r="D277" s="96" t="s">
        <v>736</v>
      </c>
      <c r="E277" s="96" t="s">
        <v>736</v>
      </c>
      <c r="F277" s="96" t="s">
        <v>736</v>
      </c>
      <c r="G277" s="186" t="s">
        <v>736</v>
      </c>
    </row>
    <row r="278" spans="1:7" ht="27" customHeight="1" x14ac:dyDescent="0.25">
      <c r="A278" s="95">
        <v>39357</v>
      </c>
      <c r="B278" s="96" t="s">
        <v>687</v>
      </c>
      <c r="C278" s="96">
        <v>4900</v>
      </c>
      <c r="D278" s="96" t="s">
        <v>736</v>
      </c>
      <c r="E278" s="96" t="s">
        <v>736</v>
      </c>
      <c r="F278" s="96" t="s">
        <v>736</v>
      </c>
      <c r="G278" s="186" t="s">
        <v>736</v>
      </c>
    </row>
    <row r="279" spans="1:7" ht="27" customHeight="1" x14ac:dyDescent="0.25">
      <c r="A279" s="95">
        <v>39358</v>
      </c>
      <c r="B279" s="96" t="s">
        <v>687</v>
      </c>
      <c r="C279" s="96">
        <v>4900</v>
      </c>
      <c r="D279" s="96" t="s">
        <v>736</v>
      </c>
      <c r="E279" s="96" t="s">
        <v>736</v>
      </c>
      <c r="F279" s="96" t="s">
        <v>736</v>
      </c>
      <c r="G279" s="186" t="s">
        <v>736</v>
      </c>
    </row>
    <row r="280" spans="1:7" ht="27" customHeight="1" x14ac:dyDescent="0.25">
      <c r="A280" s="95">
        <v>39359</v>
      </c>
      <c r="B280" s="96" t="s">
        <v>687</v>
      </c>
      <c r="C280" s="96">
        <v>4900</v>
      </c>
      <c r="D280" s="96" t="s">
        <v>736</v>
      </c>
      <c r="E280" s="96" t="s">
        <v>736</v>
      </c>
      <c r="F280" s="96" t="s">
        <v>736</v>
      </c>
      <c r="G280" s="186" t="s">
        <v>736</v>
      </c>
    </row>
    <row r="281" spans="1:7" ht="27" customHeight="1" x14ac:dyDescent="0.25">
      <c r="A281" s="95">
        <v>39360</v>
      </c>
      <c r="B281" s="96" t="s">
        <v>687</v>
      </c>
      <c r="C281" s="96">
        <v>4900</v>
      </c>
      <c r="D281" s="96" t="s">
        <v>736</v>
      </c>
      <c r="E281" s="96" t="s">
        <v>736</v>
      </c>
      <c r="F281" s="96" t="s">
        <v>736</v>
      </c>
      <c r="G281" s="186" t="s">
        <v>736</v>
      </c>
    </row>
    <row r="282" spans="1:7" ht="27" customHeight="1" x14ac:dyDescent="0.25">
      <c r="A282" s="95">
        <v>39361</v>
      </c>
      <c r="B282" s="96" t="s">
        <v>687</v>
      </c>
      <c r="C282" s="96">
        <v>4900</v>
      </c>
      <c r="D282" s="96" t="s">
        <v>736</v>
      </c>
      <c r="E282" s="96" t="s">
        <v>736</v>
      </c>
      <c r="F282" s="96" t="s">
        <v>736</v>
      </c>
      <c r="G282" s="186" t="s">
        <v>736</v>
      </c>
    </row>
    <row r="283" spans="1:7" ht="27" customHeight="1" x14ac:dyDescent="0.25">
      <c r="A283" s="95">
        <v>39362</v>
      </c>
      <c r="B283" s="96" t="s">
        <v>687</v>
      </c>
      <c r="C283" s="96">
        <v>4900</v>
      </c>
      <c r="D283" s="96" t="s">
        <v>736</v>
      </c>
      <c r="E283" s="96" t="s">
        <v>736</v>
      </c>
      <c r="F283" s="96" t="s">
        <v>736</v>
      </c>
      <c r="G283" s="186" t="s">
        <v>736</v>
      </c>
    </row>
    <row r="284" spans="1:7" ht="27" customHeight="1" x14ac:dyDescent="0.25">
      <c r="A284" s="95">
        <v>39363</v>
      </c>
      <c r="B284" s="96" t="s">
        <v>687</v>
      </c>
      <c r="C284" s="96">
        <v>4900</v>
      </c>
      <c r="D284" s="96" t="s">
        <v>736</v>
      </c>
      <c r="E284" s="96" t="s">
        <v>736</v>
      </c>
      <c r="F284" s="96" t="s">
        <v>736</v>
      </c>
      <c r="G284" s="186" t="s">
        <v>736</v>
      </c>
    </row>
    <row r="285" spans="1:7" ht="27" customHeight="1" x14ac:dyDescent="0.25">
      <c r="A285" s="95">
        <v>39364</v>
      </c>
      <c r="B285" s="96" t="s">
        <v>687</v>
      </c>
      <c r="C285" s="96">
        <v>4900</v>
      </c>
      <c r="D285" s="96" t="s">
        <v>736</v>
      </c>
      <c r="E285" s="96" t="s">
        <v>736</v>
      </c>
      <c r="F285" s="96" t="s">
        <v>736</v>
      </c>
      <c r="G285" s="186" t="s">
        <v>736</v>
      </c>
    </row>
    <row r="286" spans="1:7" ht="27" customHeight="1" x14ac:dyDescent="0.25">
      <c r="A286" s="95">
        <v>39365</v>
      </c>
      <c r="B286" s="96" t="s">
        <v>687</v>
      </c>
      <c r="C286" s="96">
        <v>4900</v>
      </c>
      <c r="D286" s="96" t="s">
        <v>736</v>
      </c>
      <c r="E286" s="96" t="s">
        <v>736</v>
      </c>
      <c r="F286" s="96" t="s">
        <v>736</v>
      </c>
      <c r="G286" s="186" t="s">
        <v>736</v>
      </c>
    </row>
    <row r="287" spans="1:7" ht="27" customHeight="1" x14ac:dyDescent="0.25">
      <c r="A287" s="95">
        <v>39366</v>
      </c>
      <c r="B287" s="96" t="s">
        <v>687</v>
      </c>
      <c r="C287" s="96">
        <v>4900</v>
      </c>
      <c r="D287" s="96" t="s">
        <v>736</v>
      </c>
      <c r="E287" s="96" t="s">
        <v>736</v>
      </c>
      <c r="F287" s="96" t="s">
        <v>736</v>
      </c>
      <c r="G287" s="186" t="s">
        <v>736</v>
      </c>
    </row>
    <row r="288" spans="1:7" ht="27" customHeight="1" x14ac:dyDescent="0.25">
      <c r="A288" s="95">
        <v>39367</v>
      </c>
      <c r="B288" s="96" t="s">
        <v>687</v>
      </c>
      <c r="C288" s="96">
        <v>4900</v>
      </c>
      <c r="D288" s="96" t="s">
        <v>736</v>
      </c>
      <c r="E288" s="96" t="s">
        <v>736</v>
      </c>
      <c r="F288" s="96" t="s">
        <v>736</v>
      </c>
      <c r="G288" s="186" t="s">
        <v>736</v>
      </c>
    </row>
    <row r="289" spans="1:7" ht="27" customHeight="1" x14ac:dyDescent="0.25">
      <c r="A289" s="95">
        <v>39368</v>
      </c>
      <c r="B289" s="96" t="s">
        <v>687</v>
      </c>
      <c r="C289" s="96">
        <v>4900</v>
      </c>
      <c r="D289" s="96" t="s">
        <v>736</v>
      </c>
      <c r="E289" s="96" t="s">
        <v>736</v>
      </c>
      <c r="F289" s="96" t="s">
        <v>736</v>
      </c>
      <c r="G289" s="186" t="s">
        <v>736</v>
      </c>
    </row>
    <row r="290" spans="1:7" ht="27" customHeight="1" x14ac:dyDescent="0.25">
      <c r="A290" s="95">
        <v>39369</v>
      </c>
      <c r="B290" s="96" t="s">
        <v>645</v>
      </c>
      <c r="C290" s="96">
        <v>5000</v>
      </c>
      <c r="D290" s="96" t="s">
        <v>736</v>
      </c>
      <c r="E290" s="96" t="s">
        <v>736</v>
      </c>
      <c r="F290" s="96" t="s">
        <v>736</v>
      </c>
      <c r="G290" s="186" t="s">
        <v>736</v>
      </c>
    </row>
    <row r="291" spans="1:7" ht="27" customHeight="1" x14ac:dyDescent="0.25">
      <c r="A291" s="95">
        <v>39370</v>
      </c>
      <c r="B291" s="96" t="s">
        <v>622</v>
      </c>
      <c r="C291" s="96">
        <v>5050</v>
      </c>
      <c r="D291" s="96" t="s">
        <v>736</v>
      </c>
      <c r="E291" s="96" t="s">
        <v>736</v>
      </c>
      <c r="F291" s="96" t="s">
        <v>736</v>
      </c>
      <c r="G291" s="186" t="s">
        <v>736</v>
      </c>
    </row>
    <row r="292" spans="1:7" ht="27" customHeight="1" x14ac:dyDescent="0.25">
      <c r="A292" s="95">
        <v>39371</v>
      </c>
      <c r="B292" s="96" t="s">
        <v>622</v>
      </c>
      <c r="C292" s="96">
        <v>5050</v>
      </c>
      <c r="D292" s="96" t="s">
        <v>736</v>
      </c>
      <c r="E292" s="96" t="s">
        <v>736</v>
      </c>
      <c r="F292" s="96" t="s">
        <v>736</v>
      </c>
      <c r="G292" s="186" t="s">
        <v>736</v>
      </c>
    </row>
    <row r="293" spans="1:7" ht="27" customHeight="1" x14ac:dyDescent="0.25">
      <c r="A293" s="95">
        <v>39372</v>
      </c>
      <c r="B293" s="96" t="s">
        <v>686</v>
      </c>
      <c r="C293" s="96">
        <v>5100</v>
      </c>
      <c r="D293" s="96" t="s">
        <v>736</v>
      </c>
      <c r="E293" s="96" t="s">
        <v>736</v>
      </c>
      <c r="F293" s="96" t="s">
        <v>736</v>
      </c>
      <c r="G293" s="186" t="s">
        <v>736</v>
      </c>
    </row>
    <row r="294" spans="1:7" ht="27" customHeight="1" x14ac:dyDescent="0.25">
      <c r="A294" s="95">
        <v>39373</v>
      </c>
      <c r="B294" s="96" t="s">
        <v>686</v>
      </c>
      <c r="C294" s="96">
        <v>5100</v>
      </c>
      <c r="D294" s="96" t="s">
        <v>736</v>
      </c>
      <c r="E294" s="96" t="s">
        <v>736</v>
      </c>
      <c r="F294" s="96" t="s">
        <v>736</v>
      </c>
      <c r="G294" s="186" t="s">
        <v>736</v>
      </c>
    </row>
    <row r="295" spans="1:7" ht="27" customHeight="1" x14ac:dyDescent="0.25">
      <c r="A295" s="95">
        <v>39374</v>
      </c>
      <c r="B295" s="96" t="s">
        <v>612</v>
      </c>
      <c r="C295" s="96">
        <v>6200</v>
      </c>
      <c r="D295" s="96" t="s">
        <v>736</v>
      </c>
      <c r="E295" s="96" t="s">
        <v>736</v>
      </c>
      <c r="F295" s="96" t="s">
        <v>736</v>
      </c>
      <c r="G295" s="186" t="s">
        <v>736</v>
      </c>
    </row>
    <row r="296" spans="1:7" ht="27" customHeight="1" x14ac:dyDescent="0.25">
      <c r="A296" s="95">
        <v>39375</v>
      </c>
      <c r="B296" s="96" t="s">
        <v>612</v>
      </c>
      <c r="C296" s="96">
        <v>6200</v>
      </c>
      <c r="D296" s="96" t="s">
        <v>736</v>
      </c>
      <c r="E296" s="96" t="s">
        <v>736</v>
      </c>
      <c r="F296" s="96" t="s">
        <v>736</v>
      </c>
      <c r="G296" s="186" t="s">
        <v>736</v>
      </c>
    </row>
    <row r="297" spans="1:7" ht="27" customHeight="1" x14ac:dyDescent="0.25">
      <c r="A297" s="95">
        <v>39376</v>
      </c>
      <c r="B297" s="96" t="s">
        <v>612</v>
      </c>
      <c r="C297" s="96">
        <v>6200</v>
      </c>
      <c r="D297" s="96" t="s">
        <v>736</v>
      </c>
      <c r="E297" s="96" t="s">
        <v>736</v>
      </c>
      <c r="F297" s="96" t="s">
        <v>736</v>
      </c>
      <c r="G297" s="186" t="s">
        <v>736</v>
      </c>
    </row>
    <row r="298" spans="1:7" ht="27" customHeight="1" x14ac:dyDescent="0.25">
      <c r="A298" s="95">
        <v>39377</v>
      </c>
      <c r="B298" s="96" t="s">
        <v>612</v>
      </c>
      <c r="C298" s="96">
        <v>6200</v>
      </c>
      <c r="D298" s="96" t="s">
        <v>736</v>
      </c>
      <c r="E298" s="96" t="s">
        <v>736</v>
      </c>
      <c r="F298" s="96" t="s">
        <v>736</v>
      </c>
      <c r="G298" s="186" t="s">
        <v>736</v>
      </c>
    </row>
    <row r="299" spans="1:7" ht="27" customHeight="1" x14ac:dyDescent="0.25">
      <c r="A299" s="95">
        <v>39378</v>
      </c>
      <c r="B299" s="96" t="s">
        <v>612</v>
      </c>
      <c r="C299" s="96">
        <v>6200</v>
      </c>
      <c r="D299" s="96" t="s">
        <v>736</v>
      </c>
      <c r="E299" s="96" t="s">
        <v>736</v>
      </c>
      <c r="F299" s="96" t="s">
        <v>736</v>
      </c>
      <c r="G299" s="186" t="s">
        <v>736</v>
      </c>
    </row>
    <row r="300" spans="1:7" ht="27" customHeight="1" x14ac:dyDescent="0.25">
      <c r="A300" s="95">
        <v>39379</v>
      </c>
      <c r="B300" s="96" t="s">
        <v>680</v>
      </c>
      <c r="C300" s="96">
        <v>7000</v>
      </c>
      <c r="D300" s="96" t="s">
        <v>736</v>
      </c>
      <c r="E300" s="96" t="s">
        <v>736</v>
      </c>
      <c r="F300" s="96" t="s">
        <v>736</v>
      </c>
      <c r="G300" s="186" t="s">
        <v>736</v>
      </c>
    </row>
    <row r="301" spans="1:7" ht="27" customHeight="1" x14ac:dyDescent="0.25">
      <c r="A301" s="95">
        <v>39380</v>
      </c>
      <c r="B301" s="96" t="s">
        <v>680</v>
      </c>
      <c r="C301" s="96">
        <v>7000</v>
      </c>
      <c r="D301" s="96" t="s">
        <v>736</v>
      </c>
      <c r="E301" s="96" t="s">
        <v>736</v>
      </c>
      <c r="F301" s="96" t="s">
        <v>736</v>
      </c>
      <c r="G301" s="186" t="s">
        <v>736</v>
      </c>
    </row>
    <row r="302" spans="1:7" ht="27" customHeight="1" x14ac:dyDescent="0.25">
      <c r="A302" s="95">
        <v>39381</v>
      </c>
      <c r="B302" s="96" t="s">
        <v>602</v>
      </c>
      <c r="C302" s="96">
        <v>7400</v>
      </c>
      <c r="D302" s="96" t="s">
        <v>736</v>
      </c>
      <c r="E302" s="96" t="s">
        <v>736</v>
      </c>
      <c r="F302" s="96" t="s">
        <v>736</v>
      </c>
      <c r="G302" s="186" t="s">
        <v>736</v>
      </c>
    </row>
    <row r="303" spans="1:7" ht="27" customHeight="1" x14ac:dyDescent="0.25">
      <c r="A303" s="95">
        <v>39382</v>
      </c>
      <c r="B303" s="96" t="s">
        <v>655</v>
      </c>
      <c r="C303" s="96">
        <v>9100</v>
      </c>
      <c r="D303" s="96" t="s">
        <v>736</v>
      </c>
      <c r="E303" s="96" t="s">
        <v>736</v>
      </c>
      <c r="F303" s="96" t="s">
        <v>736</v>
      </c>
      <c r="G303" s="186" t="s">
        <v>736</v>
      </c>
    </row>
    <row r="304" spans="1:7" ht="27" customHeight="1" x14ac:dyDescent="0.25">
      <c r="A304" s="95">
        <v>39383</v>
      </c>
      <c r="B304" s="96" t="s">
        <v>655</v>
      </c>
      <c r="C304" s="96">
        <v>9100</v>
      </c>
      <c r="D304" s="96" t="s">
        <v>736</v>
      </c>
      <c r="E304" s="96" t="s">
        <v>736</v>
      </c>
      <c r="F304" s="96" t="s">
        <v>736</v>
      </c>
      <c r="G304" s="186" t="s">
        <v>736</v>
      </c>
    </row>
    <row r="305" spans="1:7" ht="27" customHeight="1" x14ac:dyDescent="0.25">
      <c r="A305" s="95">
        <v>39384</v>
      </c>
      <c r="B305" s="96" t="s">
        <v>666</v>
      </c>
      <c r="C305" s="96">
        <v>9600</v>
      </c>
      <c r="D305" s="96" t="s">
        <v>736</v>
      </c>
      <c r="E305" s="96" t="s">
        <v>736</v>
      </c>
      <c r="F305" s="96" t="s">
        <v>736</v>
      </c>
      <c r="G305" s="186" t="s">
        <v>736</v>
      </c>
    </row>
    <row r="306" spans="1:7" ht="27" customHeight="1" x14ac:dyDescent="0.25">
      <c r="A306" s="95">
        <v>39385</v>
      </c>
      <c r="B306" s="96" t="s">
        <v>592</v>
      </c>
      <c r="C306" s="96">
        <v>10200</v>
      </c>
      <c r="D306" s="96" t="s">
        <v>736</v>
      </c>
      <c r="E306" s="96" t="s">
        <v>736</v>
      </c>
      <c r="F306" s="96" t="s">
        <v>736</v>
      </c>
      <c r="G306" s="186" t="s">
        <v>736</v>
      </c>
    </row>
    <row r="307" spans="1:7" ht="27" customHeight="1" x14ac:dyDescent="0.25">
      <c r="A307" s="95">
        <v>39386</v>
      </c>
      <c r="B307" s="96" t="s">
        <v>664</v>
      </c>
      <c r="C307" s="96">
        <v>10500</v>
      </c>
      <c r="D307" s="96" t="s">
        <v>736</v>
      </c>
      <c r="E307" s="96" t="s">
        <v>736</v>
      </c>
      <c r="F307" s="96" t="s">
        <v>736</v>
      </c>
      <c r="G307" s="186" t="s">
        <v>736</v>
      </c>
    </row>
    <row r="308" spans="1:7" ht="27" customHeight="1" x14ac:dyDescent="0.25">
      <c r="A308" s="95">
        <v>39387</v>
      </c>
      <c r="B308" s="96" t="s">
        <v>589</v>
      </c>
      <c r="C308" s="96">
        <v>10800</v>
      </c>
      <c r="D308" s="96" t="s">
        <v>736</v>
      </c>
      <c r="E308" s="96" t="s">
        <v>736</v>
      </c>
      <c r="F308" s="96" t="s">
        <v>736</v>
      </c>
      <c r="G308" s="186" t="s">
        <v>736</v>
      </c>
    </row>
    <row r="309" spans="1:7" ht="27" customHeight="1" x14ac:dyDescent="0.25">
      <c r="A309" s="95">
        <v>39388</v>
      </c>
      <c r="B309" s="96" t="s">
        <v>589</v>
      </c>
      <c r="C309" s="96">
        <v>11000</v>
      </c>
      <c r="D309" s="96" t="s">
        <v>736</v>
      </c>
      <c r="E309" s="96" t="s">
        <v>736</v>
      </c>
      <c r="F309" s="96" t="s">
        <v>736</v>
      </c>
      <c r="G309" s="186" t="s">
        <v>736</v>
      </c>
    </row>
    <row r="310" spans="1:7" ht="27" customHeight="1" x14ac:dyDescent="0.25">
      <c r="A310" s="95">
        <v>39389</v>
      </c>
      <c r="B310" s="96" t="s">
        <v>588</v>
      </c>
      <c r="C310" s="96">
        <v>11100</v>
      </c>
      <c r="D310" s="96" t="s">
        <v>736</v>
      </c>
      <c r="E310" s="96" t="s">
        <v>736</v>
      </c>
      <c r="F310" s="96" t="s">
        <v>736</v>
      </c>
      <c r="G310" s="186" t="s">
        <v>736</v>
      </c>
    </row>
    <row r="311" spans="1:7" ht="27" customHeight="1" x14ac:dyDescent="0.25">
      <c r="A311" s="95">
        <v>39390</v>
      </c>
      <c r="B311" s="96" t="s">
        <v>660</v>
      </c>
      <c r="C311" s="96">
        <v>11200</v>
      </c>
      <c r="D311" s="96" t="s">
        <v>824</v>
      </c>
      <c r="E311" s="96" t="s">
        <v>1707</v>
      </c>
      <c r="F311" s="96" t="s">
        <v>824</v>
      </c>
      <c r="G311" s="186" t="s">
        <v>1723</v>
      </c>
    </row>
    <row r="312" spans="1:7" ht="27" customHeight="1" x14ac:dyDescent="0.25">
      <c r="A312" s="95">
        <v>39391</v>
      </c>
      <c r="B312" s="96" t="s">
        <v>587</v>
      </c>
      <c r="C312" s="96">
        <v>11300</v>
      </c>
      <c r="D312" s="96" t="s">
        <v>824</v>
      </c>
      <c r="E312" s="96" t="s">
        <v>1708</v>
      </c>
      <c r="F312" s="96" t="s">
        <v>824</v>
      </c>
      <c r="G312" s="186" t="s">
        <v>1724</v>
      </c>
    </row>
    <row r="313" spans="1:7" ht="27" customHeight="1" x14ac:dyDescent="0.25">
      <c r="A313" s="95">
        <v>39392</v>
      </c>
      <c r="B313" s="96" t="s">
        <v>660</v>
      </c>
      <c r="C313" s="96">
        <v>11200</v>
      </c>
      <c r="D313" s="96" t="s">
        <v>824</v>
      </c>
      <c r="E313" s="96" t="s">
        <v>1707</v>
      </c>
      <c r="F313" s="96" t="s">
        <v>824</v>
      </c>
      <c r="G313" s="186" t="s">
        <v>1723</v>
      </c>
    </row>
    <row r="314" spans="1:7" ht="27" customHeight="1" x14ac:dyDescent="0.25">
      <c r="A314" s="95">
        <v>39393</v>
      </c>
      <c r="B314" s="96" t="s">
        <v>709</v>
      </c>
      <c r="C314" s="96">
        <v>11100</v>
      </c>
      <c r="D314" s="96" t="s">
        <v>824</v>
      </c>
      <c r="E314" s="96" t="s">
        <v>1709</v>
      </c>
      <c r="F314" s="96" t="s">
        <v>1249</v>
      </c>
      <c r="G314" s="186" t="s">
        <v>1603</v>
      </c>
    </row>
    <row r="315" spans="1:7" ht="27" customHeight="1" x14ac:dyDescent="0.25">
      <c r="A315" s="95">
        <v>39394</v>
      </c>
      <c r="B315" s="96" t="s">
        <v>588</v>
      </c>
      <c r="C315" s="96">
        <v>11100</v>
      </c>
      <c r="D315" s="96" t="s">
        <v>824</v>
      </c>
      <c r="E315" s="96" t="s">
        <v>1709</v>
      </c>
      <c r="F315" s="96" t="s">
        <v>1249</v>
      </c>
      <c r="G315" s="186" t="s">
        <v>1603</v>
      </c>
    </row>
    <row r="316" spans="1:7" ht="27" customHeight="1" x14ac:dyDescent="0.25">
      <c r="A316" s="95">
        <v>39395</v>
      </c>
      <c r="B316" s="96" t="s">
        <v>660</v>
      </c>
      <c r="C316" s="96">
        <v>11200</v>
      </c>
      <c r="D316" s="96" t="s">
        <v>824</v>
      </c>
      <c r="E316" s="96" t="s">
        <v>1707</v>
      </c>
      <c r="F316" s="96" t="s">
        <v>1249</v>
      </c>
      <c r="G316" s="186" t="s">
        <v>1662</v>
      </c>
    </row>
    <row r="317" spans="1:7" ht="27" customHeight="1" x14ac:dyDescent="0.25">
      <c r="A317" s="95">
        <v>39396</v>
      </c>
      <c r="B317" s="96" t="s">
        <v>660</v>
      </c>
      <c r="C317" s="96">
        <v>11200</v>
      </c>
      <c r="D317" s="96" t="s">
        <v>824</v>
      </c>
      <c r="E317" s="96" t="s">
        <v>1707</v>
      </c>
      <c r="F317" s="96" t="s">
        <v>1249</v>
      </c>
      <c r="G317" s="186" t="s">
        <v>1662</v>
      </c>
    </row>
    <row r="318" spans="1:7" ht="27" customHeight="1" x14ac:dyDescent="0.25">
      <c r="A318" s="95">
        <v>39397</v>
      </c>
      <c r="B318" s="96" t="s">
        <v>588</v>
      </c>
      <c r="C318" s="96">
        <v>11100</v>
      </c>
      <c r="D318" s="96" t="s">
        <v>824</v>
      </c>
      <c r="E318" s="96" t="s">
        <v>1709</v>
      </c>
      <c r="F318" s="96" t="s">
        <v>1249</v>
      </c>
      <c r="G318" s="186" t="s">
        <v>1603</v>
      </c>
    </row>
    <row r="319" spans="1:7" ht="27" customHeight="1" x14ac:dyDescent="0.25">
      <c r="A319" s="95">
        <v>39398</v>
      </c>
      <c r="B319" s="96" t="s">
        <v>588</v>
      </c>
      <c r="C319" s="96">
        <v>11100</v>
      </c>
      <c r="D319" s="96" t="s">
        <v>1060</v>
      </c>
      <c r="E319" s="96" t="s">
        <v>1710</v>
      </c>
      <c r="F319" s="96" t="s">
        <v>1249</v>
      </c>
      <c r="G319" s="186" t="s">
        <v>1603</v>
      </c>
    </row>
    <row r="320" spans="1:7" ht="27" customHeight="1" x14ac:dyDescent="0.25">
      <c r="A320" s="95">
        <v>39399</v>
      </c>
      <c r="B320" s="96" t="s">
        <v>590</v>
      </c>
      <c r="C320" s="96">
        <v>10600</v>
      </c>
      <c r="D320" s="96" t="s">
        <v>1060</v>
      </c>
      <c r="E320" s="96" t="s">
        <v>1711</v>
      </c>
      <c r="F320" s="96" t="s">
        <v>1249</v>
      </c>
      <c r="G320" s="186" t="s">
        <v>1725</v>
      </c>
    </row>
    <row r="321" spans="1:7" ht="27" customHeight="1" x14ac:dyDescent="0.25">
      <c r="A321" s="95">
        <v>39400</v>
      </c>
      <c r="B321" s="96" t="s">
        <v>591</v>
      </c>
      <c r="C321" s="96">
        <v>10400</v>
      </c>
      <c r="D321" s="96" t="s">
        <v>1383</v>
      </c>
      <c r="E321" s="96" t="s">
        <v>1712</v>
      </c>
      <c r="F321" s="96" t="s">
        <v>1249</v>
      </c>
      <c r="G321" s="186" t="s">
        <v>1726</v>
      </c>
    </row>
    <row r="322" spans="1:7" ht="27" customHeight="1" x14ac:dyDescent="0.25">
      <c r="A322" s="95">
        <v>39401</v>
      </c>
      <c r="B322" s="96" t="s">
        <v>665</v>
      </c>
      <c r="C322" s="96">
        <v>10300</v>
      </c>
      <c r="D322" s="96" t="s">
        <v>1383</v>
      </c>
      <c r="E322" s="96" t="s">
        <v>1713</v>
      </c>
      <c r="F322" s="96" t="s">
        <v>1249</v>
      </c>
      <c r="G322" s="186" t="s">
        <v>1670</v>
      </c>
    </row>
    <row r="323" spans="1:7" ht="27" customHeight="1" x14ac:dyDescent="0.25">
      <c r="A323" s="95">
        <v>39402</v>
      </c>
      <c r="B323" s="96" t="s">
        <v>665</v>
      </c>
      <c r="C323" s="96">
        <v>10300</v>
      </c>
      <c r="D323" s="96" t="s">
        <v>736</v>
      </c>
      <c r="E323" s="96" t="s">
        <v>736</v>
      </c>
      <c r="F323" s="96" t="s">
        <v>736</v>
      </c>
      <c r="G323" s="186" t="s">
        <v>736</v>
      </c>
    </row>
    <row r="324" spans="1:7" ht="27" customHeight="1" x14ac:dyDescent="0.25">
      <c r="A324" s="95">
        <v>39403</v>
      </c>
      <c r="B324" s="96" t="s">
        <v>665</v>
      </c>
      <c r="C324" s="96">
        <v>10300</v>
      </c>
      <c r="D324" s="96" t="s">
        <v>736</v>
      </c>
      <c r="E324" s="96" t="s">
        <v>736</v>
      </c>
      <c r="F324" s="96" t="s">
        <v>736</v>
      </c>
      <c r="G324" s="186" t="s">
        <v>736</v>
      </c>
    </row>
    <row r="325" spans="1:7" ht="27" customHeight="1" x14ac:dyDescent="0.25">
      <c r="A325" s="95">
        <v>39404</v>
      </c>
      <c r="B325" s="96" t="s">
        <v>665</v>
      </c>
      <c r="C325" s="96">
        <v>10300</v>
      </c>
      <c r="D325" s="96" t="s">
        <v>736</v>
      </c>
      <c r="E325" s="96" t="s">
        <v>736</v>
      </c>
      <c r="F325" s="96" t="s">
        <v>736</v>
      </c>
      <c r="G325" s="186" t="s">
        <v>736</v>
      </c>
    </row>
    <row r="326" spans="1:7" ht="27" customHeight="1" x14ac:dyDescent="0.25">
      <c r="A326" s="95">
        <v>39405</v>
      </c>
      <c r="B326" s="96" t="s">
        <v>665</v>
      </c>
      <c r="C326" s="96">
        <v>10300</v>
      </c>
      <c r="D326" s="96" t="s">
        <v>736</v>
      </c>
      <c r="E326" s="96" t="s">
        <v>736</v>
      </c>
      <c r="F326" s="96" t="s">
        <v>736</v>
      </c>
      <c r="G326" s="186" t="s">
        <v>736</v>
      </c>
    </row>
    <row r="327" spans="1:7" ht="27" customHeight="1" x14ac:dyDescent="0.25">
      <c r="A327" s="95">
        <v>39406</v>
      </c>
      <c r="B327" s="96" t="s">
        <v>665</v>
      </c>
      <c r="C327" s="96">
        <v>10300</v>
      </c>
      <c r="D327" s="96" t="s">
        <v>736</v>
      </c>
      <c r="E327" s="96" t="s">
        <v>736</v>
      </c>
      <c r="F327" s="96" t="s">
        <v>736</v>
      </c>
      <c r="G327" s="186" t="s">
        <v>736</v>
      </c>
    </row>
    <row r="328" spans="1:7" ht="27" customHeight="1" x14ac:dyDescent="0.25">
      <c r="A328" s="95">
        <v>39407</v>
      </c>
      <c r="B328" s="96" t="s">
        <v>665</v>
      </c>
      <c r="C328" s="96">
        <v>10300</v>
      </c>
      <c r="D328" s="96" t="s">
        <v>1060</v>
      </c>
      <c r="E328" s="96" t="s">
        <v>1714</v>
      </c>
      <c r="F328" s="96" t="s">
        <v>1249</v>
      </c>
      <c r="G328" s="186" t="s">
        <v>1727</v>
      </c>
    </row>
    <row r="329" spans="1:7" ht="27" customHeight="1" x14ac:dyDescent="0.25">
      <c r="A329" s="95">
        <v>39408</v>
      </c>
      <c r="B329" s="96" t="s">
        <v>593</v>
      </c>
      <c r="C329" s="96">
        <v>10100</v>
      </c>
      <c r="D329" s="96" t="s">
        <v>1060</v>
      </c>
      <c r="E329" s="96" t="s">
        <v>1715</v>
      </c>
      <c r="F329" s="96" t="s">
        <v>1249</v>
      </c>
      <c r="G329" s="186" t="s">
        <v>1728</v>
      </c>
    </row>
    <row r="330" spans="1:7" ht="27" customHeight="1" x14ac:dyDescent="0.25">
      <c r="A330" s="95">
        <v>39409</v>
      </c>
      <c r="B330" s="96" t="s">
        <v>710</v>
      </c>
      <c r="C330" s="96">
        <v>9900</v>
      </c>
      <c r="D330" s="96" t="s">
        <v>1060</v>
      </c>
      <c r="E330" s="96" t="s">
        <v>1684</v>
      </c>
      <c r="F330" s="96" t="s">
        <v>1249</v>
      </c>
      <c r="G330" s="186" t="s">
        <v>1729</v>
      </c>
    </row>
    <row r="331" spans="1:7" ht="27" customHeight="1" x14ac:dyDescent="0.25">
      <c r="A331" s="95">
        <v>39410</v>
      </c>
      <c r="B331" s="96" t="s">
        <v>711</v>
      </c>
      <c r="C331" s="96">
        <v>9700</v>
      </c>
      <c r="D331" s="96" t="s">
        <v>1060</v>
      </c>
      <c r="E331" s="96" t="s">
        <v>1716</v>
      </c>
      <c r="F331" s="96" t="s">
        <v>1249</v>
      </c>
      <c r="G331" s="186" t="s">
        <v>1730</v>
      </c>
    </row>
    <row r="332" spans="1:7" ht="27" customHeight="1" x14ac:dyDescent="0.25">
      <c r="A332" s="95">
        <v>39411</v>
      </c>
      <c r="B332" s="96" t="s">
        <v>658</v>
      </c>
      <c r="C332" s="96">
        <v>9500</v>
      </c>
      <c r="D332" s="96" t="s">
        <v>1060</v>
      </c>
      <c r="E332" s="96" t="s">
        <v>1663</v>
      </c>
      <c r="F332" s="96" t="s">
        <v>1249</v>
      </c>
      <c r="G332" s="186" t="s">
        <v>1731</v>
      </c>
    </row>
    <row r="333" spans="1:7" ht="27" customHeight="1" x14ac:dyDescent="0.25">
      <c r="A333" s="95">
        <v>39412</v>
      </c>
      <c r="B333" s="96" t="s">
        <v>656</v>
      </c>
      <c r="C333" s="96">
        <v>9300</v>
      </c>
      <c r="D333" s="96" t="s">
        <v>1060</v>
      </c>
      <c r="E333" s="96" t="s">
        <v>1717</v>
      </c>
      <c r="F333" s="96" t="s">
        <v>1249</v>
      </c>
      <c r="G333" s="186" t="s">
        <v>1732</v>
      </c>
    </row>
    <row r="334" spans="1:7" ht="27" customHeight="1" x14ac:dyDescent="0.25">
      <c r="A334" s="95">
        <v>39413</v>
      </c>
      <c r="B334" s="96" t="s">
        <v>655</v>
      </c>
      <c r="C334" s="96">
        <v>9100</v>
      </c>
      <c r="D334" s="96" t="s">
        <v>1060</v>
      </c>
      <c r="E334" s="96" t="s">
        <v>1718</v>
      </c>
      <c r="F334" s="96" t="s">
        <v>1249</v>
      </c>
      <c r="G334" s="186" t="s">
        <v>1733</v>
      </c>
    </row>
    <row r="335" spans="1:7" ht="27" customHeight="1" x14ac:dyDescent="0.25">
      <c r="A335" s="95">
        <v>39414</v>
      </c>
      <c r="B335" s="96" t="s">
        <v>654</v>
      </c>
      <c r="C335" s="96">
        <v>8900</v>
      </c>
      <c r="D335" s="96" t="s">
        <v>1060</v>
      </c>
      <c r="E335" s="96" t="s">
        <v>1719</v>
      </c>
      <c r="F335" s="96" t="s">
        <v>1249</v>
      </c>
      <c r="G335" s="186" t="s">
        <v>1734</v>
      </c>
    </row>
    <row r="336" spans="1:7" ht="27" customHeight="1" x14ac:dyDescent="0.25">
      <c r="A336" s="95">
        <v>39415</v>
      </c>
      <c r="B336" s="96" t="s">
        <v>712</v>
      </c>
      <c r="C336" s="96">
        <v>8900</v>
      </c>
      <c r="D336" s="96" t="s">
        <v>1383</v>
      </c>
      <c r="E336" s="96" t="s">
        <v>1720</v>
      </c>
      <c r="F336" s="96" t="s">
        <v>736</v>
      </c>
      <c r="G336" s="186" t="s">
        <v>736</v>
      </c>
    </row>
    <row r="337" spans="1:7" ht="27" customHeight="1" x14ac:dyDescent="0.25">
      <c r="A337" s="95">
        <v>39416</v>
      </c>
      <c r="B337" s="96" t="s">
        <v>597</v>
      </c>
      <c r="C337" s="96">
        <v>9000</v>
      </c>
      <c r="D337" s="96" t="s">
        <v>1383</v>
      </c>
      <c r="E337" s="96" t="s">
        <v>1721</v>
      </c>
      <c r="F337" s="96" t="s">
        <v>736</v>
      </c>
      <c r="G337" s="186" t="s">
        <v>736</v>
      </c>
    </row>
    <row r="338" spans="1:7" ht="27" customHeight="1" x14ac:dyDescent="0.25">
      <c r="A338" s="95">
        <v>39417</v>
      </c>
      <c r="B338" s="96" t="s">
        <v>596</v>
      </c>
      <c r="C338" s="96">
        <v>9200</v>
      </c>
      <c r="D338" s="96" t="s">
        <v>1383</v>
      </c>
      <c r="E338" s="96" t="s">
        <v>1722</v>
      </c>
      <c r="F338" s="96" t="s">
        <v>736</v>
      </c>
      <c r="G338" s="186" t="s">
        <v>736</v>
      </c>
    </row>
    <row r="339" spans="1:7" ht="27" customHeight="1" x14ac:dyDescent="0.25">
      <c r="A339" s="95">
        <v>39418</v>
      </c>
      <c r="B339" s="96" t="s">
        <v>596</v>
      </c>
      <c r="C339" s="96">
        <v>9200</v>
      </c>
      <c r="D339" s="96"/>
      <c r="E339" s="96" t="s">
        <v>736</v>
      </c>
      <c r="F339" s="96" t="s">
        <v>736</v>
      </c>
      <c r="G339" s="186" t="s">
        <v>736</v>
      </c>
    </row>
    <row r="340" spans="1:7" ht="27" customHeight="1" x14ac:dyDescent="0.25">
      <c r="A340" s="95">
        <v>39419</v>
      </c>
      <c r="B340" s="96" t="s">
        <v>596</v>
      </c>
      <c r="C340" s="96">
        <v>9200</v>
      </c>
      <c r="D340" s="96"/>
      <c r="E340" s="96" t="s">
        <v>736</v>
      </c>
      <c r="F340" s="96" t="s">
        <v>736</v>
      </c>
      <c r="G340" s="186" t="s">
        <v>736</v>
      </c>
    </row>
    <row r="341" spans="1:7" ht="27" customHeight="1" x14ac:dyDescent="0.25">
      <c r="A341" s="95">
        <v>39420</v>
      </c>
      <c r="B341" s="96" t="s">
        <v>596</v>
      </c>
      <c r="C341" s="96">
        <v>9200</v>
      </c>
      <c r="D341" s="96"/>
      <c r="E341" s="96" t="s">
        <v>736</v>
      </c>
      <c r="F341" s="96" t="s">
        <v>736</v>
      </c>
      <c r="G341" s="186" t="s">
        <v>736</v>
      </c>
    </row>
    <row r="342" spans="1:7" ht="27" customHeight="1" x14ac:dyDescent="0.25">
      <c r="A342" s="95">
        <v>39421</v>
      </c>
      <c r="B342" s="96" t="s">
        <v>596</v>
      </c>
      <c r="C342" s="96">
        <v>9200</v>
      </c>
      <c r="D342" s="96"/>
      <c r="E342" s="96" t="s">
        <v>736</v>
      </c>
      <c r="F342" s="96" t="s">
        <v>1249</v>
      </c>
      <c r="G342" s="186" t="s">
        <v>1676</v>
      </c>
    </row>
    <row r="343" spans="1:7" ht="27" customHeight="1" x14ac:dyDescent="0.25">
      <c r="A343" s="95">
        <v>39422</v>
      </c>
      <c r="B343" s="96" t="s">
        <v>596</v>
      </c>
      <c r="C343" s="96">
        <v>9200</v>
      </c>
      <c r="D343" s="96"/>
      <c r="E343" s="96" t="s">
        <v>736</v>
      </c>
      <c r="F343" s="96" t="s">
        <v>1249</v>
      </c>
      <c r="G343" s="186" t="s">
        <v>1676</v>
      </c>
    </row>
    <row r="344" spans="1:7" ht="27" customHeight="1" x14ac:dyDescent="0.25">
      <c r="A344" s="95">
        <v>39423</v>
      </c>
      <c r="B344" s="96" t="s">
        <v>655</v>
      </c>
      <c r="C344" s="96">
        <v>9100</v>
      </c>
      <c r="D344" s="96" t="s">
        <v>1060</v>
      </c>
      <c r="E344" s="96" t="s">
        <v>1718</v>
      </c>
      <c r="F344" s="96" t="s">
        <v>1249</v>
      </c>
      <c r="G344" s="186" t="s">
        <v>1733</v>
      </c>
    </row>
    <row r="345" spans="1:7" ht="27" customHeight="1" x14ac:dyDescent="0.25">
      <c r="A345" s="95">
        <v>39424</v>
      </c>
      <c r="B345" s="96" t="s">
        <v>597</v>
      </c>
      <c r="C345" s="96">
        <v>9000</v>
      </c>
      <c r="D345" s="96" t="s">
        <v>1060</v>
      </c>
      <c r="E345" s="96" t="s">
        <v>1735</v>
      </c>
      <c r="F345" s="96" t="s">
        <v>1249</v>
      </c>
      <c r="G345" s="186" t="s">
        <v>1741</v>
      </c>
    </row>
    <row r="346" spans="1:7" ht="27" customHeight="1" x14ac:dyDescent="0.25">
      <c r="A346" s="95">
        <v>39425</v>
      </c>
      <c r="B346" s="96" t="s">
        <v>695</v>
      </c>
      <c r="C346" s="96">
        <v>8800</v>
      </c>
      <c r="D346" s="96" t="s">
        <v>1060</v>
      </c>
      <c r="E346" s="96" t="s">
        <v>1736</v>
      </c>
      <c r="F346" s="96" t="s">
        <v>1249</v>
      </c>
      <c r="G346" s="186" t="s">
        <v>1742</v>
      </c>
    </row>
    <row r="347" spans="1:7" ht="27" customHeight="1" x14ac:dyDescent="0.25">
      <c r="A347" s="95">
        <v>39426</v>
      </c>
      <c r="B347" s="96" t="s">
        <v>598</v>
      </c>
      <c r="C347" s="96">
        <v>8600</v>
      </c>
      <c r="D347" s="96" t="s">
        <v>1060</v>
      </c>
      <c r="E347" s="96" t="s">
        <v>1737</v>
      </c>
      <c r="F347" s="96" t="s">
        <v>1249</v>
      </c>
      <c r="G347" s="186" t="s">
        <v>1743</v>
      </c>
    </row>
    <row r="348" spans="1:7" ht="27" customHeight="1" x14ac:dyDescent="0.25">
      <c r="A348" s="95">
        <v>39427</v>
      </c>
      <c r="B348" s="96" t="s">
        <v>599</v>
      </c>
      <c r="C348" s="96">
        <v>8400</v>
      </c>
      <c r="D348" s="96" t="s">
        <v>1060</v>
      </c>
      <c r="E348" s="96" t="s">
        <v>1738</v>
      </c>
      <c r="F348" s="96" t="s">
        <v>1249</v>
      </c>
      <c r="G348" s="186" t="s">
        <v>1684</v>
      </c>
    </row>
    <row r="349" spans="1:7" ht="27" customHeight="1" x14ac:dyDescent="0.25">
      <c r="A349" s="95">
        <v>39428</v>
      </c>
      <c r="B349" s="96" t="s">
        <v>599</v>
      </c>
      <c r="C349" s="96">
        <v>8400</v>
      </c>
      <c r="D349" s="96" t="s">
        <v>1060</v>
      </c>
      <c r="E349" s="96" t="s">
        <v>1739</v>
      </c>
      <c r="F349" s="96" t="s">
        <v>417</v>
      </c>
      <c r="G349" s="186" t="s">
        <v>1744</v>
      </c>
    </row>
    <row r="350" spans="1:7" ht="27" customHeight="1" x14ac:dyDescent="0.25">
      <c r="A350" s="95">
        <v>39429</v>
      </c>
      <c r="B350" s="96" t="s">
        <v>652</v>
      </c>
      <c r="C350" s="96">
        <v>7800</v>
      </c>
      <c r="D350" s="96" t="s">
        <v>1060</v>
      </c>
      <c r="E350" s="96" t="s">
        <v>1740</v>
      </c>
      <c r="F350" s="96" t="s">
        <v>417</v>
      </c>
      <c r="G350" s="186" t="s">
        <v>1745</v>
      </c>
    </row>
    <row r="351" spans="1:7" ht="27" customHeight="1" x14ac:dyDescent="0.25">
      <c r="A351" s="95">
        <v>39430</v>
      </c>
      <c r="B351" s="96" t="s">
        <v>602</v>
      </c>
      <c r="C351" s="96">
        <v>7900</v>
      </c>
      <c r="D351" s="96" t="s">
        <v>736</v>
      </c>
      <c r="E351" s="96" t="s">
        <v>736</v>
      </c>
      <c r="F351" s="96" t="s">
        <v>736</v>
      </c>
      <c r="G351" s="186" t="s">
        <v>736</v>
      </c>
    </row>
    <row r="352" spans="1:7" ht="27" customHeight="1" x14ac:dyDescent="0.25">
      <c r="A352" s="95">
        <v>39431</v>
      </c>
      <c r="B352" s="96" t="s">
        <v>601</v>
      </c>
      <c r="C352" s="96">
        <v>8100</v>
      </c>
      <c r="D352" s="96" t="s">
        <v>736</v>
      </c>
      <c r="E352" s="96" t="s">
        <v>736</v>
      </c>
      <c r="F352" s="96" t="s">
        <v>736</v>
      </c>
      <c r="G352" s="186" t="s">
        <v>736</v>
      </c>
    </row>
    <row r="353" spans="1:7" ht="27" customHeight="1" x14ac:dyDescent="0.25">
      <c r="A353" s="95">
        <v>39432</v>
      </c>
      <c r="B353" s="96" t="s">
        <v>695</v>
      </c>
      <c r="C353" s="96">
        <v>8800</v>
      </c>
      <c r="D353" s="96" t="s">
        <v>736</v>
      </c>
      <c r="E353" s="96" t="s">
        <v>736</v>
      </c>
      <c r="F353" s="96" t="s">
        <v>736</v>
      </c>
      <c r="G353" s="186" t="s">
        <v>736</v>
      </c>
    </row>
    <row r="354" spans="1:7" ht="27" customHeight="1" x14ac:dyDescent="0.25">
      <c r="A354" s="95">
        <v>39433</v>
      </c>
      <c r="B354" s="96" t="s">
        <v>666</v>
      </c>
      <c r="C354" s="96">
        <v>9600</v>
      </c>
      <c r="D354" s="96" t="s">
        <v>736</v>
      </c>
      <c r="E354" s="96" t="s">
        <v>736</v>
      </c>
      <c r="F354" s="96" t="s">
        <v>736</v>
      </c>
      <c r="G354" s="186" t="s">
        <v>736</v>
      </c>
    </row>
    <row r="355" spans="1:7" ht="27" customHeight="1" x14ac:dyDescent="0.25">
      <c r="A355" s="95">
        <v>39434</v>
      </c>
      <c r="B355" s="96" t="s">
        <v>592</v>
      </c>
      <c r="C355" s="96">
        <v>10200</v>
      </c>
      <c r="D355" s="96" t="s">
        <v>736</v>
      </c>
      <c r="E355" s="96" t="s">
        <v>736</v>
      </c>
      <c r="F355" s="96" t="s">
        <v>736</v>
      </c>
      <c r="G355" s="186" t="s">
        <v>736</v>
      </c>
    </row>
    <row r="356" spans="1:7" ht="27" customHeight="1" x14ac:dyDescent="0.25">
      <c r="A356" s="95">
        <v>39435</v>
      </c>
      <c r="B356" s="96" t="s">
        <v>589</v>
      </c>
      <c r="C356" s="96">
        <v>10800</v>
      </c>
      <c r="D356" s="96" t="s">
        <v>736</v>
      </c>
      <c r="E356" s="96" t="s">
        <v>736</v>
      </c>
      <c r="F356" s="96" t="s">
        <v>736</v>
      </c>
      <c r="G356" s="186" t="s">
        <v>736</v>
      </c>
    </row>
    <row r="357" spans="1:7" ht="27" customHeight="1" x14ac:dyDescent="0.25">
      <c r="A357" s="95">
        <v>39436</v>
      </c>
      <c r="B357" s="96" t="s">
        <v>579</v>
      </c>
      <c r="C357" s="96">
        <v>13700</v>
      </c>
      <c r="D357" s="96" t="s">
        <v>736</v>
      </c>
      <c r="E357" s="96" t="s">
        <v>736</v>
      </c>
      <c r="F357" s="96" t="s">
        <v>736</v>
      </c>
      <c r="G357" s="186" t="s">
        <v>736</v>
      </c>
    </row>
    <row r="358" spans="1:7" ht="27" customHeight="1" x14ac:dyDescent="0.25">
      <c r="A358" s="95">
        <v>39437</v>
      </c>
      <c r="B358" s="96" t="s">
        <v>670</v>
      </c>
      <c r="C358" s="96">
        <v>15400</v>
      </c>
      <c r="D358" s="96" t="s">
        <v>736</v>
      </c>
      <c r="E358" s="96" t="s">
        <v>736</v>
      </c>
      <c r="F358" s="96" t="s">
        <v>736</v>
      </c>
      <c r="G358" s="186" t="s">
        <v>736</v>
      </c>
    </row>
    <row r="359" spans="1:7" ht="27" customHeight="1" x14ac:dyDescent="0.25">
      <c r="A359" s="95">
        <v>39438</v>
      </c>
      <c r="B359" s="96" t="s">
        <v>670</v>
      </c>
      <c r="C359" s="96">
        <v>15400</v>
      </c>
      <c r="D359" s="96" t="s">
        <v>736</v>
      </c>
      <c r="E359" s="96" t="s">
        <v>736</v>
      </c>
      <c r="F359" s="96" t="s">
        <v>736</v>
      </c>
      <c r="G359" s="186" t="s">
        <v>736</v>
      </c>
    </row>
    <row r="360" spans="1:7" ht="27" customHeight="1" x14ac:dyDescent="0.25">
      <c r="A360" s="95">
        <v>39439</v>
      </c>
      <c r="B360" s="96" t="s">
        <v>713</v>
      </c>
      <c r="C360" s="96">
        <v>21200</v>
      </c>
      <c r="D360" s="96" t="s">
        <v>736</v>
      </c>
      <c r="E360" s="96" t="s">
        <v>736</v>
      </c>
      <c r="F360" s="96" t="s">
        <v>736</v>
      </c>
      <c r="G360" s="186" t="s">
        <v>736</v>
      </c>
    </row>
    <row r="361" spans="1:7" ht="27" customHeight="1" x14ac:dyDescent="0.25">
      <c r="A361" s="95">
        <v>39440</v>
      </c>
      <c r="B361" s="96" t="s">
        <v>714</v>
      </c>
      <c r="C361" s="96">
        <v>25200</v>
      </c>
      <c r="D361" s="96" t="s">
        <v>736</v>
      </c>
      <c r="E361" s="96" t="s">
        <v>736</v>
      </c>
      <c r="F361" s="96" t="s">
        <v>736</v>
      </c>
      <c r="G361" s="186" t="s">
        <v>736</v>
      </c>
    </row>
    <row r="362" spans="1:7" ht="27" customHeight="1" x14ac:dyDescent="0.25">
      <c r="A362" s="95">
        <v>39441</v>
      </c>
      <c r="B362" s="96" t="s">
        <v>715</v>
      </c>
      <c r="C362" s="96">
        <v>27000</v>
      </c>
      <c r="D362" s="96" t="s">
        <v>736</v>
      </c>
      <c r="E362" s="96" t="s">
        <v>736</v>
      </c>
      <c r="F362" s="96" t="s">
        <v>736</v>
      </c>
      <c r="G362" s="186" t="s">
        <v>736</v>
      </c>
    </row>
    <row r="363" spans="1:7" ht="27" customHeight="1" x14ac:dyDescent="0.25">
      <c r="A363" s="95">
        <v>39442</v>
      </c>
      <c r="B363" s="96" t="s">
        <v>716</v>
      </c>
      <c r="C363" s="96">
        <v>28500</v>
      </c>
      <c r="D363" s="96" t="s">
        <v>736</v>
      </c>
      <c r="E363" s="96" t="s">
        <v>736</v>
      </c>
      <c r="F363" s="96" t="s">
        <v>736</v>
      </c>
      <c r="G363" s="186" t="s">
        <v>736</v>
      </c>
    </row>
    <row r="364" spans="1:7" ht="27" customHeight="1" x14ac:dyDescent="0.25">
      <c r="A364" s="95">
        <v>39443</v>
      </c>
      <c r="B364" s="96" t="s">
        <v>717</v>
      </c>
      <c r="C364" s="96">
        <v>28750</v>
      </c>
      <c r="D364" s="96" t="s">
        <v>736</v>
      </c>
      <c r="E364" s="96" t="s">
        <v>736</v>
      </c>
      <c r="F364" s="96" t="s">
        <v>736</v>
      </c>
      <c r="G364" s="186" t="s">
        <v>736</v>
      </c>
    </row>
    <row r="365" spans="1:7" ht="27" customHeight="1" x14ac:dyDescent="0.25">
      <c r="A365" s="95">
        <v>39444</v>
      </c>
      <c r="B365" s="96" t="s">
        <v>718</v>
      </c>
      <c r="C365" s="96">
        <v>28850</v>
      </c>
      <c r="D365" s="96" t="s">
        <v>736</v>
      </c>
      <c r="E365" s="96" t="s">
        <v>736</v>
      </c>
      <c r="F365" s="96" t="s">
        <v>736</v>
      </c>
      <c r="G365" s="186" t="s">
        <v>736</v>
      </c>
    </row>
    <row r="366" spans="1:7" ht="27" customHeight="1" x14ac:dyDescent="0.25">
      <c r="A366" s="95">
        <v>39445</v>
      </c>
      <c r="B366" s="96" t="s">
        <v>719</v>
      </c>
      <c r="C366" s="96">
        <v>30000</v>
      </c>
      <c r="D366" s="96" t="s">
        <v>736</v>
      </c>
      <c r="E366" s="96" t="s">
        <v>736</v>
      </c>
      <c r="F366" s="96" t="s">
        <v>736</v>
      </c>
      <c r="G366" s="186" t="s">
        <v>736</v>
      </c>
    </row>
    <row r="367" spans="1:7" ht="27" customHeight="1" x14ac:dyDescent="0.25">
      <c r="A367" s="95">
        <v>39446</v>
      </c>
      <c r="B367" s="96" t="s">
        <v>719</v>
      </c>
      <c r="C367" s="96">
        <v>30000</v>
      </c>
      <c r="D367" s="96" t="s">
        <v>736</v>
      </c>
      <c r="E367" s="96" t="s">
        <v>736</v>
      </c>
      <c r="F367" s="96" t="s">
        <v>736</v>
      </c>
      <c r="G367" s="186" t="s">
        <v>736</v>
      </c>
    </row>
    <row r="368" spans="1:7" ht="27" customHeight="1" thickBot="1" x14ac:dyDescent="0.3">
      <c r="A368" s="97">
        <v>39447</v>
      </c>
      <c r="B368" s="185" t="s">
        <v>719</v>
      </c>
      <c r="C368" s="185">
        <v>30000</v>
      </c>
      <c r="D368" s="185" t="s">
        <v>736</v>
      </c>
      <c r="E368" s="185" t="s">
        <v>736</v>
      </c>
      <c r="F368" s="185" t="s">
        <v>736</v>
      </c>
      <c r="G368" s="192" t="s">
        <v>736</v>
      </c>
    </row>
    <row r="369" spans="1:7" ht="13.9" x14ac:dyDescent="0.25">
      <c r="A369" s="409" t="s">
        <v>1759</v>
      </c>
      <c r="B369" s="410"/>
      <c r="C369" s="410"/>
      <c r="D369" s="410"/>
      <c r="E369" s="410"/>
      <c r="F369" s="410"/>
      <c r="G369" s="410"/>
    </row>
  </sheetData>
  <mergeCells count="6">
    <mergeCell ref="A369:G369"/>
    <mergeCell ref="A1:G1"/>
    <mergeCell ref="B2:B3"/>
    <mergeCell ref="C2:C3"/>
    <mergeCell ref="A2:A3"/>
    <mergeCell ref="D2:G2"/>
  </mergeCells>
  <printOptions horizontalCentered="1"/>
  <pageMargins left="1" right="0.75" top="0.75" bottom="0.25" header="0.3" footer="0.3"/>
  <pageSetup paperSize="9" orientation="portrait" r:id="rId1"/>
  <ignoredErrors>
    <ignoredError sqref="B225:B247 B49 B65 B134 B184 B169 B209:B214 B255:B261 B302:B307 B337 B351:B359 B345" twoDigitTextYear="1"/>
    <ignoredError sqref="D4:G34 C35:C62 C64:C94 C95:C124 C125:C155 C156 C157:C185 D156:G156 C186:C216 C217:C247 C248 C249:C277 D248:G248 C278:C308 C309 C310:C338 D309:G309 D339 C339 C340:C368 E339:G339 D35:G62 D64:G94 D95:G124 D125:G155 D157:G185 D186:G216 D217:G247 D249:G277 D278:G308 D310:G338 D340:G36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70"/>
  <sheetViews>
    <sheetView workbookViewId="0">
      <selection activeCell="F5" sqref="F5"/>
    </sheetView>
  </sheetViews>
  <sheetFormatPr defaultColWidth="9.140625" defaultRowHeight="15" x14ac:dyDescent="0.25"/>
  <cols>
    <col min="1" max="1" width="11" style="14" customWidth="1"/>
    <col min="2" max="2" width="8.7109375" style="14" customWidth="1"/>
    <col min="3" max="3" width="9.42578125" style="14" customWidth="1"/>
    <col min="4" max="4" width="9.5703125" style="27" customWidth="1"/>
    <col min="5" max="5" width="9" style="27" customWidth="1"/>
    <col min="6" max="6" width="9.28515625" style="27" customWidth="1"/>
    <col min="7" max="7" width="7.85546875" style="27" customWidth="1"/>
    <col min="8" max="16384" width="9.140625" style="14"/>
  </cols>
  <sheetData>
    <row r="1" spans="1:7" ht="37.5" customHeight="1" thickBot="1" x14ac:dyDescent="0.3">
      <c r="A1" s="442" t="s">
        <v>2696</v>
      </c>
      <c r="B1" s="442"/>
      <c r="C1" s="442"/>
      <c r="D1" s="442"/>
      <c r="E1" s="442"/>
      <c r="F1" s="442"/>
      <c r="G1" s="442"/>
    </row>
    <row r="2" spans="1:7" ht="30" customHeight="1" x14ac:dyDescent="0.25">
      <c r="A2" s="425" t="s">
        <v>0</v>
      </c>
      <c r="B2" s="423" t="s">
        <v>2684</v>
      </c>
      <c r="C2" s="423" t="s">
        <v>2689</v>
      </c>
      <c r="D2" s="443" t="s">
        <v>2686</v>
      </c>
      <c r="E2" s="444"/>
      <c r="F2" s="444"/>
      <c r="G2" s="445"/>
    </row>
    <row r="3" spans="1:7" ht="50.25" customHeight="1" thickBot="1" x14ac:dyDescent="0.3">
      <c r="A3" s="426"/>
      <c r="B3" s="424"/>
      <c r="C3" s="424"/>
      <c r="D3" s="181" t="s">
        <v>2687</v>
      </c>
      <c r="E3" s="184" t="s">
        <v>735</v>
      </c>
      <c r="F3" s="181" t="s">
        <v>2688</v>
      </c>
      <c r="G3" s="183" t="s">
        <v>735</v>
      </c>
    </row>
    <row r="4" spans="1:7" ht="26.25" customHeight="1" x14ac:dyDescent="0.25">
      <c r="A4" s="120">
        <v>39448</v>
      </c>
      <c r="B4" s="113" t="s">
        <v>472</v>
      </c>
      <c r="C4" s="113">
        <v>30000</v>
      </c>
      <c r="D4" s="113">
        <v>10</v>
      </c>
      <c r="E4" s="113">
        <v>57.04</v>
      </c>
      <c r="F4" s="113">
        <v>12</v>
      </c>
      <c r="G4" s="114">
        <v>65.989999999999995</v>
      </c>
    </row>
    <row r="5" spans="1:7" ht="26.25" customHeight="1" x14ac:dyDescent="0.25">
      <c r="A5" s="95">
        <v>39449</v>
      </c>
      <c r="B5" s="94" t="s">
        <v>473</v>
      </c>
      <c r="C5" s="94">
        <v>28850</v>
      </c>
      <c r="D5" s="94">
        <v>10</v>
      </c>
      <c r="E5" s="94">
        <v>56.9</v>
      </c>
      <c r="F5" s="94">
        <v>12</v>
      </c>
      <c r="G5" s="115">
        <v>65.81</v>
      </c>
    </row>
    <row r="6" spans="1:7" ht="26.25" customHeight="1" x14ac:dyDescent="0.25">
      <c r="A6" s="95">
        <v>39450</v>
      </c>
      <c r="B6" s="94" t="s">
        <v>473</v>
      </c>
      <c r="C6" s="94">
        <v>28850</v>
      </c>
      <c r="D6" s="94">
        <v>10</v>
      </c>
      <c r="E6" s="94">
        <v>56.9</v>
      </c>
      <c r="F6" s="94">
        <v>12</v>
      </c>
      <c r="G6" s="115">
        <v>65.81</v>
      </c>
    </row>
    <row r="7" spans="1:7" ht="26.25" customHeight="1" x14ac:dyDescent="0.25">
      <c r="A7" s="95">
        <v>39451</v>
      </c>
      <c r="B7" s="94" t="s">
        <v>473</v>
      </c>
      <c r="C7" s="94">
        <v>28850</v>
      </c>
      <c r="D7" s="94" t="s">
        <v>122</v>
      </c>
      <c r="E7" s="94"/>
      <c r="F7" s="94"/>
      <c r="G7" s="115"/>
    </row>
    <row r="8" spans="1:7" ht="26.25" customHeight="1" x14ac:dyDescent="0.25">
      <c r="A8" s="95">
        <v>39452</v>
      </c>
      <c r="B8" s="94" t="s">
        <v>470</v>
      </c>
      <c r="C8" s="94">
        <v>30200</v>
      </c>
      <c r="D8" s="94" t="s">
        <v>122</v>
      </c>
      <c r="E8" s="94"/>
      <c r="F8" s="94"/>
      <c r="G8" s="115"/>
    </row>
    <row r="9" spans="1:7" ht="26.25" customHeight="1" x14ac:dyDescent="0.25">
      <c r="A9" s="95">
        <v>39453</v>
      </c>
      <c r="B9" s="94" t="s">
        <v>471</v>
      </c>
      <c r="C9" s="94">
        <v>30300</v>
      </c>
      <c r="D9" s="94" t="s">
        <v>122</v>
      </c>
      <c r="E9" s="94"/>
      <c r="F9" s="94"/>
      <c r="G9" s="115"/>
    </row>
    <row r="10" spans="1:7" ht="26.25" customHeight="1" x14ac:dyDescent="0.25">
      <c r="A10" s="95">
        <v>39454</v>
      </c>
      <c r="B10" s="94" t="s">
        <v>442</v>
      </c>
      <c r="C10" s="94">
        <v>30500</v>
      </c>
      <c r="D10" s="94" t="s">
        <v>122</v>
      </c>
      <c r="E10" s="94"/>
      <c r="F10" s="94"/>
      <c r="G10" s="115"/>
    </row>
    <row r="11" spans="1:7" ht="26.25" customHeight="1" x14ac:dyDescent="0.25">
      <c r="A11" s="95">
        <v>39455</v>
      </c>
      <c r="B11" s="94" t="s">
        <v>468</v>
      </c>
      <c r="C11" s="94">
        <v>31900</v>
      </c>
      <c r="D11" s="94" t="s">
        <v>122</v>
      </c>
      <c r="E11" s="94"/>
      <c r="F11" s="94"/>
      <c r="G11" s="115"/>
    </row>
    <row r="12" spans="1:7" ht="26.25" customHeight="1" x14ac:dyDescent="0.25">
      <c r="A12" s="95">
        <v>39456</v>
      </c>
      <c r="B12" s="94" t="s">
        <v>468</v>
      </c>
      <c r="C12" s="94">
        <v>31900</v>
      </c>
      <c r="D12" s="94">
        <v>7</v>
      </c>
      <c r="E12" s="94">
        <v>40.729999999999997</v>
      </c>
      <c r="F12" s="94">
        <v>10</v>
      </c>
      <c r="G12" s="115">
        <v>56.03</v>
      </c>
    </row>
    <row r="13" spans="1:7" ht="26.25" customHeight="1" x14ac:dyDescent="0.25">
      <c r="A13" s="95">
        <v>39457</v>
      </c>
      <c r="B13" s="94" t="s">
        <v>554</v>
      </c>
      <c r="C13" s="94">
        <v>32600</v>
      </c>
      <c r="D13" s="94">
        <v>7</v>
      </c>
      <c r="E13" s="94">
        <v>40.03</v>
      </c>
      <c r="F13" s="94">
        <v>10</v>
      </c>
      <c r="G13" s="115">
        <v>56.9</v>
      </c>
    </row>
    <row r="14" spans="1:7" ht="26.25" customHeight="1" x14ac:dyDescent="0.25">
      <c r="A14" s="95">
        <v>39458</v>
      </c>
      <c r="B14" s="94" t="s">
        <v>462</v>
      </c>
      <c r="C14" s="94">
        <v>33000</v>
      </c>
      <c r="D14" s="94">
        <v>7</v>
      </c>
      <c r="E14" s="94">
        <v>41.42</v>
      </c>
      <c r="F14" s="94">
        <v>10</v>
      </c>
      <c r="G14" s="115">
        <v>57.04</v>
      </c>
    </row>
    <row r="15" spans="1:7" ht="26.25" customHeight="1" x14ac:dyDescent="0.25">
      <c r="A15" s="95">
        <v>39459</v>
      </c>
      <c r="B15" s="94" t="s">
        <v>461</v>
      </c>
      <c r="C15" s="94">
        <v>33500</v>
      </c>
      <c r="D15" s="94">
        <v>7</v>
      </c>
      <c r="E15" s="94">
        <v>41.51</v>
      </c>
      <c r="F15" s="94">
        <v>10</v>
      </c>
      <c r="G15" s="115">
        <v>57.19</v>
      </c>
    </row>
    <row r="16" spans="1:7" ht="26.25" customHeight="1" x14ac:dyDescent="0.25">
      <c r="A16" s="95">
        <v>39460</v>
      </c>
      <c r="B16" s="94" t="s">
        <v>460</v>
      </c>
      <c r="C16" s="94">
        <v>33600</v>
      </c>
      <c r="D16" s="94">
        <v>7</v>
      </c>
      <c r="E16" s="94">
        <v>41.61</v>
      </c>
      <c r="F16" s="94">
        <v>10</v>
      </c>
      <c r="G16" s="115">
        <v>57.33</v>
      </c>
    </row>
    <row r="17" spans="1:7" ht="26.25" customHeight="1" x14ac:dyDescent="0.25">
      <c r="A17" s="95">
        <v>39461</v>
      </c>
      <c r="B17" s="94" t="s">
        <v>460</v>
      </c>
      <c r="C17" s="94">
        <v>33800</v>
      </c>
      <c r="D17" s="94">
        <v>7</v>
      </c>
      <c r="E17" s="94">
        <v>41.61</v>
      </c>
      <c r="F17" s="94">
        <v>10</v>
      </c>
      <c r="G17" s="115">
        <v>57.33</v>
      </c>
    </row>
    <row r="18" spans="1:7" ht="26.25" customHeight="1" x14ac:dyDescent="0.25">
      <c r="A18" s="95">
        <v>39462</v>
      </c>
      <c r="B18" s="94" t="s">
        <v>461</v>
      </c>
      <c r="C18" s="94">
        <v>33500</v>
      </c>
      <c r="D18" s="94">
        <v>7</v>
      </c>
      <c r="E18" s="94">
        <v>41.51</v>
      </c>
      <c r="F18" s="94">
        <v>10</v>
      </c>
      <c r="G18" s="115">
        <v>57.19</v>
      </c>
    </row>
    <row r="19" spans="1:7" ht="26.25" customHeight="1" x14ac:dyDescent="0.25">
      <c r="A19" s="95">
        <v>39463</v>
      </c>
      <c r="B19" s="94" t="s">
        <v>462</v>
      </c>
      <c r="C19" s="94">
        <v>33000</v>
      </c>
      <c r="D19" s="94">
        <v>7</v>
      </c>
      <c r="E19" s="94">
        <v>41.42</v>
      </c>
      <c r="F19" s="94">
        <v>10</v>
      </c>
      <c r="G19" s="115">
        <v>57.04</v>
      </c>
    </row>
    <row r="20" spans="1:7" ht="26.25" customHeight="1" x14ac:dyDescent="0.25">
      <c r="A20" s="95">
        <v>39464</v>
      </c>
      <c r="B20" s="94" t="s">
        <v>463</v>
      </c>
      <c r="C20" s="94">
        <v>32800</v>
      </c>
      <c r="D20" s="94">
        <v>10</v>
      </c>
      <c r="E20" s="94">
        <v>58.61</v>
      </c>
      <c r="F20" s="94">
        <v>12</v>
      </c>
      <c r="G20" s="115">
        <v>67.930000000000007</v>
      </c>
    </row>
    <row r="21" spans="1:7" ht="26.25" customHeight="1" x14ac:dyDescent="0.25">
      <c r="A21" s="95">
        <v>39465</v>
      </c>
      <c r="B21" s="94" t="s">
        <v>554</v>
      </c>
      <c r="C21" s="94">
        <v>32600</v>
      </c>
      <c r="D21" s="94">
        <v>7</v>
      </c>
      <c r="E21" s="94">
        <v>40.03</v>
      </c>
      <c r="F21" s="94"/>
      <c r="G21" s="115"/>
    </row>
    <row r="22" spans="1:7" ht="26.25" customHeight="1" x14ac:dyDescent="0.25">
      <c r="A22" s="95">
        <v>39466</v>
      </c>
      <c r="B22" s="94" t="s">
        <v>554</v>
      </c>
      <c r="C22" s="94">
        <v>32600</v>
      </c>
      <c r="D22" s="94">
        <v>7</v>
      </c>
      <c r="E22" s="94">
        <v>40.03</v>
      </c>
      <c r="F22" s="94"/>
      <c r="G22" s="115"/>
    </row>
    <row r="23" spans="1:7" ht="26.25" customHeight="1" x14ac:dyDescent="0.25">
      <c r="A23" s="95">
        <v>39467</v>
      </c>
      <c r="B23" s="94" t="s">
        <v>554</v>
      </c>
      <c r="C23" s="94">
        <v>32600</v>
      </c>
      <c r="D23" s="94">
        <v>7</v>
      </c>
      <c r="E23" s="94">
        <v>40.03</v>
      </c>
      <c r="F23" s="94"/>
      <c r="G23" s="115"/>
    </row>
    <row r="24" spans="1:7" ht="26.25" customHeight="1" x14ac:dyDescent="0.25">
      <c r="A24" s="95">
        <v>39468</v>
      </c>
      <c r="B24" s="94" t="s">
        <v>464</v>
      </c>
      <c r="C24" s="94">
        <v>32400</v>
      </c>
      <c r="D24" s="94" t="s">
        <v>122</v>
      </c>
      <c r="E24" s="94"/>
      <c r="F24" s="94"/>
      <c r="G24" s="115"/>
    </row>
    <row r="25" spans="1:7" ht="26.25" customHeight="1" x14ac:dyDescent="0.25">
      <c r="A25" s="95">
        <v>39469</v>
      </c>
      <c r="B25" s="94" t="s">
        <v>554</v>
      </c>
      <c r="C25" s="94">
        <v>32600</v>
      </c>
      <c r="D25" s="94" t="s">
        <v>122</v>
      </c>
      <c r="E25" s="94"/>
      <c r="F25" s="94"/>
      <c r="G25" s="115"/>
    </row>
    <row r="26" spans="1:7" ht="26.25" customHeight="1" x14ac:dyDescent="0.25">
      <c r="A26" s="95">
        <v>39470</v>
      </c>
      <c r="B26" s="94" t="s">
        <v>463</v>
      </c>
      <c r="C26" s="94">
        <v>32800</v>
      </c>
      <c r="D26" s="94" t="s">
        <v>122</v>
      </c>
      <c r="E26" s="94"/>
      <c r="F26" s="94"/>
      <c r="G26" s="115"/>
    </row>
    <row r="27" spans="1:7" ht="26.25" customHeight="1" x14ac:dyDescent="0.25">
      <c r="A27" s="95">
        <v>39471</v>
      </c>
      <c r="B27" s="94" t="s">
        <v>463</v>
      </c>
      <c r="C27" s="94">
        <v>32800</v>
      </c>
      <c r="D27" s="94">
        <v>10</v>
      </c>
      <c r="E27" s="94">
        <v>58.61</v>
      </c>
      <c r="F27" s="94">
        <v>12</v>
      </c>
      <c r="G27" s="115">
        <v>67.430000000000007</v>
      </c>
    </row>
    <row r="28" spans="1:7" ht="26.25" customHeight="1" x14ac:dyDescent="0.25">
      <c r="A28" s="95">
        <v>39472</v>
      </c>
      <c r="B28" s="94" t="s">
        <v>463</v>
      </c>
      <c r="C28" s="94">
        <v>32800</v>
      </c>
      <c r="D28" s="94">
        <v>10</v>
      </c>
      <c r="E28" s="94">
        <v>58.47</v>
      </c>
      <c r="F28" s="94">
        <v>12</v>
      </c>
      <c r="G28" s="115">
        <v>67.760000000000005</v>
      </c>
    </row>
    <row r="29" spans="1:7" ht="26.25" customHeight="1" x14ac:dyDescent="0.25">
      <c r="A29" s="95">
        <v>39473</v>
      </c>
      <c r="B29" s="94" t="s">
        <v>464</v>
      </c>
      <c r="C29" s="94">
        <v>32400</v>
      </c>
      <c r="D29" s="94">
        <v>12</v>
      </c>
      <c r="E29" s="94">
        <v>69.650000000000006</v>
      </c>
      <c r="F29" s="94">
        <v>12</v>
      </c>
      <c r="G29" s="115">
        <v>67.58</v>
      </c>
    </row>
    <row r="30" spans="1:7" ht="26.25" customHeight="1" x14ac:dyDescent="0.25">
      <c r="A30" s="95">
        <v>39474</v>
      </c>
      <c r="B30" s="94" t="s">
        <v>465</v>
      </c>
      <c r="C30" s="94">
        <v>32100</v>
      </c>
      <c r="D30" s="94">
        <v>12</v>
      </c>
      <c r="E30" s="94">
        <v>69.48</v>
      </c>
      <c r="F30" s="94">
        <v>12</v>
      </c>
      <c r="G30" s="115">
        <v>67.41</v>
      </c>
    </row>
    <row r="31" spans="1:7" ht="26.25" customHeight="1" x14ac:dyDescent="0.25">
      <c r="A31" s="95">
        <v>39475</v>
      </c>
      <c r="B31" s="94" t="s">
        <v>466</v>
      </c>
      <c r="C31" s="94">
        <v>32000</v>
      </c>
      <c r="D31" s="94">
        <v>12</v>
      </c>
      <c r="E31" s="94">
        <v>69.31</v>
      </c>
      <c r="F31" s="94">
        <v>12</v>
      </c>
      <c r="G31" s="115">
        <v>67.23</v>
      </c>
    </row>
    <row r="32" spans="1:7" ht="26.25" customHeight="1" x14ac:dyDescent="0.25">
      <c r="A32" s="95">
        <v>39476</v>
      </c>
      <c r="B32" s="94" t="s">
        <v>467</v>
      </c>
      <c r="C32" s="94">
        <v>31500</v>
      </c>
      <c r="D32" s="94">
        <v>12</v>
      </c>
      <c r="E32" s="94">
        <v>69.14</v>
      </c>
      <c r="F32" s="94">
        <v>12</v>
      </c>
      <c r="G32" s="115">
        <v>67.05</v>
      </c>
    </row>
    <row r="33" spans="1:7" ht="26.25" customHeight="1" x14ac:dyDescent="0.25">
      <c r="A33" s="95">
        <v>39477</v>
      </c>
      <c r="B33" s="94" t="s">
        <v>468</v>
      </c>
      <c r="C33" s="94">
        <v>30000</v>
      </c>
      <c r="D33" s="94">
        <v>12</v>
      </c>
      <c r="E33" s="94">
        <v>683.97</v>
      </c>
      <c r="F33" s="94">
        <v>12</v>
      </c>
      <c r="G33" s="115">
        <v>66.88</v>
      </c>
    </row>
    <row r="34" spans="1:7" ht="26.25" customHeight="1" x14ac:dyDescent="0.25">
      <c r="A34" s="95">
        <v>39478</v>
      </c>
      <c r="B34" s="94"/>
      <c r="C34" s="94"/>
      <c r="D34" s="94">
        <v>12</v>
      </c>
      <c r="E34" s="94">
        <v>68.8</v>
      </c>
      <c r="F34" s="94">
        <v>12</v>
      </c>
      <c r="G34" s="115">
        <v>66.7</v>
      </c>
    </row>
    <row r="35" spans="1:7" ht="26.25" customHeight="1" x14ac:dyDescent="0.25">
      <c r="A35" s="95">
        <v>39479</v>
      </c>
      <c r="B35" s="94" t="s">
        <v>442</v>
      </c>
      <c r="C35" s="94">
        <v>30500</v>
      </c>
      <c r="D35" s="94">
        <v>1</v>
      </c>
      <c r="E35" s="94">
        <v>5.875</v>
      </c>
      <c r="F35" s="94">
        <v>1</v>
      </c>
      <c r="G35" s="115">
        <v>5.7050000000000001</v>
      </c>
    </row>
    <row r="36" spans="1:7" ht="26.25" customHeight="1" x14ac:dyDescent="0.25">
      <c r="A36" s="95">
        <v>39480</v>
      </c>
      <c r="B36" s="94" t="s">
        <v>471</v>
      </c>
      <c r="C36" s="94">
        <v>30300</v>
      </c>
      <c r="D36" s="94">
        <v>1</v>
      </c>
      <c r="E36" s="94">
        <v>5.8449999999999998</v>
      </c>
      <c r="F36" s="94">
        <v>1</v>
      </c>
      <c r="G36" s="115">
        <v>5.69</v>
      </c>
    </row>
    <row r="37" spans="1:7" ht="26.25" customHeight="1" x14ac:dyDescent="0.25">
      <c r="A37" s="95">
        <v>39481</v>
      </c>
      <c r="B37" s="94" t="s">
        <v>470</v>
      </c>
      <c r="C37" s="94">
        <v>30200</v>
      </c>
      <c r="D37" s="94" t="s">
        <v>122</v>
      </c>
      <c r="E37" s="94"/>
      <c r="F37" s="94"/>
      <c r="G37" s="115"/>
    </row>
    <row r="38" spans="1:7" ht="26.25" customHeight="1" x14ac:dyDescent="0.25">
      <c r="A38" s="95">
        <v>39482</v>
      </c>
      <c r="B38" s="94" t="s">
        <v>470</v>
      </c>
      <c r="C38" s="94">
        <v>30200</v>
      </c>
      <c r="D38" s="94" t="s">
        <v>122</v>
      </c>
      <c r="E38" s="94"/>
      <c r="F38" s="94"/>
      <c r="G38" s="115"/>
    </row>
    <row r="39" spans="1:7" ht="26.25" customHeight="1" x14ac:dyDescent="0.25">
      <c r="A39" s="95">
        <v>39483</v>
      </c>
      <c r="B39" s="94" t="s">
        <v>470</v>
      </c>
      <c r="C39" s="94">
        <v>30200</v>
      </c>
      <c r="D39" s="94" t="s">
        <v>122</v>
      </c>
      <c r="E39" s="94"/>
      <c r="F39" s="94"/>
      <c r="G39" s="115"/>
    </row>
    <row r="40" spans="1:7" ht="26.25" customHeight="1" x14ac:dyDescent="0.25">
      <c r="A40" s="95">
        <v>39484</v>
      </c>
      <c r="B40" s="94" t="s">
        <v>470</v>
      </c>
      <c r="C40" s="94">
        <v>30200</v>
      </c>
      <c r="D40" s="94">
        <v>12</v>
      </c>
      <c r="E40" s="94">
        <v>68.28</v>
      </c>
      <c r="F40" s="94">
        <v>12</v>
      </c>
      <c r="G40" s="115">
        <v>66.17</v>
      </c>
    </row>
    <row r="41" spans="1:7" ht="26.25" customHeight="1" x14ac:dyDescent="0.25">
      <c r="A41" s="95">
        <v>39485</v>
      </c>
      <c r="B41" s="94" t="s">
        <v>472</v>
      </c>
      <c r="C41" s="94">
        <v>30000</v>
      </c>
      <c r="D41" s="94">
        <v>12</v>
      </c>
      <c r="E41" s="94">
        <v>68.11</v>
      </c>
      <c r="F41" s="94">
        <v>12</v>
      </c>
      <c r="G41" s="115">
        <v>65.989999999999995</v>
      </c>
    </row>
    <row r="42" spans="1:7" ht="26.25" customHeight="1" x14ac:dyDescent="0.25">
      <c r="A42" s="95">
        <v>39486</v>
      </c>
      <c r="B42" s="94" t="s">
        <v>472</v>
      </c>
      <c r="C42" s="94">
        <v>30000</v>
      </c>
      <c r="D42" s="94" t="s">
        <v>122</v>
      </c>
      <c r="E42" s="94"/>
      <c r="F42" s="94"/>
      <c r="G42" s="115"/>
    </row>
    <row r="43" spans="1:7" ht="26.25" customHeight="1" x14ac:dyDescent="0.25">
      <c r="A43" s="95">
        <v>39487</v>
      </c>
      <c r="B43" s="94" t="s">
        <v>470</v>
      </c>
      <c r="C43" s="94">
        <v>30200</v>
      </c>
      <c r="D43" s="94" t="s">
        <v>122</v>
      </c>
      <c r="E43" s="94"/>
      <c r="F43" s="94"/>
      <c r="G43" s="115"/>
    </row>
    <row r="44" spans="1:7" ht="26.25" customHeight="1" x14ac:dyDescent="0.25">
      <c r="A44" s="95">
        <v>39488</v>
      </c>
      <c r="B44" s="94" t="s">
        <v>470</v>
      </c>
      <c r="C44" s="94">
        <v>30200</v>
      </c>
      <c r="D44" s="94" t="s">
        <v>122</v>
      </c>
      <c r="E44" s="94"/>
      <c r="F44" s="94"/>
      <c r="G44" s="115"/>
    </row>
    <row r="45" spans="1:7" ht="26.25" customHeight="1" x14ac:dyDescent="0.25">
      <c r="A45" s="95">
        <v>39489</v>
      </c>
      <c r="B45" s="94" t="s">
        <v>470</v>
      </c>
      <c r="C45" s="94">
        <v>30200</v>
      </c>
      <c r="D45" s="94" t="s">
        <v>122</v>
      </c>
      <c r="E45" s="94"/>
      <c r="F45" s="94"/>
      <c r="G45" s="115"/>
    </row>
    <row r="46" spans="1:7" ht="26.25" customHeight="1" x14ac:dyDescent="0.25">
      <c r="A46" s="95">
        <v>39490</v>
      </c>
      <c r="B46" s="94" t="s">
        <v>470</v>
      </c>
      <c r="C46" s="94">
        <v>30200</v>
      </c>
      <c r="D46" s="94">
        <v>10</v>
      </c>
      <c r="E46" s="94">
        <v>57.19</v>
      </c>
      <c r="F46" s="94">
        <v>10</v>
      </c>
      <c r="G46" s="115">
        <v>55.44</v>
      </c>
    </row>
    <row r="47" spans="1:7" ht="26.25" customHeight="1" x14ac:dyDescent="0.25">
      <c r="A47" s="95">
        <v>39491</v>
      </c>
      <c r="B47" s="94" t="s">
        <v>472</v>
      </c>
      <c r="C47" s="94">
        <v>30000</v>
      </c>
      <c r="D47" s="94">
        <v>10</v>
      </c>
      <c r="E47" s="94">
        <v>57.04</v>
      </c>
      <c r="F47" s="94">
        <v>10</v>
      </c>
      <c r="G47" s="115">
        <v>55.29</v>
      </c>
    </row>
    <row r="48" spans="1:7" ht="26.25" customHeight="1" x14ac:dyDescent="0.25">
      <c r="A48" s="95">
        <v>39492</v>
      </c>
      <c r="B48" s="94" t="s">
        <v>472</v>
      </c>
      <c r="C48" s="94">
        <v>30000</v>
      </c>
      <c r="D48" s="94">
        <v>12</v>
      </c>
      <c r="E48" s="94">
        <v>67.930000000000007</v>
      </c>
      <c r="F48" s="94">
        <v>12</v>
      </c>
      <c r="G48" s="115">
        <v>65.81</v>
      </c>
    </row>
    <row r="49" spans="1:7" ht="26.25" customHeight="1" x14ac:dyDescent="0.25">
      <c r="A49" s="95">
        <v>39493</v>
      </c>
      <c r="B49" s="94" t="s">
        <v>441</v>
      </c>
      <c r="C49" s="94">
        <v>28750</v>
      </c>
      <c r="D49" s="94">
        <v>12</v>
      </c>
      <c r="E49" s="94">
        <v>67.760000000000005</v>
      </c>
      <c r="F49" s="94">
        <v>12</v>
      </c>
      <c r="G49" s="115">
        <v>65.63</v>
      </c>
    </row>
    <row r="50" spans="1:7" ht="26.25" customHeight="1" x14ac:dyDescent="0.25">
      <c r="A50" s="95">
        <v>39494</v>
      </c>
      <c r="B50" s="94" t="s">
        <v>474</v>
      </c>
      <c r="C50" s="94">
        <v>28600</v>
      </c>
      <c r="D50" s="94">
        <v>5</v>
      </c>
      <c r="E50" s="94">
        <v>28.66</v>
      </c>
      <c r="F50" s="94">
        <v>5</v>
      </c>
      <c r="G50" s="115">
        <v>27.79</v>
      </c>
    </row>
    <row r="51" spans="1:7" ht="26.25" customHeight="1" x14ac:dyDescent="0.25">
      <c r="A51" s="95">
        <v>39495</v>
      </c>
      <c r="B51" s="94" t="s">
        <v>474</v>
      </c>
      <c r="C51" s="94">
        <v>28600</v>
      </c>
      <c r="D51" s="94">
        <v>5</v>
      </c>
      <c r="E51" s="94">
        <v>28.66</v>
      </c>
      <c r="F51" s="94">
        <v>5</v>
      </c>
      <c r="G51" s="115">
        <v>27.79</v>
      </c>
    </row>
    <row r="52" spans="1:7" ht="26.25" customHeight="1" x14ac:dyDescent="0.25">
      <c r="A52" s="95">
        <v>39496</v>
      </c>
      <c r="B52" s="94" t="s">
        <v>474</v>
      </c>
      <c r="C52" s="94">
        <v>28600</v>
      </c>
      <c r="D52" s="94" t="s">
        <v>122</v>
      </c>
      <c r="E52" s="94"/>
      <c r="F52" s="94"/>
      <c r="G52" s="115"/>
    </row>
    <row r="53" spans="1:7" ht="26.25" customHeight="1" x14ac:dyDescent="0.25">
      <c r="A53" s="95">
        <v>39497</v>
      </c>
      <c r="B53" s="94" t="s">
        <v>474</v>
      </c>
      <c r="C53" s="94">
        <v>28600</v>
      </c>
      <c r="D53" s="94" t="s">
        <v>122</v>
      </c>
      <c r="E53" s="94"/>
      <c r="F53" s="94"/>
      <c r="G53" s="115"/>
    </row>
    <row r="54" spans="1:7" ht="26.25" customHeight="1" x14ac:dyDescent="0.25">
      <c r="A54" s="95">
        <v>39498</v>
      </c>
      <c r="B54" s="94" t="s">
        <v>474</v>
      </c>
      <c r="C54" s="94">
        <v>28600</v>
      </c>
      <c r="D54" s="94" t="s">
        <v>122</v>
      </c>
      <c r="E54" s="94"/>
      <c r="F54" s="94"/>
      <c r="G54" s="115"/>
    </row>
    <row r="55" spans="1:7" ht="26.25" customHeight="1" x14ac:dyDescent="0.25">
      <c r="A55" s="95">
        <v>39499</v>
      </c>
      <c r="B55" s="94" t="s">
        <v>474</v>
      </c>
      <c r="C55" s="94">
        <v>28600</v>
      </c>
      <c r="D55" s="94" t="s">
        <v>122</v>
      </c>
      <c r="E55" s="94"/>
      <c r="F55" s="94"/>
      <c r="G55" s="115"/>
    </row>
    <row r="56" spans="1:7" ht="26.25" customHeight="1" x14ac:dyDescent="0.25">
      <c r="A56" s="95">
        <v>39500</v>
      </c>
      <c r="B56" s="94" t="s">
        <v>474</v>
      </c>
      <c r="C56" s="94">
        <v>28600</v>
      </c>
      <c r="D56" s="94" t="s">
        <v>122</v>
      </c>
      <c r="E56" s="94"/>
      <c r="F56" s="94"/>
      <c r="G56" s="115"/>
    </row>
    <row r="57" spans="1:7" ht="26.25" customHeight="1" x14ac:dyDescent="0.25">
      <c r="A57" s="95">
        <v>39501</v>
      </c>
      <c r="B57" s="94" t="s">
        <v>474</v>
      </c>
      <c r="C57" s="94">
        <v>28600</v>
      </c>
      <c r="D57" s="94">
        <v>5</v>
      </c>
      <c r="E57" s="94">
        <v>28.66</v>
      </c>
      <c r="F57" s="94">
        <v>10</v>
      </c>
      <c r="G57" s="115">
        <v>54.84</v>
      </c>
    </row>
    <row r="58" spans="1:7" ht="26.25" customHeight="1" x14ac:dyDescent="0.25">
      <c r="A58" s="95">
        <v>39502</v>
      </c>
      <c r="B58" s="94" t="s">
        <v>475</v>
      </c>
      <c r="C58" s="94">
        <v>28500</v>
      </c>
      <c r="D58" s="94">
        <v>10</v>
      </c>
      <c r="E58" s="94">
        <v>56.46</v>
      </c>
      <c r="F58" s="94">
        <v>10</v>
      </c>
      <c r="G58" s="115">
        <v>54.69</v>
      </c>
    </row>
    <row r="59" spans="1:7" ht="26.25" customHeight="1" x14ac:dyDescent="0.25">
      <c r="A59" s="95">
        <v>39503</v>
      </c>
      <c r="B59" s="94" t="s">
        <v>476</v>
      </c>
      <c r="C59" s="94">
        <v>28400</v>
      </c>
      <c r="D59" s="94">
        <v>10</v>
      </c>
      <c r="E59" s="94">
        <v>56.32</v>
      </c>
      <c r="F59" s="94">
        <v>10</v>
      </c>
      <c r="G59" s="115">
        <v>54.54</v>
      </c>
    </row>
    <row r="60" spans="1:7" ht="26.25" customHeight="1" x14ac:dyDescent="0.25">
      <c r="A60" s="95">
        <v>39504</v>
      </c>
      <c r="B60" s="94" t="s">
        <v>440</v>
      </c>
      <c r="C60" s="94">
        <v>28200</v>
      </c>
      <c r="D60" s="94" t="s">
        <v>122</v>
      </c>
      <c r="E60" s="94"/>
      <c r="F60" s="94">
        <v>5</v>
      </c>
      <c r="G60" s="115">
        <v>2.57</v>
      </c>
    </row>
    <row r="61" spans="1:7" ht="26.25" customHeight="1" x14ac:dyDescent="0.25">
      <c r="A61" s="95">
        <v>39505</v>
      </c>
      <c r="B61" s="94" t="s">
        <v>440</v>
      </c>
      <c r="C61" s="94">
        <v>28200</v>
      </c>
      <c r="D61" s="94" t="s">
        <v>122</v>
      </c>
      <c r="E61" s="94"/>
      <c r="F61" s="94"/>
      <c r="G61" s="115"/>
    </row>
    <row r="62" spans="1:7" ht="26.25" customHeight="1" x14ac:dyDescent="0.25">
      <c r="A62" s="95">
        <v>39506</v>
      </c>
      <c r="B62" s="94" t="s">
        <v>440</v>
      </c>
      <c r="C62" s="94">
        <v>28200</v>
      </c>
      <c r="D62" s="94" t="s">
        <v>122</v>
      </c>
      <c r="E62" s="94"/>
      <c r="F62" s="94"/>
      <c r="G62" s="115"/>
    </row>
    <row r="63" spans="1:7" ht="26.25" customHeight="1" x14ac:dyDescent="0.25">
      <c r="A63" s="95">
        <v>39507</v>
      </c>
      <c r="B63" s="94" t="s">
        <v>476</v>
      </c>
      <c r="C63" s="94">
        <v>28400</v>
      </c>
      <c r="D63" s="94" t="s">
        <v>122</v>
      </c>
      <c r="E63" s="94"/>
      <c r="F63" s="94"/>
      <c r="G63" s="115"/>
    </row>
    <row r="64" spans="1:7" ht="26.25" customHeight="1" x14ac:dyDescent="0.25">
      <c r="A64" s="95">
        <v>39508</v>
      </c>
      <c r="B64" s="94" t="s">
        <v>475</v>
      </c>
      <c r="C64" s="94">
        <v>28500</v>
      </c>
      <c r="D64" s="94" t="s">
        <v>122</v>
      </c>
      <c r="E64" s="94"/>
      <c r="F64" s="94"/>
      <c r="G64" s="115"/>
    </row>
    <row r="65" spans="1:7" ht="26.25" customHeight="1" x14ac:dyDescent="0.25">
      <c r="A65" s="95">
        <v>39509</v>
      </c>
      <c r="B65" s="94" t="s">
        <v>475</v>
      </c>
      <c r="C65" s="94">
        <v>28500</v>
      </c>
      <c r="D65" s="94" t="s">
        <v>122</v>
      </c>
      <c r="E65" s="94"/>
      <c r="F65" s="94"/>
      <c r="G65" s="115"/>
    </row>
    <row r="66" spans="1:7" ht="26.25" customHeight="1" x14ac:dyDescent="0.25">
      <c r="A66" s="95">
        <v>39510</v>
      </c>
      <c r="B66" s="94" t="s">
        <v>475</v>
      </c>
      <c r="C66" s="94">
        <v>28500</v>
      </c>
      <c r="D66" s="94" t="s">
        <v>122</v>
      </c>
      <c r="E66" s="94"/>
      <c r="F66" s="94"/>
      <c r="G66" s="115"/>
    </row>
    <row r="67" spans="1:7" ht="26.25" customHeight="1" x14ac:dyDescent="0.25">
      <c r="A67" s="95">
        <v>39511</v>
      </c>
      <c r="B67" s="94" t="s">
        <v>475</v>
      </c>
      <c r="C67" s="94">
        <v>28500</v>
      </c>
      <c r="D67" s="94" t="s">
        <v>122</v>
      </c>
      <c r="E67" s="94"/>
      <c r="F67" s="94"/>
      <c r="G67" s="115"/>
    </row>
    <row r="68" spans="1:7" ht="26.25" customHeight="1" x14ac:dyDescent="0.25">
      <c r="A68" s="95">
        <v>39512</v>
      </c>
      <c r="B68" s="94" t="s">
        <v>474</v>
      </c>
      <c r="C68" s="94">
        <v>28600</v>
      </c>
      <c r="D68" s="94" t="s">
        <v>122</v>
      </c>
      <c r="E68" s="94"/>
      <c r="F68" s="94"/>
      <c r="G68" s="115"/>
    </row>
    <row r="69" spans="1:7" ht="26.25" customHeight="1" x14ac:dyDescent="0.25">
      <c r="A69" s="95">
        <v>39513</v>
      </c>
      <c r="B69" s="94" t="s">
        <v>474</v>
      </c>
      <c r="C69" s="94">
        <v>28600</v>
      </c>
      <c r="D69" s="94" t="s">
        <v>122</v>
      </c>
      <c r="E69" s="94"/>
      <c r="F69" s="94"/>
      <c r="G69" s="115"/>
    </row>
    <row r="70" spans="1:7" ht="26.25" customHeight="1" x14ac:dyDescent="0.25">
      <c r="A70" s="95">
        <v>39514</v>
      </c>
      <c r="B70" s="94" t="s">
        <v>441</v>
      </c>
      <c r="C70" s="94">
        <v>28750</v>
      </c>
      <c r="D70" s="94" t="s">
        <v>122</v>
      </c>
      <c r="E70" s="94"/>
      <c r="F70" s="94"/>
      <c r="G70" s="115"/>
    </row>
    <row r="71" spans="1:7" ht="26.25" customHeight="1" x14ac:dyDescent="0.25">
      <c r="A71" s="95">
        <v>39515</v>
      </c>
      <c r="B71" s="94" t="s">
        <v>441</v>
      </c>
      <c r="C71" s="94">
        <v>28750</v>
      </c>
      <c r="D71" s="94" t="s">
        <v>122</v>
      </c>
      <c r="E71" s="94"/>
      <c r="F71" s="94"/>
      <c r="G71" s="115"/>
    </row>
    <row r="72" spans="1:7" ht="26.25" customHeight="1" x14ac:dyDescent="0.25">
      <c r="A72" s="95">
        <v>39516</v>
      </c>
      <c r="B72" s="94" t="s">
        <v>441</v>
      </c>
      <c r="C72" s="94">
        <v>28750</v>
      </c>
      <c r="D72" s="94" t="s">
        <v>122</v>
      </c>
      <c r="E72" s="94"/>
      <c r="F72" s="94"/>
      <c r="G72" s="115"/>
    </row>
    <row r="73" spans="1:7" ht="26.25" customHeight="1" x14ac:dyDescent="0.25">
      <c r="A73" s="95">
        <v>39517</v>
      </c>
      <c r="B73" s="94" t="s">
        <v>471</v>
      </c>
      <c r="C73" s="94">
        <v>30300</v>
      </c>
      <c r="D73" s="94" t="s">
        <v>122</v>
      </c>
      <c r="E73" s="94"/>
      <c r="F73" s="94"/>
      <c r="G73" s="115"/>
    </row>
    <row r="74" spans="1:7" ht="26.25" customHeight="1" x14ac:dyDescent="0.25">
      <c r="A74" s="95">
        <v>39518</v>
      </c>
      <c r="B74" s="94" t="s">
        <v>465</v>
      </c>
      <c r="C74" s="94">
        <v>32100</v>
      </c>
      <c r="D74" s="94" t="s">
        <v>122</v>
      </c>
      <c r="E74" s="94"/>
      <c r="F74" s="94"/>
      <c r="G74" s="115"/>
    </row>
    <row r="75" spans="1:7" ht="26.25" customHeight="1" x14ac:dyDescent="0.25">
      <c r="A75" s="95">
        <v>39519</v>
      </c>
      <c r="B75" s="94" t="s">
        <v>462</v>
      </c>
      <c r="C75" s="94">
        <v>33000</v>
      </c>
      <c r="D75" s="94" t="s">
        <v>122</v>
      </c>
      <c r="E75" s="94"/>
      <c r="F75" s="94"/>
      <c r="G75" s="115"/>
    </row>
    <row r="76" spans="1:7" ht="26.25" customHeight="1" x14ac:dyDescent="0.25">
      <c r="A76" s="95">
        <v>39520</v>
      </c>
      <c r="B76" s="94" t="s">
        <v>458</v>
      </c>
      <c r="C76" s="94">
        <v>33900</v>
      </c>
      <c r="D76" s="94" t="s">
        <v>122</v>
      </c>
      <c r="E76" s="94"/>
      <c r="F76" s="94"/>
      <c r="G76" s="115"/>
    </row>
    <row r="77" spans="1:7" ht="26.25" customHeight="1" x14ac:dyDescent="0.25">
      <c r="A77" s="95">
        <v>39521</v>
      </c>
      <c r="B77" s="94" t="s">
        <v>456</v>
      </c>
      <c r="C77" s="94">
        <v>34750</v>
      </c>
      <c r="D77" s="94" t="s">
        <v>122</v>
      </c>
      <c r="E77" s="94"/>
      <c r="F77" s="94"/>
      <c r="G77" s="115"/>
    </row>
    <row r="78" spans="1:7" ht="26.25" customHeight="1" x14ac:dyDescent="0.25">
      <c r="A78" s="95">
        <v>39522</v>
      </c>
      <c r="B78" s="94" t="s">
        <v>454</v>
      </c>
      <c r="C78" s="94">
        <v>35750</v>
      </c>
      <c r="D78" s="94" t="s">
        <v>122</v>
      </c>
      <c r="E78" s="94"/>
      <c r="F78" s="94"/>
      <c r="G78" s="115"/>
    </row>
    <row r="79" spans="1:7" ht="26.25" customHeight="1" x14ac:dyDescent="0.25">
      <c r="A79" s="95">
        <v>39523</v>
      </c>
      <c r="B79" s="94" t="s">
        <v>453</v>
      </c>
      <c r="C79" s="94" t="s">
        <v>720</v>
      </c>
      <c r="D79" s="94" t="s">
        <v>122</v>
      </c>
      <c r="E79" s="94"/>
      <c r="F79" s="94"/>
      <c r="G79" s="115"/>
    </row>
    <row r="80" spans="1:7" ht="26.25" customHeight="1" x14ac:dyDescent="0.25">
      <c r="A80" s="95">
        <v>39524</v>
      </c>
      <c r="B80" s="94" t="s">
        <v>453</v>
      </c>
      <c r="C80" s="94" t="s">
        <v>720</v>
      </c>
      <c r="D80" s="94" t="s">
        <v>122</v>
      </c>
      <c r="E80" s="94"/>
      <c r="F80" s="94"/>
      <c r="G80" s="115"/>
    </row>
    <row r="81" spans="1:7" ht="26.25" customHeight="1" x14ac:dyDescent="0.25">
      <c r="A81" s="95">
        <v>39525</v>
      </c>
      <c r="B81" s="94" t="s">
        <v>443</v>
      </c>
      <c r="C81" s="94" t="s">
        <v>720</v>
      </c>
      <c r="D81" s="94" t="s">
        <v>122</v>
      </c>
      <c r="E81" s="94"/>
      <c r="F81" s="94"/>
      <c r="G81" s="115"/>
    </row>
    <row r="82" spans="1:7" ht="26.25" customHeight="1" x14ac:dyDescent="0.25">
      <c r="A82" s="95">
        <v>39526</v>
      </c>
      <c r="B82" s="94" t="s">
        <v>443</v>
      </c>
      <c r="C82" s="94" t="s">
        <v>720</v>
      </c>
      <c r="D82" s="94" t="s">
        <v>122</v>
      </c>
      <c r="E82" s="94"/>
      <c r="F82" s="94"/>
      <c r="G82" s="115"/>
    </row>
    <row r="83" spans="1:7" ht="26.25" customHeight="1" x14ac:dyDescent="0.25">
      <c r="A83" s="95">
        <v>39527</v>
      </c>
      <c r="B83" s="94" t="s">
        <v>443</v>
      </c>
      <c r="C83" s="94" t="s">
        <v>720</v>
      </c>
      <c r="D83" s="94" t="s">
        <v>122</v>
      </c>
      <c r="E83" s="94"/>
      <c r="F83" s="94"/>
      <c r="G83" s="115"/>
    </row>
    <row r="84" spans="1:7" ht="26.25" customHeight="1" x14ac:dyDescent="0.25">
      <c r="A84" s="95">
        <v>39528</v>
      </c>
      <c r="B84" s="94" t="s">
        <v>444</v>
      </c>
      <c r="C84" s="94" t="s">
        <v>720</v>
      </c>
      <c r="D84" s="94" t="s">
        <v>122</v>
      </c>
      <c r="E84" s="94"/>
      <c r="F84" s="94"/>
      <c r="G84" s="115"/>
    </row>
    <row r="85" spans="1:7" ht="26.25" customHeight="1" x14ac:dyDescent="0.25">
      <c r="A85" s="95">
        <v>39529</v>
      </c>
      <c r="B85" s="94" t="s">
        <v>444</v>
      </c>
      <c r="C85" s="94" t="s">
        <v>720</v>
      </c>
      <c r="D85" s="94" t="s">
        <v>122</v>
      </c>
      <c r="E85" s="94"/>
      <c r="F85" s="94"/>
      <c r="G85" s="115"/>
    </row>
    <row r="86" spans="1:7" ht="26.25" customHeight="1" x14ac:dyDescent="0.25">
      <c r="A86" s="95">
        <v>39530</v>
      </c>
      <c r="B86" s="94" t="s">
        <v>443</v>
      </c>
      <c r="C86" s="94" t="s">
        <v>720</v>
      </c>
      <c r="D86" s="94" t="s">
        <v>122</v>
      </c>
      <c r="E86" s="94"/>
      <c r="F86" s="94"/>
      <c r="G86" s="115"/>
    </row>
    <row r="87" spans="1:7" ht="26.25" customHeight="1" x14ac:dyDescent="0.25">
      <c r="A87" s="95">
        <v>39531</v>
      </c>
      <c r="B87" s="94" t="s">
        <v>445</v>
      </c>
      <c r="C87" s="94" t="s">
        <v>720</v>
      </c>
      <c r="D87" s="94" t="s">
        <v>122</v>
      </c>
      <c r="E87" s="94"/>
      <c r="F87" s="94"/>
      <c r="G87" s="115"/>
    </row>
    <row r="88" spans="1:7" ht="26.25" customHeight="1" x14ac:dyDescent="0.25">
      <c r="A88" s="95">
        <v>39532</v>
      </c>
      <c r="B88" s="94" t="s">
        <v>445</v>
      </c>
      <c r="C88" s="94" t="s">
        <v>720</v>
      </c>
      <c r="D88" s="94" t="s">
        <v>122</v>
      </c>
      <c r="E88" s="94"/>
      <c r="F88" s="94"/>
      <c r="G88" s="115"/>
    </row>
    <row r="89" spans="1:7" ht="26.25" customHeight="1" x14ac:dyDescent="0.25">
      <c r="A89" s="95">
        <v>39533</v>
      </c>
      <c r="B89" s="94" t="s">
        <v>445</v>
      </c>
      <c r="C89" s="94" t="s">
        <v>720</v>
      </c>
      <c r="D89" s="94" t="s">
        <v>122</v>
      </c>
      <c r="E89" s="94"/>
      <c r="F89" s="94"/>
      <c r="G89" s="115"/>
    </row>
    <row r="90" spans="1:7" ht="26.25" customHeight="1" x14ac:dyDescent="0.25">
      <c r="A90" s="95">
        <v>39534</v>
      </c>
      <c r="B90" s="94" t="s">
        <v>446</v>
      </c>
      <c r="C90" s="94" t="s">
        <v>720</v>
      </c>
      <c r="D90" s="94">
        <v>4</v>
      </c>
      <c r="E90" s="94">
        <v>24.22</v>
      </c>
      <c r="F90" s="94">
        <v>4</v>
      </c>
      <c r="G90" s="115">
        <v>23.61</v>
      </c>
    </row>
    <row r="91" spans="1:7" ht="26.25" customHeight="1" x14ac:dyDescent="0.25">
      <c r="A91" s="95">
        <v>39535</v>
      </c>
      <c r="B91" s="94" t="s">
        <v>450</v>
      </c>
      <c r="C91" s="94" t="s">
        <v>720</v>
      </c>
      <c r="D91" s="94">
        <v>4</v>
      </c>
      <c r="E91" s="94">
        <v>24.22</v>
      </c>
      <c r="F91" s="94">
        <v>4</v>
      </c>
      <c r="G91" s="115">
        <v>23.61</v>
      </c>
    </row>
    <row r="92" spans="1:7" ht="26.25" customHeight="1" x14ac:dyDescent="0.25">
      <c r="A92" s="95">
        <v>39536</v>
      </c>
      <c r="B92" s="94" t="s">
        <v>450</v>
      </c>
      <c r="C92" s="94" t="s">
        <v>720</v>
      </c>
      <c r="D92" s="94" t="s">
        <v>122</v>
      </c>
      <c r="E92" s="94"/>
      <c r="F92" s="94"/>
      <c r="G92" s="115"/>
    </row>
    <row r="93" spans="1:7" ht="26.25" customHeight="1" x14ac:dyDescent="0.25">
      <c r="A93" s="95">
        <v>39537</v>
      </c>
      <c r="B93" s="94" t="s">
        <v>450</v>
      </c>
      <c r="C93" s="94" t="s">
        <v>720</v>
      </c>
      <c r="D93" s="94" t="s">
        <v>122</v>
      </c>
      <c r="E93" s="94"/>
      <c r="F93" s="94"/>
      <c r="G93" s="115"/>
    </row>
    <row r="94" spans="1:7" ht="26.25" customHeight="1" x14ac:dyDescent="0.25">
      <c r="A94" s="95">
        <v>39538</v>
      </c>
      <c r="B94" s="94" t="s">
        <v>450</v>
      </c>
      <c r="C94" s="94" t="s">
        <v>720</v>
      </c>
      <c r="D94" s="94" t="s">
        <v>122</v>
      </c>
      <c r="E94" s="94"/>
      <c r="F94" s="94"/>
      <c r="G94" s="115"/>
    </row>
    <row r="95" spans="1:7" ht="26.25" customHeight="1" x14ac:dyDescent="0.25">
      <c r="A95" s="95">
        <v>39539</v>
      </c>
      <c r="B95" s="94" t="s">
        <v>446</v>
      </c>
      <c r="C95" s="94" t="s">
        <v>720</v>
      </c>
      <c r="D95" s="94" t="s">
        <v>122</v>
      </c>
      <c r="E95" s="94"/>
      <c r="F95" s="94"/>
      <c r="G95" s="115"/>
    </row>
    <row r="96" spans="1:7" ht="26.25" customHeight="1" x14ac:dyDescent="0.25">
      <c r="A96" s="95">
        <v>39540</v>
      </c>
      <c r="B96" s="94" t="s">
        <v>450</v>
      </c>
      <c r="C96" s="94" t="s">
        <v>720</v>
      </c>
      <c r="D96" s="94">
        <v>4</v>
      </c>
      <c r="E96" s="94">
        <v>24.38</v>
      </c>
      <c r="F96" s="94">
        <v>4</v>
      </c>
      <c r="G96" s="115">
        <v>2.89</v>
      </c>
    </row>
    <row r="97" spans="1:7" ht="26.25" customHeight="1" x14ac:dyDescent="0.25">
      <c r="A97" s="95">
        <v>39541</v>
      </c>
      <c r="B97" s="94" t="s">
        <v>459</v>
      </c>
      <c r="C97" s="94" t="s">
        <v>720</v>
      </c>
      <c r="D97" s="94">
        <v>4</v>
      </c>
      <c r="E97" s="94">
        <v>24.38</v>
      </c>
      <c r="F97" s="94">
        <v>4</v>
      </c>
      <c r="G97" s="115">
        <v>23.83</v>
      </c>
    </row>
    <row r="98" spans="1:7" ht="26.25" customHeight="1" x14ac:dyDescent="0.25">
      <c r="A98" s="95">
        <v>39542</v>
      </c>
      <c r="B98" s="94" t="s">
        <v>450</v>
      </c>
      <c r="C98" s="94" t="s">
        <v>720</v>
      </c>
      <c r="D98" s="94">
        <v>8</v>
      </c>
      <c r="E98" s="94">
        <v>48.54</v>
      </c>
      <c r="F98" s="94">
        <v>8</v>
      </c>
      <c r="G98" s="115">
        <v>47.55</v>
      </c>
    </row>
    <row r="99" spans="1:7" ht="26.25" customHeight="1" x14ac:dyDescent="0.25">
      <c r="A99" s="95">
        <v>39543</v>
      </c>
      <c r="B99" s="94" t="s">
        <v>459</v>
      </c>
      <c r="C99" s="94" t="s">
        <v>720</v>
      </c>
      <c r="D99" s="94">
        <v>10</v>
      </c>
      <c r="E99" s="94">
        <v>60.54</v>
      </c>
      <c r="F99" s="94">
        <v>12</v>
      </c>
      <c r="G99" s="115">
        <v>70.83</v>
      </c>
    </row>
    <row r="100" spans="1:7" ht="26.25" customHeight="1" x14ac:dyDescent="0.25">
      <c r="A100" s="95">
        <v>39544</v>
      </c>
      <c r="B100" s="94" t="s">
        <v>452</v>
      </c>
      <c r="C100" s="94" t="s">
        <v>720</v>
      </c>
      <c r="D100" s="94">
        <v>10</v>
      </c>
      <c r="E100" s="94">
        <v>60.54</v>
      </c>
      <c r="F100" s="94">
        <v>12</v>
      </c>
      <c r="G100" s="115">
        <v>70.66</v>
      </c>
    </row>
    <row r="101" spans="1:7" ht="26.25" customHeight="1" x14ac:dyDescent="0.25">
      <c r="A101" s="95">
        <v>39545</v>
      </c>
      <c r="B101" s="94" t="s">
        <v>453</v>
      </c>
      <c r="C101" s="94" t="s">
        <v>720</v>
      </c>
      <c r="D101" s="94">
        <v>10</v>
      </c>
      <c r="E101" s="94">
        <v>60.46</v>
      </c>
      <c r="F101" s="94">
        <v>12</v>
      </c>
      <c r="G101" s="115">
        <v>70.5</v>
      </c>
    </row>
    <row r="102" spans="1:7" ht="26.25" customHeight="1" x14ac:dyDescent="0.25">
      <c r="A102" s="95">
        <v>39546</v>
      </c>
      <c r="B102" s="94" t="s">
        <v>453</v>
      </c>
      <c r="C102" s="94" t="s">
        <v>720</v>
      </c>
      <c r="D102" s="94">
        <v>10</v>
      </c>
      <c r="E102" s="94">
        <v>60.46</v>
      </c>
      <c r="F102" s="94">
        <v>14</v>
      </c>
      <c r="G102" s="115">
        <v>82.05</v>
      </c>
    </row>
    <row r="103" spans="1:7" ht="26.25" customHeight="1" x14ac:dyDescent="0.25">
      <c r="A103" s="95">
        <v>39547</v>
      </c>
      <c r="B103" s="94" t="s">
        <v>453</v>
      </c>
      <c r="C103" s="94" t="s">
        <v>720</v>
      </c>
      <c r="D103" s="94">
        <v>10</v>
      </c>
      <c r="E103" s="94">
        <v>60.46</v>
      </c>
      <c r="F103" s="94">
        <v>14</v>
      </c>
      <c r="G103" s="115">
        <v>82.05</v>
      </c>
    </row>
    <row r="104" spans="1:7" ht="26.25" customHeight="1" x14ac:dyDescent="0.25">
      <c r="A104" s="95">
        <v>39548</v>
      </c>
      <c r="B104" s="94" t="s">
        <v>453</v>
      </c>
      <c r="C104" s="94" t="s">
        <v>720</v>
      </c>
      <c r="D104" s="94">
        <v>6</v>
      </c>
      <c r="E104" s="94">
        <v>36.409999999999997</v>
      </c>
      <c r="F104" s="94">
        <v>8</v>
      </c>
      <c r="G104" s="115">
        <v>47.22</v>
      </c>
    </row>
    <row r="105" spans="1:7" ht="26.25" customHeight="1" x14ac:dyDescent="0.25">
      <c r="A105" s="95">
        <v>39549</v>
      </c>
      <c r="B105" s="94" t="s">
        <v>450</v>
      </c>
      <c r="C105" s="94" t="s">
        <v>720</v>
      </c>
      <c r="D105" s="94">
        <v>6</v>
      </c>
      <c r="E105" s="94">
        <v>36.49</v>
      </c>
      <c r="F105" s="94">
        <v>8</v>
      </c>
      <c r="G105" s="115">
        <v>47.55</v>
      </c>
    </row>
    <row r="106" spans="1:7" ht="26.25" customHeight="1" x14ac:dyDescent="0.25">
      <c r="A106" s="95">
        <v>39550</v>
      </c>
      <c r="B106" s="94" t="s">
        <v>450</v>
      </c>
      <c r="C106" s="94" t="s">
        <v>720</v>
      </c>
      <c r="D106" s="94">
        <v>6</v>
      </c>
      <c r="E106" s="94">
        <v>36.49</v>
      </c>
      <c r="F106" s="94">
        <v>8</v>
      </c>
      <c r="G106" s="115">
        <v>47.55</v>
      </c>
    </row>
    <row r="107" spans="1:7" ht="26.25" customHeight="1" x14ac:dyDescent="0.25">
      <c r="A107" s="95">
        <v>39551</v>
      </c>
      <c r="B107" s="94" t="s">
        <v>450</v>
      </c>
      <c r="C107" s="94" t="s">
        <v>720</v>
      </c>
      <c r="D107" s="94">
        <v>6</v>
      </c>
      <c r="E107" s="94">
        <v>36.49</v>
      </c>
      <c r="F107" s="94">
        <v>8</v>
      </c>
      <c r="G107" s="115">
        <v>47.55</v>
      </c>
    </row>
    <row r="108" spans="1:7" ht="26.25" customHeight="1" x14ac:dyDescent="0.25">
      <c r="A108" s="95">
        <v>39552</v>
      </c>
      <c r="B108" s="94" t="s">
        <v>450</v>
      </c>
      <c r="C108" s="94" t="s">
        <v>720</v>
      </c>
      <c r="D108" s="94">
        <v>6</v>
      </c>
      <c r="E108" s="94">
        <v>36.49</v>
      </c>
      <c r="F108" s="94">
        <v>8</v>
      </c>
      <c r="G108" s="115">
        <v>47.55</v>
      </c>
    </row>
    <row r="109" spans="1:7" ht="26.25" customHeight="1" x14ac:dyDescent="0.25">
      <c r="A109" s="95">
        <v>39553</v>
      </c>
      <c r="B109" s="94" t="s">
        <v>450</v>
      </c>
      <c r="C109" s="94" t="s">
        <v>720</v>
      </c>
      <c r="D109" s="94">
        <v>10</v>
      </c>
      <c r="E109" s="94">
        <v>60.54</v>
      </c>
      <c r="F109" s="94">
        <v>14</v>
      </c>
      <c r="G109" s="115">
        <v>82.64</v>
      </c>
    </row>
    <row r="110" spans="1:7" ht="26.25" customHeight="1" x14ac:dyDescent="0.25">
      <c r="A110" s="95">
        <v>39554</v>
      </c>
      <c r="B110" s="94" t="s">
        <v>459</v>
      </c>
      <c r="C110" s="94" t="s">
        <v>720</v>
      </c>
      <c r="D110" s="94">
        <v>10</v>
      </c>
      <c r="E110" s="94">
        <v>60.54</v>
      </c>
      <c r="F110" s="94">
        <v>10</v>
      </c>
      <c r="G110" s="115">
        <v>59.17</v>
      </c>
    </row>
    <row r="111" spans="1:7" ht="26.25" customHeight="1" x14ac:dyDescent="0.25">
      <c r="A111" s="95">
        <v>39555</v>
      </c>
      <c r="B111" s="94" t="s">
        <v>452</v>
      </c>
      <c r="C111" s="94" t="s">
        <v>720</v>
      </c>
      <c r="D111" s="94">
        <v>10</v>
      </c>
      <c r="E111" s="94">
        <v>60.54</v>
      </c>
      <c r="F111" s="94">
        <v>14</v>
      </c>
      <c r="G111" s="115">
        <v>82.24</v>
      </c>
    </row>
    <row r="112" spans="1:7" ht="26.25" customHeight="1" x14ac:dyDescent="0.25">
      <c r="A112" s="95">
        <v>39556</v>
      </c>
      <c r="B112" s="94" t="s">
        <v>459</v>
      </c>
      <c r="C112" s="94" t="s">
        <v>720</v>
      </c>
      <c r="D112" s="94">
        <v>10</v>
      </c>
      <c r="E112" s="94">
        <v>60.54</v>
      </c>
      <c r="F112" s="94">
        <v>14</v>
      </c>
      <c r="G112" s="115">
        <v>82.44</v>
      </c>
    </row>
    <row r="113" spans="1:7" ht="26.25" customHeight="1" x14ac:dyDescent="0.25">
      <c r="A113" s="95">
        <v>39557</v>
      </c>
      <c r="B113" s="94" t="s">
        <v>453</v>
      </c>
      <c r="C113" s="94">
        <v>36250</v>
      </c>
      <c r="D113" s="94">
        <v>10</v>
      </c>
      <c r="E113" s="94">
        <v>60.4</v>
      </c>
      <c r="F113" s="94">
        <v>14</v>
      </c>
      <c r="G113" s="115">
        <v>82.05</v>
      </c>
    </row>
    <row r="114" spans="1:7" ht="26.25" customHeight="1" x14ac:dyDescent="0.25">
      <c r="A114" s="95">
        <v>39558</v>
      </c>
      <c r="B114" s="94" t="s">
        <v>453</v>
      </c>
      <c r="C114" s="94">
        <v>36250</v>
      </c>
      <c r="D114" s="94">
        <v>10</v>
      </c>
      <c r="E114" s="94">
        <v>60.4</v>
      </c>
      <c r="F114" s="94">
        <v>14</v>
      </c>
      <c r="G114" s="115">
        <v>82.05</v>
      </c>
    </row>
    <row r="115" spans="1:7" ht="26.25" customHeight="1" x14ac:dyDescent="0.25">
      <c r="A115" s="95">
        <v>39559</v>
      </c>
      <c r="B115" s="94" t="s">
        <v>453</v>
      </c>
      <c r="C115" s="94">
        <v>36250</v>
      </c>
      <c r="D115" s="94">
        <v>10</v>
      </c>
      <c r="E115" s="94">
        <v>60.4</v>
      </c>
      <c r="F115" s="94">
        <v>14</v>
      </c>
      <c r="G115" s="115">
        <v>82.05</v>
      </c>
    </row>
    <row r="116" spans="1:7" ht="26.25" customHeight="1" x14ac:dyDescent="0.25">
      <c r="A116" s="95">
        <v>39560</v>
      </c>
      <c r="B116" s="94" t="s">
        <v>453</v>
      </c>
      <c r="C116" s="94">
        <v>36250</v>
      </c>
      <c r="D116" s="94">
        <v>10</v>
      </c>
      <c r="E116" s="94">
        <v>60.4</v>
      </c>
      <c r="F116" s="94">
        <v>14</v>
      </c>
      <c r="G116" s="115">
        <v>82.05</v>
      </c>
    </row>
    <row r="117" spans="1:7" ht="26.25" customHeight="1" x14ac:dyDescent="0.25">
      <c r="A117" s="95">
        <v>39561</v>
      </c>
      <c r="B117" s="94" t="s">
        <v>453</v>
      </c>
      <c r="C117" s="94">
        <v>36250</v>
      </c>
      <c r="D117" s="94">
        <v>10</v>
      </c>
      <c r="E117" s="94">
        <v>60.4</v>
      </c>
      <c r="F117" s="94">
        <v>12</v>
      </c>
      <c r="G117" s="115">
        <v>70.5</v>
      </c>
    </row>
    <row r="118" spans="1:7" ht="26.25" customHeight="1" x14ac:dyDescent="0.25">
      <c r="A118" s="95">
        <v>39562</v>
      </c>
      <c r="B118" s="94" t="s">
        <v>454</v>
      </c>
      <c r="C118" s="94">
        <v>35750</v>
      </c>
      <c r="D118" s="94">
        <v>10</v>
      </c>
      <c r="E118" s="94">
        <v>60.27</v>
      </c>
      <c r="F118" s="94">
        <v>12</v>
      </c>
      <c r="G118" s="115">
        <v>70.33</v>
      </c>
    </row>
    <row r="119" spans="1:7" ht="26.25" customHeight="1" x14ac:dyDescent="0.25">
      <c r="A119" s="95">
        <v>39563</v>
      </c>
      <c r="B119" s="94" t="s">
        <v>456</v>
      </c>
      <c r="C119" s="94">
        <v>34750</v>
      </c>
      <c r="D119" s="94">
        <v>10</v>
      </c>
      <c r="E119" s="94">
        <v>39.99</v>
      </c>
      <c r="F119" s="94">
        <v>12</v>
      </c>
      <c r="G119" s="115">
        <v>69.989999999999995</v>
      </c>
    </row>
    <row r="120" spans="1:7" ht="26.25" customHeight="1" x14ac:dyDescent="0.25">
      <c r="A120" s="95">
        <v>39564</v>
      </c>
      <c r="B120" s="94" t="s">
        <v>456</v>
      </c>
      <c r="C120" s="94">
        <v>34750</v>
      </c>
      <c r="D120" s="94">
        <v>9</v>
      </c>
      <c r="E120" s="94">
        <v>34.06</v>
      </c>
      <c r="F120" s="94">
        <v>9</v>
      </c>
      <c r="G120" s="115">
        <v>52.68</v>
      </c>
    </row>
    <row r="121" spans="1:7" ht="26.25" customHeight="1" x14ac:dyDescent="0.25">
      <c r="A121" s="95">
        <v>39565</v>
      </c>
      <c r="B121" s="94" t="s">
        <v>446</v>
      </c>
      <c r="C121" s="94" t="s">
        <v>720</v>
      </c>
      <c r="D121" s="94" t="s">
        <v>122</v>
      </c>
      <c r="E121" s="94"/>
      <c r="F121" s="94">
        <v>6</v>
      </c>
      <c r="G121" s="115">
        <v>35.83</v>
      </c>
    </row>
    <row r="122" spans="1:7" ht="26.25" customHeight="1" x14ac:dyDescent="0.25">
      <c r="A122" s="95">
        <v>39566</v>
      </c>
      <c r="B122" s="94" t="s">
        <v>446</v>
      </c>
      <c r="C122" s="94" t="s">
        <v>720</v>
      </c>
      <c r="D122" s="94" t="s">
        <v>122</v>
      </c>
      <c r="E122" s="94"/>
      <c r="F122" s="94">
        <v>6</v>
      </c>
      <c r="G122" s="115">
        <v>35.83</v>
      </c>
    </row>
    <row r="123" spans="1:7" ht="26.25" customHeight="1" x14ac:dyDescent="0.25">
      <c r="A123" s="95">
        <v>39567</v>
      </c>
      <c r="B123" s="94" t="s">
        <v>450</v>
      </c>
      <c r="C123" s="94" t="s">
        <v>720</v>
      </c>
      <c r="D123" s="94">
        <v>5</v>
      </c>
      <c r="E123" s="94">
        <v>30.44</v>
      </c>
      <c r="F123" s="94">
        <v>9</v>
      </c>
      <c r="G123" s="115">
        <v>53.44</v>
      </c>
    </row>
    <row r="124" spans="1:7" ht="26.25" customHeight="1" x14ac:dyDescent="0.25">
      <c r="A124" s="95">
        <v>39568</v>
      </c>
      <c r="B124" s="94" t="s">
        <v>459</v>
      </c>
      <c r="C124" s="94" t="s">
        <v>720</v>
      </c>
      <c r="D124" s="94">
        <v>9</v>
      </c>
      <c r="E124" s="94">
        <v>54.55</v>
      </c>
      <c r="F124" s="94">
        <v>5</v>
      </c>
      <c r="G124" s="115">
        <v>29.76</v>
      </c>
    </row>
    <row r="125" spans="1:7" ht="26.25" customHeight="1" x14ac:dyDescent="0.25">
      <c r="A125" s="95">
        <v>39569</v>
      </c>
      <c r="B125" s="94" t="s">
        <v>452</v>
      </c>
      <c r="C125" s="94" t="s">
        <v>720</v>
      </c>
      <c r="D125" s="94">
        <v>9</v>
      </c>
      <c r="E125" s="94">
        <v>54.55</v>
      </c>
      <c r="F125" s="94">
        <v>9</v>
      </c>
      <c r="G125" s="115">
        <v>53.19</v>
      </c>
    </row>
    <row r="126" spans="1:7" ht="26.25" customHeight="1" x14ac:dyDescent="0.25">
      <c r="A126" s="95">
        <v>39570</v>
      </c>
      <c r="B126" s="94" t="s">
        <v>453</v>
      </c>
      <c r="C126" s="94">
        <v>36250</v>
      </c>
      <c r="D126" s="94">
        <v>10</v>
      </c>
      <c r="E126" s="94">
        <v>60.4</v>
      </c>
      <c r="F126" s="94">
        <v>10</v>
      </c>
      <c r="G126" s="115">
        <v>58.89</v>
      </c>
    </row>
    <row r="127" spans="1:7" ht="26.25" customHeight="1" x14ac:dyDescent="0.25">
      <c r="A127" s="95">
        <v>39571</v>
      </c>
      <c r="B127" s="94" t="s">
        <v>454</v>
      </c>
      <c r="C127" s="94">
        <v>35750</v>
      </c>
      <c r="D127" s="94">
        <v>11</v>
      </c>
      <c r="E127" s="94">
        <v>66.22</v>
      </c>
      <c r="F127" s="94">
        <v>12</v>
      </c>
      <c r="G127" s="115">
        <v>70.33</v>
      </c>
    </row>
    <row r="128" spans="1:7" ht="26.25" customHeight="1" x14ac:dyDescent="0.25">
      <c r="A128" s="95">
        <v>39572</v>
      </c>
      <c r="B128" s="94" t="s">
        <v>454</v>
      </c>
      <c r="C128" s="94">
        <v>35750</v>
      </c>
      <c r="D128" s="94">
        <v>11</v>
      </c>
      <c r="E128" s="94">
        <v>66.22</v>
      </c>
      <c r="F128" s="94">
        <v>12</v>
      </c>
      <c r="G128" s="115">
        <v>70.33</v>
      </c>
    </row>
    <row r="129" spans="1:7" ht="26.25" customHeight="1" x14ac:dyDescent="0.25">
      <c r="A129" s="95">
        <v>39573</v>
      </c>
      <c r="B129" s="94" t="s">
        <v>455</v>
      </c>
      <c r="C129" s="94">
        <v>35250</v>
      </c>
      <c r="D129" s="94">
        <v>11</v>
      </c>
      <c r="E129" s="94">
        <v>66.069999999999993</v>
      </c>
      <c r="F129" s="94">
        <v>12</v>
      </c>
      <c r="G129" s="115">
        <v>70.16</v>
      </c>
    </row>
    <row r="130" spans="1:7" ht="26.25" customHeight="1" x14ac:dyDescent="0.25">
      <c r="A130" s="95">
        <v>39574</v>
      </c>
      <c r="B130" s="94" t="s">
        <v>455</v>
      </c>
      <c r="C130" s="94">
        <v>35250</v>
      </c>
      <c r="D130" s="94">
        <v>10</v>
      </c>
      <c r="E130" s="94">
        <v>66.069999999999993</v>
      </c>
      <c r="F130" s="94">
        <v>12</v>
      </c>
      <c r="G130" s="115">
        <v>70.16</v>
      </c>
    </row>
    <row r="131" spans="1:7" ht="26.25" customHeight="1" x14ac:dyDescent="0.25">
      <c r="A131" s="95">
        <v>39575</v>
      </c>
      <c r="B131" s="94" t="s">
        <v>456</v>
      </c>
      <c r="C131" s="94">
        <v>34750</v>
      </c>
      <c r="D131" s="94">
        <v>12</v>
      </c>
      <c r="E131" s="94">
        <v>71.83</v>
      </c>
      <c r="F131" s="94">
        <v>12</v>
      </c>
      <c r="G131" s="115">
        <v>69.989999999999995</v>
      </c>
    </row>
    <row r="132" spans="1:7" ht="26.25" customHeight="1" x14ac:dyDescent="0.25">
      <c r="A132" s="95">
        <v>39576</v>
      </c>
      <c r="B132" s="94" t="s">
        <v>457</v>
      </c>
      <c r="C132" s="94">
        <v>34250</v>
      </c>
      <c r="D132" s="94">
        <v>12</v>
      </c>
      <c r="E132" s="94">
        <v>71.66</v>
      </c>
      <c r="F132" s="94">
        <v>12</v>
      </c>
      <c r="G132" s="115">
        <v>69.819999999999993</v>
      </c>
    </row>
    <row r="133" spans="1:7" ht="26.25" customHeight="1" x14ac:dyDescent="0.25">
      <c r="A133" s="95">
        <v>39577</v>
      </c>
      <c r="B133" s="94" t="s">
        <v>458</v>
      </c>
      <c r="C133" s="94">
        <v>33900</v>
      </c>
      <c r="D133" s="94">
        <v>12</v>
      </c>
      <c r="E133" s="94">
        <v>71.66</v>
      </c>
      <c r="F133" s="94">
        <v>12</v>
      </c>
      <c r="G133" s="115">
        <v>69.650000000000006</v>
      </c>
    </row>
    <row r="134" spans="1:7" ht="26.25" customHeight="1" x14ac:dyDescent="0.25">
      <c r="A134" s="95">
        <v>39578</v>
      </c>
      <c r="B134" s="94" t="s">
        <v>461</v>
      </c>
      <c r="C134" s="94">
        <v>33500</v>
      </c>
      <c r="D134" s="94">
        <v>10</v>
      </c>
      <c r="E134" s="94">
        <v>59.58</v>
      </c>
      <c r="F134" s="94">
        <v>12</v>
      </c>
      <c r="G134" s="115">
        <v>69.31</v>
      </c>
    </row>
    <row r="135" spans="1:7" ht="26.25" customHeight="1" x14ac:dyDescent="0.25">
      <c r="A135" s="95">
        <v>39579</v>
      </c>
      <c r="B135" s="94" t="s">
        <v>462</v>
      </c>
      <c r="C135" s="94">
        <v>33000</v>
      </c>
      <c r="D135" s="94">
        <v>10</v>
      </c>
      <c r="E135" s="94">
        <v>59.44</v>
      </c>
      <c r="F135" s="94">
        <v>12</v>
      </c>
      <c r="G135" s="115">
        <v>69.14</v>
      </c>
    </row>
    <row r="136" spans="1:7" ht="26.25" customHeight="1" x14ac:dyDescent="0.25">
      <c r="A136" s="95">
        <v>39580</v>
      </c>
      <c r="B136" s="94" t="s">
        <v>463</v>
      </c>
      <c r="C136" s="94">
        <v>32800</v>
      </c>
      <c r="D136" s="94" t="s">
        <v>122</v>
      </c>
      <c r="E136" s="94"/>
      <c r="F136" s="94"/>
      <c r="G136" s="115"/>
    </row>
    <row r="137" spans="1:7" ht="26.25" customHeight="1" x14ac:dyDescent="0.25">
      <c r="A137" s="95">
        <v>39581</v>
      </c>
      <c r="B137" s="94" t="s">
        <v>463</v>
      </c>
      <c r="C137" s="94">
        <v>32800</v>
      </c>
      <c r="D137" s="94" t="s">
        <v>122</v>
      </c>
      <c r="E137" s="94"/>
      <c r="F137" s="94"/>
      <c r="G137" s="115"/>
    </row>
    <row r="138" spans="1:7" ht="26.25" customHeight="1" x14ac:dyDescent="0.25">
      <c r="A138" s="95">
        <v>39582</v>
      </c>
      <c r="B138" s="94" t="s">
        <v>463</v>
      </c>
      <c r="C138" s="94">
        <v>32800</v>
      </c>
      <c r="D138" s="94">
        <v>10</v>
      </c>
      <c r="E138" s="94">
        <v>59.17</v>
      </c>
      <c r="F138" s="94">
        <v>12</v>
      </c>
      <c r="G138" s="115">
        <v>68.8</v>
      </c>
    </row>
    <row r="139" spans="1:7" ht="26.25" customHeight="1" x14ac:dyDescent="0.25">
      <c r="A139" s="95">
        <v>39583</v>
      </c>
      <c r="B139" s="94" t="s">
        <v>554</v>
      </c>
      <c r="C139" s="94">
        <v>32600</v>
      </c>
      <c r="D139" s="94">
        <v>10</v>
      </c>
      <c r="E139" s="94">
        <v>59.17</v>
      </c>
      <c r="F139" s="94">
        <v>12</v>
      </c>
      <c r="G139" s="115">
        <v>68.8</v>
      </c>
    </row>
    <row r="140" spans="1:7" ht="26.25" customHeight="1" x14ac:dyDescent="0.25">
      <c r="A140" s="95">
        <v>39584</v>
      </c>
      <c r="B140" s="94" t="s">
        <v>464</v>
      </c>
      <c r="C140" s="94">
        <v>32400</v>
      </c>
      <c r="D140" s="94">
        <v>10</v>
      </c>
      <c r="E140" s="94">
        <v>59.03</v>
      </c>
      <c r="F140" s="94">
        <v>12</v>
      </c>
      <c r="G140" s="115">
        <v>68.62</v>
      </c>
    </row>
    <row r="141" spans="1:7" ht="26.25" customHeight="1" x14ac:dyDescent="0.25">
      <c r="A141" s="95">
        <v>39585</v>
      </c>
      <c r="B141" s="94" t="s">
        <v>466</v>
      </c>
      <c r="C141" s="94">
        <v>32000</v>
      </c>
      <c r="D141" s="94">
        <v>12</v>
      </c>
      <c r="E141" s="94">
        <v>70.33</v>
      </c>
      <c r="F141" s="94">
        <v>15</v>
      </c>
      <c r="G141" s="115">
        <v>85.02</v>
      </c>
    </row>
    <row r="142" spans="1:7" ht="26.25" customHeight="1" x14ac:dyDescent="0.25">
      <c r="A142" s="95">
        <v>39586</v>
      </c>
      <c r="B142" s="94" t="s">
        <v>468</v>
      </c>
      <c r="C142" s="94">
        <v>31125</v>
      </c>
      <c r="D142" s="94">
        <v>12</v>
      </c>
      <c r="E142" s="94">
        <v>69.989999999999995</v>
      </c>
      <c r="F142" s="94">
        <v>15</v>
      </c>
      <c r="G142" s="115">
        <v>84.59</v>
      </c>
    </row>
    <row r="143" spans="1:7" ht="26.25" customHeight="1" x14ac:dyDescent="0.25">
      <c r="A143" s="95">
        <v>39587</v>
      </c>
      <c r="B143" s="94" t="s">
        <v>442</v>
      </c>
      <c r="C143" s="94">
        <v>30500</v>
      </c>
      <c r="D143" s="94">
        <v>12</v>
      </c>
      <c r="E143" s="94">
        <v>69.650000000000006</v>
      </c>
      <c r="F143" s="94">
        <v>15</v>
      </c>
      <c r="G143" s="115">
        <v>84.15</v>
      </c>
    </row>
    <row r="144" spans="1:7" ht="26.25" customHeight="1" x14ac:dyDescent="0.25">
      <c r="A144" s="95">
        <v>39588</v>
      </c>
      <c r="B144" s="94" t="s">
        <v>470</v>
      </c>
      <c r="C144" s="94">
        <v>30200</v>
      </c>
      <c r="D144" s="94">
        <v>12</v>
      </c>
      <c r="E144" s="94">
        <v>69.31</v>
      </c>
      <c r="F144" s="94">
        <v>15</v>
      </c>
      <c r="G144" s="115">
        <v>83.71</v>
      </c>
    </row>
    <row r="145" spans="1:7" ht="26.25" customHeight="1" x14ac:dyDescent="0.25">
      <c r="A145" s="95">
        <v>39589</v>
      </c>
      <c r="B145" s="94" t="s">
        <v>473</v>
      </c>
      <c r="C145" s="94">
        <v>28850</v>
      </c>
      <c r="D145" s="94">
        <v>12</v>
      </c>
      <c r="E145" s="94">
        <v>68.97</v>
      </c>
      <c r="F145" s="94">
        <v>15</v>
      </c>
      <c r="G145" s="115">
        <v>83.26</v>
      </c>
    </row>
    <row r="146" spans="1:7" ht="26.25" customHeight="1" x14ac:dyDescent="0.25">
      <c r="A146" s="95">
        <v>39590</v>
      </c>
      <c r="B146" s="94" t="s">
        <v>441</v>
      </c>
      <c r="C146" s="94">
        <v>28750</v>
      </c>
      <c r="D146" s="94">
        <v>10</v>
      </c>
      <c r="E146" s="94">
        <v>57.47</v>
      </c>
      <c r="F146" s="94">
        <v>12</v>
      </c>
      <c r="G146" s="115">
        <v>66.7</v>
      </c>
    </row>
    <row r="147" spans="1:7" ht="26.25" customHeight="1" x14ac:dyDescent="0.25">
      <c r="A147" s="95">
        <v>39591</v>
      </c>
      <c r="B147" s="94" t="s">
        <v>475</v>
      </c>
      <c r="C147" s="94">
        <v>28500</v>
      </c>
      <c r="D147" s="94">
        <v>10</v>
      </c>
      <c r="E147" s="94">
        <v>57.19</v>
      </c>
      <c r="F147" s="94">
        <v>12</v>
      </c>
      <c r="G147" s="115">
        <v>66.349999999999994</v>
      </c>
    </row>
    <row r="148" spans="1:7" ht="26.25" customHeight="1" x14ac:dyDescent="0.25">
      <c r="A148" s="95">
        <v>39592</v>
      </c>
      <c r="B148" s="94" t="s">
        <v>476</v>
      </c>
      <c r="C148" s="94">
        <v>28400</v>
      </c>
      <c r="D148" s="94">
        <v>10</v>
      </c>
      <c r="E148" s="94">
        <v>57.04</v>
      </c>
      <c r="F148" s="94"/>
      <c r="G148" s="115"/>
    </row>
    <row r="149" spans="1:7" ht="26.25" customHeight="1" x14ac:dyDescent="0.25">
      <c r="A149" s="95">
        <v>39593</v>
      </c>
      <c r="B149" s="94" t="s">
        <v>440</v>
      </c>
      <c r="C149" s="94">
        <v>28200</v>
      </c>
      <c r="D149" s="94">
        <v>16</v>
      </c>
      <c r="E149" s="94">
        <v>90.34</v>
      </c>
      <c r="F149" s="94">
        <v>10</v>
      </c>
      <c r="G149" s="115">
        <v>55.14</v>
      </c>
    </row>
    <row r="150" spans="1:7" ht="26.25" customHeight="1" x14ac:dyDescent="0.25">
      <c r="A150" s="95">
        <v>39594</v>
      </c>
      <c r="B150" s="94" t="s">
        <v>440</v>
      </c>
      <c r="C150" s="94">
        <v>28200</v>
      </c>
      <c r="D150" s="94"/>
      <c r="E150" s="94"/>
      <c r="F150" s="94"/>
      <c r="G150" s="115"/>
    </row>
    <row r="151" spans="1:7" ht="26.25" customHeight="1" x14ac:dyDescent="0.25">
      <c r="A151" s="95">
        <v>39595</v>
      </c>
      <c r="B151" s="94" t="s">
        <v>440</v>
      </c>
      <c r="C151" s="94">
        <v>28200</v>
      </c>
      <c r="D151" s="94"/>
      <c r="E151" s="94"/>
      <c r="F151" s="94"/>
      <c r="G151" s="115"/>
    </row>
    <row r="152" spans="1:7" ht="26.25" customHeight="1" x14ac:dyDescent="0.25">
      <c r="A152" s="95">
        <v>39596</v>
      </c>
      <c r="B152" s="94" t="s">
        <v>378</v>
      </c>
      <c r="C152" s="94">
        <v>28000</v>
      </c>
      <c r="D152" s="94">
        <v>10</v>
      </c>
      <c r="E152" s="94">
        <v>56.76</v>
      </c>
      <c r="F152" s="94">
        <v>2</v>
      </c>
      <c r="G152" s="115">
        <v>11.12</v>
      </c>
    </row>
    <row r="153" spans="1:7" ht="26.25" customHeight="1" x14ac:dyDescent="0.25">
      <c r="A153" s="95">
        <v>39597</v>
      </c>
      <c r="B153" s="94" t="s">
        <v>439</v>
      </c>
      <c r="C153" s="94">
        <v>27500</v>
      </c>
      <c r="D153" s="94">
        <v>11</v>
      </c>
      <c r="E153" s="94">
        <v>62.03</v>
      </c>
      <c r="F153" s="94">
        <v>1</v>
      </c>
      <c r="G153" s="115">
        <v>5.54</v>
      </c>
    </row>
    <row r="154" spans="1:7" ht="26.25" customHeight="1" x14ac:dyDescent="0.25">
      <c r="A154" s="95">
        <v>39598</v>
      </c>
      <c r="B154" s="94" t="s">
        <v>480</v>
      </c>
      <c r="C154" s="94">
        <v>26750</v>
      </c>
      <c r="D154" s="94">
        <v>11</v>
      </c>
      <c r="E154" s="94">
        <v>61.71</v>
      </c>
      <c r="F154" s="94">
        <v>14</v>
      </c>
      <c r="G154" s="115">
        <v>75.72</v>
      </c>
    </row>
    <row r="155" spans="1:7" ht="26.25" customHeight="1" x14ac:dyDescent="0.25">
      <c r="A155" s="95">
        <v>39599</v>
      </c>
      <c r="B155" s="94" t="s">
        <v>721</v>
      </c>
      <c r="C155" s="94">
        <v>26000</v>
      </c>
      <c r="D155" s="94">
        <v>11</v>
      </c>
      <c r="E155" s="94">
        <v>61.39</v>
      </c>
      <c r="F155" s="94">
        <v>14</v>
      </c>
      <c r="G155" s="115">
        <v>75.290000000000006</v>
      </c>
    </row>
    <row r="156" spans="1:7" ht="26.25" customHeight="1" x14ac:dyDescent="0.25">
      <c r="A156" s="95">
        <v>39600</v>
      </c>
      <c r="B156" s="94" t="s">
        <v>722</v>
      </c>
      <c r="C156" s="94">
        <v>25700</v>
      </c>
      <c r="D156" s="94">
        <v>11</v>
      </c>
      <c r="E156" s="94">
        <v>61.06</v>
      </c>
      <c r="F156" s="94">
        <v>14</v>
      </c>
      <c r="G156" s="115">
        <v>74.86</v>
      </c>
    </row>
    <row r="157" spans="1:7" ht="26.25" customHeight="1" x14ac:dyDescent="0.25">
      <c r="A157" s="95">
        <v>39601</v>
      </c>
      <c r="B157" s="94" t="s">
        <v>723</v>
      </c>
      <c r="C157" s="94">
        <v>25400</v>
      </c>
      <c r="D157" s="94">
        <v>11</v>
      </c>
      <c r="E157" s="94">
        <v>60.74</v>
      </c>
      <c r="F157" s="94">
        <v>14</v>
      </c>
      <c r="G157" s="115">
        <v>74.430000000000007</v>
      </c>
    </row>
    <row r="158" spans="1:7" ht="26.25" customHeight="1" x14ac:dyDescent="0.25">
      <c r="A158" s="95">
        <v>39602</v>
      </c>
      <c r="B158" s="94" t="s">
        <v>484</v>
      </c>
      <c r="C158" s="94">
        <v>25100</v>
      </c>
      <c r="D158" s="94">
        <v>11</v>
      </c>
      <c r="E158" s="94">
        <v>60.41</v>
      </c>
      <c r="F158" s="94">
        <v>12</v>
      </c>
      <c r="G158" s="115">
        <v>63.61</v>
      </c>
    </row>
    <row r="159" spans="1:7" ht="26.25" customHeight="1" x14ac:dyDescent="0.25">
      <c r="A159" s="95">
        <v>39603</v>
      </c>
      <c r="B159" s="94" t="s">
        <v>437</v>
      </c>
      <c r="C159" s="94">
        <v>24500</v>
      </c>
      <c r="D159" s="94">
        <v>10</v>
      </c>
      <c r="E159" s="94">
        <v>54.84</v>
      </c>
      <c r="F159" s="94">
        <v>12</v>
      </c>
      <c r="G159" s="115">
        <v>63.43</v>
      </c>
    </row>
    <row r="160" spans="1:7" ht="26.25" customHeight="1" x14ac:dyDescent="0.25">
      <c r="A160" s="95">
        <v>39604</v>
      </c>
      <c r="B160" s="94" t="s">
        <v>345</v>
      </c>
      <c r="C160" s="94">
        <v>24000</v>
      </c>
      <c r="D160" s="94">
        <v>10</v>
      </c>
      <c r="E160" s="94">
        <v>54.69</v>
      </c>
      <c r="F160" s="94">
        <v>12</v>
      </c>
      <c r="G160" s="115">
        <v>63.24</v>
      </c>
    </row>
    <row r="161" spans="1:7" ht="26.25" customHeight="1" x14ac:dyDescent="0.25">
      <c r="A161" s="95">
        <v>39605</v>
      </c>
      <c r="B161" s="94" t="s">
        <v>348</v>
      </c>
      <c r="C161" s="94">
        <v>22450</v>
      </c>
      <c r="D161" s="94">
        <v>10</v>
      </c>
      <c r="E161" s="94">
        <v>54.39</v>
      </c>
      <c r="F161" s="94">
        <v>12</v>
      </c>
      <c r="G161" s="115">
        <v>62.86</v>
      </c>
    </row>
    <row r="162" spans="1:7" ht="26.25" customHeight="1" x14ac:dyDescent="0.25">
      <c r="A162" s="95">
        <v>39606</v>
      </c>
      <c r="B162" s="94" t="s">
        <v>348</v>
      </c>
      <c r="C162" s="94">
        <v>22450</v>
      </c>
      <c r="D162" s="94"/>
      <c r="E162" s="94"/>
      <c r="F162" s="94"/>
      <c r="G162" s="115"/>
    </row>
    <row r="163" spans="1:7" ht="26.25" customHeight="1" x14ac:dyDescent="0.25">
      <c r="A163" s="95">
        <v>39607</v>
      </c>
      <c r="B163" s="94" t="s">
        <v>348</v>
      </c>
      <c r="C163" s="94">
        <v>22450</v>
      </c>
      <c r="D163" s="94"/>
      <c r="E163" s="94"/>
      <c r="F163" s="94"/>
      <c r="G163" s="115"/>
    </row>
    <row r="164" spans="1:7" ht="26.25" customHeight="1" x14ac:dyDescent="0.25">
      <c r="A164" s="95">
        <v>39608</v>
      </c>
      <c r="B164" s="94" t="s">
        <v>348</v>
      </c>
      <c r="C164" s="94">
        <v>22450</v>
      </c>
      <c r="D164" s="94"/>
      <c r="E164" s="94"/>
      <c r="F164" s="94"/>
      <c r="G164" s="115"/>
    </row>
    <row r="165" spans="1:7" ht="26.25" customHeight="1" x14ac:dyDescent="0.25">
      <c r="A165" s="95">
        <v>39609</v>
      </c>
      <c r="B165" s="94" t="s">
        <v>349</v>
      </c>
      <c r="C165" s="94">
        <v>22400</v>
      </c>
      <c r="D165" s="94">
        <v>12</v>
      </c>
      <c r="E165" s="94">
        <v>64.900000000000006</v>
      </c>
      <c r="F165" s="94">
        <v>14</v>
      </c>
      <c r="G165" s="115">
        <v>72.900000000000006</v>
      </c>
    </row>
    <row r="166" spans="1:7" ht="26.25" customHeight="1" x14ac:dyDescent="0.25">
      <c r="A166" s="95">
        <v>39610</v>
      </c>
      <c r="B166" s="94" t="s">
        <v>351</v>
      </c>
      <c r="C166" s="94">
        <v>22325</v>
      </c>
      <c r="D166" s="94">
        <v>12</v>
      </c>
      <c r="E166" s="94">
        <v>64.540000000000006</v>
      </c>
      <c r="F166" s="94">
        <v>14</v>
      </c>
      <c r="G166" s="115">
        <v>72.459999999999994</v>
      </c>
    </row>
    <row r="167" spans="1:7" ht="26.25" customHeight="1" x14ac:dyDescent="0.25">
      <c r="A167" s="95">
        <v>39611</v>
      </c>
      <c r="B167" s="94" t="s">
        <v>344</v>
      </c>
      <c r="C167" s="94">
        <v>22250</v>
      </c>
      <c r="D167" s="94">
        <v>12</v>
      </c>
      <c r="E167" s="94">
        <v>64.17</v>
      </c>
      <c r="F167" s="94">
        <v>14</v>
      </c>
      <c r="G167" s="115">
        <v>72.010000000000005</v>
      </c>
    </row>
    <row r="168" spans="1:7" ht="26.25" customHeight="1" x14ac:dyDescent="0.25">
      <c r="A168" s="95">
        <v>39612</v>
      </c>
      <c r="B168" s="94" t="s">
        <v>356</v>
      </c>
      <c r="C168" s="94">
        <v>21750</v>
      </c>
      <c r="D168" s="94"/>
      <c r="E168" s="94"/>
      <c r="F168" s="94"/>
      <c r="G168" s="115"/>
    </row>
    <row r="169" spans="1:7" ht="26.25" customHeight="1" x14ac:dyDescent="0.25">
      <c r="A169" s="95">
        <v>39613</v>
      </c>
      <c r="B169" s="94" t="s">
        <v>358</v>
      </c>
      <c r="C169" s="94">
        <v>21400</v>
      </c>
      <c r="D169" s="94"/>
      <c r="E169" s="94"/>
      <c r="F169" s="94"/>
      <c r="G169" s="115"/>
    </row>
    <row r="170" spans="1:7" ht="26.25" customHeight="1" x14ac:dyDescent="0.25">
      <c r="A170" s="95">
        <v>39614</v>
      </c>
      <c r="B170" s="94" t="s">
        <v>360</v>
      </c>
      <c r="C170" s="94">
        <v>21000</v>
      </c>
      <c r="D170" s="94"/>
      <c r="E170" s="94"/>
      <c r="F170" s="94"/>
      <c r="G170" s="115"/>
    </row>
    <row r="171" spans="1:7" ht="26.25" customHeight="1" x14ac:dyDescent="0.25">
      <c r="A171" s="95">
        <v>39615</v>
      </c>
      <c r="B171" s="94" t="s">
        <v>361</v>
      </c>
      <c r="C171" s="94">
        <v>20650</v>
      </c>
      <c r="D171" s="94">
        <v>10</v>
      </c>
      <c r="E171" s="94">
        <v>52.54</v>
      </c>
      <c r="F171" s="94">
        <v>12</v>
      </c>
      <c r="G171" s="115">
        <v>60.56</v>
      </c>
    </row>
    <row r="172" spans="1:7" ht="26.25" customHeight="1" x14ac:dyDescent="0.25">
      <c r="A172" s="95">
        <v>39616</v>
      </c>
      <c r="B172" s="94" t="s">
        <v>363</v>
      </c>
      <c r="C172" s="94">
        <v>20000</v>
      </c>
      <c r="D172" s="94">
        <v>10</v>
      </c>
      <c r="E172" s="94">
        <v>52.23</v>
      </c>
      <c r="F172" s="94">
        <v>12</v>
      </c>
      <c r="G172" s="115">
        <v>60.17</v>
      </c>
    </row>
    <row r="173" spans="1:7" ht="26.25" customHeight="1" x14ac:dyDescent="0.25">
      <c r="A173" s="95">
        <v>39617</v>
      </c>
      <c r="B173" s="94" t="s">
        <v>491</v>
      </c>
      <c r="C173" s="94">
        <v>19700</v>
      </c>
      <c r="D173" s="94">
        <v>12</v>
      </c>
      <c r="E173" s="94">
        <v>62.11</v>
      </c>
      <c r="F173" s="94">
        <v>13</v>
      </c>
      <c r="G173" s="115">
        <v>74.349999999999994</v>
      </c>
    </row>
    <row r="174" spans="1:7" ht="26.25" customHeight="1" x14ac:dyDescent="0.25">
      <c r="A174" s="95">
        <v>39618</v>
      </c>
      <c r="B174" s="94" t="s">
        <v>492</v>
      </c>
      <c r="C174" s="94">
        <v>19300</v>
      </c>
      <c r="D174" s="94">
        <v>12</v>
      </c>
      <c r="E174" s="94">
        <v>61.72</v>
      </c>
      <c r="F174" s="94">
        <v>15</v>
      </c>
      <c r="G174" s="115">
        <v>73.849999999999994</v>
      </c>
    </row>
    <row r="175" spans="1:7" ht="26.25" customHeight="1" x14ac:dyDescent="0.25">
      <c r="A175" s="95">
        <v>39619</v>
      </c>
      <c r="B175" s="94" t="s">
        <v>494</v>
      </c>
      <c r="C175" s="94">
        <v>19000</v>
      </c>
      <c r="D175" s="94"/>
      <c r="E175" s="94"/>
      <c r="F175" s="94"/>
      <c r="G175" s="115"/>
    </row>
    <row r="176" spans="1:7" ht="26.25" customHeight="1" x14ac:dyDescent="0.25">
      <c r="A176" s="95">
        <v>39620</v>
      </c>
      <c r="B176" s="94" t="s">
        <v>341</v>
      </c>
      <c r="C176" s="94">
        <v>18250</v>
      </c>
      <c r="D176" s="94">
        <v>10</v>
      </c>
      <c r="E176" s="94">
        <v>50.96</v>
      </c>
      <c r="F176" s="94">
        <v>14</v>
      </c>
      <c r="G176" s="115">
        <v>68.099999999999994</v>
      </c>
    </row>
    <row r="177" spans="1:7" ht="26.25" customHeight="1" x14ac:dyDescent="0.25">
      <c r="A177" s="95">
        <v>39621</v>
      </c>
      <c r="B177" s="94" t="s">
        <v>339</v>
      </c>
      <c r="C177" s="94">
        <v>17800</v>
      </c>
      <c r="D177" s="94">
        <v>10</v>
      </c>
      <c r="E177" s="94">
        <v>50.63</v>
      </c>
      <c r="F177" s="94">
        <v>14</v>
      </c>
      <c r="G177" s="115">
        <v>67.63</v>
      </c>
    </row>
    <row r="178" spans="1:7" ht="26.25" customHeight="1" x14ac:dyDescent="0.25">
      <c r="A178" s="95">
        <v>39622</v>
      </c>
      <c r="B178" s="94" t="s">
        <v>338</v>
      </c>
      <c r="C178" s="94">
        <v>17500</v>
      </c>
      <c r="D178" s="94">
        <v>12</v>
      </c>
      <c r="E178" s="94">
        <v>60.17</v>
      </c>
      <c r="F178" s="94">
        <v>14</v>
      </c>
      <c r="G178" s="115">
        <v>67.150000000000006</v>
      </c>
    </row>
    <row r="179" spans="1:7" ht="26.25" customHeight="1" x14ac:dyDescent="0.25">
      <c r="A179" s="95">
        <v>39623</v>
      </c>
      <c r="B179" s="94" t="s">
        <v>514</v>
      </c>
      <c r="C179" s="94">
        <v>17250</v>
      </c>
      <c r="D179" s="94">
        <v>12</v>
      </c>
      <c r="E179" s="94">
        <v>59.78</v>
      </c>
      <c r="F179" s="94">
        <v>15</v>
      </c>
      <c r="G179" s="115">
        <v>71.3</v>
      </c>
    </row>
    <row r="180" spans="1:7" ht="26.25" customHeight="1" x14ac:dyDescent="0.25">
      <c r="A180" s="95">
        <v>39624</v>
      </c>
      <c r="B180" s="94" t="s">
        <v>697</v>
      </c>
      <c r="C180" s="94">
        <v>16700</v>
      </c>
      <c r="D180" s="94">
        <v>12</v>
      </c>
      <c r="E180" s="94">
        <v>58.98</v>
      </c>
      <c r="F180" s="94">
        <v>15</v>
      </c>
      <c r="G180" s="115">
        <v>70.78</v>
      </c>
    </row>
    <row r="181" spans="1:7" ht="26.25" customHeight="1" x14ac:dyDescent="0.25">
      <c r="A181" s="95">
        <v>39625</v>
      </c>
      <c r="B181" s="94" t="s">
        <v>564</v>
      </c>
      <c r="C181" s="94">
        <v>16500</v>
      </c>
      <c r="D181" s="94"/>
      <c r="E181" s="94"/>
      <c r="F181" s="94"/>
      <c r="G181" s="115"/>
    </row>
    <row r="182" spans="1:7" ht="26.25" customHeight="1" x14ac:dyDescent="0.25">
      <c r="A182" s="95">
        <v>39626</v>
      </c>
      <c r="B182" s="94" t="s">
        <v>566</v>
      </c>
      <c r="C182" s="94">
        <v>16200</v>
      </c>
      <c r="D182" s="94"/>
      <c r="E182" s="94"/>
      <c r="F182" s="94"/>
      <c r="G182" s="115"/>
    </row>
    <row r="183" spans="1:7" ht="26.25" customHeight="1" x14ac:dyDescent="0.25">
      <c r="A183" s="95">
        <v>39627</v>
      </c>
      <c r="B183" s="94" t="s">
        <v>568</v>
      </c>
      <c r="C183" s="94">
        <v>15750</v>
      </c>
      <c r="D183" s="94">
        <v>12</v>
      </c>
      <c r="E183" s="94">
        <v>57.76</v>
      </c>
      <c r="F183" s="94">
        <v>12</v>
      </c>
      <c r="G183" s="115">
        <v>55.25</v>
      </c>
    </row>
    <row r="184" spans="1:7" ht="26.25" customHeight="1" x14ac:dyDescent="0.25">
      <c r="A184" s="95">
        <v>39628</v>
      </c>
      <c r="B184" s="94" t="s">
        <v>570</v>
      </c>
      <c r="C184" s="94">
        <v>15500</v>
      </c>
      <c r="D184" s="94">
        <v>12</v>
      </c>
      <c r="E184" s="94">
        <v>57.35</v>
      </c>
      <c r="F184" s="94">
        <v>12</v>
      </c>
      <c r="G184" s="115">
        <v>54.82</v>
      </c>
    </row>
    <row r="185" spans="1:7" ht="26.25" customHeight="1" x14ac:dyDescent="0.25">
      <c r="A185" s="95">
        <v>39629</v>
      </c>
      <c r="B185" s="94" t="s">
        <v>571</v>
      </c>
      <c r="C185" s="94">
        <v>15200</v>
      </c>
      <c r="D185" s="94">
        <v>12</v>
      </c>
      <c r="E185" s="94">
        <v>56.94</v>
      </c>
      <c r="F185" s="94">
        <v>12</v>
      </c>
      <c r="G185" s="115">
        <v>54.39</v>
      </c>
    </row>
    <row r="186" spans="1:7" ht="26.25" customHeight="1" x14ac:dyDescent="0.25">
      <c r="A186" s="95">
        <v>39630</v>
      </c>
      <c r="B186" s="94" t="s">
        <v>572</v>
      </c>
      <c r="C186" s="94">
        <v>14900</v>
      </c>
      <c r="D186" s="94">
        <v>12</v>
      </c>
      <c r="E186" s="94">
        <v>56.94</v>
      </c>
      <c r="F186" s="94">
        <v>12</v>
      </c>
      <c r="G186" s="115">
        <v>53.95</v>
      </c>
    </row>
    <row r="187" spans="1:7" ht="26.25" customHeight="1" x14ac:dyDescent="0.25">
      <c r="A187" s="95">
        <v>39631</v>
      </c>
      <c r="B187" s="94" t="s">
        <v>574</v>
      </c>
      <c r="C187" s="94">
        <v>14700</v>
      </c>
      <c r="D187" s="94"/>
      <c r="E187" s="94"/>
      <c r="F187" s="94"/>
      <c r="G187" s="115"/>
    </row>
    <row r="188" spans="1:7" ht="26.25" customHeight="1" x14ac:dyDescent="0.25">
      <c r="A188" s="95">
        <v>39632</v>
      </c>
      <c r="B188" s="94" t="s">
        <v>574</v>
      </c>
      <c r="C188" s="94">
        <v>14700</v>
      </c>
      <c r="D188" s="94"/>
      <c r="E188" s="94"/>
      <c r="F188" s="94"/>
      <c r="G188" s="115"/>
    </row>
    <row r="189" spans="1:7" ht="26.25" customHeight="1" x14ac:dyDescent="0.25">
      <c r="A189" s="95">
        <v>39633</v>
      </c>
      <c r="B189" s="94" t="s">
        <v>574</v>
      </c>
      <c r="C189" s="94">
        <v>14700</v>
      </c>
      <c r="D189" s="94"/>
      <c r="E189" s="94"/>
      <c r="F189" s="94"/>
      <c r="G189" s="115"/>
    </row>
    <row r="190" spans="1:7" ht="26.25" customHeight="1" x14ac:dyDescent="0.25">
      <c r="A190" s="95">
        <v>39634</v>
      </c>
      <c r="B190" s="94" t="s">
        <v>574</v>
      </c>
      <c r="C190" s="94">
        <v>14700</v>
      </c>
      <c r="D190" s="94"/>
      <c r="E190" s="94"/>
      <c r="F190" s="94"/>
      <c r="G190" s="115"/>
    </row>
    <row r="191" spans="1:7" ht="26.25" customHeight="1" x14ac:dyDescent="0.25">
      <c r="A191" s="95">
        <v>39635</v>
      </c>
      <c r="B191" s="94" t="s">
        <v>575</v>
      </c>
      <c r="C191" s="94">
        <v>14400</v>
      </c>
      <c r="D191" s="94">
        <v>15</v>
      </c>
      <c r="E191" s="94">
        <v>69.459999999999994</v>
      </c>
      <c r="F191" s="94">
        <v>18</v>
      </c>
      <c r="G191" s="115">
        <v>78.91</v>
      </c>
    </row>
    <row r="192" spans="1:7" ht="26.25" customHeight="1" x14ac:dyDescent="0.25">
      <c r="A192" s="95">
        <v>39636</v>
      </c>
      <c r="B192" s="211" t="s">
        <v>577</v>
      </c>
      <c r="C192" s="94">
        <v>14000</v>
      </c>
      <c r="D192" s="94">
        <v>15</v>
      </c>
      <c r="E192" s="94">
        <v>68.92</v>
      </c>
      <c r="F192" s="94">
        <v>18</v>
      </c>
      <c r="G192" s="115">
        <v>78.23</v>
      </c>
    </row>
    <row r="193" spans="1:7" ht="26.25" customHeight="1" x14ac:dyDescent="0.25">
      <c r="A193" s="95">
        <v>39637</v>
      </c>
      <c r="B193" s="94" t="s">
        <v>579</v>
      </c>
      <c r="C193" s="94">
        <v>13700</v>
      </c>
      <c r="D193" s="94">
        <v>15</v>
      </c>
      <c r="E193" s="94">
        <v>68.39</v>
      </c>
      <c r="F193" s="94">
        <v>18</v>
      </c>
      <c r="G193" s="115">
        <v>77.55</v>
      </c>
    </row>
    <row r="194" spans="1:7" ht="26.25" customHeight="1" x14ac:dyDescent="0.25">
      <c r="A194" s="95">
        <v>39638</v>
      </c>
      <c r="B194" s="94" t="s">
        <v>580</v>
      </c>
      <c r="C194" s="94">
        <v>13500</v>
      </c>
      <c r="D194" s="94">
        <v>15</v>
      </c>
      <c r="E194" s="94">
        <v>67.84</v>
      </c>
      <c r="F194" s="94">
        <v>18</v>
      </c>
      <c r="G194" s="115">
        <v>76.86</v>
      </c>
    </row>
    <row r="195" spans="1:7" ht="26.25" customHeight="1" x14ac:dyDescent="0.25">
      <c r="A195" s="95">
        <v>39639</v>
      </c>
      <c r="B195" s="94" t="s">
        <v>583</v>
      </c>
      <c r="C195" s="94">
        <v>12900</v>
      </c>
      <c r="D195" s="94">
        <v>15</v>
      </c>
      <c r="E195" s="94">
        <v>67.02</v>
      </c>
      <c r="F195" s="94">
        <v>18</v>
      </c>
      <c r="G195" s="115">
        <v>78.81</v>
      </c>
    </row>
    <row r="196" spans="1:7" ht="26.25" customHeight="1" x14ac:dyDescent="0.25">
      <c r="A196" s="95">
        <v>39640</v>
      </c>
      <c r="B196" s="94" t="s">
        <v>668</v>
      </c>
      <c r="C196" s="94">
        <v>12500</v>
      </c>
      <c r="D196" s="94">
        <v>15</v>
      </c>
      <c r="E196" s="94">
        <v>66.19</v>
      </c>
      <c r="F196" s="94">
        <v>18</v>
      </c>
      <c r="G196" s="115">
        <v>74.75</v>
      </c>
    </row>
    <row r="197" spans="1:7" ht="26.25" customHeight="1" x14ac:dyDescent="0.25">
      <c r="A197" s="95">
        <v>39641</v>
      </c>
      <c r="B197" s="94" t="s">
        <v>662</v>
      </c>
      <c r="C197" s="94">
        <v>12200</v>
      </c>
      <c r="D197" s="94">
        <v>15</v>
      </c>
      <c r="E197" s="94">
        <v>65.34</v>
      </c>
      <c r="F197" s="94">
        <v>18</v>
      </c>
      <c r="G197" s="115">
        <v>73.680000000000007</v>
      </c>
    </row>
    <row r="198" spans="1:7" ht="26.25" customHeight="1" x14ac:dyDescent="0.25">
      <c r="A198" s="95">
        <v>39642</v>
      </c>
      <c r="B198" s="94" t="s">
        <v>585</v>
      </c>
      <c r="C198" s="94">
        <v>11800</v>
      </c>
      <c r="D198" s="94">
        <v>12</v>
      </c>
      <c r="E198" s="94">
        <v>52.16</v>
      </c>
      <c r="F198" s="94">
        <v>18</v>
      </c>
      <c r="G198" s="115">
        <v>72.95</v>
      </c>
    </row>
    <row r="199" spans="1:7" ht="26.25" customHeight="1" x14ac:dyDescent="0.25">
      <c r="A199" s="95">
        <v>39643</v>
      </c>
      <c r="B199" s="94" t="s">
        <v>586</v>
      </c>
      <c r="C199" s="94">
        <v>11500</v>
      </c>
      <c r="D199" s="94">
        <v>14</v>
      </c>
      <c r="E199" s="94">
        <v>60.06</v>
      </c>
      <c r="F199" s="94">
        <v>15</v>
      </c>
      <c r="G199" s="115">
        <v>60.64</v>
      </c>
    </row>
    <row r="200" spans="1:7" ht="26.25" customHeight="1" x14ac:dyDescent="0.25">
      <c r="A200" s="95">
        <v>39644</v>
      </c>
      <c r="B200" s="94" t="s">
        <v>660</v>
      </c>
      <c r="C200" s="94">
        <v>11200</v>
      </c>
      <c r="D200" s="94">
        <v>15</v>
      </c>
      <c r="E200" s="94">
        <v>63.33</v>
      </c>
      <c r="F200" s="94">
        <v>15</v>
      </c>
      <c r="G200" s="115">
        <v>59.72</v>
      </c>
    </row>
    <row r="201" spans="1:7" ht="26.25" customHeight="1" x14ac:dyDescent="0.25">
      <c r="A201" s="95">
        <v>39645</v>
      </c>
      <c r="B201" s="94" t="s">
        <v>663</v>
      </c>
      <c r="C201" s="94">
        <v>10700</v>
      </c>
      <c r="D201" s="94"/>
      <c r="E201" s="94"/>
      <c r="F201" s="94" t="s">
        <v>122</v>
      </c>
      <c r="G201" s="115"/>
    </row>
    <row r="202" spans="1:7" ht="26.25" customHeight="1" x14ac:dyDescent="0.25">
      <c r="A202" s="95">
        <v>39646</v>
      </c>
      <c r="B202" s="94" t="s">
        <v>663</v>
      </c>
      <c r="C202" s="94">
        <v>10700</v>
      </c>
      <c r="D202" s="94"/>
      <c r="E202" s="94"/>
      <c r="F202" s="94" t="s">
        <v>122</v>
      </c>
      <c r="G202" s="115"/>
    </row>
    <row r="203" spans="1:7" ht="26.25" customHeight="1" x14ac:dyDescent="0.25">
      <c r="A203" s="95">
        <v>39647</v>
      </c>
      <c r="B203" s="94" t="s">
        <v>663</v>
      </c>
      <c r="C203" s="94">
        <v>10700</v>
      </c>
      <c r="D203" s="94"/>
      <c r="E203" s="94"/>
      <c r="F203" s="94" t="s">
        <v>122</v>
      </c>
      <c r="G203" s="115"/>
    </row>
    <row r="204" spans="1:7" ht="26.25" customHeight="1" x14ac:dyDescent="0.25">
      <c r="A204" s="95">
        <v>39648</v>
      </c>
      <c r="B204" s="94" t="s">
        <v>663</v>
      </c>
      <c r="C204" s="94">
        <v>10700</v>
      </c>
      <c r="D204" s="94">
        <v>15</v>
      </c>
      <c r="E204" s="94">
        <v>62.45</v>
      </c>
      <c r="F204" s="94">
        <v>18</v>
      </c>
      <c r="G204" s="115">
        <v>69.97</v>
      </c>
    </row>
    <row r="205" spans="1:7" ht="26.25" customHeight="1" x14ac:dyDescent="0.25">
      <c r="A205" s="95">
        <v>39649</v>
      </c>
      <c r="B205" s="94" t="s">
        <v>591</v>
      </c>
      <c r="C205" s="94">
        <v>10400</v>
      </c>
      <c r="D205" s="94">
        <v>15</v>
      </c>
      <c r="E205" s="94">
        <v>61.55</v>
      </c>
      <c r="F205" s="94">
        <v>18</v>
      </c>
      <c r="G205" s="115">
        <v>68.81</v>
      </c>
    </row>
    <row r="206" spans="1:7" ht="26.25" customHeight="1" x14ac:dyDescent="0.25">
      <c r="A206" s="95">
        <v>39650</v>
      </c>
      <c r="B206" s="94" t="s">
        <v>593</v>
      </c>
      <c r="C206" s="94">
        <v>10100</v>
      </c>
      <c r="D206" s="94">
        <v>15</v>
      </c>
      <c r="E206" s="94">
        <v>60.64</v>
      </c>
      <c r="F206" s="94">
        <v>18</v>
      </c>
      <c r="G206" s="115">
        <v>67.64</v>
      </c>
    </row>
    <row r="207" spans="1:7" ht="26.25" customHeight="1" x14ac:dyDescent="0.25">
      <c r="A207" s="95">
        <v>39651</v>
      </c>
      <c r="B207" s="94" t="s">
        <v>594</v>
      </c>
      <c r="C207" s="94">
        <v>9900</v>
      </c>
      <c r="D207" s="94">
        <v>15</v>
      </c>
      <c r="E207" s="94">
        <v>60.03</v>
      </c>
      <c r="F207" s="94">
        <v>18</v>
      </c>
      <c r="G207" s="115">
        <v>66.849999999999994</v>
      </c>
    </row>
    <row r="208" spans="1:7" ht="26.25" customHeight="1" x14ac:dyDescent="0.25">
      <c r="A208" s="95">
        <v>39652</v>
      </c>
      <c r="B208" s="94" t="s">
        <v>666</v>
      </c>
      <c r="C208" s="94">
        <v>9600</v>
      </c>
      <c r="D208" s="94">
        <v>15</v>
      </c>
      <c r="E208" s="94">
        <v>59.1</v>
      </c>
      <c r="F208" s="94">
        <v>15</v>
      </c>
      <c r="G208" s="115">
        <v>55.22</v>
      </c>
    </row>
    <row r="209" spans="1:7" ht="26.25" customHeight="1" x14ac:dyDescent="0.25">
      <c r="A209" s="95">
        <v>39653</v>
      </c>
      <c r="B209" s="94" t="s">
        <v>656</v>
      </c>
      <c r="C209" s="94">
        <v>9300</v>
      </c>
      <c r="D209" s="94">
        <v>9</v>
      </c>
      <c r="E209" s="94">
        <v>35.47</v>
      </c>
      <c r="F209" s="94">
        <v>12</v>
      </c>
      <c r="G209" s="115">
        <v>43.77</v>
      </c>
    </row>
    <row r="210" spans="1:7" ht="26.25" customHeight="1" x14ac:dyDescent="0.25">
      <c r="A210" s="95">
        <v>39654</v>
      </c>
      <c r="B210" s="94" t="s">
        <v>655</v>
      </c>
      <c r="C210" s="94">
        <v>9100</v>
      </c>
      <c r="D210" s="94">
        <v>9</v>
      </c>
      <c r="E210" s="94">
        <v>35.090000000000003</v>
      </c>
      <c r="F210" s="94">
        <v>12</v>
      </c>
      <c r="G210" s="115">
        <v>43.23</v>
      </c>
    </row>
    <row r="211" spans="1:7" ht="26.25" customHeight="1" x14ac:dyDescent="0.25">
      <c r="A211" s="95">
        <v>39655</v>
      </c>
      <c r="B211" s="94" t="s">
        <v>654</v>
      </c>
      <c r="C211" s="94">
        <v>8000</v>
      </c>
      <c r="D211" s="94">
        <v>9</v>
      </c>
      <c r="E211" s="94">
        <v>34.71</v>
      </c>
      <c r="F211" s="94">
        <v>12</v>
      </c>
      <c r="G211" s="115">
        <v>42.68</v>
      </c>
    </row>
    <row r="212" spans="1:7" ht="26.25" customHeight="1" x14ac:dyDescent="0.25">
      <c r="A212" s="95">
        <v>39656</v>
      </c>
      <c r="B212" s="94" t="s">
        <v>653</v>
      </c>
      <c r="C212" s="94">
        <v>8700</v>
      </c>
      <c r="D212" s="94">
        <v>9</v>
      </c>
      <c r="E212" s="94">
        <v>34.32</v>
      </c>
      <c r="F212" s="94">
        <v>12</v>
      </c>
      <c r="G212" s="115">
        <v>42.12</v>
      </c>
    </row>
    <row r="213" spans="1:7" ht="26.25" customHeight="1" x14ac:dyDescent="0.25">
      <c r="A213" s="95">
        <v>39657</v>
      </c>
      <c r="B213" s="94" t="s">
        <v>675</v>
      </c>
      <c r="C213" s="94">
        <v>8500</v>
      </c>
      <c r="D213" s="94">
        <v>9</v>
      </c>
      <c r="E213" s="94">
        <v>33.93</v>
      </c>
      <c r="F213" s="94">
        <v>12</v>
      </c>
      <c r="G213" s="115">
        <v>41.55</v>
      </c>
    </row>
    <row r="214" spans="1:7" ht="26.25" customHeight="1" x14ac:dyDescent="0.25">
      <c r="A214" s="95">
        <v>39658</v>
      </c>
      <c r="B214" s="94" t="s">
        <v>675</v>
      </c>
      <c r="C214" s="94">
        <v>8500</v>
      </c>
      <c r="D214" s="94"/>
      <c r="E214" s="94"/>
      <c r="F214" s="94"/>
      <c r="G214" s="115"/>
    </row>
    <row r="215" spans="1:7" ht="26.25" customHeight="1" x14ac:dyDescent="0.25">
      <c r="A215" s="95">
        <v>39659</v>
      </c>
      <c r="B215" s="94" t="s">
        <v>675</v>
      </c>
      <c r="C215" s="94">
        <v>8500</v>
      </c>
      <c r="D215" s="94"/>
      <c r="E215" s="94"/>
      <c r="F215" s="94"/>
      <c r="G215" s="115"/>
    </row>
    <row r="216" spans="1:7" ht="26.25" customHeight="1" x14ac:dyDescent="0.25">
      <c r="A216" s="95">
        <v>39660</v>
      </c>
      <c r="B216" s="94" t="s">
        <v>675</v>
      </c>
      <c r="C216" s="94">
        <v>8500</v>
      </c>
      <c r="D216" s="94"/>
      <c r="E216" s="94"/>
      <c r="F216" s="94"/>
      <c r="G216" s="115"/>
    </row>
    <row r="217" spans="1:7" ht="26.25" customHeight="1" x14ac:dyDescent="0.25">
      <c r="A217" s="95">
        <v>39661</v>
      </c>
      <c r="B217" s="94" t="s">
        <v>675</v>
      </c>
      <c r="C217" s="94">
        <v>8500</v>
      </c>
      <c r="D217" s="94" t="s">
        <v>122</v>
      </c>
      <c r="E217" s="94"/>
      <c r="F217" s="94" t="s">
        <v>122</v>
      </c>
      <c r="G217" s="115"/>
    </row>
    <row r="218" spans="1:7" ht="26.25" customHeight="1" x14ac:dyDescent="0.25">
      <c r="A218" s="95">
        <v>39662</v>
      </c>
      <c r="B218" s="94" t="s">
        <v>599</v>
      </c>
      <c r="C218" s="94">
        <v>8400</v>
      </c>
      <c r="D218" s="94" t="s">
        <v>122</v>
      </c>
      <c r="E218" s="94"/>
      <c r="F218" s="94" t="s">
        <v>122</v>
      </c>
      <c r="G218" s="115"/>
    </row>
    <row r="219" spans="1:7" ht="26.25" customHeight="1" x14ac:dyDescent="0.25">
      <c r="A219" s="95">
        <v>39663</v>
      </c>
      <c r="B219" s="94" t="s">
        <v>599</v>
      </c>
      <c r="C219" s="94">
        <v>8400</v>
      </c>
      <c r="D219" s="94" t="s">
        <v>122</v>
      </c>
      <c r="E219" s="94"/>
      <c r="F219" s="94" t="s">
        <v>122</v>
      </c>
      <c r="G219" s="115"/>
    </row>
    <row r="220" spans="1:7" ht="26.25" customHeight="1" x14ac:dyDescent="0.25">
      <c r="A220" s="95">
        <v>39664</v>
      </c>
      <c r="B220" s="94" t="s">
        <v>599</v>
      </c>
      <c r="C220" s="94">
        <v>8400</v>
      </c>
      <c r="D220" s="94" t="s">
        <v>122</v>
      </c>
      <c r="E220" s="94"/>
      <c r="F220" s="94" t="s">
        <v>122</v>
      </c>
      <c r="G220" s="115"/>
    </row>
    <row r="221" spans="1:7" ht="26.25" customHeight="1" x14ac:dyDescent="0.25">
      <c r="A221" s="95">
        <v>39665</v>
      </c>
      <c r="B221" s="94" t="s">
        <v>599</v>
      </c>
      <c r="C221" s="94">
        <v>8400</v>
      </c>
      <c r="D221" s="94" t="s">
        <v>122</v>
      </c>
      <c r="E221" s="94"/>
      <c r="F221" s="94" t="s">
        <v>122</v>
      </c>
      <c r="G221" s="115"/>
    </row>
    <row r="222" spans="1:7" ht="26.25" customHeight="1" x14ac:dyDescent="0.25">
      <c r="A222" s="95">
        <v>39666</v>
      </c>
      <c r="B222" s="94" t="s">
        <v>599</v>
      </c>
      <c r="C222" s="94">
        <v>8400</v>
      </c>
      <c r="D222" s="94" t="s">
        <v>122</v>
      </c>
      <c r="E222" s="94"/>
      <c r="F222" s="94" t="s">
        <v>122</v>
      </c>
      <c r="G222" s="115"/>
    </row>
    <row r="223" spans="1:7" ht="26.25" customHeight="1" x14ac:dyDescent="0.25">
      <c r="A223" s="95">
        <v>39667</v>
      </c>
      <c r="B223" s="94" t="s">
        <v>676</v>
      </c>
      <c r="C223" s="94">
        <v>8300</v>
      </c>
      <c r="D223" s="94" t="s">
        <v>122</v>
      </c>
      <c r="E223" s="94"/>
      <c r="F223" s="94" t="s">
        <v>122</v>
      </c>
      <c r="G223" s="115"/>
    </row>
    <row r="224" spans="1:7" ht="26.25" customHeight="1" x14ac:dyDescent="0.25">
      <c r="A224" s="95">
        <v>39668</v>
      </c>
      <c r="B224" s="94" t="s">
        <v>676</v>
      </c>
      <c r="C224" s="94">
        <v>8300</v>
      </c>
      <c r="D224" s="94" t="s">
        <v>122</v>
      </c>
      <c r="E224" s="94"/>
      <c r="F224" s="94" t="s">
        <v>122</v>
      </c>
      <c r="G224" s="115"/>
    </row>
    <row r="225" spans="1:7" ht="26.25" customHeight="1" x14ac:dyDescent="0.25">
      <c r="A225" s="95">
        <v>39669</v>
      </c>
      <c r="B225" s="94" t="s">
        <v>676</v>
      </c>
      <c r="C225" s="94">
        <v>8300</v>
      </c>
      <c r="D225" s="94" t="s">
        <v>122</v>
      </c>
      <c r="E225" s="94"/>
      <c r="F225" s="94" t="s">
        <v>122</v>
      </c>
      <c r="G225" s="115"/>
    </row>
    <row r="226" spans="1:7" ht="26.25" customHeight="1" x14ac:dyDescent="0.25">
      <c r="A226" s="95">
        <v>39670</v>
      </c>
      <c r="B226" s="94" t="s">
        <v>676</v>
      </c>
      <c r="C226" s="94">
        <v>8300</v>
      </c>
      <c r="D226" s="94" t="s">
        <v>122</v>
      </c>
      <c r="E226" s="94"/>
      <c r="F226" s="94" t="s">
        <v>122</v>
      </c>
      <c r="G226" s="115"/>
    </row>
    <row r="227" spans="1:7" ht="26.25" customHeight="1" x14ac:dyDescent="0.25">
      <c r="A227" s="95">
        <v>39671</v>
      </c>
      <c r="B227" s="94" t="s">
        <v>676</v>
      </c>
      <c r="C227" s="94">
        <v>8300</v>
      </c>
      <c r="D227" s="94" t="s">
        <v>122</v>
      </c>
      <c r="E227" s="94"/>
      <c r="F227" s="94" t="s">
        <v>122</v>
      </c>
      <c r="G227" s="115"/>
    </row>
    <row r="228" spans="1:7" ht="26.25" customHeight="1" x14ac:dyDescent="0.25">
      <c r="A228" s="95">
        <v>39672</v>
      </c>
      <c r="B228" s="94" t="s">
        <v>676</v>
      </c>
      <c r="C228" s="94">
        <v>8300</v>
      </c>
      <c r="D228" s="94" t="s">
        <v>122</v>
      </c>
      <c r="E228" s="94"/>
      <c r="F228" s="94" t="s">
        <v>122</v>
      </c>
      <c r="G228" s="115"/>
    </row>
    <row r="229" spans="1:7" ht="26.25" customHeight="1" x14ac:dyDescent="0.25">
      <c r="A229" s="95">
        <v>39673</v>
      </c>
      <c r="B229" s="94" t="s">
        <v>676</v>
      </c>
      <c r="C229" s="94">
        <v>8300</v>
      </c>
      <c r="D229" s="94" t="s">
        <v>122</v>
      </c>
      <c r="E229" s="94"/>
      <c r="F229" s="94" t="s">
        <v>122</v>
      </c>
      <c r="G229" s="115"/>
    </row>
    <row r="230" spans="1:7" ht="26.25" customHeight="1" x14ac:dyDescent="0.25">
      <c r="A230" s="95">
        <v>39674</v>
      </c>
      <c r="B230" s="94" t="s">
        <v>600</v>
      </c>
      <c r="C230" s="94">
        <v>8250</v>
      </c>
      <c r="D230" s="94" t="s">
        <v>122</v>
      </c>
      <c r="E230" s="94"/>
      <c r="F230" s="94" t="s">
        <v>122</v>
      </c>
      <c r="G230" s="115"/>
    </row>
    <row r="231" spans="1:7" ht="26.25" customHeight="1" x14ac:dyDescent="0.25">
      <c r="A231" s="95">
        <v>39675</v>
      </c>
      <c r="B231" s="94" t="s">
        <v>600</v>
      </c>
      <c r="C231" s="94">
        <v>8250</v>
      </c>
      <c r="D231" s="94" t="s">
        <v>122</v>
      </c>
      <c r="E231" s="94"/>
      <c r="F231" s="94" t="s">
        <v>122</v>
      </c>
      <c r="G231" s="115"/>
    </row>
    <row r="232" spans="1:7" ht="26.25" customHeight="1" x14ac:dyDescent="0.25">
      <c r="A232" s="95">
        <v>39676</v>
      </c>
      <c r="B232" s="94" t="s">
        <v>600</v>
      </c>
      <c r="C232" s="94">
        <v>8250</v>
      </c>
      <c r="D232" s="94" t="s">
        <v>122</v>
      </c>
      <c r="E232" s="94"/>
      <c r="F232" s="94" t="s">
        <v>122</v>
      </c>
      <c r="G232" s="115"/>
    </row>
    <row r="233" spans="1:7" ht="26.25" customHeight="1" x14ac:dyDescent="0.25">
      <c r="A233" s="95">
        <v>39677</v>
      </c>
      <c r="B233" s="94" t="s">
        <v>600</v>
      </c>
      <c r="C233" s="94">
        <v>8250</v>
      </c>
      <c r="D233" s="94" t="s">
        <v>122</v>
      </c>
      <c r="E233" s="94"/>
      <c r="F233" s="94" t="s">
        <v>122</v>
      </c>
      <c r="G233" s="115"/>
    </row>
    <row r="234" spans="1:7" ht="26.25" customHeight="1" x14ac:dyDescent="0.25">
      <c r="A234" s="95">
        <v>39678</v>
      </c>
      <c r="B234" s="94" t="s">
        <v>600</v>
      </c>
      <c r="C234" s="94">
        <v>8250</v>
      </c>
      <c r="D234" s="94" t="s">
        <v>122</v>
      </c>
      <c r="E234" s="94"/>
      <c r="F234" s="94" t="s">
        <v>122</v>
      </c>
      <c r="G234" s="115"/>
    </row>
    <row r="235" spans="1:7" ht="26.25" customHeight="1" x14ac:dyDescent="0.25">
      <c r="A235" s="95">
        <v>39679</v>
      </c>
      <c r="B235" s="94" t="s">
        <v>600</v>
      </c>
      <c r="C235" s="94">
        <v>8250</v>
      </c>
      <c r="D235" s="94" t="s">
        <v>122</v>
      </c>
      <c r="E235" s="94"/>
      <c r="F235" s="94" t="s">
        <v>122</v>
      </c>
      <c r="G235" s="115"/>
    </row>
    <row r="236" spans="1:7" ht="26.25" customHeight="1" x14ac:dyDescent="0.25">
      <c r="A236" s="95">
        <v>39680</v>
      </c>
      <c r="B236" s="94" t="s">
        <v>677</v>
      </c>
      <c r="C236" s="94">
        <v>8200</v>
      </c>
      <c r="D236" s="94" t="s">
        <v>122</v>
      </c>
      <c r="E236" s="94"/>
      <c r="F236" s="94" t="s">
        <v>122</v>
      </c>
      <c r="G236" s="115"/>
    </row>
    <row r="237" spans="1:7" ht="26.25" customHeight="1" x14ac:dyDescent="0.25">
      <c r="A237" s="95">
        <v>39681</v>
      </c>
      <c r="B237" s="94" t="s">
        <v>677</v>
      </c>
      <c r="C237" s="94">
        <v>8200</v>
      </c>
      <c r="D237" s="94" t="s">
        <v>122</v>
      </c>
      <c r="E237" s="94"/>
      <c r="F237" s="94" t="s">
        <v>122</v>
      </c>
      <c r="G237" s="115"/>
    </row>
    <row r="238" spans="1:7" ht="26.25" customHeight="1" x14ac:dyDescent="0.25">
      <c r="A238" s="95">
        <v>39682</v>
      </c>
      <c r="B238" s="94" t="s">
        <v>677</v>
      </c>
      <c r="C238" s="94">
        <v>8200</v>
      </c>
      <c r="D238" s="94" t="s">
        <v>122</v>
      </c>
      <c r="E238" s="94"/>
      <c r="F238" s="94" t="s">
        <v>122</v>
      </c>
      <c r="G238" s="115"/>
    </row>
    <row r="239" spans="1:7" ht="26.25" customHeight="1" x14ac:dyDescent="0.25">
      <c r="A239" s="95">
        <v>39683</v>
      </c>
      <c r="B239" s="94" t="s">
        <v>677</v>
      </c>
      <c r="C239" s="94">
        <v>8200</v>
      </c>
      <c r="D239" s="94" t="s">
        <v>122</v>
      </c>
      <c r="E239" s="94"/>
      <c r="F239" s="94" t="s">
        <v>122</v>
      </c>
      <c r="G239" s="115"/>
    </row>
    <row r="240" spans="1:7" ht="26.25" customHeight="1" x14ac:dyDescent="0.25">
      <c r="A240" s="95">
        <v>39684</v>
      </c>
      <c r="B240" s="94" t="s">
        <v>677</v>
      </c>
      <c r="C240" s="94">
        <v>8200</v>
      </c>
      <c r="D240" s="94" t="s">
        <v>122</v>
      </c>
      <c r="E240" s="94"/>
      <c r="F240" s="94" t="s">
        <v>122</v>
      </c>
      <c r="G240" s="115"/>
    </row>
    <row r="241" spans="1:7" ht="26.25" customHeight="1" x14ac:dyDescent="0.25">
      <c r="A241" s="95">
        <v>39685</v>
      </c>
      <c r="B241" s="94" t="s">
        <v>601</v>
      </c>
      <c r="C241" s="94">
        <v>8100</v>
      </c>
      <c r="D241" s="94" t="s">
        <v>122</v>
      </c>
      <c r="E241" s="94"/>
      <c r="F241" s="94" t="s">
        <v>122</v>
      </c>
      <c r="G241" s="115"/>
    </row>
    <row r="242" spans="1:7" ht="26.25" customHeight="1" x14ac:dyDescent="0.25">
      <c r="A242" s="95">
        <v>39686</v>
      </c>
      <c r="B242" s="94" t="s">
        <v>601</v>
      </c>
      <c r="C242" s="94">
        <v>8100</v>
      </c>
      <c r="D242" s="94" t="s">
        <v>122</v>
      </c>
      <c r="E242" s="94"/>
      <c r="F242" s="94" t="s">
        <v>122</v>
      </c>
      <c r="G242" s="115"/>
    </row>
    <row r="243" spans="1:7" ht="26.25" customHeight="1" x14ac:dyDescent="0.25">
      <c r="A243" s="95">
        <v>39687</v>
      </c>
      <c r="B243" s="94" t="s">
        <v>724</v>
      </c>
      <c r="C243" s="94">
        <v>9200</v>
      </c>
      <c r="D243" s="94" t="s">
        <v>122</v>
      </c>
      <c r="E243" s="94"/>
      <c r="F243" s="94" t="s">
        <v>122</v>
      </c>
      <c r="G243" s="115"/>
    </row>
    <row r="244" spans="1:7" ht="26.25" customHeight="1" x14ac:dyDescent="0.25">
      <c r="A244" s="95">
        <v>39688</v>
      </c>
      <c r="B244" s="94" t="s">
        <v>666</v>
      </c>
      <c r="C244" s="94">
        <v>9600</v>
      </c>
      <c r="D244" s="94" t="s">
        <v>122</v>
      </c>
      <c r="E244" s="94"/>
      <c r="F244" s="94" t="s">
        <v>122</v>
      </c>
      <c r="G244" s="115"/>
    </row>
    <row r="245" spans="1:7" ht="26.25" customHeight="1" x14ac:dyDescent="0.25">
      <c r="A245" s="95">
        <v>39689</v>
      </c>
      <c r="B245" s="94" t="s">
        <v>595</v>
      </c>
      <c r="C245" s="94">
        <v>9700</v>
      </c>
      <c r="D245" s="94" t="s">
        <v>122</v>
      </c>
      <c r="E245" s="94"/>
      <c r="F245" s="94" t="s">
        <v>122</v>
      </c>
      <c r="G245" s="115"/>
    </row>
    <row r="246" spans="1:7" ht="26.25" customHeight="1" x14ac:dyDescent="0.25">
      <c r="A246" s="95">
        <v>39690</v>
      </c>
      <c r="B246" s="94" t="s">
        <v>595</v>
      </c>
      <c r="C246" s="94">
        <v>9700</v>
      </c>
      <c r="D246" s="94" t="s">
        <v>122</v>
      </c>
      <c r="E246" s="94"/>
      <c r="F246" s="94" t="s">
        <v>122</v>
      </c>
      <c r="G246" s="115"/>
    </row>
    <row r="247" spans="1:7" ht="26.25" customHeight="1" x14ac:dyDescent="0.25">
      <c r="A247" s="95">
        <v>39691</v>
      </c>
      <c r="B247" s="94" t="s">
        <v>595</v>
      </c>
      <c r="C247" s="94">
        <v>9700</v>
      </c>
      <c r="D247" s="94" t="s">
        <v>122</v>
      </c>
      <c r="E247" s="94"/>
      <c r="F247" s="94" t="s">
        <v>122</v>
      </c>
      <c r="G247" s="115"/>
    </row>
    <row r="248" spans="1:7" ht="26.25" customHeight="1" x14ac:dyDescent="0.25">
      <c r="A248" s="95">
        <v>39692</v>
      </c>
      <c r="B248" s="211" t="s">
        <v>706</v>
      </c>
      <c r="C248" s="94">
        <v>9800</v>
      </c>
      <c r="D248" s="94" t="s">
        <v>122</v>
      </c>
      <c r="E248" s="94"/>
      <c r="F248" s="94" t="s">
        <v>122</v>
      </c>
      <c r="G248" s="115"/>
    </row>
    <row r="249" spans="1:7" ht="26.25" customHeight="1" x14ac:dyDescent="0.25">
      <c r="A249" s="95">
        <v>39693</v>
      </c>
      <c r="B249" s="94" t="s">
        <v>706</v>
      </c>
      <c r="C249" s="94">
        <v>9800</v>
      </c>
      <c r="D249" s="94" t="s">
        <v>122</v>
      </c>
      <c r="E249" s="94"/>
      <c r="F249" s="94" t="s">
        <v>122</v>
      </c>
      <c r="G249" s="115"/>
    </row>
    <row r="250" spans="1:7" ht="26.25" customHeight="1" x14ac:dyDescent="0.25">
      <c r="A250" s="95">
        <v>39694</v>
      </c>
      <c r="B250" s="211" t="s">
        <v>706</v>
      </c>
      <c r="C250" s="94">
        <v>9800</v>
      </c>
      <c r="D250" s="94" t="s">
        <v>122</v>
      </c>
      <c r="E250" s="94"/>
      <c r="F250" s="94" t="s">
        <v>122</v>
      </c>
      <c r="G250" s="115"/>
    </row>
    <row r="251" spans="1:7" ht="26.25" customHeight="1" x14ac:dyDescent="0.25">
      <c r="A251" s="95">
        <v>39695</v>
      </c>
      <c r="B251" s="94" t="s">
        <v>706</v>
      </c>
      <c r="C251" s="94">
        <v>9800</v>
      </c>
      <c r="D251" s="94" t="s">
        <v>122</v>
      </c>
      <c r="E251" s="94"/>
      <c r="F251" s="94" t="s">
        <v>122</v>
      </c>
      <c r="G251" s="115"/>
    </row>
    <row r="252" spans="1:7" ht="26.25" customHeight="1" x14ac:dyDescent="0.25">
      <c r="A252" s="95">
        <v>39696</v>
      </c>
      <c r="B252" s="211" t="s">
        <v>706</v>
      </c>
      <c r="C252" s="94">
        <v>9800</v>
      </c>
      <c r="D252" s="94" t="s">
        <v>122</v>
      </c>
      <c r="E252" s="94"/>
      <c r="F252" s="94" t="s">
        <v>122</v>
      </c>
      <c r="G252" s="115"/>
    </row>
    <row r="253" spans="1:7" ht="26.25" customHeight="1" x14ac:dyDescent="0.25">
      <c r="A253" s="95">
        <v>39697</v>
      </c>
      <c r="B253" s="94" t="s">
        <v>706</v>
      </c>
      <c r="C253" s="94">
        <v>9800</v>
      </c>
      <c r="D253" s="94" t="s">
        <v>122</v>
      </c>
      <c r="E253" s="94"/>
      <c r="F253" s="94" t="s">
        <v>122</v>
      </c>
      <c r="G253" s="115"/>
    </row>
    <row r="254" spans="1:7" ht="26.25" customHeight="1" x14ac:dyDescent="0.25">
      <c r="A254" s="95">
        <v>39698</v>
      </c>
      <c r="B254" s="94" t="s">
        <v>706</v>
      </c>
      <c r="C254" s="94">
        <v>9800</v>
      </c>
      <c r="D254" s="94" t="s">
        <v>122</v>
      </c>
      <c r="E254" s="94"/>
      <c r="F254" s="94" t="s">
        <v>122</v>
      </c>
      <c r="G254" s="115"/>
    </row>
    <row r="255" spans="1:7" ht="26.25" customHeight="1" x14ac:dyDescent="0.25">
      <c r="A255" s="95">
        <v>39699</v>
      </c>
      <c r="B255" s="94" t="s">
        <v>595</v>
      </c>
      <c r="C255" s="94">
        <v>9700</v>
      </c>
      <c r="D255" s="94" t="s">
        <v>122</v>
      </c>
      <c r="E255" s="94"/>
      <c r="F255" s="94" t="s">
        <v>122</v>
      </c>
      <c r="G255" s="115"/>
    </row>
    <row r="256" spans="1:7" ht="26.25" customHeight="1" x14ac:dyDescent="0.25">
      <c r="A256" s="95">
        <v>39700</v>
      </c>
      <c r="B256" s="94" t="s">
        <v>595</v>
      </c>
      <c r="C256" s="94">
        <v>9700</v>
      </c>
      <c r="D256" s="94" t="s">
        <v>122</v>
      </c>
      <c r="E256" s="94"/>
      <c r="F256" s="94" t="s">
        <v>122</v>
      </c>
      <c r="G256" s="115"/>
    </row>
    <row r="257" spans="1:7" ht="26.25" customHeight="1" x14ac:dyDescent="0.25">
      <c r="A257" s="95">
        <v>39701</v>
      </c>
      <c r="B257" s="94" t="s">
        <v>595</v>
      </c>
      <c r="C257" s="94">
        <v>9700</v>
      </c>
      <c r="D257" s="94" t="s">
        <v>122</v>
      </c>
      <c r="E257" s="94"/>
      <c r="F257" s="94" t="s">
        <v>122</v>
      </c>
      <c r="G257" s="115"/>
    </row>
    <row r="258" spans="1:7" ht="26.25" customHeight="1" x14ac:dyDescent="0.25">
      <c r="A258" s="95">
        <v>39702</v>
      </c>
      <c r="B258" s="94" t="s">
        <v>595</v>
      </c>
      <c r="C258" s="94">
        <v>9700</v>
      </c>
      <c r="D258" s="94" t="s">
        <v>122</v>
      </c>
      <c r="E258" s="94"/>
      <c r="F258" s="94" t="s">
        <v>122</v>
      </c>
      <c r="G258" s="115"/>
    </row>
    <row r="259" spans="1:7" ht="26.25" customHeight="1" x14ac:dyDescent="0.25">
      <c r="A259" s="95">
        <v>39703</v>
      </c>
      <c r="B259" s="94" t="s">
        <v>595</v>
      </c>
      <c r="C259" s="94">
        <v>9700</v>
      </c>
      <c r="D259" s="94" t="s">
        <v>122</v>
      </c>
      <c r="E259" s="94"/>
      <c r="F259" s="94" t="s">
        <v>122</v>
      </c>
      <c r="G259" s="115"/>
    </row>
    <row r="260" spans="1:7" ht="26.25" customHeight="1" x14ac:dyDescent="0.25">
      <c r="A260" s="95">
        <v>39704</v>
      </c>
      <c r="B260" s="94" t="s">
        <v>595</v>
      </c>
      <c r="C260" s="94">
        <v>9700</v>
      </c>
      <c r="D260" s="94" t="s">
        <v>122</v>
      </c>
      <c r="E260" s="94"/>
      <c r="F260" s="94" t="s">
        <v>122</v>
      </c>
      <c r="G260" s="115"/>
    </row>
    <row r="261" spans="1:7" ht="26.25" customHeight="1" x14ac:dyDescent="0.25">
      <c r="A261" s="95">
        <v>39705</v>
      </c>
      <c r="B261" s="94" t="s">
        <v>595</v>
      </c>
      <c r="C261" s="94">
        <v>9700</v>
      </c>
      <c r="D261" s="94" t="s">
        <v>122</v>
      </c>
      <c r="E261" s="94"/>
      <c r="F261" s="94" t="s">
        <v>122</v>
      </c>
      <c r="G261" s="115"/>
    </row>
    <row r="262" spans="1:7" ht="26.25" customHeight="1" x14ac:dyDescent="0.25">
      <c r="A262" s="95">
        <v>39706</v>
      </c>
      <c r="B262" s="94" t="s">
        <v>595</v>
      </c>
      <c r="C262" s="94">
        <v>9700</v>
      </c>
      <c r="D262" s="94" t="s">
        <v>122</v>
      </c>
      <c r="E262" s="94"/>
      <c r="F262" s="94" t="s">
        <v>122</v>
      </c>
      <c r="G262" s="115"/>
    </row>
    <row r="263" spans="1:7" ht="26.25" customHeight="1" x14ac:dyDescent="0.25">
      <c r="A263" s="95">
        <v>39707</v>
      </c>
      <c r="B263" s="94" t="s">
        <v>666</v>
      </c>
      <c r="C263" s="94">
        <v>9600</v>
      </c>
      <c r="D263" s="94" t="s">
        <v>122</v>
      </c>
      <c r="E263" s="94"/>
      <c r="F263" s="94" t="s">
        <v>122</v>
      </c>
      <c r="G263" s="115"/>
    </row>
    <row r="264" spans="1:7" ht="26.25" customHeight="1" x14ac:dyDescent="0.25">
      <c r="A264" s="95">
        <v>39708</v>
      </c>
      <c r="B264" s="94" t="s">
        <v>666</v>
      </c>
      <c r="C264" s="94">
        <v>9600</v>
      </c>
      <c r="D264" s="94" t="s">
        <v>122</v>
      </c>
      <c r="E264" s="94"/>
      <c r="F264" s="94" t="s">
        <v>122</v>
      </c>
      <c r="G264" s="115"/>
    </row>
    <row r="265" spans="1:7" ht="26.25" customHeight="1" x14ac:dyDescent="0.25">
      <c r="A265" s="95">
        <v>39709</v>
      </c>
      <c r="B265" s="94" t="s">
        <v>666</v>
      </c>
      <c r="C265" s="94">
        <v>9600</v>
      </c>
      <c r="D265" s="94" t="s">
        <v>122</v>
      </c>
      <c r="E265" s="94"/>
      <c r="F265" s="94" t="s">
        <v>122</v>
      </c>
      <c r="G265" s="115"/>
    </row>
    <row r="266" spans="1:7" ht="26.25" customHeight="1" x14ac:dyDescent="0.25">
      <c r="A266" s="95">
        <v>39710</v>
      </c>
      <c r="B266" s="94" t="s">
        <v>666</v>
      </c>
      <c r="C266" s="94">
        <v>9600</v>
      </c>
      <c r="D266" s="94" t="s">
        <v>122</v>
      </c>
      <c r="E266" s="94"/>
      <c r="F266" s="94" t="s">
        <v>122</v>
      </c>
      <c r="G266" s="115"/>
    </row>
    <row r="267" spans="1:7" ht="26.25" customHeight="1" x14ac:dyDescent="0.25">
      <c r="A267" s="95">
        <v>39711</v>
      </c>
      <c r="B267" s="94" t="s">
        <v>666</v>
      </c>
      <c r="C267" s="94">
        <v>9600</v>
      </c>
      <c r="D267" s="94" t="s">
        <v>122</v>
      </c>
      <c r="E267" s="94"/>
      <c r="F267" s="94" t="s">
        <v>122</v>
      </c>
      <c r="G267" s="115"/>
    </row>
    <row r="268" spans="1:7" ht="26.25" customHeight="1" x14ac:dyDescent="0.25">
      <c r="A268" s="95">
        <v>39712</v>
      </c>
      <c r="B268" s="94" t="s">
        <v>666</v>
      </c>
      <c r="C268" s="94">
        <v>9600</v>
      </c>
      <c r="D268" s="94" t="s">
        <v>122</v>
      </c>
      <c r="E268" s="94"/>
      <c r="F268" s="94" t="s">
        <v>122</v>
      </c>
      <c r="G268" s="115"/>
    </row>
    <row r="269" spans="1:7" ht="26.25" customHeight="1" x14ac:dyDescent="0.25">
      <c r="A269" s="95">
        <v>39713</v>
      </c>
      <c r="B269" s="94" t="s">
        <v>658</v>
      </c>
      <c r="C269" s="94">
        <v>9500</v>
      </c>
      <c r="D269" s="94" t="s">
        <v>122</v>
      </c>
      <c r="E269" s="94"/>
      <c r="F269" s="94" t="s">
        <v>122</v>
      </c>
      <c r="G269" s="115"/>
    </row>
    <row r="270" spans="1:7" ht="26.25" customHeight="1" x14ac:dyDescent="0.25">
      <c r="A270" s="95">
        <v>39714</v>
      </c>
      <c r="B270" s="94" t="s">
        <v>658</v>
      </c>
      <c r="C270" s="94">
        <v>9500</v>
      </c>
      <c r="D270" s="94" t="s">
        <v>122</v>
      </c>
      <c r="E270" s="94"/>
      <c r="F270" s="94" t="s">
        <v>122</v>
      </c>
      <c r="G270" s="115"/>
    </row>
    <row r="271" spans="1:7" ht="26.25" customHeight="1" x14ac:dyDescent="0.25">
      <c r="A271" s="95">
        <v>39715</v>
      </c>
      <c r="B271" s="94" t="s">
        <v>658</v>
      </c>
      <c r="C271" s="94">
        <v>9500</v>
      </c>
      <c r="D271" s="94" t="s">
        <v>122</v>
      </c>
      <c r="E271" s="94"/>
      <c r="F271" s="94" t="s">
        <v>122</v>
      </c>
      <c r="G271" s="115"/>
    </row>
    <row r="272" spans="1:7" ht="26.25" customHeight="1" x14ac:dyDescent="0.25">
      <c r="A272" s="95">
        <v>39716</v>
      </c>
      <c r="B272" s="94" t="s">
        <v>658</v>
      </c>
      <c r="C272" s="94">
        <v>9500</v>
      </c>
      <c r="D272" s="94" t="s">
        <v>122</v>
      </c>
      <c r="E272" s="94"/>
      <c r="F272" s="94" t="s">
        <v>122</v>
      </c>
      <c r="G272" s="115"/>
    </row>
    <row r="273" spans="1:7" ht="26.25" customHeight="1" x14ac:dyDescent="0.25">
      <c r="A273" s="95">
        <v>39717</v>
      </c>
      <c r="B273" s="94" t="s">
        <v>657</v>
      </c>
      <c r="C273" s="94">
        <v>9400</v>
      </c>
      <c r="D273" s="94" t="s">
        <v>122</v>
      </c>
      <c r="E273" s="94"/>
      <c r="F273" s="94" t="s">
        <v>122</v>
      </c>
      <c r="G273" s="115"/>
    </row>
    <row r="274" spans="1:7" ht="26.25" customHeight="1" x14ac:dyDescent="0.25">
      <c r="A274" s="95">
        <v>39718</v>
      </c>
      <c r="B274" s="94" t="s">
        <v>657</v>
      </c>
      <c r="C274" s="94">
        <v>9400</v>
      </c>
      <c r="D274" s="94" t="s">
        <v>122</v>
      </c>
      <c r="E274" s="94"/>
      <c r="F274" s="94" t="s">
        <v>122</v>
      </c>
      <c r="G274" s="115"/>
    </row>
    <row r="275" spans="1:7" ht="26.25" customHeight="1" x14ac:dyDescent="0.25">
      <c r="A275" s="95">
        <v>39719</v>
      </c>
      <c r="B275" s="94" t="s">
        <v>657</v>
      </c>
      <c r="C275" s="94">
        <v>9400</v>
      </c>
      <c r="D275" s="94" t="s">
        <v>122</v>
      </c>
      <c r="E275" s="94"/>
      <c r="F275" s="94" t="s">
        <v>122</v>
      </c>
      <c r="G275" s="115"/>
    </row>
    <row r="276" spans="1:7" ht="26.25" customHeight="1" x14ac:dyDescent="0.25">
      <c r="A276" s="95">
        <v>39720</v>
      </c>
      <c r="B276" s="94" t="s">
        <v>656</v>
      </c>
      <c r="C276" s="94">
        <v>9300</v>
      </c>
      <c r="D276" s="94" t="s">
        <v>122</v>
      </c>
      <c r="E276" s="94"/>
      <c r="F276" s="94" t="s">
        <v>122</v>
      </c>
      <c r="G276" s="115"/>
    </row>
    <row r="277" spans="1:7" ht="26.25" customHeight="1" x14ac:dyDescent="0.25">
      <c r="A277" s="95">
        <v>39721</v>
      </c>
      <c r="B277" s="94" t="s">
        <v>656</v>
      </c>
      <c r="C277" s="94">
        <v>9300</v>
      </c>
      <c r="D277" s="94" t="s">
        <v>122</v>
      </c>
      <c r="E277" s="94"/>
      <c r="F277" s="94" t="s">
        <v>122</v>
      </c>
      <c r="G277" s="115"/>
    </row>
    <row r="278" spans="1:7" ht="26.25" customHeight="1" x14ac:dyDescent="0.25">
      <c r="A278" s="95">
        <v>39722</v>
      </c>
      <c r="B278" s="94" t="s">
        <v>656</v>
      </c>
      <c r="C278" s="94">
        <v>9300</v>
      </c>
      <c r="D278" s="94" t="s">
        <v>122</v>
      </c>
      <c r="E278" s="94"/>
      <c r="F278" s="94" t="s">
        <v>122</v>
      </c>
      <c r="G278" s="115"/>
    </row>
    <row r="279" spans="1:7" ht="26.25" customHeight="1" x14ac:dyDescent="0.25">
      <c r="A279" s="95">
        <v>39723</v>
      </c>
      <c r="B279" s="94" t="s">
        <v>596</v>
      </c>
      <c r="C279" s="94">
        <v>9200</v>
      </c>
      <c r="D279" s="94" t="s">
        <v>122</v>
      </c>
      <c r="E279" s="94"/>
      <c r="F279" s="94" t="s">
        <v>122</v>
      </c>
      <c r="G279" s="115"/>
    </row>
    <row r="280" spans="1:7" ht="26.25" customHeight="1" x14ac:dyDescent="0.25">
      <c r="A280" s="95">
        <v>39724</v>
      </c>
      <c r="B280" s="94" t="s">
        <v>656</v>
      </c>
      <c r="C280" s="94">
        <v>9300</v>
      </c>
      <c r="D280" s="94" t="s">
        <v>122</v>
      </c>
      <c r="E280" s="94"/>
      <c r="F280" s="94" t="s">
        <v>122</v>
      </c>
      <c r="G280" s="115"/>
    </row>
    <row r="281" spans="1:7" ht="26.25" customHeight="1" x14ac:dyDescent="0.25">
      <c r="A281" s="95">
        <v>39725</v>
      </c>
      <c r="B281" s="94" t="s">
        <v>596</v>
      </c>
      <c r="C281" s="94">
        <v>9200</v>
      </c>
      <c r="D281" s="94" t="s">
        <v>122</v>
      </c>
      <c r="E281" s="94"/>
      <c r="F281" s="94" t="s">
        <v>122</v>
      </c>
      <c r="G281" s="115"/>
    </row>
    <row r="282" spans="1:7" ht="26.25" customHeight="1" x14ac:dyDescent="0.25">
      <c r="A282" s="95">
        <v>39726</v>
      </c>
      <c r="B282" s="94" t="s">
        <v>596</v>
      </c>
      <c r="C282" s="94">
        <v>9200</v>
      </c>
      <c r="D282" s="94" t="s">
        <v>122</v>
      </c>
      <c r="E282" s="94"/>
      <c r="F282" s="94" t="s">
        <v>122</v>
      </c>
      <c r="G282" s="115"/>
    </row>
    <row r="283" spans="1:7" ht="26.25" customHeight="1" x14ac:dyDescent="0.25">
      <c r="A283" s="95">
        <v>39727</v>
      </c>
      <c r="B283" s="94" t="s">
        <v>656</v>
      </c>
      <c r="C283" s="94">
        <v>9300</v>
      </c>
      <c r="D283" s="94"/>
      <c r="E283" s="94"/>
      <c r="F283" s="94" t="s">
        <v>122</v>
      </c>
      <c r="G283" s="115"/>
    </row>
    <row r="284" spans="1:7" ht="26.25" customHeight="1" x14ac:dyDescent="0.25">
      <c r="A284" s="95">
        <v>39728</v>
      </c>
      <c r="B284" s="94" t="s">
        <v>656</v>
      </c>
      <c r="C284" s="94">
        <v>9300</v>
      </c>
      <c r="D284" s="94" t="s">
        <v>122</v>
      </c>
      <c r="E284" s="94"/>
      <c r="F284" s="94" t="s">
        <v>122</v>
      </c>
      <c r="G284" s="115"/>
    </row>
    <row r="285" spans="1:7" ht="26.25" customHeight="1" x14ac:dyDescent="0.25">
      <c r="A285" s="95">
        <v>39729</v>
      </c>
      <c r="B285" s="94" t="s">
        <v>656</v>
      </c>
      <c r="C285" s="94">
        <v>9300</v>
      </c>
      <c r="D285" s="94" t="s">
        <v>122</v>
      </c>
      <c r="E285" s="94"/>
      <c r="F285" s="94" t="s">
        <v>122</v>
      </c>
      <c r="G285" s="115"/>
    </row>
    <row r="286" spans="1:7" ht="26.25" customHeight="1" x14ac:dyDescent="0.25">
      <c r="A286" s="95">
        <v>39730</v>
      </c>
      <c r="B286" s="94" t="s">
        <v>656</v>
      </c>
      <c r="C286" s="94">
        <v>9300</v>
      </c>
      <c r="D286" s="94" t="s">
        <v>122</v>
      </c>
      <c r="E286" s="94"/>
      <c r="F286" s="94" t="s">
        <v>122</v>
      </c>
      <c r="G286" s="115"/>
    </row>
    <row r="287" spans="1:7" ht="26.25" customHeight="1" x14ac:dyDescent="0.25">
      <c r="A287" s="95">
        <v>39731</v>
      </c>
      <c r="B287" s="94" t="s">
        <v>656</v>
      </c>
      <c r="C287" s="94">
        <v>9300</v>
      </c>
      <c r="D287" s="94" t="s">
        <v>122</v>
      </c>
      <c r="E287" s="94"/>
      <c r="F287" s="94" t="s">
        <v>122</v>
      </c>
      <c r="G287" s="115"/>
    </row>
    <row r="288" spans="1:7" ht="26.25" customHeight="1" x14ac:dyDescent="0.25">
      <c r="A288" s="95">
        <v>39732</v>
      </c>
      <c r="B288" s="94" t="s">
        <v>657</v>
      </c>
      <c r="C288" s="94">
        <v>9400</v>
      </c>
      <c r="D288" s="94" t="s">
        <v>122</v>
      </c>
      <c r="E288" s="94"/>
      <c r="F288" s="94" t="s">
        <v>122</v>
      </c>
      <c r="G288" s="115"/>
    </row>
    <row r="289" spans="1:7" ht="26.25" customHeight="1" x14ac:dyDescent="0.25">
      <c r="A289" s="95">
        <v>39733</v>
      </c>
      <c r="B289" s="94" t="s">
        <v>658</v>
      </c>
      <c r="C289" s="94">
        <v>9500</v>
      </c>
      <c r="D289" s="94" t="s">
        <v>122</v>
      </c>
      <c r="E289" s="94"/>
      <c r="F289" s="94" t="s">
        <v>122</v>
      </c>
      <c r="G289" s="115"/>
    </row>
    <row r="290" spans="1:7" ht="26.25" customHeight="1" x14ac:dyDescent="0.25">
      <c r="A290" s="95">
        <v>39734</v>
      </c>
      <c r="B290" s="94" t="s">
        <v>595</v>
      </c>
      <c r="C290" s="94">
        <v>9700</v>
      </c>
      <c r="D290" s="94" t="s">
        <v>122</v>
      </c>
      <c r="E290" s="94"/>
      <c r="F290" s="94" t="s">
        <v>122</v>
      </c>
      <c r="G290" s="115"/>
    </row>
    <row r="291" spans="1:7" ht="26.25" customHeight="1" x14ac:dyDescent="0.25">
      <c r="A291" s="95">
        <v>39735</v>
      </c>
      <c r="B291" s="94" t="s">
        <v>594</v>
      </c>
      <c r="C291" s="94">
        <v>9900</v>
      </c>
      <c r="D291" s="94" t="s">
        <v>122</v>
      </c>
      <c r="E291" s="94"/>
      <c r="F291" s="94" t="s">
        <v>122</v>
      </c>
      <c r="G291" s="115"/>
    </row>
    <row r="292" spans="1:7" ht="26.25" customHeight="1" x14ac:dyDescent="0.25">
      <c r="A292" s="95">
        <v>39736</v>
      </c>
      <c r="B292" s="94" t="s">
        <v>594</v>
      </c>
      <c r="C292" s="94">
        <v>9900</v>
      </c>
      <c r="D292" s="94" t="s">
        <v>122</v>
      </c>
      <c r="E292" s="94"/>
      <c r="F292" s="94" t="s">
        <v>122</v>
      </c>
      <c r="G292" s="115"/>
    </row>
    <row r="293" spans="1:7" ht="26.25" customHeight="1" x14ac:dyDescent="0.25">
      <c r="A293" s="95">
        <v>39737</v>
      </c>
      <c r="B293" s="94" t="s">
        <v>594</v>
      </c>
      <c r="C293" s="94">
        <v>9900</v>
      </c>
      <c r="D293" s="94" t="s">
        <v>122</v>
      </c>
      <c r="E293" s="94"/>
      <c r="F293" s="94" t="s">
        <v>122</v>
      </c>
      <c r="G293" s="115"/>
    </row>
    <row r="294" spans="1:7" ht="26.25" customHeight="1" x14ac:dyDescent="0.25">
      <c r="A294" s="95">
        <v>39738</v>
      </c>
      <c r="B294" s="94" t="s">
        <v>594</v>
      </c>
      <c r="C294" s="94">
        <v>9900</v>
      </c>
      <c r="D294" s="94" t="s">
        <v>122</v>
      </c>
      <c r="E294" s="94"/>
      <c r="F294" s="94" t="s">
        <v>122</v>
      </c>
      <c r="G294" s="115"/>
    </row>
    <row r="295" spans="1:7" ht="26.25" customHeight="1" x14ac:dyDescent="0.25">
      <c r="A295" s="95">
        <v>39739</v>
      </c>
      <c r="B295" s="94" t="s">
        <v>659</v>
      </c>
      <c r="C295" s="94">
        <v>10000</v>
      </c>
      <c r="D295" s="94" t="s">
        <v>122</v>
      </c>
      <c r="E295" s="94"/>
      <c r="F295" s="94" t="s">
        <v>122</v>
      </c>
      <c r="G295" s="115"/>
    </row>
    <row r="296" spans="1:7" ht="26.25" customHeight="1" x14ac:dyDescent="0.25">
      <c r="A296" s="95">
        <v>39740</v>
      </c>
      <c r="B296" s="94" t="s">
        <v>659</v>
      </c>
      <c r="C296" s="94">
        <v>10000</v>
      </c>
      <c r="D296" s="94" t="s">
        <v>122</v>
      </c>
      <c r="E296" s="94"/>
      <c r="F296" s="94" t="s">
        <v>122</v>
      </c>
      <c r="G296" s="115"/>
    </row>
    <row r="297" spans="1:7" ht="26.25" customHeight="1" x14ac:dyDescent="0.25">
      <c r="A297" s="95">
        <v>39741</v>
      </c>
      <c r="B297" s="94" t="s">
        <v>593</v>
      </c>
      <c r="C297" s="94">
        <v>10100</v>
      </c>
      <c r="D297" s="94" t="s">
        <v>122</v>
      </c>
      <c r="E297" s="94"/>
      <c r="F297" s="94" t="s">
        <v>122</v>
      </c>
      <c r="G297" s="115"/>
    </row>
    <row r="298" spans="1:7" ht="26.25" customHeight="1" x14ac:dyDescent="0.25">
      <c r="A298" s="95">
        <v>39742</v>
      </c>
      <c r="B298" s="94" t="s">
        <v>593</v>
      </c>
      <c r="C298" s="94">
        <v>10100</v>
      </c>
      <c r="D298" s="94" t="s">
        <v>122</v>
      </c>
      <c r="E298" s="94"/>
      <c r="F298" s="94" t="s">
        <v>122</v>
      </c>
      <c r="G298" s="115"/>
    </row>
    <row r="299" spans="1:7" ht="26.25" customHeight="1" x14ac:dyDescent="0.25">
      <c r="A299" s="95">
        <v>39743</v>
      </c>
      <c r="B299" s="94" t="s">
        <v>725</v>
      </c>
      <c r="C299" s="94">
        <v>10200</v>
      </c>
      <c r="D299" s="94" t="s">
        <v>122</v>
      </c>
      <c r="E299" s="94"/>
      <c r="F299" s="94" t="s">
        <v>122</v>
      </c>
      <c r="G299" s="115"/>
    </row>
    <row r="300" spans="1:7" ht="26.25" customHeight="1" x14ac:dyDescent="0.25">
      <c r="A300" s="95">
        <v>39744</v>
      </c>
      <c r="B300" s="94" t="s">
        <v>592</v>
      </c>
      <c r="C300" s="94">
        <v>10200</v>
      </c>
      <c r="D300" s="94" t="s">
        <v>122</v>
      </c>
      <c r="E300" s="94"/>
      <c r="F300" s="94" t="s">
        <v>122</v>
      </c>
      <c r="G300" s="115"/>
    </row>
    <row r="301" spans="1:7" ht="26.25" customHeight="1" x14ac:dyDescent="0.25">
      <c r="A301" s="95">
        <v>39745</v>
      </c>
      <c r="B301" s="94" t="s">
        <v>665</v>
      </c>
      <c r="C301" s="94">
        <v>10300</v>
      </c>
      <c r="D301" s="94" t="s">
        <v>122</v>
      </c>
      <c r="E301" s="94"/>
      <c r="F301" s="94" t="s">
        <v>122</v>
      </c>
      <c r="G301" s="115"/>
    </row>
    <row r="302" spans="1:7" ht="26.25" customHeight="1" x14ac:dyDescent="0.25">
      <c r="A302" s="95">
        <v>39746</v>
      </c>
      <c r="B302" s="94" t="s">
        <v>665</v>
      </c>
      <c r="C302" s="94">
        <v>10300</v>
      </c>
      <c r="D302" s="94" t="s">
        <v>122</v>
      </c>
      <c r="E302" s="94"/>
      <c r="F302" s="94" t="s">
        <v>122</v>
      </c>
      <c r="G302" s="115"/>
    </row>
    <row r="303" spans="1:7" ht="26.25" customHeight="1" x14ac:dyDescent="0.25">
      <c r="A303" s="95">
        <v>39747</v>
      </c>
      <c r="B303" s="94" t="s">
        <v>591</v>
      </c>
      <c r="C303" s="94">
        <v>10400</v>
      </c>
      <c r="D303" s="94" t="s">
        <v>122</v>
      </c>
      <c r="E303" s="94"/>
      <c r="F303" s="94" t="s">
        <v>122</v>
      </c>
      <c r="G303" s="115"/>
    </row>
    <row r="304" spans="1:7" ht="26.25" customHeight="1" x14ac:dyDescent="0.25">
      <c r="A304" s="95">
        <v>39748</v>
      </c>
      <c r="B304" s="94" t="s">
        <v>591</v>
      </c>
      <c r="C304" s="94">
        <v>10400</v>
      </c>
      <c r="D304" s="94" t="s">
        <v>122</v>
      </c>
      <c r="E304" s="94"/>
      <c r="F304" s="94" t="s">
        <v>122</v>
      </c>
      <c r="G304" s="115"/>
    </row>
    <row r="305" spans="1:7" ht="26.25" customHeight="1" x14ac:dyDescent="0.25">
      <c r="A305" s="95">
        <v>39749</v>
      </c>
      <c r="B305" s="94" t="s">
        <v>664</v>
      </c>
      <c r="C305" s="94">
        <v>10500</v>
      </c>
      <c r="D305" s="94" t="s">
        <v>122</v>
      </c>
      <c r="E305" s="94"/>
      <c r="F305" s="94" t="s">
        <v>122</v>
      </c>
      <c r="G305" s="115"/>
    </row>
    <row r="306" spans="1:7" ht="26.25" customHeight="1" x14ac:dyDescent="0.25">
      <c r="A306" s="95">
        <v>39750</v>
      </c>
      <c r="B306" s="94" t="s">
        <v>664</v>
      </c>
      <c r="C306" s="94">
        <v>10500</v>
      </c>
      <c r="D306" s="94" t="s">
        <v>122</v>
      </c>
      <c r="E306" s="94"/>
      <c r="F306" s="94" t="s">
        <v>122</v>
      </c>
      <c r="G306" s="115"/>
    </row>
    <row r="307" spans="1:7" ht="26.25" customHeight="1" x14ac:dyDescent="0.25">
      <c r="A307" s="95">
        <v>39751</v>
      </c>
      <c r="B307" s="94" t="s">
        <v>590</v>
      </c>
      <c r="C307" s="94">
        <v>10600</v>
      </c>
      <c r="D307" s="94" t="s">
        <v>122</v>
      </c>
      <c r="E307" s="94"/>
      <c r="F307" s="94" t="s">
        <v>122</v>
      </c>
      <c r="G307" s="115"/>
    </row>
    <row r="308" spans="1:7" ht="26.25" customHeight="1" x14ac:dyDescent="0.25">
      <c r="A308" s="95">
        <v>39752</v>
      </c>
      <c r="B308" s="94" t="s">
        <v>664</v>
      </c>
      <c r="C308" s="94">
        <v>10500</v>
      </c>
      <c r="D308" s="94" t="s">
        <v>122</v>
      </c>
      <c r="E308" s="94"/>
      <c r="F308" s="94" t="s">
        <v>122</v>
      </c>
      <c r="G308" s="115"/>
    </row>
    <row r="309" spans="1:7" ht="26.25" customHeight="1" x14ac:dyDescent="0.25">
      <c r="A309" s="95">
        <v>39753</v>
      </c>
      <c r="B309" s="211" t="s">
        <v>664</v>
      </c>
      <c r="C309" s="94">
        <v>10500</v>
      </c>
      <c r="D309" s="94" t="s">
        <v>122</v>
      </c>
      <c r="E309" s="94"/>
      <c r="F309" s="94" t="s">
        <v>122</v>
      </c>
      <c r="G309" s="115"/>
    </row>
    <row r="310" spans="1:7" ht="26.25" customHeight="1" x14ac:dyDescent="0.25">
      <c r="A310" s="95">
        <v>39754</v>
      </c>
      <c r="B310" s="94" t="s">
        <v>664</v>
      </c>
      <c r="C310" s="94">
        <v>10500</v>
      </c>
      <c r="D310" s="94" t="s">
        <v>122</v>
      </c>
      <c r="E310" s="94"/>
      <c r="F310" s="94" t="s">
        <v>122</v>
      </c>
      <c r="G310" s="115"/>
    </row>
    <row r="311" spans="1:7" ht="26.25" customHeight="1" x14ac:dyDescent="0.25">
      <c r="A311" s="95">
        <v>39755</v>
      </c>
      <c r="B311" s="211" t="s">
        <v>664</v>
      </c>
      <c r="C311" s="94">
        <v>10500</v>
      </c>
      <c r="D311" s="94" t="s">
        <v>122</v>
      </c>
      <c r="E311" s="94"/>
      <c r="F311" s="94" t="s">
        <v>122</v>
      </c>
      <c r="G311" s="115"/>
    </row>
    <row r="312" spans="1:7" ht="26.25" customHeight="1" x14ac:dyDescent="0.25">
      <c r="A312" s="95">
        <v>39756</v>
      </c>
      <c r="B312" s="94" t="s">
        <v>664</v>
      </c>
      <c r="C312" s="94">
        <v>10500</v>
      </c>
      <c r="D312" s="94" t="s">
        <v>122</v>
      </c>
      <c r="E312" s="94"/>
      <c r="F312" s="94" t="s">
        <v>122</v>
      </c>
      <c r="G312" s="115"/>
    </row>
    <row r="313" spans="1:7" ht="26.25" customHeight="1" x14ac:dyDescent="0.25">
      <c r="A313" s="95">
        <v>39757</v>
      </c>
      <c r="B313" s="211" t="s">
        <v>664</v>
      </c>
      <c r="C313" s="94">
        <v>10500</v>
      </c>
      <c r="D313" s="94" t="s">
        <v>122</v>
      </c>
      <c r="E313" s="94"/>
      <c r="F313" s="94" t="s">
        <v>122</v>
      </c>
      <c r="G313" s="115"/>
    </row>
    <row r="314" spans="1:7" ht="26.25" customHeight="1" x14ac:dyDescent="0.25">
      <c r="A314" s="95">
        <v>39758</v>
      </c>
      <c r="B314" s="94" t="s">
        <v>664</v>
      </c>
      <c r="C314" s="94">
        <v>10500</v>
      </c>
      <c r="D314" s="94" t="s">
        <v>122</v>
      </c>
      <c r="E314" s="94"/>
      <c r="F314" s="94" t="s">
        <v>122</v>
      </c>
      <c r="G314" s="115"/>
    </row>
    <row r="315" spans="1:7" ht="26.25" customHeight="1" x14ac:dyDescent="0.25">
      <c r="A315" s="95">
        <v>39759</v>
      </c>
      <c r="B315" s="211" t="s">
        <v>664</v>
      </c>
      <c r="C315" s="94">
        <v>10500</v>
      </c>
      <c r="D315" s="94" t="s">
        <v>122</v>
      </c>
      <c r="E315" s="94"/>
      <c r="F315" s="94" t="s">
        <v>122</v>
      </c>
      <c r="G315" s="115"/>
    </row>
    <row r="316" spans="1:7" ht="26.25" customHeight="1" x14ac:dyDescent="0.25">
      <c r="A316" s="95">
        <v>39760</v>
      </c>
      <c r="B316" s="94" t="s">
        <v>664</v>
      </c>
      <c r="C316" s="94">
        <v>10500</v>
      </c>
      <c r="D316" s="94">
        <v>13</v>
      </c>
      <c r="E316" s="94">
        <v>52.16</v>
      </c>
      <c r="F316" s="94">
        <v>18</v>
      </c>
      <c r="G316" s="115">
        <v>65.64</v>
      </c>
    </row>
    <row r="317" spans="1:7" ht="26.25" customHeight="1" x14ac:dyDescent="0.25">
      <c r="A317" s="95">
        <v>39761</v>
      </c>
      <c r="B317" s="94" t="s">
        <v>592</v>
      </c>
      <c r="C317" s="94">
        <v>10200</v>
      </c>
      <c r="D317" s="94">
        <v>13</v>
      </c>
      <c r="E317" s="94">
        <v>51.35</v>
      </c>
      <c r="F317" s="94">
        <v>12</v>
      </c>
      <c r="G317" s="115">
        <v>44.58</v>
      </c>
    </row>
    <row r="318" spans="1:7" ht="26.25" customHeight="1" x14ac:dyDescent="0.25">
      <c r="A318" s="95">
        <v>39762</v>
      </c>
      <c r="B318" s="94" t="s">
        <v>659</v>
      </c>
      <c r="C318" s="94">
        <v>10000</v>
      </c>
      <c r="D318" s="94">
        <v>13</v>
      </c>
      <c r="E318" s="94">
        <v>50.81</v>
      </c>
      <c r="F318" s="94">
        <v>12</v>
      </c>
      <c r="G318" s="115">
        <v>44.04</v>
      </c>
    </row>
    <row r="319" spans="1:7" ht="26.25" customHeight="1" x14ac:dyDescent="0.25">
      <c r="A319" s="95">
        <v>39763</v>
      </c>
      <c r="B319" s="94" t="s">
        <v>706</v>
      </c>
      <c r="C319" s="94">
        <v>9800</v>
      </c>
      <c r="D319" s="94">
        <v>13</v>
      </c>
      <c r="E319" s="94">
        <v>51.26</v>
      </c>
      <c r="F319" s="94">
        <v>12</v>
      </c>
      <c r="G319" s="115">
        <v>43.5</v>
      </c>
    </row>
    <row r="320" spans="1:7" ht="26.25" customHeight="1" x14ac:dyDescent="0.25">
      <c r="A320" s="95">
        <v>39764</v>
      </c>
      <c r="B320" s="94" t="s">
        <v>666</v>
      </c>
      <c r="C320" s="94">
        <v>9600</v>
      </c>
      <c r="D320" s="94">
        <v>13</v>
      </c>
      <c r="E320" s="94">
        <v>49.71</v>
      </c>
      <c r="F320" s="94">
        <v>18</v>
      </c>
      <c r="G320" s="115">
        <v>61.88</v>
      </c>
    </row>
    <row r="321" spans="1:7" ht="26.25" customHeight="1" x14ac:dyDescent="0.25">
      <c r="A321" s="95">
        <v>39765</v>
      </c>
      <c r="B321" s="94" t="s">
        <v>726</v>
      </c>
      <c r="C321" s="94">
        <v>9400</v>
      </c>
      <c r="D321" s="94">
        <v>13</v>
      </c>
      <c r="E321" s="94">
        <v>49.14</v>
      </c>
      <c r="F321" s="94">
        <v>18</v>
      </c>
      <c r="G321" s="115">
        <v>61.01</v>
      </c>
    </row>
    <row r="322" spans="1:7" ht="26.25" customHeight="1" x14ac:dyDescent="0.25">
      <c r="A322" s="95">
        <v>39766</v>
      </c>
      <c r="B322" s="94" t="s">
        <v>655</v>
      </c>
      <c r="C322" s="94">
        <v>9100</v>
      </c>
      <c r="D322" s="94">
        <v>15</v>
      </c>
      <c r="E322" s="94">
        <v>55.05</v>
      </c>
      <c r="F322" s="94">
        <v>18</v>
      </c>
      <c r="G322" s="115">
        <v>59.69</v>
      </c>
    </row>
    <row r="323" spans="1:7" ht="26.25" customHeight="1" x14ac:dyDescent="0.25">
      <c r="A323" s="95">
        <v>39767</v>
      </c>
      <c r="B323" s="94" t="s">
        <v>695</v>
      </c>
      <c r="C323" s="94">
        <v>8800</v>
      </c>
      <c r="D323" s="94">
        <v>15</v>
      </c>
      <c r="E323" s="94">
        <v>54.03</v>
      </c>
      <c r="F323" s="94">
        <v>18</v>
      </c>
      <c r="G323" s="115">
        <v>58.33</v>
      </c>
    </row>
    <row r="324" spans="1:7" ht="26.25" customHeight="1" x14ac:dyDescent="0.25">
      <c r="A324" s="95">
        <v>39768</v>
      </c>
      <c r="B324" s="94" t="s">
        <v>675</v>
      </c>
      <c r="C324" s="94">
        <v>8500</v>
      </c>
      <c r="D324" s="94">
        <v>15</v>
      </c>
      <c r="E324" s="94">
        <v>52.99</v>
      </c>
      <c r="F324" s="94">
        <v>18</v>
      </c>
      <c r="G324" s="115">
        <v>56.94</v>
      </c>
    </row>
    <row r="325" spans="1:7" ht="26.25" customHeight="1" x14ac:dyDescent="0.25">
      <c r="A325" s="95">
        <v>39769</v>
      </c>
      <c r="B325" s="94" t="s">
        <v>676</v>
      </c>
      <c r="C325" s="94">
        <v>8300</v>
      </c>
      <c r="D325" s="94">
        <v>15</v>
      </c>
      <c r="E325" s="94">
        <v>52.29</v>
      </c>
      <c r="F325" s="94">
        <v>18</v>
      </c>
      <c r="G325" s="115">
        <v>56</v>
      </c>
    </row>
    <row r="326" spans="1:7" ht="26.25" customHeight="1" x14ac:dyDescent="0.25">
      <c r="A326" s="95">
        <v>39770</v>
      </c>
      <c r="B326" s="94" t="s">
        <v>677</v>
      </c>
      <c r="C326" s="94">
        <v>8200</v>
      </c>
      <c r="D326" s="94">
        <v>15</v>
      </c>
      <c r="E326" s="94">
        <v>51.58</v>
      </c>
      <c r="F326" s="94">
        <v>18</v>
      </c>
      <c r="G326" s="115">
        <v>55.04</v>
      </c>
    </row>
    <row r="327" spans="1:7" ht="26.25" customHeight="1" x14ac:dyDescent="0.25">
      <c r="A327" s="95">
        <v>39771</v>
      </c>
      <c r="B327" s="94" t="s">
        <v>602</v>
      </c>
      <c r="C327" s="94">
        <v>7900</v>
      </c>
      <c r="D327" s="94">
        <v>15</v>
      </c>
      <c r="E327" s="94">
        <v>50.48</v>
      </c>
      <c r="F327" s="94">
        <v>18</v>
      </c>
      <c r="G327" s="115">
        <v>53.56</v>
      </c>
    </row>
    <row r="328" spans="1:7" ht="26.25" customHeight="1" x14ac:dyDescent="0.25">
      <c r="A328" s="95">
        <v>39772</v>
      </c>
      <c r="B328" s="94" t="s">
        <v>651</v>
      </c>
      <c r="C328" s="94">
        <v>7600</v>
      </c>
      <c r="D328" s="94">
        <v>15</v>
      </c>
      <c r="E328" s="94">
        <v>49.37</v>
      </c>
      <c r="F328" s="94">
        <v>21</v>
      </c>
      <c r="G328" s="115">
        <v>58.86</v>
      </c>
    </row>
    <row r="329" spans="1:7" ht="26.25" customHeight="1" x14ac:dyDescent="0.25">
      <c r="A329" s="95">
        <v>39773</v>
      </c>
      <c r="B329" s="94" t="s">
        <v>604</v>
      </c>
      <c r="C329" s="94">
        <v>7450</v>
      </c>
      <c r="D329" s="94">
        <v>15</v>
      </c>
      <c r="E329" s="94">
        <v>48.64</v>
      </c>
      <c r="F329" s="94">
        <v>21</v>
      </c>
      <c r="G329" s="115">
        <v>57.62</v>
      </c>
    </row>
    <row r="330" spans="1:7" ht="26.25" customHeight="1" x14ac:dyDescent="0.25">
      <c r="A330" s="95">
        <v>39774</v>
      </c>
      <c r="B330" s="94" t="s">
        <v>606</v>
      </c>
      <c r="C330" s="94">
        <v>7200</v>
      </c>
      <c r="D330" s="94">
        <v>15</v>
      </c>
      <c r="E330" s="94">
        <v>47.46</v>
      </c>
      <c r="F330" s="94">
        <v>21</v>
      </c>
      <c r="G330" s="115">
        <v>5.69</v>
      </c>
    </row>
    <row r="331" spans="1:7" ht="26.25" customHeight="1" x14ac:dyDescent="0.25">
      <c r="A331" s="95">
        <v>39775</v>
      </c>
      <c r="B331" s="94" t="s">
        <v>680</v>
      </c>
      <c r="C331" s="94">
        <v>7000</v>
      </c>
      <c r="D331" s="94"/>
      <c r="E331" s="94"/>
      <c r="F331" s="94"/>
      <c r="G331" s="115"/>
    </row>
    <row r="332" spans="1:7" ht="26.25" customHeight="1" x14ac:dyDescent="0.25">
      <c r="A332" s="95">
        <v>39776</v>
      </c>
      <c r="B332" s="94" t="s">
        <v>604</v>
      </c>
      <c r="C332" s="94">
        <v>7450</v>
      </c>
      <c r="D332" s="94"/>
      <c r="E332" s="94"/>
      <c r="F332" s="94"/>
      <c r="G332" s="115"/>
    </row>
    <row r="333" spans="1:7" ht="26.25" customHeight="1" x14ac:dyDescent="0.25">
      <c r="A333" s="95">
        <v>39777</v>
      </c>
      <c r="B333" s="94" t="s">
        <v>652</v>
      </c>
      <c r="C333" s="94">
        <v>7800</v>
      </c>
      <c r="D333" s="94"/>
      <c r="E333" s="94"/>
      <c r="F333" s="94"/>
      <c r="G333" s="115"/>
    </row>
    <row r="334" spans="1:7" ht="26.25" customHeight="1" x14ac:dyDescent="0.25">
      <c r="A334" s="95">
        <v>39778</v>
      </c>
      <c r="B334" s="94" t="s">
        <v>600</v>
      </c>
      <c r="C334" s="94">
        <v>8250</v>
      </c>
      <c r="D334" s="94"/>
      <c r="E334" s="94"/>
      <c r="F334" s="94"/>
      <c r="G334" s="115"/>
    </row>
    <row r="335" spans="1:7" ht="26.25" customHeight="1" x14ac:dyDescent="0.25">
      <c r="A335" s="95">
        <v>39779</v>
      </c>
      <c r="B335" s="94" t="s">
        <v>653</v>
      </c>
      <c r="C335" s="94">
        <v>8700</v>
      </c>
      <c r="D335" s="94"/>
      <c r="E335" s="94"/>
      <c r="F335" s="94"/>
      <c r="G335" s="115"/>
    </row>
    <row r="336" spans="1:7" ht="26.25" customHeight="1" x14ac:dyDescent="0.25">
      <c r="A336" s="95">
        <v>39780</v>
      </c>
      <c r="B336" s="94" t="s">
        <v>597</v>
      </c>
      <c r="C336" s="94">
        <v>9000</v>
      </c>
      <c r="D336" s="94"/>
      <c r="E336" s="94"/>
      <c r="F336" s="94"/>
      <c r="G336" s="115"/>
    </row>
    <row r="337" spans="1:7" ht="26.25" customHeight="1" x14ac:dyDescent="0.25">
      <c r="A337" s="95">
        <v>39781</v>
      </c>
      <c r="B337" s="94" t="s">
        <v>656</v>
      </c>
      <c r="C337" s="94">
        <v>9300</v>
      </c>
      <c r="D337" s="94"/>
      <c r="E337" s="94"/>
      <c r="F337" s="94"/>
      <c r="G337" s="115"/>
    </row>
    <row r="338" spans="1:7" ht="26.25" customHeight="1" x14ac:dyDescent="0.25">
      <c r="A338" s="95">
        <v>39782</v>
      </c>
      <c r="B338" s="94" t="s">
        <v>666</v>
      </c>
      <c r="C338" s="94">
        <v>9600</v>
      </c>
      <c r="D338" s="94"/>
      <c r="E338" s="94"/>
      <c r="F338" s="94"/>
      <c r="G338" s="115"/>
    </row>
    <row r="339" spans="1:7" ht="26.25" customHeight="1" x14ac:dyDescent="0.25">
      <c r="A339" s="95">
        <v>39783</v>
      </c>
      <c r="B339" s="94" t="s">
        <v>595</v>
      </c>
      <c r="C339" s="94">
        <v>9700</v>
      </c>
      <c r="D339" s="94" t="s">
        <v>122</v>
      </c>
      <c r="E339" s="94"/>
      <c r="F339" s="94"/>
      <c r="G339" s="115"/>
    </row>
    <row r="340" spans="1:7" ht="26.25" customHeight="1" x14ac:dyDescent="0.25">
      <c r="A340" s="95">
        <v>39784</v>
      </c>
      <c r="B340" s="94" t="s">
        <v>706</v>
      </c>
      <c r="C340" s="94">
        <v>9800</v>
      </c>
      <c r="D340" s="94" t="s">
        <v>122</v>
      </c>
      <c r="E340" s="94"/>
      <c r="F340" s="94"/>
      <c r="G340" s="115"/>
    </row>
    <row r="341" spans="1:7" ht="26.25" customHeight="1" x14ac:dyDescent="0.25">
      <c r="A341" s="95">
        <v>39785</v>
      </c>
      <c r="B341" s="94" t="s">
        <v>594</v>
      </c>
      <c r="C341" s="94">
        <v>9900</v>
      </c>
      <c r="D341" s="94" t="s">
        <v>122</v>
      </c>
      <c r="E341" s="94"/>
      <c r="F341" s="94"/>
      <c r="G341" s="115"/>
    </row>
    <row r="342" spans="1:7" ht="26.25" customHeight="1" x14ac:dyDescent="0.25">
      <c r="A342" s="95">
        <v>39786</v>
      </c>
      <c r="B342" s="94" t="s">
        <v>593</v>
      </c>
      <c r="C342" s="94">
        <v>10100</v>
      </c>
      <c r="D342" s="94" t="s">
        <v>122</v>
      </c>
      <c r="E342" s="94"/>
      <c r="F342" s="94"/>
      <c r="G342" s="115"/>
    </row>
    <row r="343" spans="1:7" ht="26.25" customHeight="1" x14ac:dyDescent="0.25">
      <c r="A343" s="95">
        <v>39787</v>
      </c>
      <c r="B343" s="94" t="s">
        <v>593</v>
      </c>
      <c r="C343" s="94">
        <v>10100</v>
      </c>
      <c r="D343" s="94">
        <v>15</v>
      </c>
      <c r="E343" s="94">
        <v>58.31</v>
      </c>
      <c r="F343" s="94">
        <v>18</v>
      </c>
      <c r="G343" s="115">
        <v>64</v>
      </c>
    </row>
    <row r="344" spans="1:7" ht="26.25" customHeight="1" x14ac:dyDescent="0.25">
      <c r="A344" s="95">
        <v>39788</v>
      </c>
      <c r="B344" s="94" t="s">
        <v>594</v>
      </c>
      <c r="C344" s="94">
        <v>9900</v>
      </c>
      <c r="D344" s="94">
        <v>15</v>
      </c>
      <c r="E344" s="94">
        <v>57.67</v>
      </c>
      <c r="F344" s="94">
        <v>18</v>
      </c>
      <c r="G344" s="115">
        <v>63.16</v>
      </c>
    </row>
    <row r="345" spans="1:7" ht="26.25" customHeight="1" x14ac:dyDescent="0.25">
      <c r="A345" s="95">
        <v>39789</v>
      </c>
      <c r="B345" s="94" t="s">
        <v>592</v>
      </c>
      <c r="C345" s="94">
        <v>10200</v>
      </c>
      <c r="D345" s="94"/>
      <c r="E345" s="94"/>
      <c r="F345" s="94"/>
      <c r="G345" s="115"/>
    </row>
    <row r="346" spans="1:7" ht="26.25" customHeight="1" x14ac:dyDescent="0.25">
      <c r="A346" s="95">
        <v>39790</v>
      </c>
      <c r="B346" s="94" t="s">
        <v>576</v>
      </c>
      <c r="C346" s="94">
        <v>14200</v>
      </c>
      <c r="D346" s="94"/>
      <c r="E346" s="94"/>
      <c r="F346" s="94"/>
      <c r="G346" s="115"/>
    </row>
    <row r="347" spans="1:7" ht="26.25" customHeight="1" x14ac:dyDescent="0.25">
      <c r="A347" s="95">
        <v>39791</v>
      </c>
      <c r="B347" s="94" t="s">
        <v>563</v>
      </c>
      <c r="C347" s="94">
        <v>16600</v>
      </c>
      <c r="D347" s="94"/>
      <c r="E347" s="94"/>
      <c r="F347" s="94"/>
      <c r="G347" s="115"/>
    </row>
    <row r="348" spans="1:7" ht="26.25" customHeight="1" x14ac:dyDescent="0.25">
      <c r="A348" s="95">
        <v>39792</v>
      </c>
      <c r="B348" s="94" t="s">
        <v>436</v>
      </c>
      <c r="C348" s="94">
        <v>19500</v>
      </c>
      <c r="D348" s="94"/>
      <c r="E348" s="94"/>
      <c r="F348" s="94"/>
      <c r="G348" s="115"/>
    </row>
    <row r="349" spans="1:7" ht="26.25" customHeight="1" x14ac:dyDescent="0.25">
      <c r="A349" s="95">
        <v>39793</v>
      </c>
      <c r="B349" s="94" t="s">
        <v>487</v>
      </c>
      <c r="C349" s="94">
        <v>22350</v>
      </c>
      <c r="D349" s="94"/>
      <c r="E349" s="94"/>
      <c r="F349" s="94"/>
      <c r="G349" s="115"/>
    </row>
    <row r="350" spans="1:7" ht="26.25" customHeight="1" x14ac:dyDescent="0.25">
      <c r="A350" s="95">
        <v>39794</v>
      </c>
      <c r="B350" s="94" t="s">
        <v>482</v>
      </c>
      <c r="C350" s="94">
        <v>25500</v>
      </c>
      <c r="D350" s="94"/>
      <c r="E350" s="94"/>
      <c r="F350" s="94"/>
      <c r="G350" s="115"/>
    </row>
    <row r="351" spans="1:7" ht="26.25" customHeight="1" x14ac:dyDescent="0.25">
      <c r="A351" s="95">
        <v>39795</v>
      </c>
      <c r="B351" s="94" t="s">
        <v>721</v>
      </c>
      <c r="C351" s="94">
        <v>26000</v>
      </c>
      <c r="D351" s="94"/>
      <c r="E351" s="94"/>
      <c r="F351" s="94"/>
      <c r="G351" s="115"/>
    </row>
    <row r="352" spans="1:7" ht="26.25" customHeight="1" x14ac:dyDescent="0.25">
      <c r="A352" s="95">
        <v>39796</v>
      </c>
      <c r="B352" s="94" t="s">
        <v>538</v>
      </c>
      <c r="C352" s="94">
        <v>27000</v>
      </c>
      <c r="D352" s="94"/>
      <c r="E352" s="94"/>
      <c r="F352" s="94"/>
      <c r="G352" s="115"/>
    </row>
    <row r="353" spans="1:7" ht="26.25" customHeight="1" x14ac:dyDescent="0.25">
      <c r="A353" s="95">
        <v>39797</v>
      </c>
      <c r="B353" s="94" t="s">
        <v>538</v>
      </c>
      <c r="C353" s="94">
        <v>27000</v>
      </c>
      <c r="D353" s="94">
        <v>9</v>
      </c>
      <c r="E353" s="94">
        <v>50.16</v>
      </c>
      <c r="F353" s="94">
        <v>12</v>
      </c>
      <c r="G353" s="115">
        <v>64.45</v>
      </c>
    </row>
    <row r="354" spans="1:7" ht="26.25" customHeight="1" x14ac:dyDescent="0.25">
      <c r="A354" s="95">
        <v>39798</v>
      </c>
      <c r="B354" s="94" t="s">
        <v>477</v>
      </c>
      <c r="C354" s="94">
        <v>28000</v>
      </c>
      <c r="D354" s="94"/>
      <c r="E354" s="94"/>
      <c r="F354" s="94"/>
      <c r="G354" s="115"/>
    </row>
    <row r="355" spans="1:7" ht="26.25" customHeight="1" x14ac:dyDescent="0.25">
      <c r="A355" s="95">
        <v>39799</v>
      </c>
      <c r="B355" s="94" t="s">
        <v>471</v>
      </c>
      <c r="C355" s="94">
        <v>30300</v>
      </c>
      <c r="D355" s="94"/>
      <c r="E355" s="94"/>
      <c r="F355" s="94"/>
      <c r="G355" s="115"/>
    </row>
    <row r="356" spans="1:7" ht="26.25" customHeight="1" x14ac:dyDescent="0.25">
      <c r="A356" s="95">
        <v>39800</v>
      </c>
      <c r="B356" s="94" t="s">
        <v>456</v>
      </c>
      <c r="C356" s="94">
        <v>34750</v>
      </c>
      <c r="D356" s="94"/>
      <c r="E356" s="94"/>
      <c r="F356" s="94"/>
      <c r="G356" s="115"/>
    </row>
    <row r="357" spans="1:7" ht="26.25" customHeight="1" x14ac:dyDescent="0.25">
      <c r="A357" s="95">
        <v>39801</v>
      </c>
      <c r="B357" s="94" t="s">
        <v>378</v>
      </c>
      <c r="C357" s="94" t="s">
        <v>720</v>
      </c>
      <c r="D357" s="94"/>
      <c r="E357" s="94"/>
      <c r="F357" s="94"/>
      <c r="G357" s="115"/>
    </row>
    <row r="358" spans="1:7" ht="26.25" customHeight="1" x14ac:dyDescent="0.25">
      <c r="A358" s="95">
        <v>39802</v>
      </c>
      <c r="B358" s="94"/>
      <c r="C358" s="94"/>
      <c r="D358" s="94"/>
      <c r="E358" s="94"/>
      <c r="F358" s="94"/>
      <c r="G358" s="115"/>
    </row>
    <row r="359" spans="1:7" ht="26.25" customHeight="1" x14ac:dyDescent="0.25">
      <c r="A359" s="95">
        <v>39803</v>
      </c>
      <c r="B359" s="94"/>
      <c r="C359" s="94"/>
      <c r="D359" s="94"/>
      <c r="E359" s="94"/>
      <c r="F359" s="94"/>
      <c r="G359" s="115"/>
    </row>
    <row r="360" spans="1:7" ht="26.25" customHeight="1" x14ac:dyDescent="0.25">
      <c r="A360" s="95">
        <v>39804</v>
      </c>
      <c r="B360" s="94" t="s">
        <v>446</v>
      </c>
      <c r="C360" s="94" t="s">
        <v>720</v>
      </c>
      <c r="D360" s="94"/>
      <c r="E360" s="94"/>
      <c r="F360" s="94"/>
      <c r="G360" s="115"/>
    </row>
    <row r="361" spans="1:7" ht="26.25" customHeight="1" x14ac:dyDescent="0.25">
      <c r="A361" s="95">
        <v>39805</v>
      </c>
      <c r="B361" s="94" t="s">
        <v>450</v>
      </c>
      <c r="C361" s="94" t="s">
        <v>720</v>
      </c>
      <c r="D361" s="94">
        <v>9</v>
      </c>
      <c r="E361" s="94">
        <v>54.36</v>
      </c>
      <c r="F361" s="94">
        <v>9</v>
      </c>
      <c r="G361" s="115">
        <v>52.88</v>
      </c>
    </row>
    <row r="362" spans="1:7" ht="26.25" customHeight="1" x14ac:dyDescent="0.25">
      <c r="A362" s="95">
        <v>39806</v>
      </c>
      <c r="B362" s="94" t="s">
        <v>450</v>
      </c>
      <c r="C362" s="94" t="s">
        <v>720</v>
      </c>
      <c r="D362" s="94">
        <v>9</v>
      </c>
      <c r="E362" s="94">
        <v>54.36</v>
      </c>
      <c r="F362" s="94">
        <v>9</v>
      </c>
      <c r="G362" s="115">
        <v>52.88</v>
      </c>
    </row>
    <row r="363" spans="1:7" ht="26.25" customHeight="1" x14ac:dyDescent="0.25">
      <c r="A363" s="95">
        <v>39807</v>
      </c>
      <c r="B363" s="94" t="s">
        <v>450</v>
      </c>
      <c r="C363" s="94" t="s">
        <v>720</v>
      </c>
      <c r="D363" s="94">
        <v>9</v>
      </c>
      <c r="E363" s="94">
        <v>54.24</v>
      </c>
      <c r="F363" s="94">
        <v>9</v>
      </c>
      <c r="G363" s="115">
        <v>52.75</v>
      </c>
    </row>
    <row r="364" spans="1:7" ht="26.25" customHeight="1" x14ac:dyDescent="0.25">
      <c r="A364" s="95">
        <v>39808</v>
      </c>
      <c r="B364" s="94" t="s">
        <v>459</v>
      </c>
      <c r="C364" s="94" t="s">
        <v>720</v>
      </c>
      <c r="D364" s="94">
        <v>9</v>
      </c>
      <c r="E364" s="94">
        <v>54.24</v>
      </c>
      <c r="F364" s="94">
        <v>9</v>
      </c>
      <c r="G364" s="115">
        <v>52.75</v>
      </c>
    </row>
    <row r="365" spans="1:7" ht="26.25" customHeight="1" x14ac:dyDescent="0.25">
      <c r="A365" s="95">
        <v>39809</v>
      </c>
      <c r="B365" s="94" t="s">
        <v>452</v>
      </c>
      <c r="C365" s="94" t="s">
        <v>720</v>
      </c>
      <c r="D365" s="94">
        <v>9</v>
      </c>
      <c r="E365" s="94">
        <v>54.12</v>
      </c>
      <c r="F365" s="94">
        <v>9</v>
      </c>
      <c r="G365" s="115">
        <v>52.62</v>
      </c>
    </row>
    <row r="366" spans="1:7" ht="26.25" customHeight="1" x14ac:dyDescent="0.25">
      <c r="A366" s="95">
        <v>39810</v>
      </c>
      <c r="B366" s="94" t="s">
        <v>727</v>
      </c>
      <c r="C366" s="94" t="s">
        <v>720</v>
      </c>
      <c r="D366" s="94">
        <v>9</v>
      </c>
      <c r="E366" s="94">
        <v>54.06</v>
      </c>
      <c r="F366" s="94">
        <v>9</v>
      </c>
      <c r="G366" s="115">
        <v>52.56</v>
      </c>
    </row>
    <row r="367" spans="1:7" ht="26.25" customHeight="1" x14ac:dyDescent="0.25">
      <c r="A367" s="95">
        <v>39811</v>
      </c>
      <c r="B367" s="94" t="s">
        <v>727</v>
      </c>
      <c r="C367" s="94" t="s">
        <v>720</v>
      </c>
      <c r="D367" s="94">
        <v>9</v>
      </c>
      <c r="E367" s="94">
        <v>54.06</v>
      </c>
      <c r="F367" s="94">
        <v>9</v>
      </c>
      <c r="G367" s="115">
        <v>52.56</v>
      </c>
    </row>
    <row r="368" spans="1:7" ht="26.25" customHeight="1" x14ac:dyDescent="0.25">
      <c r="A368" s="95">
        <v>39812</v>
      </c>
      <c r="B368" s="94" t="s">
        <v>453</v>
      </c>
      <c r="C368" s="94">
        <v>36250</v>
      </c>
      <c r="D368" s="94">
        <v>9</v>
      </c>
      <c r="E368" s="94">
        <v>54</v>
      </c>
      <c r="F368" s="94">
        <v>9</v>
      </c>
      <c r="G368" s="115">
        <v>52.5</v>
      </c>
    </row>
    <row r="369" spans="1:7" ht="26.25" customHeight="1" thickBot="1" x14ac:dyDescent="0.3">
      <c r="A369" s="97">
        <v>39813</v>
      </c>
      <c r="B369" s="117" t="s">
        <v>453</v>
      </c>
      <c r="C369" s="117">
        <v>36250</v>
      </c>
      <c r="D369" s="117"/>
      <c r="E369" s="117"/>
      <c r="F369" s="117"/>
      <c r="G369" s="118"/>
    </row>
    <row r="370" spans="1:7" x14ac:dyDescent="0.25">
      <c r="A370" s="409" t="s">
        <v>1759</v>
      </c>
      <c r="B370" s="410"/>
      <c r="C370" s="410"/>
      <c r="D370" s="410"/>
      <c r="E370" s="410"/>
      <c r="F370" s="410"/>
      <c r="G370" s="410"/>
    </row>
  </sheetData>
  <mergeCells count="6">
    <mergeCell ref="A1:G1"/>
    <mergeCell ref="A370:G370"/>
    <mergeCell ref="B2:B3"/>
    <mergeCell ref="C2:C3"/>
    <mergeCell ref="A2:A3"/>
    <mergeCell ref="D2:G2"/>
  </mergeCells>
  <printOptions horizontalCentered="1"/>
  <pageMargins left="1" right="0.75" top="0.75" bottom="0.2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69"/>
  <sheetViews>
    <sheetView workbookViewId="0">
      <selection activeCell="L9" sqref="L9"/>
    </sheetView>
  </sheetViews>
  <sheetFormatPr defaultColWidth="9.140625" defaultRowHeight="15" x14ac:dyDescent="0.25"/>
  <cols>
    <col min="1" max="1" width="12" style="14" customWidth="1"/>
    <col min="2" max="2" width="9.5703125" style="14" customWidth="1"/>
    <col min="3" max="3" width="9.5703125" style="27" customWidth="1"/>
    <col min="4" max="7" width="9.5703125" style="14" customWidth="1"/>
    <col min="8" max="16384" width="9.140625" style="14"/>
  </cols>
  <sheetData>
    <row r="1" spans="1:7" ht="30" customHeight="1" thickBot="1" x14ac:dyDescent="0.3">
      <c r="A1" s="442" t="s">
        <v>2697</v>
      </c>
      <c r="B1" s="442"/>
      <c r="C1" s="442"/>
      <c r="D1" s="442"/>
      <c r="E1" s="442"/>
      <c r="F1" s="442"/>
      <c r="G1" s="442"/>
    </row>
    <row r="2" spans="1:7" ht="19.5" customHeight="1" x14ac:dyDescent="0.25">
      <c r="A2" s="425" t="s">
        <v>0</v>
      </c>
      <c r="B2" s="423" t="s">
        <v>2684</v>
      </c>
      <c r="C2" s="423" t="s">
        <v>2689</v>
      </c>
      <c r="D2" s="443" t="s">
        <v>2686</v>
      </c>
      <c r="E2" s="444"/>
      <c r="F2" s="444"/>
      <c r="G2" s="445"/>
    </row>
    <row r="3" spans="1:7" ht="45.75" customHeight="1" thickBot="1" x14ac:dyDescent="0.3">
      <c r="A3" s="426"/>
      <c r="B3" s="424"/>
      <c r="C3" s="424"/>
      <c r="D3" s="181" t="s">
        <v>2687</v>
      </c>
      <c r="E3" s="184" t="s">
        <v>735</v>
      </c>
      <c r="F3" s="181" t="s">
        <v>2688</v>
      </c>
      <c r="G3" s="183" t="s">
        <v>735</v>
      </c>
    </row>
    <row r="4" spans="1:7" ht="27" customHeight="1" x14ac:dyDescent="0.25">
      <c r="A4" s="120">
        <v>39814</v>
      </c>
      <c r="B4" s="212">
        <v>19</v>
      </c>
      <c r="C4" s="113">
        <v>36250</v>
      </c>
      <c r="D4" s="113" t="s">
        <v>122</v>
      </c>
      <c r="E4" s="113" t="s">
        <v>122</v>
      </c>
      <c r="F4" s="113" t="s">
        <v>122</v>
      </c>
      <c r="G4" s="114" t="s">
        <v>122</v>
      </c>
    </row>
    <row r="5" spans="1:7" ht="27" customHeight="1" x14ac:dyDescent="0.25">
      <c r="A5" s="95">
        <v>39815</v>
      </c>
      <c r="B5" s="153">
        <v>19</v>
      </c>
      <c r="C5" s="94">
        <v>36250</v>
      </c>
      <c r="D5" s="94" t="s">
        <v>122</v>
      </c>
      <c r="E5" s="94" t="s">
        <v>122</v>
      </c>
      <c r="F5" s="94" t="s">
        <v>122</v>
      </c>
      <c r="G5" s="115" t="s">
        <v>122</v>
      </c>
    </row>
    <row r="6" spans="1:7" ht="27" customHeight="1" x14ac:dyDescent="0.25">
      <c r="A6" s="95">
        <v>39816</v>
      </c>
      <c r="B6" s="153">
        <v>19</v>
      </c>
      <c r="C6" s="94">
        <v>36250</v>
      </c>
      <c r="D6" s="94" t="s">
        <v>122</v>
      </c>
      <c r="E6" s="94" t="s">
        <v>122</v>
      </c>
      <c r="F6" s="94" t="s">
        <v>122</v>
      </c>
      <c r="G6" s="115" t="s">
        <v>122</v>
      </c>
    </row>
    <row r="7" spans="1:7" ht="27" customHeight="1" x14ac:dyDescent="0.25">
      <c r="A7" s="95">
        <v>39817</v>
      </c>
      <c r="B7" s="153">
        <v>19</v>
      </c>
      <c r="C7" s="94">
        <v>36250</v>
      </c>
      <c r="D7" s="94" t="s">
        <v>122</v>
      </c>
      <c r="E7" s="94" t="s">
        <v>122</v>
      </c>
      <c r="F7" s="94" t="s">
        <v>122</v>
      </c>
      <c r="G7" s="115" t="s">
        <v>122</v>
      </c>
    </row>
    <row r="8" spans="1:7" ht="27" customHeight="1" x14ac:dyDescent="0.25">
      <c r="A8" s="95">
        <v>39818</v>
      </c>
      <c r="B8" s="153">
        <v>18.920000000000002</v>
      </c>
      <c r="C8" s="94">
        <v>35750</v>
      </c>
      <c r="D8" s="94" t="s">
        <v>122</v>
      </c>
      <c r="E8" s="94" t="s">
        <v>122</v>
      </c>
      <c r="F8" s="94" t="s">
        <v>122</v>
      </c>
      <c r="G8" s="115" t="s">
        <v>122</v>
      </c>
    </row>
    <row r="9" spans="1:7" ht="27" customHeight="1" x14ac:dyDescent="0.25">
      <c r="A9" s="95">
        <v>39819</v>
      </c>
      <c r="B9" s="153">
        <v>18.829999999999998</v>
      </c>
      <c r="C9" s="94">
        <v>35250</v>
      </c>
      <c r="D9" s="94" t="s">
        <v>122</v>
      </c>
      <c r="E9" s="94" t="s">
        <v>122</v>
      </c>
      <c r="F9" s="94" t="s">
        <v>122</v>
      </c>
      <c r="G9" s="115" t="s">
        <v>122</v>
      </c>
    </row>
    <row r="10" spans="1:7" ht="27" customHeight="1" x14ac:dyDescent="0.25">
      <c r="A10" s="95">
        <v>39820</v>
      </c>
      <c r="B10" s="153">
        <v>18.75</v>
      </c>
      <c r="C10" s="94">
        <v>34750</v>
      </c>
      <c r="D10" s="94" t="s">
        <v>122</v>
      </c>
      <c r="E10" s="94" t="s">
        <v>122</v>
      </c>
      <c r="F10" s="94" t="s">
        <v>122</v>
      </c>
      <c r="G10" s="115" t="s">
        <v>122</v>
      </c>
    </row>
    <row r="11" spans="1:7" ht="27" customHeight="1" x14ac:dyDescent="0.25">
      <c r="A11" s="95">
        <v>39821</v>
      </c>
      <c r="B11" s="153">
        <v>18.670000000000002</v>
      </c>
      <c r="C11" s="94">
        <v>34250</v>
      </c>
      <c r="D11" s="94" t="s">
        <v>122</v>
      </c>
      <c r="E11" s="94" t="s">
        <v>122</v>
      </c>
      <c r="F11" s="94" t="s">
        <v>122</v>
      </c>
      <c r="G11" s="115" t="s">
        <v>122</v>
      </c>
    </row>
    <row r="12" spans="1:7" ht="27" customHeight="1" x14ac:dyDescent="0.25">
      <c r="A12" s="95">
        <v>39822</v>
      </c>
      <c r="B12" s="213" t="s">
        <v>1748</v>
      </c>
      <c r="C12" s="214"/>
      <c r="D12" s="94" t="s">
        <v>122</v>
      </c>
      <c r="E12" s="94" t="s">
        <v>122</v>
      </c>
      <c r="F12" s="94" t="s">
        <v>122</v>
      </c>
      <c r="G12" s="115" t="s">
        <v>122</v>
      </c>
    </row>
    <row r="13" spans="1:7" ht="27" customHeight="1" x14ac:dyDescent="0.3">
      <c r="A13" s="95">
        <v>39823</v>
      </c>
      <c r="B13" s="153">
        <v>19</v>
      </c>
      <c r="C13" s="94">
        <v>36250</v>
      </c>
      <c r="D13" s="137">
        <v>9</v>
      </c>
      <c r="E13" s="94">
        <v>54.55</v>
      </c>
      <c r="F13" s="137">
        <v>12</v>
      </c>
      <c r="G13" s="115">
        <v>70.33</v>
      </c>
    </row>
    <row r="14" spans="1:7" ht="27" customHeight="1" x14ac:dyDescent="0.3">
      <c r="A14" s="95">
        <v>39824</v>
      </c>
      <c r="B14" s="153">
        <v>19.420000000000002</v>
      </c>
      <c r="C14" s="94" t="s">
        <v>539</v>
      </c>
      <c r="D14" s="137">
        <v>9</v>
      </c>
      <c r="E14" s="94">
        <v>54.55</v>
      </c>
      <c r="F14" s="137">
        <v>12</v>
      </c>
      <c r="G14" s="115">
        <v>70.33</v>
      </c>
    </row>
    <row r="15" spans="1:7" ht="27" customHeight="1" x14ac:dyDescent="0.3">
      <c r="A15" s="95">
        <v>39825</v>
      </c>
      <c r="B15" s="153">
        <v>19.420000000000002</v>
      </c>
      <c r="C15" s="94" t="s">
        <v>539</v>
      </c>
      <c r="D15" s="137">
        <v>9</v>
      </c>
      <c r="E15" s="94">
        <v>54.49</v>
      </c>
      <c r="F15" s="137">
        <v>12</v>
      </c>
      <c r="G15" s="115">
        <v>70.16</v>
      </c>
    </row>
    <row r="16" spans="1:7" ht="27" customHeight="1" x14ac:dyDescent="0.3">
      <c r="A16" s="95">
        <v>39826</v>
      </c>
      <c r="B16" s="153">
        <v>19.329999999999998</v>
      </c>
      <c r="C16" s="94" t="s">
        <v>539</v>
      </c>
      <c r="D16" s="137">
        <v>9</v>
      </c>
      <c r="E16" s="94">
        <v>54.36</v>
      </c>
      <c r="F16" s="137">
        <v>12</v>
      </c>
      <c r="G16" s="115">
        <v>69.989999999999995</v>
      </c>
    </row>
    <row r="17" spans="1:7" ht="27" customHeight="1" x14ac:dyDescent="0.25">
      <c r="A17" s="95">
        <v>39827</v>
      </c>
      <c r="B17" s="153">
        <v>19.25</v>
      </c>
      <c r="C17" s="94" t="s">
        <v>539</v>
      </c>
      <c r="D17" s="94" t="s">
        <v>122</v>
      </c>
      <c r="E17" s="94" t="s">
        <v>122</v>
      </c>
      <c r="F17" s="94" t="s">
        <v>122</v>
      </c>
      <c r="G17" s="115" t="s">
        <v>122</v>
      </c>
    </row>
    <row r="18" spans="1:7" ht="27" customHeight="1" x14ac:dyDescent="0.25">
      <c r="A18" s="95">
        <v>39828</v>
      </c>
      <c r="B18" s="153">
        <v>19.170000000000002</v>
      </c>
      <c r="C18" s="94" t="s">
        <v>539</v>
      </c>
      <c r="D18" s="94" t="s">
        <v>122</v>
      </c>
      <c r="E18" s="94" t="s">
        <v>122</v>
      </c>
      <c r="F18" s="94" t="s">
        <v>122</v>
      </c>
      <c r="G18" s="115" t="s">
        <v>122</v>
      </c>
    </row>
    <row r="19" spans="1:7" ht="27" customHeight="1" x14ac:dyDescent="0.25">
      <c r="A19" s="95">
        <v>39829</v>
      </c>
      <c r="B19" s="153">
        <v>19.079999999999998</v>
      </c>
      <c r="C19" s="94" t="s">
        <v>539</v>
      </c>
      <c r="D19" s="94" t="s">
        <v>122</v>
      </c>
      <c r="E19" s="94" t="s">
        <v>122</v>
      </c>
      <c r="F19" s="94" t="s">
        <v>122</v>
      </c>
      <c r="G19" s="115" t="s">
        <v>122</v>
      </c>
    </row>
    <row r="20" spans="1:7" ht="27" customHeight="1" x14ac:dyDescent="0.25">
      <c r="A20" s="95">
        <v>39830</v>
      </c>
      <c r="B20" s="153">
        <v>19</v>
      </c>
      <c r="C20" s="94">
        <v>36250</v>
      </c>
      <c r="D20" s="94" t="s">
        <v>122</v>
      </c>
      <c r="E20" s="94" t="s">
        <v>122</v>
      </c>
      <c r="F20" s="94" t="s">
        <v>122</v>
      </c>
      <c r="G20" s="115" t="s">
        <v>122</v>
      </c>
    </row>
    <row r="21" spans="1:7" ht="27" customHeight="1" x14ac:dyDescent="0.25">
      <c r="A21" s="95">
        <v>39831</v>
      </c>
      <c r="B21" s="153">
        <v>19</v>
      </c>
      <c r="C21" s="94">
        <v>36250</v>
      </c>
      <c r="D21" s="94" t="s">
        <v>122</v>
      </c>
      <c r="E21" s="94" t="s">
        <v>122</v>
      </c>
      <c r="F21" s="94" t="s">
        <v>122</v>
      </c>
      <c r="G21" s="115" t="s">
        <v>122</v>
      </c>
    </row>
    <row r="22" spans="1:7" ht="27" customHeight="1" x14ac:dyDescent="0.25">
      <c r="A22" s="95">
        <v>39832</v>
      </c>
      <c r="B22" s="153">
        <v>19</v>
      </c>
      <c r="C22" s="94">
        <v>36250</v>
      </c>
      <c r="D22" s="94" t="s">
        <v>122</v>
      </c>
      <c r="E22" s="94" t="s">
        <v>122</v>
      </c>
      <c r="F22" s="94" t="s">
        <v>122</v>
      </c>
      <c r="G22" s="115" t="s">
        <v>122</v>
      </c>
    </row>
    <row r="23" spans="1:7" ht="27" customHeight="1" x14ac:dyDescent="0.25">
      <c r="A23" s="95">
        <v>39833</v>
      </c>
      <c r="B23" s="153">
        <v>19</v>
      </c>
      <c r="C23" s="94">
        <v>36250</v>
      </c>
      <c r="D23" s="94" t="s">
        <v>122</v>
      </c>
      <c r="E23" s="94" t="s">
        <v>1749</v>
      </c>
      <c r="F23" s="94" t="s">
        <v>122</v>
      </c>
      <c r="G23" s="115" t="s">
        <v>122</v>
      </c>
    </row>
    <row r="24" spans="1:7" ht="27" customHeight="1" x14ac:dyDescent="0.25">
      <c r="A24" s="95">
        <v>39834</v>
      </c>
      <c r="B24" s="153">
        <v>19</v>
      </c>
      <c r="C24" s="94">
        <v>36250</v>
      </c>
      <c r="D24" s="137">
        <v>9</v>
      </c>
      <c r="E24" s="94">
        <v>54.55</v>
      </c>
      <c r="F24" s="108" t="s">
        <v>1249</v>
      </c>
      <c r="G24" s="115">
        <v>69.48</v>
      </c>
    </row>
    <row r="25" spans="1:7" ht="27" customHeight="1" x14ac:dyDescent="0.25">
      <c r="A25" s="95">
        <v>39835</v>
      </c>
      <c r="B25" s="153">
        <v>18.920000000000002</v>
      </c>
      <c r="C25" s="94">
        <v>35750</v>
      </c>
      <c r="D25" s="137">
        <v>9</v>
      </c>
      <c r="E25" s="94">
        <v>53.87</v>
      </c>
      <c r="F25" s="108" t="s">
        <v>1249</v>
      </c>
      <c r="G25" s="115">
        <v>69.31</v>
      </c>
    </row>
    <row r="26" spans="1:7" ht="27" customHeight="1" x14ac:dyDescent="0.25">
      <c r="A26" s="95">
        <v>39836</v>
      </c>
      <c r="B26" s="153">
        <v>18.829999999999998</v>
      </c>
      <c r="C26" s="94">
        <v>35250</v>
      </c>
      <c r="D26" s="137">
        <v>9</v>
      </c>
      <c r="E26" s="94"/>
      <c r="F26" s="108" t="s">
        <v>1249</v>
      </c>
      <c r="G26" s="115"/>
    </row>
    <row r="27" spans="1:7" ht="27" customHeight="1" x14ac:dyDescent="0.25">
      <c r="A27" s="95">
        <v>39837</v>
      </c>
      <c r="B27" s="153">
        <v>18.75</v>
      </c>
      <c r="C27" s="94">
        <v>34750</v>
      </c>
      <c r="D27" s="137">
        <v>9</v>
      </c>
      <c r="E27" s="94"/>
      <c r="F27" s="108" t="s">
        <v>1249</v>
      </c>
      <c r="G27" s="115"/>
    </row>
    <row r="28" spans="1:7" ht="27" customHeight="1" x14ac:dyDescent="0.25">
      <c r="A28" s="95">
        <v>39838</v>
      </c>
      <c r="B28" s="153">
        <v>18.670000000000002</v>
      </c>
      <c r="C28" s="94">
        <v>34250</v>
      </c>
      <c r="D28" s="137">
        <v>9</v>
      </c>
      <c r="E28" s="94"/>
      <c r="F28" s="108" t="s">
        <v>1249</v>
      </c>
      <c r="G28" s="115"/>
    </row>
    <row r="29" spans="1:7" ht="27" customHeight="1" x14ac:dyDescent="0.25">
      <c r="A29" s="95">
        <v>39839</v>
      </c>
      <c r="B29" s="153">
        <v>18.579999999999998</v>
      </c>
      <c r="C29" s="94">
        <v>33900</v>
      </c>
      <c r="D29" s="137">
        <v>9</v>
      </c>
      <c r="E29" s="94"/>
      <c r="F29" s="108" t="s">
        <v>1249</v>
      </c>
      <c r="G29" s="115"/>
    </row>
    <row r="30" spans="1:7" ht="27" customHeight="1" x14ac:dyDescent="0.25">
      <c r="A30" s="95">
        <v>39840</v>
      </c>
      <c r="B30" s="153">
        <v>18.5</v>
      </c>
      <c r="C30" s="94">
        <v>33800</v>
      </c>
      <c r="D30" s="137">
        <v>9</v>
      </c>
      <c r="E30" s="94"/>
      <c r="F30" s="108" t="s">
        <v>1249</v>
      </c>
      <c r="G30" s="115"/>
    </row>
    <row r="31" spans="1:7" ht="27" customHeight="1" x14ac:dyDescent="0.25">
      <c r="A31" s="95">
        <v>39841</v>
      </c>
      <c r="B31" s="153">
        <v>18.420000000000002</v>
      </c>
      <c r="C31" s="94">
        <v>33500</v>
      </c>
      <c r="D31" s="137">
        <v>9</v>
      </c>
      <c r="E31" s="94"/>
      <c r="F31" s="108" t="s">
        <v>1249</v>
      </c>
      <c r="G31" s="115"/>
    </row>
    <row r="32" spans="1:7" ht="27" customHeight="1" x14ac:dyDescent="0.25">
      <c r="A32" s="95">
        <v>39842</v>
      </c>
      <c r="B32" s="153">
        <v>18.329999999999998</v>
      </c>
      <c r="C32" s="94">
        <v>33000</v>
      </c>
      <c r="D32" s="94" t="s">
        <v>122</v>
      </c>
      <c r="E32" s="94" t="s">
        <v>122</v>
      </c>
      <c r="F32" s="94" t="s">
        <v>122</v>
      </c>
      <c r="G32" s="115" t="s">
        <v>122</v>
      </c>
    </row>
    <row r="33" spans="1:7" ht="27" customHeight="1" x14ac:dyDescent="0.25">
      <c r="A33" s="95">
        <v>39843</v>
      </c>
      <c r="B33" s="153">
        <v>18.329999999999998</v>
      </c>
      <c r="C33" s="94">
        <v>33000</v>
      </c>
      <c r="D33" s="94" t="s">
        <v>122</v>
      </c>
      <c r="E33" s="94" t="s">
        <v>122</v>
      </c>
      <c r="F33" s="94" t="s">
        <v>122</v>
      </c>
      <c r="G33" s="115" t="s">
        <v>122</v>
      </c>
    </row>
    <row r="34" spans="1:7" ht="27" customHeight="1" x14ac:dyDescent="0.25">
      <c r="A34" s="95">
        <v>39844</v>
      </c>
      <c r="B34" s="153">
        <v>18.329999999999998</v>
      </c>
      <c r="C34" s="94">
        <v>33000</v>
      </c>
      <c r="D34" s="94" t="s">
        <v>122</v>
      </c>
      <c r="E34" s="94" t="s">
        <v>122</v>
      </c>
      <c r="F34" s="94" t="s">
        <v>122</v>
      </c>
      <c r="G34" s="115" t="s">
        <v>122</v>
      </c>
    </row>
    <row r="35" spans="1:7" ht="27" customHeight="1" x14ac:dyDescent="0.25">
      <c r="A35" s="95">
        <v>39845</v>
      </c>
      <c r="B35" s="153">
        <v>18.329999999999998</v>
      </c>
      <c r="C35" s="94">
        <v>33000</v>
      </c>
      <c r="D35" s="137">
        <v>9</v>
      </c>
      <c r="E35" s="94">
        <v>53</v>
      </c>
      <c r="F35" s="137">
        <v>12</v>
      </c>
      <c r="G35" s="115">
        <v>68.11</v>
      </c>
    </row>
    <row r="36" spans="1:7" ht="27" customHeight="1" x14ac:dyDescent="0.25">
      <c r="A36" s="95">
        <v>39846</v>
      </c>
      <c r="B36" s="153">
        <v>18.25</v>
      </c>
      <c r="C36" s="94">
        <v>32800</v>
      </c>
      <c r="D36" s="137">
        <v>9</v>
      </c>
      <c r="E36" s="94">
        <v>52.88</v>
      </c>
      <c r="F36" s="137">
        <v>12</v>
      </c>
      <c r="G36" s="115">
        <v>67.930000000000007</v>
      </c>
    </row>
    <row r="37" spans="1:7" ht="27" customHeight="1" x14ac:dyDescent="0.25">
      <c r="A37" s="95">
        <v>39847</v>
      </c>
      <c r="B37" s="153">
        <v>18.170000000000002</v>
      </c>
      <c r="C37" s="94">
        <v>32600</v>
      </c>
      <c r="D37" s="137">
        <v>9</v>
      </c>
      <c r="E37" s="94">
        <v>52.75</v>
      </c>
      <c r="F37" s="137">
        <v>12</v>
      </c>
      <c r="G37" s="115">
        <v>67.760000000000005</v>
      </c>
    </row>
    <row r="38" spans="1:7" ht="27" customHeight="1" x14ac:dyDescent="0.25">
      <c r="A38" s="95">
        <v>39848</v>
      </c>
      <c r="B38" s="153">
        <v>18</v>
      </c>
      <c r="C38" s="94">
        <v>32100</v>
      </c>
      <c r="D38" s="137">
        <v>9</v>
      </c>
      <c r="E38" s="94">
        <v>52.5</v>
      </c>
      <c r="F38" s="137">
        <v>12</v>
      </c>
      <c r="G38" s="115">
        <v>67.41</v>
      </c>
    </row>
    <row r="39" spans="1:7" ht="27" customHeight="1" x14ac:dyDescent="0.25">
      <c r="A39" s="95">
        <v>39849</v>
      </c>
      <c r="B39" s="153">
        <v>17.920000000000002</v>
      </c>
      <c r="C39" s="94">
        <v>32000</v>
      </c>
      <c r="D39" s="137">
        <v>12</v>
      </c>
      <c r="E39" s="94">
        <v>69.31</v>
      </c>
      <c r="F39" s="137">
        <v>15</v>
      </c>
      <c r="G39" s="115">
        <v>83.49</v>
      </c>
    </row>
    <row r="40" spans="1:7" ht="27" customHeight="1" x14ac:dyDescent="0.25">
      <c r="A40" s="95">
        <v>39850</v>
      </c>
      <c r="B40" s="153">
        <v>17.75</v>
      </c>
      <c r="C40" s="94">
        <v>31125</v>
      </c>
      <c r="D40" s="137">
        <v>12</v>
      </c>
      <c r="E40" s="94">
        <v>68.97</v>
      </c>
      <c r="F40" s="137">
        <v>15</v>
      </c>
      <c r="G40" s="115">
        <v>82.93</v>
      </c>
    </row>
    <row r="41" spans="1:7" ht="27" customHeight="1" x14ac:dyDescent="0.25">
      <c r="A41" s="95">
        <v>39851</v>
      </c>
      <c r="B41" s="153">
        <v>17.579999999999998</v>
      </c>
      <c r="C41" s="94">
        <v>30500</v>
      </c>
      <c r="D41" s="137">
        <v>9</v>
      </c>
      <c r="E41" s="94">
        <v>51.86</v>
      </c>
      <c r="F41" s="137">
        <v>12</v>
      </c>
      <c r="G41" s="115">
        <v>66.52</v>
      </c>
    </row>
    <row r="42" spans="1:7" ht="27" customHeight="1" x14ac:dyDescent="0.25">
      <c r="A42" s="95">
        <v>39852</v>
      </c>
      <c r="B42" s="153">
        <v>17.5</v>
      </c>
      <c r="C42" s="94">
        <v>30300</v>
      </c>
      <c r="D42" s="137">
        <v>9</v>
      </c>
      <c r="E42" s="94">
        <v>51.73</v>
      </c>
      <c r="F42" s="137">
        <v>12</v>
      </c>
      <c r="G42" s="115">
        <v>66.349999999999994</v>
      </c>
    </row>
    <row r="43" spans="1:7" ht="27" customHeight="1" x14ac:dyDescent="0.25">
      <c r="A43" s="95">
        <v>39853</v>
      </c>
      <c r="B43" s="153">
        <v>17.329999999999998</v>
      </c>
      <c r="C43" s="94">
        <v>30000</v>
      </c>
      <c r="D43" s="137">
        <v>9</v>
      </c>
      <c r="E43" s="94">
        <v>51.47</v>
      </c>
      <c r="F43" s="137">
        <v>12</v>
      </c>
      <c r="G43" s="115">
        <v>65.989999999999995</v>
      </c>
    </row>
    <row r="44" spans="1:7" ht="27" customHeight="1" x14ac:dyDescent="0.25">
      <c r="A44" s="95">
        <v>39854</v>
      </c>
      <c r="B44" s="153">
        <v>17.25</v>
      </c>
      <c r="C44" s="94">
        <v>28850</v>
      </c>
      <c r="D44" s="94" t="s">
        <v>122</v>
      </c>
      <c r="E44" s="94" t="s">
        <v>122</v>
      </c>
      <c r="F44" s="94" t="s">
        <v>122</v>
      </c>
      <c r="G44" s="115" t="s">
        <v>122</v>
      </c>
    </row>
    <row r="45" spans="1:7" ht="27" customHeight="1" x14ac:dyDescent="0.25">
      <c r="A45" s="95">
        <v>39855</v>
      </c>
      <c r="B45" s="153">
        <v>17.25</v>
      </c>
      <c r="C45" s="94">
        <v>28850</v>
      </c>
      <c r="D45" s="94" t="s">
        <v>122</v>
      </c>
      <c r="E45" s="94" t="s">
        <v>122</v>
      </c>
      <c r="F45" s="94" t="s">
        <v>122</v>
      </c>
      <c r="G45" s="115" t="s">
        <v>122</v>
      </c>
    </row>
    <row r="46" spans="1:7" ht="27" customHeight="1" x14ac:dyDescent="0.25">
      <c r="A46" s="95">
        <v>39856</v>
      </c>
      <c r="B46" s="153">
        <v>17.25</v>
      </c>
      <c r="C46" s="94">
        <v>28850</v>
      </c>
      <c r="D46" s="94" t="s">
        <v>122</v>
      </c>
      <c r="E46" s="94" t="s">
        <v>122</v>
      </c>
      <c r="F46" s="94" t="s">
        <v>122</v>
      </c>
      <c r="G46" s="115" t="s">
        <v>122</v>
      </c>
    </row>
    <row r="47" spans="1:7" ht="27" customHeight="1" x14ac:dyDescent="0.25">
      <c r="A47" s="95">
        <v>39857</v>
      </c>
      <c r="B47" s="153">
        <v>17.25</v>
      </c>
      <c r="C47" s="94">
        <v>28850</v>
      </c>
      <c r="D47" s="137">
        <v>12</v>
      </c>
      <c r="E47" s="94">
        <v>67.930000000000007</v>
      </c>
      <c r="F47" s="137">
        <v>15</v>
      </c>
      <c r="G47" s="115">
        <v>81.58</v>
      </c>
    </row>
    <row r="48" spans="1:7" ht="27" customHeight="1" x14ac:dyDescent="0.25">
      <c r="A48" s="95">
        <v>39858</v>
      </c>
      <c r="B48" s="153">
        <v>17.170000000000002</v>
      </c>
      <c r="C48" s="94">
        <v>28750</v>
      </c>
      <c r="D48" s="137">
        <v>12</v>
      </c>
      <c r="E48" s="94">
        <v>67.760000000000005</v>
      </c>
      <c r="F48" s="137">
        <v>15</v>
      </c>
      <c r="G48" s="115">
        <v>81.36</v>
      </c>
    </row>
    <row r="49" spans="1:7" ht="27" customHeight="1" x14ac:dyDescent="0.25">
      <c r="A49" s="95">
        <v>39859</v>
      </c>
      <c r="B49" s="153">
        <v>17</v>
      </c>
      <c r="C49" s="94">
        <v>28500</v>
      </c>
      <c r="D49" s="137">
        <v>12</v>
      </c>
      <c r="E49" s="94">
        <v>67.41</v>
      </c>
      <c r="F49" s="137">
        <v>15</v>
      </c>
      <c r="G49" s="115">
        <v>80.900000000000006</v>
      </c>
    </row>
    <row r="50" spans="1:7" ht="27" customHeight="1" x14ac:dyDescent="0.25">
      <c r="A50" s="95">
        <v>39860</v>
      </c>
      <c r="B50" s="153">
        <v>16.920000000000002</v>
      </c>
      <c r="C50" s="94">
        <v>28400</v>
      </c>
      <c r="D50" s="137">
        <v>12</v>
      </c>
      <c r="E50" s="94">
        <v>67.23</v>
      </c>
      <c r="F50" s="137">
        <v>15</v>
      </c>
      <c r="G50" s="115">
        <v>80.78</v>
      </c>
    </row>
    <row r="51" spans="1:7" ht="27" customHeight="1" x14ac:dyDescent="0.25">
      <c r="A51" s="95">
        <v>39861</v>
      </c>
      <c r="B51" s="153">
        <v>16.75</v>
      </c>
      <c r="C51" s="94">
        <v>28000</v>
      </c>
      <c r="D51" s="137">
        <v>12</v>
      </c>
      <c r="E51" s="94">
        <v>66.88</v>
      </c>
      <c r="F51" s="137">
        <v>15</v>
      </c>
      <c r="G51" s="115">
        <v>80.209999999999994</v>
      </c>
    </row>
    <row r="52" spans="1:7" ht="27" customHeight="1" x14ac:dyDescent="0.25">
      <c r="A52" s="95">
        <v>39862</v>
      </c>
      <c r="B52" s="153">
        <v>16.579999999999998</v>
      </c>
      <c r="C52" s="94">
        <v>27500</v>
      </c>
      <c r="D52" s="137">
        <v>15</v>
      </c>
      <c r="E52" s="94">
        <v>82.48</v>
      </c>
      <c r="F52" s="137">
        <v>15</v>
      </c>
      <c r="G52" s="115">
        <v>79.75</v>
      </c>
    </row>
    <row r="53" spans="1:7" ht="27" customHeight="1" x14ac:dyDescent="0.25">
      <c r="A53" s="95">
        <v>39863</v>
      </c>
      <c r="B53" s="153">
        <v>16.420000000000002</v>
      </c>
      <c r="C53" s="94">
        <v>26750</v>
      </c>
      <c r="D53" s="137">
        <v>15</v>
      </c>
      <c r="E53" s="94">
        <v>82.04</v>
      </c>
      <c r="F53" s="137">
        <v>15</v>
      </c>
      <c r="G53" s="115">
        <v>79.28</v>
      </c>
    </row>
    <row r="54" spans="1:7" ht="27" customHeight="1" x14ac:dyDescent="0.25">
      <c r="A54" s="95">
        <v>39864</v>
      </c>
      <c r="B54" s="153">
        <v>16.25</v>
      </c>
      <c r="C54" s="94">
        <v>26000</v>
      </c>
      <c r="D54" s="137">
        <v>15</v>
      </c>
      <c r="E54" s="94">
        <v>81.58</v>
      </c>
      <c r="F54" s="137">
        <v>15</v>
      </c>
      <c r="G54" s="115">
        <v>79.819999999999993</v>
      </c>
    </row>
    <row r="55" spans="1:7" ht="27" customHeight="1" x14ac:dyDescent="0.25">
      <c r="A55" s="95">
        <v>39865</v>
      </c>
      <c r="B55" s="153">
        <v>16.079999999999998</v>
      </c>
      <c r="C55" s="94">
        <v>25700</v>
      </c>
      <c r="D55" s="137">
        <v>15</v>
      </c>
      <c r="E55" s="94">
        <v>81.13</v>
      </c>
      <c r="F55" s="137">
        <v>15</v>
      </c>
      <c r="G55" s="115">
        <v>78.34</v>
      </c>
    </row>
    <row r="56" spans="1:7" ht="27" customHeight="1" x14ac:dyDescent="0.25">
      <c r="A56" s="95">
        <v>39866</v>
      </c>
      <c r="B56" s="153">
        <v>15.92</v>
      </c>
      <c r="C56" s="94">
        <v>25400</v>
      </c>
      <c r="D56" s="137">
        <v>15</v>
      </c>
      <c r="E56" s="94">
        <v>80.67</v>
      </c>
      <c r="F56" s="137">
        <v>15</v>
      </c>
      <c r="G56" s="115">
        <v>77.75</v>
      </c>
    </row>
    <row r="57" spans="1:7" ht="27" customHeight="1" x14ac:dyDescent="0.25">
      <c r="A57" s="95">
        <v>39867</v>
      </c>
      <c r="B57" s="153">
        <v>15.92</v>
      </c>
      <c r="C57" s="94">
        <v>25400</v>
      </c>
      <c r="D57" s="94" t="s">
        <v>122</v>
      </c>
      <c r="E57" s="94" t="s">
        <v>122</v>
      </c>
      <c r="F57" s="94" t="s">
        <v>122</v>
      </c>
      <c r="G57" s="115" t="s">
        <v>122</v>
      </c>
    </row>
    <row r="58" spans="1:7" ht="27" customHeight="1" x14ac:dyDescent="0.25">
      <c r="A58" s="95">
        <v>39868</v>
      </c>
      <c r="B58" s="153">
        <v>15.92</v>
      </c>
      <c r="C58" s="94">
        <v>25400</v>
      </c>
      <c r="D58" s="94" t="s">
        <v>122</v>
      </c>
      <c r="E58" s="94" t="s">
        <v>122</v>
      </c>
      <c r="F58" s="94" t="s">
        <v>122</v>
      </c>
      <c r="G58" s="115" t="s">
        <v>122</v>
      </c>
    </row>
    <row r="59" spans="1:7" ht="27" customHeight="1" x14ac:dyDescent="0.25">
      <c r="A59" s="95">
        <v>39869</v>
      </c>
      <c r="B59" s="153">
        <v>15.92</v>
      </c>
      <c r="C59" s="94">
        <v>25400</v>
      </c>
      <c r="D59" s="137">
        <v>12</v>
      </c>
      <c r="E59" s="94">
        <v>81.010000000000005</v>
      </c>
      <c r="F59" s="137">
        <v>15</v>
      </c>
      <c r="G59" s="115">
        <v>77.75</v>
      </c>
    </row>
    <row r="60" spans="1:7" ht="27" customHeight="1" x14ac:dyDescent="0.25">
      <c r="A60" s="95">
        <v>39870</v>
      </c>
      <c r="B60" s="153">
        <v>15.75</v>
      </c>
      <c r="C60" s="94">
        <v>25000</v>
      </c>
      <c r="D60" s="137">
        <v>12</v>
      </c>
      <c r="E60" s="94">
        <v>80.55</v>
      </c>
      <c r="F60" s="137">
        <v>12</v>
      </c>
      <c r="G60" s="115">
        <v>62.49</v>
      </c>
    </row>
    <row r="61" spans="1:7" ht="27" customHeight="1" x14ac:dyDescent="0.25">
      <c r="A61" s="95">
        <v>39871</v>
      </c>
      <c r="B61" s="153">
        <v>15.67</v>
      </c>
      <c r="C61" s="94">
        <v>24500</v>
      </c>
      <c r="D61" s="137">
        <v>12</v>
      </c>
      <c r="E61" s="94">
        <v>80.319999999999993</v>
      </c>
      <c r="F61" s="137">
        <v>12</v>
      </c>
      <c r="G61" s="115">
        <v>62.3</v>
      </c>
    </row>
    <row r="62" spans="1:7" ht="27" customHeight="1" x14ac:dyDescent="0.25">
      <c r="A62" s="95">
        <v>39872</v>
      </c>
      <c r="B62" s="153">
        <v>15.58</v>
      </c>
      <c r="C62" s="94">
        <v>24000</v>
      </c>
      <c r="D62" s="137">
        <v>12</v>
      </c>
      <c r="E62" s="94">
        <v>80.09</v>
      </c>
      <c r="F62" s="137">
        <v>12</v>
      </c>
      <c r="G62" s="115">
        <v>62.11</v>
      </c>
    </row>
    <row r="63" spans="1:7" ht="27" customHeight="1" x14ac:dyDescent="0.25">
      <c r="A63" s="95">
        <v>39873</v>
      </c>
      <c r="B63" s="153">
        <v>15.42</v>
      </c>
      <c r="C63" s="94">
        <v>22450</v>
      </c>
      <c r="D63" s="94" t="s">
        <v>122</v>
      </c>
      <c r="E63" s="94" t="s">
        <v>122</v>
      </c>
      <c r="F63" s="94" t="s">
        <v>122</v>
      </c>
      <c r="G63" s="115" t="s">
        <v>122</v>
      </c>
    </row>
    <row r="64" spans="1:7" ht="27" customHeight="1" x14ac:dyDescent="0.25">
      <c r="A64" s="95">
        <v>39874</v>
      </c>
      <c r="B64" s="153">
        <v>15.33</v>
      </c>
      <c r="C64" s="94">
        <v>22400</v>
      </c>
      <c r="D64" s="94" t="s">
        <v>122</v>
      </c>
      <c r="E64" s="94" t="s">
        <v>122</v>
      </c>
      <c r="F64" s="94" t="s">
        <v>122</v>
      </c>
      <c r="G64" s="115" t="s">
        <v>122</v>
      </c>
    </row>
    <row r="65" spans="1:7" ht="27" customHeight="1" x14ac:dyDescent="0.25">
      <c r="A65" s="95">
        <v>39875</v>
      </c>
      <c r="B65" s="153">
        <v>15.17</v>
      </c>
      <c r="C65" s="94">
        <v>22325</v>
      </c>
      <c r="D65" s="94" t="s">
        <v>122</v>
      </c>
      <c r="E65" s="94" t="s">
        <v>122</v>
      </c>
      <c r="F65" s="94" t="s">
        <v>122</v>
      </c>
      <c r="G65" s="115" t="s">
        <v>122</v>
      </c>
    </row>
    <row r="66" spans="1:7" ht="27" customHeight="1" x14ac:dyDescent="0.25">
      <c r="A66" s="95">
        <v>39876</v>
      </c>
      <c r="B66" s="153">
        <v>15.08</v>
      </c>
      <c r="C66" s="94">
        <v>22300</v>
      </c>
      <c r="D66" s="94" t="s">
        <v>122</v>
      </c>
      <c r="E66" s="94" t="s">
        <v>122</v>
      </c>
      <c r="F66" s="94" t="s">
        <v>122</v>
      </c>
      <c r="G66" s="115" t="s">
        <v>122</v>
      </c>
    </row>
    <row r="67" spans="1:7" ht="27" customHeight="1" x14ac:dyDescent="0.25">
      <c r="A67" s="95">
        <v>39877</v>
      </c>
      <c r="B67" s="153">
        <v>15</v>
      </c>
      <c r="C67" s="94">
        <v>22250</v>
      </c>
      <c r="D67" s="94" t="s">
        <v>122</v>
      </c>
      <c r="E67" s="94" t="s">
        <v>122</v>
      </c>
      <c r="F67" s="94" t="s">
        <v>122</v>
      </c>
      <c r="G67" s="115" t="s">
        <v>122</v>
      </c>
    </row>
    <row r="68" spans="1:7" ht="27" customHeight="1" x14ac:dyDescent="0.25">
      <c r="A68" s="95">
        <v>39878</v>
      </c>
      <c r="B68" s="153">
        <v>15</v>
      </c>
      <c r="C68" s="94">
        <v>22250</v>
      </c>
      <c r="D68" s="94" t="s">
        <v>122</v>
      </c>
      <c r="E68" s="94" t="s">
        <v>122</v>
      </c>
      <c r="F68" s="94" t="s">
        <v>122</v>
      </c>
      <c r="G68" s="115" t="s">
        <v>122</v>
      </c>
    </row>
    <row r="69" spans="1:7" ht="27" customHeight="1" x14ac:dyDescent="0.25">
      <c r="A69" s="95">
        <v>39879</v>
      </c>
      <c r="B69" s="153">
        <v>15</v>
      </c>
      <c r="C69" s="94">
        <v>22250</v>
      </c>
      <c r="D69" s="94" t="s">
        <v>122</v>
      </c>
      <c r="E69" s="94" t="s">
        <v>122</v>
      </c>
      <c r="F69" s="94" t="s">
        <v>122</v>
      </c>
      <c r="G69" s="115" t="s">
        <v>122</v>
      </c>
    </row>
    <row r="70" spans="1:7" ht="27" customHeight="1" x14ac:dyDescent="0.25">
      <c r="A70" s="95">
        <v>39880</v>
      </c>
      <c r="B70" s="153">
        <v>15</v>
      </c>
      <c r="C70" s="94">
        <v>22250</v>
      </c>
      <c r="D70" s="94" t="s">
        <v>122</v>
      </c>
      <c r="E70" s="94" t="s">
        <v>122</v>
      </c>
      <c r="F70" s="94" t="s">
        <v>122</v>
      </c>
      <c r="G70" s="115" t="s">
        <v>122</v>
      </c>
    </row>
    <row r="71" spans="1:7" ht="27" customHeight="1" x14ac:dyDescent="0.25">
      <c r="A71" s="95">
        <v>39881</v>
      </c>
      <c r="B71" s="153">
        <v>15</v>
      </c>
      <c r="C71" s="94">
        <v>22250</v>
      </c>
      <c r="D71" s="94" t="s">
        <v>122</v>
      </c>
      <c r="E71" s="94" t="s">
        <v>122</v>
      </c>
      <c r="F71" s="94" t="s">
        <v>122</v>
      </c>
      <c r="G71" s="115" t="s">
        <v>122</v>
      </c>
    </row>
    <row r="72" spans="1:7" ht="27" customHeight="1" x14ac:dyDescent="0.25">
      <c r="A72" s="95">
        <v>39882</v>
      </c>
      <c r="B72" s="153">
        <v>15.17</v>
      </c>
      <c r="C72" s="94">
        <v>22325</v>
      </c>
      <c r="D72" s="94" t="s">
        <v>122</v>
      </c>
      <c r="E72" s="94" t="s">
        <v>122</v>
      </c>
      <c r="F72" s="94" t="s">
        <v>122</v>
      </c>
      <c r="G72" s="115" t="s">
        <v>122</v>
      </c>
    </row>
    <row r="73" spans="1:7" ht="27" customHeight="1" x14ac:dyDescent="0.25">
      <c r="A73" s="95">
        <v>39883</v>
      </c>
      <c r="B73" s="153">
        <v>15.33</v>
      </c>
      <c r="C73" s="94">
        <v>22400</v>
      </c>
      <c r="D73" s="94" t="s">
        <v>122</v>
      </c>
      <c r="E73" s="94" t="s">
        <v>122</v>
      </c>
      <c r="F73" s="94" t="s">
        <v>122</v>
      </c>
      <c r="G73" s="115" t="s">
        <v>122</v>
      </c>
    </row>
    <row r="74" spans="1:7" ht="27" customHeight="1" x14ac:dyDescent="0.25">
      <c r="A74" s="95">
        <v>39884</v>
      </c>
      <c r="B74" s="153">
        <v>15.33</v>
      </c>
      <c r="C74" s="94">
        <v>22400</v>
      </c>
      <c r="D74" s="94" t="s">
        <v>122</v>
      </c>
      <c r="E74" s="94" t="s">
        <v>122</v>
      </c>
      <c r="F74" s="94" t="s">
        <v>122</v>
      </c>
      <c r="G74" s="115" t="s">
        <v>122</v>
      </c>
    </row>
    <row r="75" spans="1:7" ht="27" customHeight="1" x14ac:dyDescent="0.25">
      <c r="A75" s="95">
        <v>39885</v>
      </c>
      <c r="B75" s="153">
        <v>15.33</v>
      </c>
      <c r="C75" s="94">
        <v>22400</v>
      </c>
      <c r="D75" s="94" t="s">
        <v>122</v>
      </c>
      <c r="E75" s="94" t="s">
        <v>122</v>
      </c>
      <c r="F75" s="94" t="s">
        <v>122</v>
      </c>
      <c r="G75" s="115" t="s">
        <v>122</v>
      </c>
    </row>
    <row r="76" spans="1:7" ht="27" customHeight="1" x14ac:dyDescent="0.25">
      <c r="A76" s="95">
        <v>39886</v>
      </c>
      <c r="B76" s="153">
        <v>15.33</v>
      </c>
      <c r="C76" s="94">
        <v>22400</v>
      </c>
      <c r="D76" s="94" t="s">
        <v>122</v>
      </c>
      <c r="E76" s="94" t="s">
        <v>122</v>
      </c>
      <c r="F76" s="94" t="s">
        <v>122</v>
      </c>
      <c r="G76" s="115" t="s">
        <v>122</v>
      </c>
    </row>
    <row r="77" spans="1:7" ht="27" customHeight="1" x14ac:dyDescent="0.25">
      <c r="A77" s="95">
        <v>39887</v>
      </c>
      <c r="B77" s="153">
        <v>15.5</v>
      </c>
      <c r="C77" s="94">
        <v>23500</v>
      </c>
      <c r="D77" s="94" t="s">
        <v>122</v>
      </c>
      <c r="E77" s="94" t="s">
        <v>122</v>
      </c>
      <c r="F77" s="94" t="s">
        <v>122</v>
      </c>
      <c r="G77" s="115" t="s">
        <v>122</v>
      </c>
    </row>
    <row r="78" spans="1:7" ht="27" customHeight="1" x14ac:dyDescent="0.25">
      <c r="A78" s="95">
        <v>39888</v>
      </c>
      <c r="B78" s="153">
        <v>15.58</v>
      </c>
      <c r="C78" s="94">
        <v>24000</v>
      </c>
      <c r="D78" s="94" t="s">
        <v>122</v>
      </c>
      <c r="E78" s="94" t="s">
        <v>122</v>
      </c>
      <c r="F78" s="94" t="s">
        <v>122</v>
      </c>
      <c r="G78" s="115" t="s">
        <v>122</v>
      </c>
    </row>
    <row r="79" spans="1:7" ht="27" customHeight="1" x14ac:dyDescent="0.25">
      <c r="A79" s="95">
        <v>39889</v>
      </c>
      <c r="B79" s="153">
        <v>15.58</v>
      </c>
      <c r="C79" s="94">
        <v>24000</v>
      </c>
      <c r="D79" s="94" t="s">
        <v>122</v>
      </c>
      <c r="E79" s="94" t="s">
        <v>122</v>
      </c>
      <c r="F79" s="94" t="s">
        <v>122</v>
      </c>
      <c r="G79" s="115" t="s">
        <v>122</v>
      </c>
    </row>
    <row r="80" spans="1:7" ht="27" customHeight="1" x14ac:dyDescent="0.25">
      <c r="A80" s="95">
        <v>39890</v>
      </c>
      <c r="B80" s="153">
        <v>15.58</v>
      </c>
      <c r="C80" s="94">
        <v>24000</v>
      </c>
      <c r="D80" s="94" t="s">
        <v>122</v>
      </c>
      <c r="E80" s="94" t="s">
        <v>122</v>
      </c>
      <c r="F80" s="94" t="s">
        <v>122</v>
      </c>
      <c r="G80" s="115" t="s">
        <v>122</v>
      </c>
    </row>
    <row r="81" spans="1:7" ht="27" customHeight="1" x14ac:dyDescent="0.25">
      <c r="A81" s="95">
        <v>39891</v>
      </c>
      <c r="B81" s="153">
        <v>15.58</v>
      </c>
      <c r="C81" s="94">
        <v>24000</v>
      </c>
      <c r="D81" s="94" t="s">
        <v>122</v>
      </c>
      <c r="E81" s="94" t="s">
        <v>122</v>
      </c>
      <c r="F81" s="94" t="s">
        <v>122</v>
      </c>
      <c r="G81" s="115" t="s">
        <v>122</v>
      </c>
    </row>
    <row r="82" spans="1:7" ht="27" customHeight="1" x14ac:dyDescent="0.25">
      <c r="A82" s="95">
        <v>39892</v>
      </c>
      <c r="B82" s="153">
        <v>15.58</v>
      </c>
      <c r="C82" s="94">
        <v>24000</v>
      </c>
      <c r="D82" s="94" t="s">
        <v>122</v>
      </c>
      <c r="E82" s="94" t="s">
        <v>122</v>
      </c>
      <c r="F82" s="94" t="s">
        <v>122</v>
      </c>
      <c r="G82" s="115" t="s">
        <v>122</v>
      </c>
    </row>
    <row r="83" spans="1:7" ht="27" customHeight="1" x14ac:dyDescent="0.25">
      <c r="A83" s="95">
        <v>39893</v>
      </c>
      <c r="B83" s="153">
        <v>15.58</v>
      </c>
      <c r="C83" s="94">
        <v>24000</v>
      </c>
      <c r="D83" s="94" t="s">
        <v>122</v>
      </c>
      <c r="E83" s="94" t="s">
        <v>122</v>
      </c>
      <c r="F83" s="94" t="s">
        <v>122</v>
      </c>
      <c r="G83" s="115" t="s">
        <v>122</v>
      </c>
    </row>
    <row r="84" spans="1:7" ht="27" customHeight="1" x14ac:dyDescent="0.25">
      <c r="A84" s="95">
        <v>39894</v>
      </c>
      <c r="B84" s="153">
        <v>15.58</v>
      </c>
      <c r="C84" s="94">
        <v>24000</v>
      </c>
      <c r="D84" s="94" t="s">
        <v>122</v>
      </c>
      <c r="E84" s="94" t="s">
        <v>122</v>
      </c>
      <c r="F84" s="94" t="s">
        <v>122</v>
      </c>
      <c r="G84" s="115" t="s">
        <v>122</v>
      </c>
    </row>
    <row r="85" spans="1:7" ht="27" customHeight="1" x14ac:dyDescent="0.25">
      <c r="A85" s="95">
        <v>39895</v>
      </c>
      <c r="B85" s="153">
        <v>15.58</v>
      </c>
      <c r="C85" s="94">
        <v>24000</v>
      </c>
      <c r="D85" s="94" t="s">
        <v>122</v>
      </c>
      <c r="E85" s="94" t="s">
        <v>122</v>
      </c>
      <c r="F85" s="94" t="s">
        <v>122</v>
      </c>
      <c r="G85" s="115" t="s">
        <v>122</v>
      </c>
    </row>
    <row r="86" spans="1:7" ht="27" customHeight="1" x14ac:dyDescent="0.25">
      <c r="A86" s="95">
        <v>39896</v>
      </c>
      <c r="B86" s="153">
        <v>15.58</v>
      </c>
      <c r="C86" s="94">
        <v>24000</v>
      </c>
      <c r="D86" s="94" t="s">
        <v>122</v>
      </c>
      <c r="E86" s="94" t="s">
        <v>122</v>
      </c>
      <c r="F86" s="94" t="s">
        <v>122</v>
      </c>
      <c r="G86" s="115" t="s">
        <v>122</v>
      </c>
    </row>
    <row r="87" spans="1:7" ht="27" customHeight="1" x14ac:dyDescent="0.25">
      <c r="A87" s="95">
        <v>39897</v>
      </c>
      <c r="B87" s="153">
        <v>15.75</v>
      </c>
      <c r="C87" s="94">
        <v>25000</v>
      </c>
      <c r="D87" s="94" t="s">
        <v>122</v>
      </c>
      <c r="E87" s="94" t="s">
        <v>122</v>
      </c>
      <c r="F87" s="94" t="s">
        <v>122</v>
      </c>
      <c r="G87" s="115" t="s">
        <v>122</v>
      </c>
    </row>
    <row r="88" spans="1:7" ht="27" customHeight="1" x14ac:dyDescent="0.25">
      <c r="A88" s="95">
        <v>39898</v>
      </c>
      <c r="B88" s="153">
        <v>15.75</v>
      </c>
      <c r="C88" s="94">
        <v>25000</v>
      </c>
      <c r="D88" s="94" t="s">
        <v>122</v>
      </c>
      <c r="E88" s="94" t="s">
        <v>122</v>
      </c>
      <c r="F88" s="94" t="s">
        <v>122</v>
      </c>
      <c r="G88" s="115" t="s">
        <v>122</v>
      </c>
    </row>
    <row r="89" spans="1:7" ht="27" customHeight="1" x14ac:dyDescent="0.25">
      <c r="A89" s="95">
        <v>39899</v>
      </c>
      <c r="B89" s="153">
        <v>15.75</v>
      </c>
      <c r="C89" s="94">
        <v>25000</v>
      </c>
      <c r="D89" s="94" t="s">
        <v>122</v>
      </c>
      <c r="E89" s="94" t="s">
        <v>122</v>
      </c>
      <c r="F89" s="94" t="s">
        <v>122</v>
      </c>
      <c r="G89" s="115" t="s">
        <v>122</v>
      </c>
    </row>
    <row r="90" spans="1:7" ht="27" customHeight="1" x14ac:dyDescent="0.25">
      <c r="A90" s="95">
        <v>39900</v>
      </c>
      <c r="B90" s="153">
        <v>15.75</v>
      </c>
      <c r="C90" s="94">
        <v>25000</v>
      </c>
      <c r="D90" s="94" t="s">
        <v>122</v>
      </c>
      <c r="E90" s="94" t="s">
        <v>122</v>
      </c>
      <c r="F90" s="94" t="s">
        <v>122</v>
      </c>
      <c r="G90" s="115" t="s">
        <v>122</v>
      </c>
    </row>
    <row r="91" spans="1:7" ht="27" customHeight="1" x14ac:dyDescent="0.25">
      <c r="A91" s="95">
        <v>39901</v>
      </c>
      <c r="B91" s="153">
        <v>15.75</v>
      </c>
      <c r="C91" s="94">
        <v>25000</v>
      </c>
      <c r="D91" s="94" t="s">
        <v>122</v>
      </c>
      <c r="E91" s="94" t="s">
        <v>122</v>
      </c>
      <c r="F91" s="94" t="s">
        <v>122</v>
      </c>
      <c r="G91" s="115" t="s">
        <v>122</v>
      </c>
    </row>
    <row r="92" spans="1:7" ht="27" customHeight="1" x14ac:dyDescent="0.25">
      <c r="A92" s="95">
        <v>39902</v>
      </c>
      <c r="B92" s="153">
        <v>15.75</v>
      </c>
      <c r="C92" s="94">
        <v>25000</v>
      </c>
      <c r="D92" s="94" t="s">
        <v>122</v>
      </c>
      <c r="E92" s="94" t="s">
        <v>122</v>
      </c>
      <c r="F92" s="94" t="s">
        <v>122</v>
      </c>
      <c r="G92" s="115" t="s">
        <v>122</v>
      </c>
    </row>
    <row r="93" spans="1:7" ht="27" customHeight="1" x14ac:dyDescent="0.25">
      <c r="A93" s="95">
        <v>39903</v>
      </c>
      <c r="B93" s="153">
        <v>15.75</v>
      </c>
      <c r="C93" s="94">
        <v>25000</v>
      </c>
      <c r="D93" s="94" t="s">
        <v>122</v>
      </c>
      <c r="E93" s="94" t="s">
        <v>122</v>
      </c>
      <c r="F93" s="94" t="s">
        <v>122</v>
      </c>
      <c r="G93" s="115" t="s">
        <v>122</v>
      </c>
    </row>
    <row r="94" spans="1:7" ht="27" customHeight="1" x14ac:dyDescent="0.25">
      <c r="A94" s="95">
        <v>39904</v>
      </c>
      <c r="B94" s="153">
        <v>15.75</v>
      </c>
      <c r="C94" s="94">
        <v>25000</v>
      </c>
      <c r="D94" s="94" t="s">
        <v>122</v>
      </c>
      <c r="E94" s="94" t="s">
        <v>122</v>
      </c>
      <c r="F94" s="94" t="s">
        <v>122</v>
      </c>
      <c r="G94" s="115" t="s">
        <v>122</v>
      </c>
    </row>
    <row r="95" spans="1:7" ht="27" customHeight="1" x14ac:dyDescent="0.25">
      <c r="A95" s="95">
        <v>39905</v>
      </c>
      <c r="B95" s="153">
        <v>15.75</v>
      </c>
      <c r="C95" s="94">
        <v>25000</v>
      </c>
      <c r="D95" s="94" t="s">
        <v>122</v>
      </c>
      <c r="E95" s="94" t="s">
        <v>122</v>
      </c>
      <c r="F95" s="94" t="s">
        <v>122</v>
      </c>
      <c r="G95" s="115" t="s">
        <v>122</v>
      </c>
    </row>
    <row r="96" spans="1:7" ht="27" customHeight="1" x14ac:dyDescent="0.25">
      <c r="A96" s="95">
        <v>39906</v>
      </c>
      <c r="B96" s="153">
        <v>15.75</v>
      </c>
      <c r="C96" s="94">
        <v>25000</v>
      </c>
      <c r="D96" s="94" t="s">
        <v>122</v>
      </c>
      <c r="E96" s="94" t="s">
        <v>122</v>
      </c>
      <c r="F96" s="94" t="s">
        <v>122</v>
      </c>
      <c r="G96" s="115" t="s">
        <v>122</v>
      </c>
    </row>
    <row r="97" spans="1:7" ht="27" customHeight="1" x14ac:dyDescent="0.25">
      <c r="A97" s="95">
        <v>39907</v>
      </c>
      <c r="B97" s="153">
        <v>15.75</v>
      </c>
      <c r="C97" s="94">
        <v>25000</v>
      </c>
      <c r="D97" s="94" t="s">
        <v>122</v>
      </c>
      <c r="E97" s="94" t="s">
        <v>122</v>
      </c>
      <c r="F97" s="94" t="s">
        <v>122</v>
      </c>
      <c r="G97" s="115" t="s">
        <v>122</v>
      </c>
    </row>
    <row r="98" spans="1:7" ht="27" customHeight="1" x14ac:dyDescent="0.25">
      <c r="A98" s="95">
        <v>39908</v>
      </c>
      <c r="B98" s="153">
        <v>15.75</v>
      </c>
      <c r="C98" s="94">
        <v>25000</v>
      </c>
      <c r="D98" s="94" t="s">
        <v>122</v>
      </c>
      <c r="E98" s="94" t="s">
        <v>122</v>
      </c>
      <c r="F98" s="94" t="s">
        <v>122</v>
      </c>
      <c r="G98" s="115" t="s">
        <v>122</v>
      </c>
    </row>
    <row r="99" spans="1:7" ht="27" customHeight="1" x14ac:dyDescent="0.25">
      <c r="A99" s="95">
        <v>39909</v>
      </c>
      <c r="B99" s="153">
        <v>15.75</v>
      </c>
      <c r="C99" s="94">
        <v>25000</v>
      </c>
      <c r="D99" s="94" t="s">
        <v>122</v>
      </c>
      <c r="E99" s="94" t="s">
        <v>122</v>
      </c>
      <c r="F99" s="94" t="s">
        <v>122</v>
      </c>
      <c r="G99" s="115" t="s">
        <v>122</v>
      </c>
    </row>
    <row r="100" spans="1:7" ht="27" customHeight="1" x14ac:dyDescent="0.25">
      <c r="A100" s="95">
        <v>39910</v>
      </c>
      <c r="B100" s="153">
        <v>15.75</v>
      </c>
      <c r="C100" s="94">
        <v>25000</v>
      </c>
      <c r="D100" s="94" t="s">
        <v>122</v>
      </c>
      <c r="E100" s="94" t="s">
        <v>122</v>
      </c>
      <c r="F100" s="94" t="s">
        <v>122</v>
      </c>
      <c r="G100" s="115" t="s">
        <v>122</v>
      </c>
    </row>
    <row r="101" spans="1:7" ht="27" customHeight="1" x14ac:dyDescent="0.25">
      <c r="A101" s="95">
        <v>39911</v>
      </c>
      <c r="B101" s="153">
        <v>15.67</v>
      </c>
      <c r="C101" s="94">
        <v>24690</v>
      </c>
      <c r="D101" s="94" t="s">
        <v>122</v>
      </c>
      <c r="E101" s="94" t="s">
        <v>122</v>
      </c>
      <c r="F101" s="94" t="s">
        <v>122</v>
      </c>
      <c r="G101" s="115" t="s">
        <v>122</v>
      </c>
    </row>
    <row r="102" spans="1:7" ht="27" customHeight="1" x14ac:dyDescent="0.25">
      <c r="A102" s="95">
        <v>39912</v>
      </c>
      <c r="B102" s="153">
        <v>15.67</v>
      </c>
      <c r="C102" s="94">
        <v>24690</v>
      </c>
      <c r="D102" s="94" t="s">
        <v>122</v>
      </c>
      <c r="E102" s="94" t="s">
        <v>122</v>
      </c>
      <c r="F102" s="94" t="s">
        <v>122</v>
      </c>
      <c r="G102" s="115" t="s">
        <v>122</v>
      </c>
    </row>
    <row r="103" spans="1:7" ht="27" customHeight="1" x14ac:dyDescent="0.25">
      <c r="A103" s="95">
        <v>39913</v>
      </c>
      <c r="B103" s="153">
        <v>15.75</v>
      </c>
      <c r="C103" s="94">
        <v>25000</v>
      </c>
      <c r="D103" s="94" t="s">
        <v>122</v>
      </c>
      <c r="E103" s="94" t="s">
        <v>122</v>
      </c>
      <c r="F103" s="94" t="s">
        <v>122</v>
      </c>
      <c r="G103" s="115" t="s">
        <v>122</v>
      </c>
    </row>
    <row r="104" spans="1:7" ht="27" customHeight="1" x14ac:dyDescent="0.25">
      <c r="A104" s="95">
        <v>39914</v>
      </c>
      <c r="B104" s="153">
        <v>15.75</v>
      </c>
      <c r="C104" s="94">
        <v>25000</v>
      </c>
      <c r="D104" s="94" t="s">
        <v>122</v>
      </c>
      <c r="E104" s="94" t="s">
        <v>122</v>
      </c>
      <c r="F104" s="94" t="s">
        <v>122</v>
      </c>
      <c r="G104" s="115" t="s">
        <v>122</v>
      </c>
    </row>
    <row r="105" spans="1:7" ht="27" customHeight="1" x14ac:dyDescent="0.25">
      <c r="A105" s="95">
        <v>39915</v>
      </c>
      <c r="B105" s="153">
        <v>15.75</v>
      </c>
      <c r="C105" s="94">
        <v>25000</v>
      </c>
      <c r="D105" s="94" t="s">
        <v>122</v>
      </c>
      <c r="E105" s="94" t="s">
        <v>122</v>
      </c>
      <c r="F105" s="94" t="s">
        <v>122</v>
      </c>
      <c r="G105" s="115" t="s">
        <v>122</v>
      </c>
    </row>
    <row r="106" spans="1:7" ht="27" customHeight="1" x14ac:dyDescent="0.25">
      <c r="A106" s="95">
        <v>39916</v>
      </c>
      <c r="B106" s="153">
        <v>15.75</v>
      </c>
      <c r="C106" s="94">
        <v>25000</v>
      </c>
      <c r="D106" s="94" t="s">
        <v>122</v>
      </c>
      <c r="E106" s="94" t="s">
        <v>122</v>
      </c>
      <c r="F106" s="94" t="s">
        <v>122</v>
      </c>
      <c r="G106" s="115" t="s">
        <v>122</v>
      </c>
    </row>
    <row r="107" spans="1:7" ht="27" customHeight="1" x14ac:dyDescent="0.25">
      <c r="A107" s="95">
        <v>39917</v>
      </c>
      <c r="B107" s="153">
        <v>15.92</v>
      </c>
      <c r="C107" s="94">
        <v>25400</v>
      </c>
      <c r="D107" s="94" t="s">
        <v>122</v>
      </c>
      <c r="E107" s="94" t="s">
        <v>122</v>
      </c>
      <c r="F107" s="94" t="s">
        <v>122</v>
      </c>
      <c r="G107" s="115" t="s">
        <v>122</v>
      </c>
    </row>
    <row r="108" spans="1:7" ht="27" customHeight="1" x14ac:dyDescent="0.25">
      <c r="A108" s="95">
        <v>39918</v>
      </c>
      <c r="B108" s="153">
        <v>15.92</v>
      </c>
      <c r="C108" s="94">
        <v>25400</v>
      </c>
      <c r="D108" s="94" t="s">
        <v>122</v>
      </c>
      <c r="E108" s="94" t="s">
        <v>122</v>
      </c>
      <c r="F108" s="94" t="s">
        <v>122</v>
      </c>
      <c r="G108" s="115" t="s">
        <v>122</v>
      </c>
    </row>
    <row r="109" spans="1:7" ht="27" customHeight="1" x14ac:dyDescent="0.25">
      <c r="A109" s="95">
        <v>39919</v>
      </c>
      <c r="B109" s="153">
        <v>15.92</v>
      </c>
      <c r="C109" s="94">
        <v>25400</v>
      </c>
      <c r="D109" s="94" t="s">
        <v>122</v>
      </c>
      <c r="E109" s="94" t="s">
        <v>122</v>
      </c>
      <c r="F109" s="94" t="s">
        <v>122</v>
      </c>
      <c r="G109" s="115" t="s">
        <v>122</v>
      </c>
    </row>
    <row r="110" spans="1:7" ht="27" customHeight="1" x14ac:dyDescent="0.25">
      <c r="A110" s="95">
        <v>39920</v>
      </c>
      <c r="B110" s="153">
        <v>15.92</v>
      </c>
      <c r="C110" s="94">
        <v>25400</v>
      </c>
      <c r="D110" s="94" t="s">
        <v>122</v>
      </c>
      <c r="E110" s="94" t="s">
        <v>122</v>
      </c>
      <c r="F110" s="94" t="s">
        <v>122</v>
      </c>
      <c r="G110" s="115" t="s">
        <v>122</v>
      </c>
    </row>
    <row r="111" spans="1:7" ht="27" customHeight="1" x14ac:dyDescent="0.25">
      <c r="A111" s="95">
        <v>39921</v>
      </c>
      <c r="B111" s="153">
        <v>15.92</v>
      </c>
      <c r="C111" s="94">
        <v>25400</v>
      </c>
      <c r="D111" s="94" t="s">
        <v>122</v>
      </c>
      <c r="E111" s="94" t="s">
        <v>122</v>
      </c>
      <c r="F111" s="94" t="s">
        <v>122</v>
      </c>
      <c r="G111" s="115" t="s">
        <v>122</v>
      </c>
    </row>
    <row r="112" spans="1:7" ht="27" customHeight="1" x14ac:dyDescent="0.25">
      <c r="A112" s="95">
        <v>39922</v>
      </c>
      <c r="B112" s="153">
        <v>15.92</v>
      </c>
      <c r="C112" s="94">
        <v>25400</v>
      </c>
      <c r="D112" s="94" t="s">
        <v>122</v>
      </c>
      <c r="E112" s="94" t="s">
        <v>122</v>
      </c>
      <c r="F112" s="94" t="s">
        <v>122</v>
      </c>
      <c r="G112" s="115" t="s">
        <v>122</v>
      </c>
    </row>
    <row r="113" spans="1:7" ht="27" customHeight="1" x14ac:dyDescent="0.25">
      <c r="A113" s="95">
        <v>39923</v>
      </c>
      <c r="B113" s="153">
        <v>15.92</v>
      </c>
      <c r="C113" s="94">
        <v>25400</v>
      </c>
      <c r="D113" s="137">
        <v>10</v>
      </c>
      <c r="E113" s="94">
        <v>54.54</v>
      </c>
      <c r="F113" s="137">
        <v>8</v>
      </c>
      <c r="G113" s="115">
        <v>42.41</v>
      </c>
    </row>
    <row r="114" spans="1:7" ht="27" customHeight="1" x14ac:dyDescent="0.25">
      <c r="A114" s="95">
        <v>39924</v>
      </c>
      <c r="B114" s="153">
        <v>15.75</v>
      </c>
      <c r="C114" s="94">
        <v>25000</v>
      </c>
      <c r="D114" s="137">
        <v>10</v>
      </c>
      <c r="E114" s="94">
        <v>54.24</v>
      </c>
      <c r="F114" s="137">
        <v>8</v>
      </c>
      <c r="G114" s="115">
        <v>42.16</v>
      </c>
    </row>
    <row r="115" spans="1:7" ht="27" customHeight="1" x14ac:dyDescent="0.25">
      <c r="A115" s="95">
        <v>39925</v>
      </c>
      <c r="B115" s="153">
        <v>15.58</v>
      </c>
      <c r="C115" s="94">
        <v>24000</v>
      </c>
      <c r="D115" s="137">
        <v>10</v>
      </c>
      <c r="E115" s="94">
        <v>53.93</v>
      </c>
      <c r="F115" s="137">
        <v>7</v>
      </c>
      <c r="G115" s="115">
        <v>36.79</v>
      </c>
    </row>
    <row r="116" spans="1:7" ht="27" customHeight="1" x14ac:dyDescent="0.25">
      <c r="A116" s="95">
        <v>39926</v>
      </c>
      <c r="B116" s="153">
        <v>15.42</v>
      </c>
      <c r="C116" s="94">
        <v>22450</v>
      </c>
      <c r="D116" s="137">
        <v>10</v>
      </c>
      <c r="E116" s="94">
        <v>53.63</v>
      </c>
      <c r="F116" s="137">
        <v>5</v>
      </c>
      <c r="G116" s="115">
        <v>26.27</v>
      </c>
    </row>
    <row r="117" spans="1:7" ht="27" customHeight="1" x14ac:dyDescent="0.25">
      <c r="A117" s="95">
        <v>39927</v>
      </c>
      <c r="B117" s="153">
        <v>15.33</v>
      </c>
      <c r="C117" s="94">
        <v>22400</v>
      </c>
      <c r="D117" s="137">
        <v>10</v>
      </c>
      <c r="E117" s="94">
        <v>53.17</v>
      </c>
      <c r="F117" s="137">
        <v>4</v>
      </c>
      <c r="G117" s="115">
        <v>21.02</v>
      </c>
    </row>
    <row r="118" spans="1:7" ht="27" customHeight="1" x14ac:dyDescent="0.25">
      <c r="A118" s="95">
        <v>39928</v>
      </c>
      <c r="B118" s="153">
        <v>15.17</v>
      </c>
      <c r="C118" s="94">
        <v>22325</v>
      </c>
      <c r="D118" s="137">
        <v>10</v>
      </c>
      <c r="E118" s="94">
        <v>53.17</v>
      </c>
      <c r="F118" s="137">
        <v>8</v>
      </c>
      <c r="G118" s="115">
        <v>41.28</v>
      </c>
    </row>
    <row r="119" spans="1:7" ht="27" customHeight="1" x14ac:dyDescent="0.25">
      <c r="A119" s="95">
        <v>39929</v>
      </c>
      <c r="B119" s="153">
        <v>15</v>
      </c>
      <c r="C119" s="94">
        <v>22250</v>
      </c>
      <c r="D119" s="137">
        <v>8</v>
      </c>
      <c r="E119" s="94">
        <v>52.86</v>
      </c>
      <c r="F119" s="137">
        <v>10</v>
      </c>
      <c r="G119" s="115">
        <v>50.96</v>
      </c>
    </row>
    <row r="120" spans="1:7" ht="27" customHeight="1" x14ac:dyDescent="0.25">
      <c r="A120" s="95">
        <v>39930</v>
      </c>
      <c r="B120" s="153">
        <v>14.83</v>
      </c>
      <c r="C120" s="94">
        <v>21500</v>
      </c>
      <c r="D120" s="137">
        <v>10</v>
      </c>
      <c r="E120" s="94">
        <v>42.29</v>
      </c>
      <c r="F120" s="137">
        <v>10</v>
      </c>
      <c r="G120" s="115">
        <v>50.63</v>
      </c>
    </row>
    <row r="121" spans="1:7" ht="27" customHeight="1" x14ac:dyDescent="0.25">
      <c r="A121" s="95">
        <v>39931</v>
      </c>
      <c r="B121" s="153">
        <v>14.83</v>
      </c>
      <c r="C121" s="94">
        <v>21500</v>
      </c>
      <c r="D121" s="137">
        <v>10</v>
      </c>
      <c r="E121" s="94">
        <v>52.54</v>
      </c>
      <c r="F121" s="137">
        <v>10</v>
      </c>
      <c r="G121" s="115">
        <v>50.63</v>
      </c>
    </row>
    <row r="122" spans="1:7" ht="27" customHeight="1" x14ac:dyDescent="0.25">
      <c r="A122" s="95">
        <v>39932</v>
      </c>
      <c r="B122" s="153">
        <v>14.83</v>
      </c>
      <c r="C122" s="94">
        <v>21500</v>
      </c>
      <c r="D122" s="137">
        <v>10</v>
      </c>
      <c r="E122" s="94">
        <v>52.54</v>
      </c>
      <c r="F122" s="137">
        <v>10</v>
      </c>
      <c r="G122" s="115">
        <v>50.63</v>
      </c>
    </row>
    <row r="123" spans="1:7" ht="27" customHeight="1" x14ac:dyDescent="0.25">
      <c r="A123" s="95">
        <v>39933</v>
      </c>
      <c r="B123" s="153">
        <v>14.83</v>
      </c>
      <c r="C123" s="94">
        <v>21500</v>
      </c>
      <c r="D123" s="137">
        <v>10</v>
      </c>
      <c r="E123" s="94">
        <v>52.39</v>
      </c>
      <c r="F123" s="137">
        <v>10</v>
      </c>
      <c r="G123" s="115">
        <v>50.47</v>
      </c>
    </row>
    <row r="124" spans="1:7" ht="27" customHeight="1" x14ac:dyDescent="0.25">
      <c r="A124" s="95">
        <v>39934</v>
      </c>
      <c r="B124" s="153">
        <v>14.58</v>
      </c>
      <c r="C124" s="94">
        <v>21200</v>
      </c>
      <c r="D124" s="137">
        <v>10</v>
      </c>
      <c r="E124" s="94"/>
      <c r="F124" s="137">
        <v>10</v>
      </c>
      <c r="G124" s="115"/>
    </row>
    <row r="125" spans="1:7" ht="27" customHeight="1" x14ac:dyDescent="0.25">
      <c r="A125" s="95">
        <v>39935</v>
      </c>
      <c r="B125" s="153">
        <v>14.5</v>
      </c>
      <c r="C125" s="94">
        <v>21000</v>
      </c>
      <c r="D125" s="137">
        <v>10</v>
      </c>
      <c r="E125" s="94">
        <v>51.92</v>
      </c>
      <c r="F125" s="137">
        <v>10</v>
      </c>
      <c r="G125" s="115">
        <v>49.98</v>
      </c>
    </row>
    <row r="126" spans="1:7" ht="27" customHeight="1" x14ac:dyDescent="0.25">
      <c r="A126" s="95">
        <v>39936</v>
      </c>
      <c r="B126" s="153">
        <v>14.42</v>
      </c>
      <c r="C126" s="94">
        <v>20650</v>
      </c>
      <c r="D126" s="137">
        <v>10</v>
      </c>
      <c r="E126" s="94">
        <v>51.76</v>
      </c>
      <c r="F126" s="137">
        <v>10</v>
      </c>
      <c r="G126" s="115">
        <v>49.81</v>
      </c>
    </row>
    <row r="127" spans="1:7" ht="27" customHeight="1" x14ac:dyDescent="0.25">
      <c r="A127" s="95">
        <v>39937</v>
      </c>
      <c r="B127" s="153">
        <v>14.33</v>
      </c>
      <c r="C127" s="94">
        <v>20450</v>
      </c>
      <c r="D127" s="137">
        <v>10</v>
      </c>
      <c r="E127" s="94">
        <v>51.6</v>
      </c>
      <c r="F127" s="137">
        <v>10</v>
      </c>
      <c r="G127" s="115">
        <v>49.32</v>
      </c>
    </row>
    <row r="128" spans="1:7" ht="27" customHeight="1" x14ac:dyDescent="0.25">
      <c r="A128" s="95">
        <v>39938</v>
      </c>
      <c r="B128" s="153">
        <v>14.17</v>
      </c>
      <c r="C128" s="94">
        <v>19850</v>
      </c>
      <c r="D128" s="137">
        <v>8</v>
      </c>
      <c r="E128" s="94">
        <v>41.28</v>
      </c>
      <c r="F128" s="137">
        <v>8</v>
      </c>
      <c r="G128" s="115">
        <v>39.72</v>
      </c>
    </row>
    <row r="129" spans="1:7" ht="27" customHeight="1" x14ac:dyDescent="0.25">
      <c r="A129" s="95">
        <v>39939</v>
      </c>
      <c r="B129" s="153">
        <v>14</v>
      </c>
      <c r="C129" s="94">
        <v>19500</v>
      </c>
      <c r="D129" s="137">
        <v>8</v>
      </c>
      <c r="E129" s="94">
        <v>41.02</v>
      </c>
      <c r="F129" s="137">
        <v>8</v>
      </c>
      <c r="G129" s="115">
        <v>39.450000000000003</v>
      </c>
    </row>
    <row r="130" spans="1:7" ht="27" customHeight="1" x14ac:dyDescent="0.25">
      <c r="A130" s="95">
        <v>39940</v>
      </c>
      <c r="B130" s="153">
        <v>13.92</v>
      </c>
      <c r="C130" s="94">
        <v>19300</v>
      </c>
      <c r="D130" s="137">
        <v>10</v>
      </c>
      <c r="E130" s="94">
        <v>50.8</v>
      </c>
      <c r="F130" s="137">
        <v>8</v>
      </c>
      <c r="G130" s="115">
        <v>39.32</v>
      </c>
    </row>
    <row r="131" spans="1:7" ht="27" customHeight="1" x14ac:dyDescent="0.25">
      <c r="A131" s="95">
        <v>39941</v>
      </c>
      <c r="B131" s="153">
        <v>13.75</v>
      </c>
      <c r="C131" s="94">
        <v>19000</v>
      </c>
      <c r="D131" s="137">
        <v>10</v>
      </c>
      <c r="E131" s="94">
        <v>50.47</v>
      </c>
      <c r="F131" s="137">
        <v>8</v>
      </c>
      <c r="G131" s="115">
        <v>39.049999999999997</v>
      </c>
    </row>
    <row r="132" spans="1:7" ht="27" customHeight="1" x14ac:dyDescent="0.25">
      <c r="A132" s="95">
        <v>39942</v>
      </c>
      <c r="B132" s="153">
        <v>13.67</v>
      </c>
      <c r="C132" s="94">
        <v>18600</v>
      </c>
      <c r="D132" s="137">
        <v>8</v>
      </c>
      <c r="E132" s="94">
        <v>40.51</v>
      </c>
      <c r="F132" s="137">
        <v>7</v>
      </c>
      <c r="G132" s="115">
        <v>34.17</v>
      </c>
    </row>
    <row r="133" spans="1:7" ht="27" customHeight="1" x14ac:dyDescent="0.25">
      <c r="A133" s="95">
        <v>39943</v>
      </c>
      <c r="B133" s="153">
        <v>13.5</v>
      </c>
      <c r="C133" s="94">
        <v>18000</v>
      </c>
      <c r="D133" s="94" t="s">
        <v>122</v>
      </c>
      <c r="E133" s="94" t="s">
        <v>122</v>
      </c>
      <c r="F133" s="94" t="s">
        <v>122</v>
      </c>
      <c r="G133" s="115" t="s">
        <v>122</v>
      </c>
    </row>
    <row r="134" spans="1:7" ht="27" customHeight="1" x14ac:dyDescent="0.25">
      <c r="A134" s="95">
        <v>39944</v>
      </c>
      <c r="B134" s="153">
        <v>13.5</v>
      </c>
      <c r="C134" s="94">
        <v>18000</v>
      </c>
      <c r="D134" s="94" t="s">
        <v>122</v>
      </c>
      <c r="E134" s="94" t="s">
        <v>122</v>
      </c>
      <c r="F134" s="94" t="s">
        <v>122</v>
      </c>
      <c r="G134" s="115" t="s">
        <v>122</v>
      </c>
    </row>
    <row r="135" spans="1:7" ht="27" customHeight="1" x14ac:dyDescent="0.25">
      <c r="A135" s="95">
        <v>39945</v>
      </c>
      <c r="B135" s="153">
        <v>13.5</v>
      </c>
      <c r="C135" s="94">
        <v>18000</v>
      </c>
      <c r="D135" s="94" t="s">
        <v>122</v>
      </c>
      <c r="E135" s="94" t="s">
        <v>122</v>
      </c>
      <c r="F135" s="94" t="s">
        <v>122</v>
      </c>
      <c r="G135" s="115" t="s">
        <v>122</v>
      </c>
    </row>
    <row r="136" spans="1:7" ht="27" customHeight="1" x14ac:dyDescent="0.25">
      <c r="A136" s="95">
        <v>39946</v>
      </c>
      <c r="B136" s="153">
        <v>13.5</v>
      </c>
      <c r="C136" s="94">
        <v>18000</v>
      </c>
      <c r="D136" s="94" t="s">
        <v>122</v>
      </c>
      <c r="E136" s="94" t="s">
        <v>122</v>
      </c>
      <c r="F136" s="94" t="s">
        <v>122</v>
      </c>
      <c r="G136" s="115" t="s">
        <v>122</v>
      </c>
    </row>
    <row r="137" spans="1:7" ht="27" customHeight="1" x14ac:dyDescent="0.25">
      <c r="A137" s="95">
        <v>39947</v>
      </c>
      <c r="B137" s="153">
        <v>13.5</v>
      </c>
      <c r="C137" s="94">
        <v>18000</v>
      </c>
      <c r="D137" s="137">
        <v>12</v>
      </c>
      <c r="E137" s="94">
        <v>59.55</v>
      </c>
      <c r="F137" s="137">
        <v>12</v>
      </c>
      <c r="G137" s="115">
        <v>57.14</v>
      </c>
    </row>
    <row r="138" spans="1:7" ht="27" customHeight="1" x14ac:dyDescent="0.25">
      <c r="A138" s="95">
        <v>39948</v>
      </c>
      <c r="B138" s="153">
        <v>13.5</v>
      </c>
      <c r="C138" s="94">
        <v>18000</v>
      </c>
      <c r="D138" s="137">
        <v>12</v>
      </c>
      <c r="E138" s="94">
        <v>59.18</v>
      </c>
      <c r="F138" s="137">
        <v>12</v>
      </c>
      <c r="G138" s="115">
        <v>59.18</v>
      </c>
    </row>
    <row r="139" spans="1:7" ht="27" customHeight="1" x14ac:dyDescent="0.25">
      <c r="A139" s="95">
        <v>39949</v>
      </c>
      <c r="B139" s="153">
        <v>13.33</v>
      </c>
      <c r="C139" s="94">
        <v>17600</v>
      </c>
      <c r="D139" s="137">
        <v>12</v>
      </c>
      <c r="E139" s="94">
        <v>58.78</v>
      </c>
      <c r="F139" s="137">
        <v>12</v>
      </c>
      <c r="G139" s="115">
        <v>56.31</v>
      </c>
    </row>
    <row r="140" spans="1:7" ht="27" customHeight="1" x14ac:dyDescent="0.25">
      <c r="A140" s="95">
        <v>39950</v>
      </c>
      <c r="B140" s="153">
        <v>13.17</v>
      </c>
      <c r="C140" s="94">
        <v>17400</v>
      </c>
      <c r="D140" s="137">
        <v>12</v>
      </c>
      <c r="E140" s="94">
        <v>58.37</v>
      </c>
      <c r="F140" s="137">
        <v>12</v>
      </c>
      <c r="G140" s="115">
        <v>55.89</v>
      </c>
    </row>
    <row r="141" spans="1:7" ht="27" customHeight="1" x14ac:dyDescent="0.25">
      <c r="A141" s="95">
        <v>39951</v>
      </c>
      <c r="B141" s="153">
        <v>13</v>
      </c>
      <c r="C141" s="94">
        <v>17000</v>
      </c>
      <c r="D141" s="137">
        <v>8</v>
      </c>
      <c r="E141" s="94">
        <v>39.19</v>
      </c>
      <c r="F141" s="137">
        <v>10</v>
      </c>
      <c r="G141" s="115">
        <v>46.57</v>
      </c>
    </row>
    <row r="142" spans="1:7" ht="27" customHeight="1" x14ac:dyDescent="0.25">
      <c r="A142" s="95">
        <v>39952</v>
      </c>
      <c r="B142" s="153">
        <v>12.83</v>
      </c>
      <c r="C142" s="94">
        <v>16800</v>
      </c>
      <c r="D142" s="94" t="s">
        <v>122</v>
      </c>
      <c r="E142" s="94" t="s">
        <v>122</v>
      </c>
      <c r="F142" s="94" t="s">
        <v>122</v>
      </c>
      <c r="G142" s="115" t="s">
        <v>122</v>
      </c>
    </row>
    <row r="143" spans="1:7" ht="27" customHeight="1" x14ac:dyDescent="0.25">
      <c r="A143" s="95">
        <v>39953</v>
      </c>
      <c r="B143" s="153">
        <v>12.75</v>
      </c>
      <c r="C143" s="94">
        <v>16700</v>
      </c>
      <c r="D143" s="94" t="s">
        <v>122</v>
      </c>
      <c r="E143" s="94" t="s">
        <v>122</v>
      </c>
      <c r="F143" s="94" t="s">
        <v>122</v>
      </c>
      <c r="G143" s="115" t="s">
        <v>122</v>
      </c>
    </row>
    <row r="144" spans="1:7" ht="27" customHeight="1" x14ac:dyDescent="0.25">
      <c r="A144" s="95">
        <v>39954</v>
      </c>
      <c r="B144" s="153">
        <v>12.75</v>
      </c>
      <c r="C144" s="94">
        <v>16700</v>
      </c>
      <c r="D144" s="94" t="s">
        <v>122</v>
      </c>
      <c r="E144" s="94" t="s">
        <v>122</v>
      </c>
      <c r="F144" s="94" t="s">
        <v>122</v>
      </c>
      <c r="G144" s="115" t="s">
        <v>122</v>
      </c>
    </row>
    <row r="145" spans="1:7" ht="27" customHeight="1" x14ac:dyDescent="0.25">
      <c r="A145" s="95">
        <v>39955</v>
      </c>
      <c r="B145" s="153">
        <v>12.75</v>
      </c>
      <c r="C145" s="94">
        <v>16700</v>
      </c>
      <c r="D145" s="94" t="s">
        <v>122</v>
      </c>
      <c r="E145" s="94" t="s">
        <v>122</v>
      </c>
      <c r="F145" s="94" t="s">
        <v>122</v>
      </c>
      <c r="G145" s="115" t="s">
        <v>122</v>
      </c>
    </row>
    <row r="146" spans="1:7" ht="27" customHeight="1" x14ac:dyDescent="0.25">
      <c r="A146" s="95">
        <v>39956</v>
      </c>
      <c r="B146" s="153">
        <v>12.67</v>
      </c>
      <c r="C146" s="94">
        <v>16600</v>
      </c>
      <c r="D146" s="137">
        <v>8</v>
      </c>
      <c r="E146" s="94">
        <v>38.78</v>
      </c>
      <c r="F146" s="137">
        <v>10</v>
      </c>
      <c r="G146" s="115">
        <v>46.04</v>
      </c>
    </row>
    <row r="147" spans="1:7" ht="27" customHeight="1" x14ac:dyDescent="0.25">
      <c r="A147" s="95">
        <v>39957</v>
      </c>
      <c r="B147" s="153">
        <v>12.58</v>
      </c>
      <c r="C147" s="94">
        <v>16500</v>
      </c>
      <c r="D147" s="137">
        <v>8</v>
      </c>
      <c r="E147" s="94">
        <v>38.51</v>
      </c>
      <c r="F147" s="137">
        <v>10</v>
      </c>
      <c r="G147" s="115">
        <v>45.68</v>
      </c>
    </row>
    <row r="148" spans="1:7" ht="27" customHeight="1" x14ac:dyDescent="0.25">
      <c r="A148" s="95">
        <v>39958</v>
      </c>
      <c r="B148" s="153">
        <v>12.42</v>
      </c>
      <c r="C148" s="94">
        <v>16400</v>
      </c>
      <c r="D148" s="137">
        <v>8</v>
      </c>
      <c r="E148" s="94">
        <v>38.24</v>
      </c>
      <c r="F148" s="137">
        <v>10</v>
      </c>
      <c r="G148" s="115">
        <v>45.32</v>
      </c>
    </row>
    <row r="149" spans="1:7" ht="27" customHeight="1" x14ac:dyDescent="0.25">
      <c r="A149" s="95">
        <v>39959</v>
      </c>
      <c r="B149" s="153">
        <v>12.25</v>
      </c>
      <c r="C149" s="94">
        <v>15750</v>
      </c>
      <c r="D149" s="137">
        <v>8</v>
      </c>
      <c r="E149" s="94">
        <v>37.96</v>
      </c>
      <c r="F149" s="137">
        <v>10</v>
      </c>
      <c r="G149" s="115">
        <v>44.96</v>
      </c>
    </row>
    <row r="150" spans="1:7" ht="27" customHeight="1" x14ac:dyDescent="0.25">
      <c r="A150" s="95">
        <v>39960</v>
      </c>
      <c r="B150" s="153">
        <v>12.08</v>
      </c>
      <c r="C150" s="94">
        <v>15500</v>
      </c>
      <c r="D150" s="137">
        <v>8</v>
      </c>
      <c r="E150" s="94">
        <v>37.82</v>
      </c>
      <c r="F150" s="137">
        <v>10</v>
      </c>
      <c r="G150" s="115">
        <v>44.78</v>
      </c>
    </row>
    <row r="151" spans="1:7" ht="27" customHeight="1" x14ac:dyDescent="0.25">
      <c r="A151" s="95">
        <v>39961</v>
      </c>
      <c r="B151" s="153">
        <v>12</v>
      </c>
      <c r="C151" s="94">
        <v>15400</v>
      </c>
      <c r="D151" s="137">
        <v>8</v>
      </c>
      <c r="E151" s="94">
        <v>37.82</v>
      </c>
      <c r="F151" s="137">
        <v>10</v>
      </c>
      <c r="G151" s="115">
        <v>44.78</v>
      </c>
    </row>
    <row r="152" spans="1:7" ht="27" customHeight="1" x14ac:dyDescent="0.25">
      <c r="A152" s="95">
        <v>39962</v>
      </c>
      <c r="B152" s="153">
        <v>12</v>
      </c>
      <c r="C152" s="94">
        <v>15400</v>
      </c>
      <c r="D152" s="94" t="s">
        <v>122</v>
      </c>
      <c r="E152" s="94" t="s">
        <v>122</v>
      </c>
      <c r="F152" s="94" t="s">
        <v>122</v>
      </c>
      <c r="G152" s="115" t="s">
        <v>122</v>
      </c>
    </row>
    <row r="153" spans="1:7" ht="27" customHeight="1" x14ac:dyDescent="0.25">
      <c r="A153" s="95">
        <v>39963</v>
      </c>
      <c r="B153" s="153">
        <v>12</v>
      </c>
      <c r="C153" s="94">
        <v>15400</v>
      </c>
      <c r="D153" s="94" t="s">
        <v>122</v>
      </c>
      <c r="E153" s="94" t="s">
        <v>122</v>
      </c>
      <c r="F153" s="94" t="s">
        <v>122</v>
      </c>
      <c r="G153" s="115" t="s">
        <v>122</v>
      </c>
    </row>
    <row r="154" spans="1:7" ht="27" customHeight="1" x14ac:dyDescent="0.25">
      <c r="A154" s="95">
        <v>39964</v>
      </c>
      <c r="B154" s="153">
        <v>12</v>
      </c>
      <c r="C154" s="94">
        <v>15400</v>
      </c>
      <c r="D154" s="94" t="s">
        <v>122</v>
      </c>
      <c r="E154" s="94" t="s">
        <v>122</v>
      </c>
      <c r="F154" s="94" t="s">
        <v>122</v>
      </c>
      <c r="G154" s="115" t="s">
        <v>122</v>
      </c>
    </row>
    <row r="155" spans="1:7" ht="27" customHeight="1" x14ac:dyDescent="0.25">
      <c r="A155" s="95">
        <v>39965</v>
      </c>
      <c r="B155" s="153">
        <v>11.92</v>
      </c>
      <c r="C155" s="94">
        <v>15200</v>
      </c>
      <c r="D155" s="137">
        <v>10</v>
      </c>
      <c r="E155" s="94">
        <v>46.57</v>
      </c>
      <c r="F155" s="137">
        <v>12</v>
      </c>
      <c r="G155" s="115">
        <v>52.84</v>
      </c>
    </row>
    <row r="156" spans="1:7" ht="27" customHeight="1" x14ac:dyDescent="0.25">
      <c r="A156" s="95">
        <v>39966</v>
      </c>
      <c r="B156" s="153">
        <v>11.83</v>
      </c>
      <c r="C156" s="94">
        <v>15000</v>
      </c>
      <c r="D156" s="137">
        <v>10</v>
      </c>
      <c r="E156" s="94">
        <v>46.22</v>
      </c>
      <c r="F156" s="137">
        <v>12</v>
      </c>
      <c r="G156" s="115">
        <v>52.39</v>
      </c>
    </row>
    <row r="157" spans="1:7" ht="27" customHeight="1" x14ac:dyDescent="0.25">
      <c r="A157" s="95">
        <v>39967</v>
      </c>
      <c r="B157" s="153">
        <v>11.67</v>
      </c>
      <c r="C157" s="94">
        <v>14700</v>
      </c>
      <c r="D157" s="137">
        <v>12</v>
      </c>
      <c r="E157" s="94">
        <v>54.6</v>
      </c>
      <c r="F157" s="137">
        <v>12</v>
      </c>
      <c r="G157" s="115">
        <v>51.94</v>
      </c>
    </row>
    <row r="158" spans="1:7" ht="27" customHeight="1" x14ac:dyDescent="0.25">
      <c r="A158" s="95">
        <v>39968</v>
      </c>
      <c r="B158" s="153">
        <v>11.5</v>
      </c>
      <c r="C158" s="94">
        <v>14400</v>
      </c>
      <c r="D158" s="137">
        <v>1</v>
      </c>
      <c r="E158" s="94">
        <v>4.71</v>
      </c>
      <c r="F158" s="137">
        <v>10</v>
      </c>
      <c r="G158" s="115">
        <v>43.28</v>
      </c>
    </row>
    <row r="159" spans="1:7" ht="27" customHeight="1" x14ac:dyDescent="0.25">
      <c r="A159" s="95">
        <v>39969</v>
      </c>
      <c r="B159" s="153">
        <v>11.33</v>
      </c>
      <c r="C159" s="94">
        <v>14000</v>
      </c>
      <c r="D159" s="137">
        <v>12</v>
      </c>
      <c r="E159" s="94">
        <v>53.73</v>
      </c>
      <c r="F159" s="137">
        <v>12</v>
      </c>
      <c r="G159" s="115">
        <v>51.02</v>
      </c>
    </row>
    <row r="160" spans="1:7" ht="27" customHeight="1" x14ac:dyDescent="0.25">
      <c r="A160" s="95">
        <v>39970</v>
      </c>
      <c r="B160" s="153">
        <v>11.17</v>
      </c>
      <c r="C160" s="94">
        <v>13700</v>
      </c>
      <c r="D160" s="94" t="s">
        <v>122</v>
      </c>
      <c r="E160" s="94" t="s">
        <v>122</v>
      </c>
      <c r="F160" s="94" t="s">
        <v>122</v>
      </c>
      <c r="G160" s="115" t="s">
        <v>122</v>
      </c>
    </row>
    <row r="161" spans="1:7" ht="27" customHeight="1" x14ac:dyDescent="0.25">
      <c r="A161" s="95">
        <v>39971</v>
      </c>
      <c r="B161" s="153">
        <v>11.08</v>
      </c>
      <c r="C161" s="94">
        <v>13600</v>
      </c>
      <c r="D161" s="94" t="s">
        <v>122</v>
      </c>
      <c r="E161" s="94" t="s">
        <v>122</v>
      </c>
      <c r="F161" s="94" t="s">
        <v>122</v>
      </c>
      <c r="G161" s="115" t="s">
        <v>122</v>
      </c>
    </row>
    <row r="162" spans="1:7" ht="27" customHeight="1" x14ac:dyDescent="0.25">
      <c r="A162" s="95">
        <v>39972</v>
      </c>
      <c r="B162" s="153">
        <v>11.08</v>
      </c>
      <c r="C162" s="94">
        <v>13600</v>
      </c>
      <c r="D162" s="94" t="s">
        <v>122</v>
      </c>
      <c r="E162" s="94" t="s">
        <v>122</v>
      </c>
      <c r="F162" s="94" t="s">
        <v>122</v>
      </c>
      <c r="G162" s="115" t="s">
        <v>122</v>
      </c>
    </row>
    <row r="163" spans="1:7" ht="27" customHeight="1" x14ac:dyDescent="0.25">
      <c r="A163" s="95">
        <v>39973</v>
      </c>
      <c r="B163" s="153">
        <v>11.08</v>
      </c>
      <c r="C163" s="94">
        <v>13600</v>
      </c>
      <c r="D163" s="94" t="s">
        <v>122</v>
      </c>
      <c r="E163" s="94" t="s">
        <v>122</v>
      </c>
      <c r="F163" s="94" t="s">
        <v>122</v>
      </c>
      <c r="G163" s="115" t="s">
        <v>122</v>
      </c>
    </row>
    <row r="164" spans="1:7" ht="27" customHeight="1" x14ac:dyDescent="0.25">
      <c r="A164" s="95">
        <v>39974</v>
      </c>
      <c r="B164" s="153">
        <v>11.08</v>
      </c>
      <c r="C164" s="94">
        <v>13600</v>
      </c>
      <c r="D164" s="94" t="s">
        <v>122</v>
      </c>
      <c r="E164" s="94" t="s">
        <v>122</v>
      </c>
      <c r="F164" s="94" t="s">
        <v>122</v>
      </c>
      <c r="G164" s="115" t="s">
        <v>122</v>
      </c>
    </row>
    <row r="165" spans="1:7" ht="27" customHeight="1" x14ac:dyDescent="0.25">
      <c r="A165" s="95">
        <v>39975</v>
      </c>
      <c r="B165" s="153">
        <v>11.08</v>
      </c>
      <c r="C165" s="94">
        <v>13600</v>
      </c>
      <c r="D165" s="137">
        <v>5</v>
      </c>
      <c r="E165" s="94">
        <v>23.9</v>
      </c>
      <c r="F165" s="137">
        <v>2</v>
      </c>
      <c r="G165" s="115">
        <v>8.77</v>
      </c>
    </row>
    <row r="166" spans="1:7" ht="27" customHeight="1" x14ac:dyDescent="0.25">
      <c r="A166" s="95">
        <v>39976</v>
      </c>
      <c r="B166" s="153">
        <v>11</v>
      </c>
      <c r="C166" s="94">
        <v>13500</v>
      </c>
      <c r="D166" s="137">
        <v>14</v>
      </c>
      <c r="E166" s="94">
        <v>61.38</v>
      </c>
      <c r="F166" s="137">
        <v>15</v>
      </c>
      <c r="G166" s="115">
        <v>62</v>
      </c>
    </row>
    <row r="167" spans="1:7" ht="27" customHeight="1" x14ac:dyDescent="0.25">
      <c r="A167" s="95">
        <v>39977</v>
      </c>
      <c r="B167" s="153">
        <v>10.92</v>
      </c>
      <c r="C167" s="94">
        <v>13250</v>
      </c>
      <c r="D167" s="137">
        <v>12</v>
      </c>
      <c r="E167" s="94">
        <v>60.86</v>
      </c>
      <c r="F167" s="137">
        <v>15</v>
      </c>
      <c r="G167" s="115">
        <v>61.4</v>
      </c>
    </row>
    <row r="168" spans="1:7" ht="27" customHeight="1" x14ac:dyDescent="0.25">
      <c r="A168" s="95">
        <v>39978</v>
      </c>
      <c r="B168" s="153">
        <v>10.75</v>
      </c>
      <c r="C168" s="94">
        <v>12900</v>
      </c>
      <c r="D168" s="137">
        <v>12</v>
      </c>
      <c r="E168" s="94">
        <v>60.06</v>
      </c>
      <c r="F168" s="137">
        <v>15</v>
      </c>
      <c r="G168" s="115">
        <v>64.06</v>
      </c>
    </row>
    <row r="169" spans="1:7" ht="27" customHeight="1" x14ac:dyDescent="0.25">
      <c r="A169" s="95">
        <v>39979</v>
      </c>
      <c r="B169" s="153">
        <v>10.5</v>
      </c>
      <c r="C169" s="94">
        <v>12500</v>
      </c>
      <c r="D169" s="137">
        <v>14</v>
      </c>
      <c r="E169" s="94">
        <v>59.52</v>
      </c>
      <c r="F169" s="137">
        <v>15</v>
      </c>
      <c r="G169" s="115">
        <v>63.48</v>
      </c>
    </row>
    <row r="170" spans="1:7" ht="27" customHeight="1" x14ac:dyDescent="0.25">
      <c r="A170" s="95">
        <v>39980</v>
      </c>
      <c r="B170" s="153">
        <v>10.33</v>
      </c>
      <c r="C170" s="94">
        <v>12300</v>
      </c>
      <c r="D170" s="137">
        <v>14</v>
      </c>
      <c r="E170" s="94">
        <v>58.97</v>
      </c>
      <c r="F170" s="137">
        <v>8</v>
      </c>
      <c r="G170" s="115">
        <v>32.75</v>
      </c>
    </row>
    <row r="171" spans="1:7" ht="27" customHeight="1" x14ac:dyDescent="0.25">
      <c r="A171" s="95">
        <v>39981</v>
      </c>
      <c r="B171" s="153">
        <v>10.17</v>
      </c>
      <c r="C171" s="94">
        <v>12000</v>
      </c>
      <c r="D171" s="94" t="s">
        <v>122</v>
      </c>
      <c r="E171" s="94" t="s">
        <v>122</v>
      </c>
      <c r="F171" s="94" t="s">
        <v>122</v>
      </c>
      <c r="G171" s="115" t="s">
        <v>122</v>
      </c>
    </row>
    <row r="172" spans="1:7" ht="27" customHeight="1" x14ac:dyDescent="0.25">
      <c r="A172" s="95">
        <v>39982</v>
      </c>
      <c r="B172" s="153">
        <v>10</v>
      </c>
      <c r="C172" s="94">
        <v>11600</v>
      </c>
      <c r="D172" s="94" t="s">
        <v>122</v>
      </c>
      <c r="E172" s="94" t="s">
        <v>122</v>
      </c>
      <c r="F172" s="94" t="s">
        <v>122</v>
      </c>
      <c r="G172" s="115" t="s">
        <v>122</v>
      </c>
    </row>
    <row r="173" spans="1:7" ht="27" customHeight="1" x14ac:dyDescent="0.25">
      <c r="A173" s="95">
        <v>39983</v>
      </c>
      <c r="B173" s="153">
        <v>10</v>
      </c>
      <c r="C173" s="94">
        <v>11600</v>
      </c>
      <c r="D173" s="94" t="s">
        <v>122</v>
      </c>
      <c r="E173" s="94" t="s">
        <v>122</v>
      </c>
      <c r="F173" s="94" t="s">
        <v>122</v>
      </c>
      <c r="G173" s="115" t="s">
        <v>122</v>
      </c>
    </row>
    <row r="174" spans="1:7" ht="27" customHeight="1" x14ac:dyDescent="0.25">
      <c r="A174" s="95">
        <v>39984</v>
      </c>
      <c r="B174" s="153">
        <v>10</v>
      </c>
      <c r="C174" s="94">
        <v>11600</v>
      </c>
      <c r="D174" s="94" t="s">
        <v>122</v>
      </c>
      <c r="E174" s="94" t="s">
        <v>122</v>
      </c>
      <c r="F174" s="94" t="s">
        <v>122</v>
      </c>
      <c r="G174" s="115" t="s">
        <v>122</v>
      </c>
    </row>
    <row r="175" spans="1:7" ht="27" customHeight="1" x14ac:dyDescent="0.25">
      <c r="A175" s="95">
        <v>39985</v>
      </c>
      <c r="B175" s="153">
        <v>10</v>
      </c>
      <c r="C175" s="94">
        <v>11600</v>
      </c>
      <c r="D175" s="94" t="s">
        <v>122</v>
      </c>
      <c r="E175" s="94" t="s">
        <v>122</v>
      </c>
      <c r="F175" s="94" t="s">
        <v>122</v>
      </c>
      <c r="G175" s="115" t="s">
        <v>122</v>
      </c>
    </row>
    <row r="176" spans="1:7" ht="27" customHeight="1" x14ac:dyDescent="0.25">
      <c r="A176" s="95">
        <v>39986</v>
      </c>
      <c r="B176" s="153">
        <v>9.92</v>
      </c>
      <c r="C176" s="94">
        <v>11500</v>
      </c>
      <c r="D176" s="94" t="s">
        <v>122</v>
      </c>
      <c r="E176" s="94" t="s">
        <v>122</v>
      </c>
      <c r="F176" s="94" t="s">
        <v>122</v>
      </c>
      <c r="G176" s="115" t="s">
        <v>122</v>
      </c>
    </row>
    <row r="177" spans="1:7" ht="27" customHeight="1" x14ac:dyDescent="0.25">
      <c r="A177" s="95">
        <v>39987</v>
      </c>
      <c r="B177" s="153">
        <v>9.92</v>
      </c>
      <c r="C177" s="94">
        <v>11500</v>
      </c>
      <c r="D177" s="137">
        <v>12</v>
      </c>
      <c r="E177" s="94">
        <v>50.32</v>
      </c>
      <c r="F177" s="137">
        <v>15</v>
      </c>
      <c r="G177" s="115">
        <v>58.31</v>
      </c>
    </row>
    <row r="178" spans="1:7" ht="27" customHeight="1" x14ac:dyDescent="0.25">
      <c r="A178" s="95">
        <v>39988</v>
      </c>
      <c r="B178" s="153">
        <v>9.92</v>
      </c>
      <c r="C178" s="94">
        <v>11500</v>
      </c>
      <c r="D178" s="137">
        <v>12</v>
      </c>
      <c r="E178" s="94">
        <v>49.61</v>
      </c>
      <c r="F178" s="137">
        <v>15</v>
      </c>
      <c r="G178" s="115">
        <v>57.35</v>
      </c>
    </row>
    <row r="179" spans="1:7" ht="27" customHeight="1" x14ac:dyDescent="0.25">
      <c r="A179" s="95">
        <v>39989</v>
      </c>
      <c r="B179" s="153">
        <v>9.67</v>
      </c>
      <c r="C179" s="94">
        <v>11200</v>
      </c>
      <c r="D179" s="137">
        <v>12</v>
      </c>
      <c r="E179" s="94">
        <v>48.88</v>
      </c>
      <c r="F179" s="137">
        <v>15</v>
      </c>
      <c r="G179" s="115">
        <v>60.19</v>
      </c>
    </row>
    <row r="180" spans="1:7" ht="27" customHeight="1" x14ac:dyDescent="0.25">
      <c r="A180" s="95">
        <v>39990</v>
      </c>
      <c r="B180" s="153">
        <v>9.42</v>
      </c>
      <c r="C180" s="94">
        <v>10700</v>
      </c>
      <c r="D180" s="137">
        <v>12</v>
      </c>
      <c r="E180" s="94">
        <v>48.15</v>
      </c>
      <c r="F180" s="137">
        <v>12</v>
      </c>
      <c r="G180" s="115">
        <v>45.11</v>
      </c>
    </row>
    <row r="181" spans="1:7" ht="27" customHeight="1" x14ac:dyDescent="0.25">
      <c r="A181" s="95">
        <v>39991</v>
      </c>
      <c r="B181" s="153">
        <v>9.17</v>
      </c>
      <c r="C181" s="94">
        <v>10400</v>
      </c>
      <c r="D181" s="137">
        <v>12</v>
      </c>
      <c r="E181" s="94">
        <v>47.66</v>
      </c>
      <c r="F181" s="137">
        <v>12</v>
      </c>
      <c r="G181" s="115">
        <v>44.58</v>
      </c>
    </row>
    <row r="182" spans="1:7" ht="27" customHeight="1" x14ac:dyDescent="0.25">
      <c r="A182" s="95">
        <v>39992</v>
      </c>
      <c r="B182" s="153">
        <v>9</v>
      </c>
      <c r="C182" s="94">
        <v>10200</v>
      </c>
      <c r="D182" s="137">
        <v>12</v>
      </c>
      <c r="E182" s="94">
        <v>47.16</v>
      </c>
      <c r="F182" s="137">
        <v>12</v>
      </c>
      <c r="G182" s="115">
        <v>44.04</v>
      </c>
    </row>
    <row r="183" spans="1:7" ht="27" customHeight="1" x14ac:dyDescent="0.25">
      <c r="A183" s="95">
        <v>39993</v>
      </c>
      <c r="B183" s="153">
        <v>8.83</v>
      </c>
      <c r="C183" s="94">
        <v>10000</v>
      </c>
      <c r="D183" s="94" t="s">
        <v>122</v>
      </c>
      <c r="E183" s="94" t="s">
        <v>122</v>
      </c>
      <c r="F183" s="94" t="s">
        <v>122</v>
      </c>
      <c r="G183" s="115" t="s">
        <v>122</v>
      </c>
    </row>
    <row r="184" spans="1:7" ht="27" customHeight="1" x14ac:dyDescent="0.25">
      <c r="A184" s="95">
        <v>39994</v>
      </c>
      <c r="B184" s="153">
        <v>8.75</v>
      </c>
      <c r="C184" s="94">
        <v>9900</v>
      </c>
      <c r="D184" s="94" t="s">
        <v>122</v>
      </c>
      <c r="E184" s="94" t="s">
        <v>122</v>
      </c>
      <c r="F184" s="94" t="s">
        <v>122</v>
      </c>
      <c r="G184" s="115" t="s">
        <v>122</v>
      </c>
    </row>
    <row r="185" spans="1:7" ht="27" customHeight="1" x14ac:dyDescent="0.25">
      <c r="A185" s="95">
        <v>39995</v>
      </c>
      <c r="B185" s="153">
        <v>8.75</v>
      </c>
      <c r="C185" s="94">
        <v>9900</v>
      </c>
      <c r="D185" s="94" t="s">
        <v>122</v>
      </c>
      <c r="E185" s="94" t="s">
        <v>122</v>
      </c>
      <c r="F185" s="94" t="s">
        <v>122</v>
      </c>
      <c r="G185" s="115" t="s">
        <v>122</v>
      </c>
    </row>
    <row r="186" spans="1:7" ht="27" customHeight="1" x14ac:dyDescent="0.25">
      <c r="A186" s="95">
        <v>39996</v>
      </c>
      <c r="B186" s="153">
        <v>8.75</v>
      </c>
      <c r="C186" s="94">
        <v>9900</v>
      </c>
      <c r="D186" s="94" t="s">
        <v>122</v>
      </c>
      <c r="E186" s="94" t="s">
        <v>122</v>
      </c>
      <c r="F186" s="94" t="s">
        <v>122</v>
      </c>
      <c r="G186" s="115" t="s">
        <v>122</v>
      </c>
    </row>
    <row r="187" spans="1:7" ht="27" customHeight="1" x14ac:dyDescent="0.25">
      <c r="A187" s="95">
        <v>39997</v>
      </c>
      <c r="B187" s="153">
        <v>8.75</v>
      </c>
      <c r="C187" s="94">
        <v>9900</v>
      </c>
      <c r="D187" s="94" t="s">
        <v>122</v>
      </c>
      <c r="E187" s="94" t="s">
        <v>122</v>
      </c>
      <c r="F187" s="94" t="s">
        <v>122</v>
      </c>
      <c r="G187" s="115" t="s">
        <v>122</v>
      </c>
    </row>
    <row r="188" spans="1:7" ht="27" customHeight="1" x14ac:dyDescent="0.25">
      <c r="A188" s="95">
        <v>39998</v>
      </c>
      <c r="B188" s="153">
        <v>8.67</v>
      </c>
      <c r="C188" s="94">
        <v>9800</v>
      </c>
      <c r="D188" s="94" t="s">
        <v>122</v>
      </c>
      <c r="E188" s="94" t="s">
        <v>122</v>
      </c>
      <c r="F188" s="94" t="s">
        <v>122</v>
      </c>
      <c r="G188" s="115" t="s">
        <v>122</v>
      </c>
    </row>
    <row r="189" spans="1:7" ht="27" customHeight="1" x14ac:dyDescent="0.25">
      <c r="A189" s="95">
        <v>39999</v>
      </c>
      <c r="B189" s="153">
        <v>8.58</v>
      </c>
      <c r="C189" s="94">
        <v>9700</v>
      </c>
      <c r="D189" s="137">
        <v>14</v>
      </c>
      <c r="E189" s="94">
        <v>53.53</v>
      </c>
      <c r="F189" s="137">
        <v>18</v>
      </c>
      <c r="G189" s="115">
        <v>62.31</v>
      </c>
    </row>
    <row r="190" spans="1:7" ht="27" customHeight="1" x14ac:dyDescent="0.25">
      <c r="A190" s="95">
        <v>40000</v>
      </c>
      <c r="B190" s="153">
        <v>8.33</v>
      </c>
      <c r="C190" s="94">
        <v>9400</v>
      </c>
      <c r="D190" s="137">
        <v>14</v>
      </c>
      <c r="E190" s="94">
        <v>52.62</v>
      </c>
      <c r="F190" s="137">
        <v>18</v>
      </c>
      <c r="G190" s="115">
        <v>61.01</v>
      </c>
    </row>
    <row r="191" spans="1:7" ht="27" customHeight="1" x14ac:dyDescent="0.25">
      <c r="A191" s="95">
        <v>40001</v>
      </c>
      <c r="B191" s="153">
        <v>8.08</v>
      </c>
      <c r="C191" s="94">
        <v>9100</v>
      </c>
      <c r="D191" s="137">
        <v>14</v>
      </c>
      <c r="E191" s="94">
        <v>51.69</v>
      </c>
      <c r="F191" s="137">
        <v>18</v>
      </c>
      <c r="G191" s="115">
        <v>59.69</v>
      </c>
    </row>
    <row r="192" spans="1:7" ht="27" customHeight="1" x14ac:dyDescent="0.25">
      <c r="A192" s="95">
        <v>40002</v>
      </c>
      <c r="B192" s="153">
        <v>7.83</v>
      </c>
      <c r="C192" s="94">
        <v>8800</v>
      </c>
      <c r="D192" s="137">
        <v>15</v>
      </c>
      <c r="E192" s="94">
        <v>54.2</v>
      </c>
      <c r="F192" s="137">
        <v>18</v>
      </c>
      <c r="G192" s="115">
        <v>58.33</v>
      </c>
    </row>
    <row r="193" spans="1:7" ht="27" customHeight="1" x14ac:dyDescent="0.25">
      <c r="A193" s="95">
        <v>40003</v>
      </c>
      <c r="B193" s="153">
        <v>7.67</v>
      </c>
      <c r="C193" s="94">
        <v>8600</v>
      </c>
      <c r="D193" s="137">
        <v>15</v>
      </c>
      <c r="E193" s="94">
        <v>53.51</v>
      </c>
      <c r="F193" s="137">
        <v>18</v>
      </c>
      <c r="G193" s="115">
        <v>57.41</v>
      </c>
    </row>
    <row r="194" spans="1:7" ht="27" customHeight="1" x14ac:dyDescent="0.25">
      <c r="A194" s="95">
        <v>40004</v>
      </c>
      <c r="B194" s="153">
        <v>7.42</v>
      </c>
      <c r="C194" s="94">
        <v>8300</v>
      </c>
      <c r="D194" s="137">
        <v>15</v>
      </c>
      <c r="E194" s="94">
        <v>52.11</v>
      </c>
      <c r="F194" s="137">
        <v>18</v>
      </c>
      <c r="G194" s="115">
        <v>56</v>
      </c>
    </row>
    <row r="195" spans="1:7" ht="27" customHeight="1" x14ac:dyDescent="0.25">
      <c r="A195" s="95">
        <v>40005</v>
      </c>
      <c r="B195" s="153">
        <v>7.17</v>
      </c>
      <c r="C195" s="94">
        <v>8100</v>
      </c>
      <c r="D195" s="137">
        <v>15</v>
      </c>
      <c r="E195" s="94">
        <v>51.4</v>
      </c>
      <c r="F195" s="137"/>
      <c r="G195" s="115"/>
    </row>
    <row r="196" spans="1:7" ht="27" customHeight="1" x14ac:dyDescent="0.25">
      <c r="A196" s="95">
        <v>40006</v>
      </c>
      <c r="B196" s="153">
        <v>7.08</v>
      </c>
      <c r="C196" s="94">
        <v>8000</v>
      </c>
      <c r="D196" s="94" t="s">
        <v>122</v>
      </c>
      <c r="E196" s="94" t="s">
        <v>122</v>
      </c>
      <c r="F196" s="94" t="s">
        <v>122</v>
      </c>
      <c r="G196" s="115" t="s">
        <v>122</v>
      </c>
    </row>
    <row r="197" spans="1:7" ht="27" customHeight="1" x14ac:dyDescent="0.25">
      <c r="A197" s="95">
        <v>40007</v>
      </c>
      <c r="B197" s="153">
        <v>7.08</v>
      </c>
      <c r="C197" s="94">
        <v>8000</v>
      </c>
      <c r="D197" s="94" t="s">
        <v>122</v>
      </c>
      <c r="E197" s="94" t="s">
        <v>122</v>
      </c>
      <c r="F197" s="94" t="s">
        <v>122</v>
      </c>
      <c r="G197" s="115" t="s">
        <v>122</v>
      </c>
    </row>
    <row r="198" spans="1:7" ht="27" customHeight="1" x14ac:dyDescent="0.25">
      <c r="A198" s="95">
        <v>40008</v>
      </c>
      <c r="B198" s="153">
        <v>7.08</v>
      </c>
      <c r="C198" s="94">
        <v>8000</v>
      </c>
      <c r="D198" s="94" t="s">
        <v>122</v>
      </c>
      <c r="E198" s="94" t="s">
        <v>122</v>
      </c>
      <c r="F198" s="94" t="s">
        <v>122</v>
      </c>
      <c r="G198" s="115" t="s">
        <v>122</v>
      </c>
    </row>
    <row r="199" spans="1:7" ht="27" customHeight="1" x14ac:dyDescent="0.25">
      <c r="A199" s="95">
        <v>40009</v>
      </c>
      <c r="B199" s="153">
        <v>7.08</v>
      </c>
      <c r="C199" s="94">
        <v>8000</v>
      </c>
      <c r="D199" s="94" t="s">
        <v>122</v>
      </c>
      <c r="E199" s="94" t="s">
        <v>122</v>
      </c>
      <c r="F199" s="94" t="s">
        <v>122</v>
      </c>
      <c r="G199" s="115" t="s">
        <v>122</v>
      </c>
    </row>
    <row r="200" spans="1:7" ht="27" customHeight="1" x14ac:dyDescent="0.25">
      <c r="A200" s="95">
        <v>40010</v>
      </c>
      <c r="B200" s="153">
        <v>7</v>
      </c>
      <c r="C200" s="94">
        <v>7900</v>
      </c>
      <c r="D200" s="94" t="s">
        <v>122</v>
      </c>
      <c r="E200" s="94" t="s">
        <v>122</v>
      </c>
      <c r="F200" s="94" t="s">
        <v>122</v>
      </c>
      <c r="G200" s="115" t="s">
        <v>122</v>
      </c>
    </row>
    <row r="201" spans="1:7" ht="27" customHeight="1" x14ac:dyDescent="0.25">
      <c r="A201" s="95">
        <v>40011</v>
      </c>
      <c r="B201" s="153">
        <v>7</v>
      </c>
      <c r="C201" s="94">
        <v>7900</v>
      </c>
      <c r="D201" s="137">
        <v>12</v>
      </c>
      <c r="E201" s="94">
        <v>41.27</v>
      </c>
      <c r="F201" s="137">
        <v>15</v>
      </c>
      <c r="G201" s="115">
        <v>45.68</v>
      </c>
    </row>
    <row r="202" spans="1:7" ht="27" customHeight="1" x14ac:dyDescent="0.25">
      <c r="A202" s="95">
        <v>40012</v>
      </c>
      <c r="B202" s="153">
        <v>6.75</v>
      </c>
      <c r="C202" s="94">
        <v>7600</v>
      </c>
      <c r="D202" s="137">
        <v>18</v>
      </c>
      <c r="E202" s="94">
        <v>57.87</v>
      </c>
      <c r="F202" s="137">
        <v>18</v>
      </c>
      <c r="G202" s="115">
        <v>52.05</v>
      </c>
    </row>
    <row r="203" spans="1:7" ht="27" customHeight="1" x14ac:dyDescent="0.25">
      <c r="A203" s="95">
        <v>40013</v>
      </c>
      <c r="B203" s="153">
        <v>6.5</v>
      </c>
      <c r="C203" s="94">
        <v>7400</v>
      </c>
      <c r="D203" s="137">
        <v>18</v>
      </c>
      <c r="E203" s="94">
        <v>56.47</v>
      </c>
      <c r="F203" s="137">
        <v>18</v>
      </c>
      <c r="G203" s="115">
        <v>50.48</v>
      </c>
    </row>
    <row r="204" spans="1:7" ht="27" customHeight="1" x14ac:dyDescent="0.25">
      <c r="A204" s="95">
        <v>40014</v>
      </c>
      <c r="B204" s="153">
        <v>6.25</v>
      </c>
      <c r="C204" s="94">
        <v>7100</v>
      </c>
      <c r="D204" s="137">
        <v>18</v>
      </c>
      <c r="E204" s="94">
        <v>55.04</v>
      </c>
      <c r="F204" s="137">
        <v>18</v>
      </c>
      <c r="G204" s="115">
        <v>48.87</v>
      </c>
    </row>
    <row r="205" spans="1:7" ht="27" customHeight="1" x14ac:dyDescent="0.25">
      <c r="A205" s="95">
        <v>40015</v>
      </c>
      <c r="B205" s="153">
        <v>6</v>
      </c>
      <c r="C205" s="94">
        <v>6900</v>
      </c>
      <c r="D205" s="94" t="s">
        <v>122</v>
      </c>
      <c r="E205" s="94" t="s">
        <v>122</v>
      </c>
      <c r="F205" s="94" t="s">
        <v>122</v>
      </c>
      <c r="G205" s="115" t="s">
        <v>122</v>
      </c>
    </row>
    <row r="206" spans="1:7" ht="27" customHeight="1" x14ac:dyDescent="0.25">
      <c r="A206" s="95">
        <v>40016</v>
      </c>
      <c r="B206" s="153">
        <v>5.83</v>
      </c>
      <c r="C206" s="94">
        <v>6700</v>
      </c>
      <c r="D206" s="94" t="s">
        <v>122</v>
      </c>
      <c r="E206" s="94" t="s">
        <v>122</v>
      </c>
      <c r="F206" s="94" t="s">
        <v>122</v>
      </c>
      <c r="G206" s="115" t="s">
        <v>122</v>
      </c>
    </row>
    <row r="207" spans="1:7" ht="27" customHeight="1" x14ac:dyDescent="0.25">
      <c r="A207" s="95">
        <v>40017</v>
      </c>
      <c r="B207" s="153">
        <v>5.67</v>
      </c>
      <c r="C207" s="94">
        <v>6500</v>
      </c>
      <c r="D207" s="94" t="s">
        <v>122</v>
      </c>
      <c r="E207" s="94" t="s">
        <v>122</v>
      </c>
      <c r="F207" s="94" t="s">
        <v>122</v>
      </c>
      <c r="G207" s="115" t="s">
        <v>122</v>
      </c>
    </row>
    <row r="208" spans="1:7" ht="27" customHeight="1" x14ac:dyDescent="0.25">
      <c r="A208" s="95">
        <v>40018</v>
      </c>
      <c r="B208" s="153">
        <v>5.42</v>
      </c>
      <c r="C208" s="94">
        <v>6300</v>
      </c>
      <c r="D208" s="137">
        <v>18</v>
      </c>
      <c r="E208" s="94">
        <v>49.95</v>
      </c>
      <c r="F208" s="137"/>
      <c r="G208" s="115"/>
    </row>
    <row r="209" spans="1:7" ht="27" customHeight="1" x14ac:dyDescent="0.25">
      <c r="A209" s="95">
        <v>40019</v>
      </c>
      <c r="B209" s="153">
        <v>5.25</v>
      </c>
      <c r="C209" s="94">
        <v>6200</v>
      </c>
      <c r="D209" s="94" t="s">
        <v>122</v>
      </c>
      <c r="E209" s="94" t="s">
        <v>122</v>
      </c>
      <c r="F209" s="94" t="s">
        <v>122</v>
      </c>
      <c r="G209" s="115" t="s">
        <v>122</v>
      </c>
    </row>
    <row r="210" spans="1:7" ht="27" customHeight="1" x14ac:dyDescent="0.25">
      <c r="A210" s="95">
        <v>40020</v>
      </c>
      <c r="B210" s="153">
        <v>5.25</v>
      </c>
      <c r="C210" s="94">
        <v>6200</v>
      </c>
      <c r="D210" s="94" t="s">
        <v>122</v>
      </c>
      <c r="E210" s="94" t="s">
        <v>122</v>
      </c>
      <c r="F210" s="94" t="s">
        <v>122</v>
      </c>
      <c r="G210" s="115" t="s">
        <v>122</v>
      </c>
    </row>
    <row r="211" spans="1:7" ht="27" customHeight="1" x14ac:dyDescent="0.25">
      <c r="A211" s="95">
        <v>40021</v>
      </c>
      <c r="B211" s="153">
        <v>5.25</v>
      </c>
      <c r="C211" s="94">
        <v>6200</v>
      </c>
      <c r="D211" s="94" t="s">
        <v>122</v>
      </c>
      <c r="E211" s="94" t="s">
        <v>122</v>
      </c>
      <c r="F211" s="94" t="s">
        <v>122</v>
      </c>
      <c r="G211" s="115" t="s">
        <v>122</v>
      </c>
    </row>
    <row r="212" spans="1:7" ht="27" customHeight="1" x14ac:dyDescent="0.25">
      <c r="A212" s="95">
        <v>40022</v>
      </c>
      <c r="B212" s="153">
        <v>5.17</v>
      </c>
      <c r="C212" s="94">
        <v>6150</v>
      </c>
      <c r="D212" s="137">
        <v>21</v>
      </c>
      <c r="E212" s="94">
        <v>54.03</v>
      </c>
      <c r="F212" s="137">
        <v>21</v>
      </c>
      <c r="G212" s="115">
        <v>45.19</v>
      </c>
    </row>
    <row r="213" spans="1:7" ht="27" customHeight="1" x14ac:dyDescent="0.25">
      <c r="A213" s="95">
        <v>40023</v>
      </c>
      <c r="B213" s="153">
        <v>4.92</v>
      </c>
      <c r="C213" s="94">
        <v>5900</v>
      </c>
      <c r="D213" s="137">
        <v>21</v>
      </c>
      <c r="E213" s="94">
        <v>52.66</v>
      </c>
      <c r="F213" s="137">
        <v>21</v>
      </c>
      <c r="G213" s="115">
        <v>43.53</v>
      </c>
    </row>
    <row r="214" spans="1:7" ht="27" customHeight="1" x14ac:dyDescent="0.25">
      <c r="A214" s="95">
        <v>40024</v>
      </c>
      <c r="B214" s="153">
        <v>4.67</v>
      </c>
      <c r="C214" s="94">
        <v>5700</v>
      </c>
      <c r="D214" s="137">
        <v>21</v>
      </c>
      <c r="E214" s="94">
        <v>49.81</v>
      </c>
      <c r="F214" s="137">
        <v>21</v>
      </c>
      <c r="G214" s="115">
        <v>40</v>
      </c>
    </row>
    <row r="215" spans="1:7" ht="27" customHeight="1" x14ac:dyDescent="0.25">
      <c r="A215" s="95">
        <v>40025</v>
      </c>
      <c r="B215" s="153">
        <v>4.42</v>
      </c>
      <c r="C215" s="94">
        <v>5400</v>
      </c>
      <c r="D215" s="137">
        <v>21</v>
      </c>
      <c r="E215" s="94">
        <v>48.32</v>
      </c>
      <c r="F215" s="108" t="s">
        <v>1313</v>
      </c>
      <c r="G215" s="115">
        <v>37.11</v>
      </c>
    </row>
    <row r="216" spans="1:7" ht="27" customHeight="1" x14ac:dyDescent="0.25">
      <c r="A216" s="95">
        <v>40026</v>
      </c>
      <c r="B216" s="153">
        <v>4.17</v>
      </c>
      <c r="C216" s="94">
        <v>5250</v>
      </c>
      <c r="D216" s="94" t="s">
        <v>122</v>
      </c>
      <c r="E216" s="94" t="s">
        <v>122</v>
      </c>
      <c r="F216" s="94" t="s">
        <v>122</v>
      </c>
      <c r="G216" s="115" t="s">
        <v>122</v>
      </c>
    </row>
    <row r="217" spans="1:7" ht="27" customHeight="1" x14ac:dyDescent="0.25">
      <c r="A217" s="95">
        <v>40027</v>
      </c>
      <c r="B217" s="153">
        <v>4</v>
      </c>
      <c r="C217" s="94">
        <v>5150</v>
      </c>
      <c r="D217" s="94" t="s">
        <v>122</v>
      </c>
      <c r="E217" s="94" t="s">
        <v>122</v>
      </c>
      <c r="F217" s="94" t="s">
        <v>122</v>
      </c>
      <c r="G217" s="115" t="s">
        <v>122</v>
      </c>
    </row>
    <row r="218" spans="1:7" ht="27" customHeight="1" x14ac:dyDescent="0.25">
      <c r="A218" s="95">
        <v>40028</v>
      </c>
      <c r="B218" s="153">
        <v>3.83</v>
      </c>
      <c r="C218" s="94">
        <v>5050</v>
      </c>
      <c r="D218" s="94" t="s">
        <v>122</v>
      </c>
      <c r="E218" s="94" t="s">
        <v>122</v>
      </c>
      <c r="F218" s="94" t="s">
        <v>122</v>
      </c>
      <c r="G218" s="115" t="s">
        <v>122</v>
      </c>
    </row>
    <row r="219" spans="1:7" ht="27" customHeight="1" x14ac:dyDescent="0.25">
      <c r="A219" s="95">
        <v>40029</v>
      </c>
      <c r="B219" s="153">
        <v>3.67</v>
      </c>
      <c r="C219" s="94">
        <v>4900</v>
      </c>
      <c r="D219" s="94" t="s">
        <v>122</v>
      </c>
      <c r="E219" s="94" t="s">
        <v>122</v>
      </c>
      <c r="F219" s="94" t="s">
        <v>122</v>
      </c>
      <c r="G219" s="115" t="s">
        <v>122</v>
      </c>
    </row>
    <row r="220" spans="1:7" ht="27" customHeight="1" x14ac:dyDescent="0.25">
      <c r="A220" s="95">
        <v>40030</v>
      </c>
      <c r="B220" s="153">
        <v>3.5</v>
      </c>
      <c r="C220" s="94">
        <v>4750</v>
      </c>
      <c r="D220" s="94" t="s">
        <v>122</v>
      </c>
      <c r="E220" s="94" t="s">
        <v>122</v>
      </c>
      <c r="F220" s="94" t="s">
        <v>122</v>
      </c>
      <c r="G220" s="115" t="s">
        <v>122</v>
      </c>
    </row>
    <row r="221" spans="1:7" ht="27" customHeight="1" x14ac:dyDescent="0.25">
      <c r="A221" s="95">
        <v>40031</v>
      </c>
      <c r="B221" s="153">
        <v>3.33</v>
      </c>
      <c r="C221" s="94">
        <v>4600</v>
      </c>
      <c r="D221" s="94" t="s">
        <v>122</v>
      </c>
      <c r="E221" s="94" t="s">
        <v>122</v>
      </c>
      <c r="F221" s="94" t="s">
        <v>122</v>
      </c>
      <c r="G221" s="115" t="s">
        <v>122</v>
      </c>
    </row>
    <row r="222" spans="1:7" ht="27" customHeight="1" x14ac:dyDescent="0.25">
      <c r="A222" s="95">
        <v>40032</v>
      </c>
      <c r="B222" s="153">
        <v>3.17</v>
      </c>
      <c r="C222" s="94">
        <v>4450</v>
      </c>
      <c r="D222" s="137">
        <v>3</v>
      </c>
      <c r="E222" s="94">
        <v>7.04</v>
      </c>
      <c r="F222" s="137">
        <v>21</v>
      </c>
      <c r="G222" s="115">
        <v>15.7</v>
      </c>
    </row>
    <row r="223" spans="1:7" ht="27" customHeight="1" x14ac:dyDescent="0.25">
      <c r="A223" s="95">
        <v>40033</v>
      </c>
      <c r="B223" s="153">
        <v>3.08</v>
      </c>
      <c r="C223" s="94">
        <v>4400</v>
      </c>
      <c r="D223" s="137">
        <v>3</v>
      </c>
      <c r="E223" s="94">
        <v>6.83</v>
      </c>
      <c r="F223" s="137">
        <v>21</v>
      </c>
      <c r="G223" s="115">
        <v>12.67</v>
      </c>
    </row>
    <row r="224" spans="1:7" ht="27" customHeight="1" x14ac:dyDescent="0.25">
      <c r="A224" s="95">
        <v>40034</v>
      </c>
      <c r="B224" s="153">
        <v>2.92</v>
      </c>
      <c r="C224" s="94">
        <v>4300</v>
      </c>
      <c r="D224" s="137">
        <v>3</v>
      </c>
      <c r="E224" s="94">
        <v>6.72</v>
      </c>
      <c r="F224" s="137">
        <v>21</v>
      </c>
      <c r="G224" s="115">
        <v>8.5500000000000007</v>
      </c>
    </row>
    <row r="225" spans="1:7" ht="27" customHeight="1" x14ac:dyDescent="0.25">
      <c r="A225" s="95">
        <v>40035</v>
      </c>
      <c r="B225" s="153">
        <v>2.75</v>
      </c>
      <c r="C225" s="94">
        <v>4200</v>
      </c>
      <c r="D225" s="94" t="s">
        <v>122</v>
      </c>
      <c r="E225" s="94" t="s">
        <v>122</v>
      </c>
      <c r="F225" s="94" t="s">
        <v>122</v>
      </c>
      <c r="G225" s="115" t="s">
        <v>122</v>
      </c>
    </row>
    <row r="226" spans="1:7" ht="27" customHeight="1" x14ac:dyDescent="0.25">
      <c r="A226" s="95">
        <v>40036</v>
      </c>
      <c r="B226" s="153">
        <v>2.58</v>
      </c>
      <c r="C226" s="94">
        <v>4100</v>
      </c>
      <c r="D226" s="94" t="s">
        <v>122</v>
      </c>
      <c r="E226" s="94" t="s">
        <v>122</v>
      </c>
      <c r="F226" s="94" t="s">
        <v>122</v>
      </c>
      <c r="G226" s="115" t="s">
        <v>122</v>
      </c>
    </row>
    <row r="227" spans="1:7" ht="27" customHeight="1" x14ac:dyDescent="0.25">
      <c r="A227" s="95">
        <v>40037</v>
      </c>
      <c r="B227" s="153">
        <v>2.42</v>
      </c>
      <c r="C227" s="94">
        <v>3900</v>
      </c>
      <c r="D227" s="94" t="s">
        <v>122</v>
      </c>
      <c r="E227" s="94" t="s">
        <v>122</v>
      </c>
      <c r="F227" s="94" t="s">
        <v>122</v>
      </c>
      <c r="G227" s="115" t="s">
        <v>122</v>
      </c>
    </row>
    <row r="228" spans="1:7" ht="27" customHeight="1" x14ac:dyDescent="0.25">
      <c r="A228" s="95">
        <v>40038</v>
      </c>
      <c r="B228" s="153">
        <v>2.33</v>
      </c>
      <c r="C228" s="94">
        <v>3800</v>
      </c>
      <c r="D228" s="94" t="s">
        <v>122</v>
      </c>
      <c r="E228" s="94" t="s">
        <v>122</v>
      </c>
      <c r="F228" s="94" t="s">
        <v>122</v>
      </c>
      <c r="G228" s="115" t="s">
        <v>122</v>
      </c>
    </row>
    <row r="229" spans="1:7" ht="27" customHeight="1" x14ac:dyDescent="0.25">
      <c r="A229" s="95">
        <v>40039</v>
      </c>
      <c r="B229" s="153">
        <v>2.25</v>
      </c>
      <c r="C229" s="94">
        <v>3750</v>
      </c>
      <c r="D229" s="94" t="s">
        <v>122</v>
      </c>
      <c r="E229" s="94" t="s">
        <v>122</v>
      </c>
      <c r="F229" s="94" t="s">
        <v>122</v>
      </c>
      <c r="G229" s="115" t="s">
        <v>122</v>
      </c>
    </row>
    <row r="230" spans="1:7" ht="27" customHeight="1" x14ac:dyDescent="0.25">
      <c r="A230" s="95">
        <v>40040</v>
      </c>
      <c r="B230" s="153">
        <v>2.17</v>
      </c>
      <c r="C230" s="94">
        <v>3700</v>
      </c>
      <c r="D230" s="94" t="s">
        <v>122</v>
      </c>
      <c r="E230" s="94" t="s">
        <v>122</v>
      </c>
      <c r="F230" s="94" t="s">
        <v>122</v>
      </c>
      <c r="G230" s="115" t="s">
        <v>122</v>
      </c>
    </row>
    <row r="231" spans="1:7" ht="27" customHeight="1" x14ac:dyDescent="0.25">
      <c r="A231" s="95">
        <v>40041</v>
      </c>
      <c r="B231" s="153">
        <v>2.17</v>
      </c>
      <c r="C231" s="94">
        <v>3700</v>
      </c>
      <c r="D231" s="94" t="s">
        <v>122</v>
      </c>
      <c r="E231" s="94" t="s">
        <v>122</v>
      </c>
      <c r="F231" s="94" t="s">
        <v>122</v>
      </c>
      <c r="G231" s="115" t="s">
        <v>122</v>
      </c>
    </row>
    <row r="232" spans="1:7" ht="27" customHeight="1" x14ac:dyDescent="0.25">
      <c r="A232" s="95">
        <v>40042</v>
      </c>
      <c r="B232" s="153">
        <v>3.5</v>
      </c>
      <c r="C232" s="94">
        <v>4700</v>
      </c>
      <c r="D232" s="94" t="s">
        <v>122</v>
      </c>
      <c r="E232" s="94" t="s">
        <v>122</v>
      </c>
      <c r="F232" s="94" t="s">
        <v>122</v>
      </c>
      <c r="G232" s="115" t="s">
        <v>122</v>
      </c>
    </row>
    <row r="233" spans="1:7" ht="27" customHeight="1" x14ac:dyDescent="0.25">
      <c r="A233" s="95">
        <v>40043</v>
      </c>
      <c r="B233" s="153">
        <v>3.5</v>
      </c>
      <c r="C233" s="94">
        <v>4700</v>
      </c>
      <c r="D233" s="94" t="s">
        <v>122</v>
      </c>
      <c r="E233" s="94" t="s">
        <v>122</v>
      </c>
      <c r="F233" s="94" t="s">
        <v>122</v>
      </c>
      <c r="G233" s="115" t="s">
        <v>122</v>
      </c>
    </row>
    <row r="234" spans="1:7" ht="27" customHeight="1" x14ac:dyDescent="0.25">
      <c r="A234" s="95">
        <v>40044</v>
      </c>
      <c r="B234" s="153">
        <v>3.75</v>
      </c>
      <c r="C234" s="94">
        <v>5000</v>
      </c>
      <c r="D234" s="94" t="s">
        <v>122</v>
      </c>
      <c r="E234" s="94" t="s">
        <v>122</v>
      </c>
      <c r="F234" s="94" t="s">
        <v>122</v>
      </c>
      <c r="G234" s="115" t="s">
        <v>122</v>
      </c>
    </row>
    <row r="235" spans="1:7" ht="27" customHeight="1" x14ac:dyDescent="0.25">
      <c r="A235" s="95">
        <v>40045</v>
      </c>
      <c r="B235" s="153">
        <v>3.75</v>
      </c>
      <c r="C235" s="94">
        <v>5000</v>
      </c>
      <c r="D235" s="94" t="s">
        <v>122</v>
      </c>
      <c r="E235" s="94" t="s">
        <v>122</v>
      </c>
      <c r="F235" s="94" t="s">
        <v>122</v>
      </c>
      <c r="G235" s="115" t="s">
        <v>122</v>
      </c>
    </row>
    <row r="236" spans="1:7" ht="27" customHeight="1" x14ac:dyDescent="0.25">
      <c r="A236" s="95">
        <v>40046</v>
      </c>
      <c r="B236" s="153">
        <v>3.83</v>
      </c>
      <c r="C236" s="94">
        <v>5050</v>
      </c>
      <c r="D236" s="94" t="s">
        <v>122</v>
      </c>
      <c r="E236" s="94" t="s">
        <v>122</v>
      </c>
      <c r="F236" s="94" t="s">
        <v>122</v>
      </c>
      <c r="G236" s="115" t="s">
        <v>122</v>
      </c>
    </row>
    <row r="237" spans="1:7" ht="27" customHeight="1" x14ac:dyDescent="0.25">
      <c r="A237" s="95">
        <v>40047</v>
      </c>
      <c r="B237" s="153">
        <v>3.83</v>
      </c>
      <c r="C237" s="94">
        <v>5050</v>
      </c>
      <c r="D237" s="94" t="s">
        <v>122</v>
      </c>
      <c r="E237" s="94" t="s">
        <v>122</v>
      </c>
      <c r="F237" s="94" t="s">
        <v>122</v>
      </c>
      <c r="G237" s="115" t="s">
        <v>122</v>
      </c>
    </row>
    <row r="238" spans="1:7" ht="27" customHeight="1" x14ac:dyDescent="0.25">
      <c r="A238" s="95">
        <v>40048</v>
      </c>
      <c r="B238" s="153">
        <v>3.83</v>
      </c>
      <c r="C238" s="94">
        <v>5050</v>
      </c>
      <c r="D238" s="94" t="s">
        <v>122</v>
      </c>
      <c r="E238" s="94" t="s">
        <v>122</v>
      </c>
      <c r="F238" s="94" t="s">
        <v>122</v>
      </c>
      <c r="G238" s="115" t="s">
        <v>122</v>
      </c>
    </row>
    <row r="239" spans="1:7" ht="27" customHeight="1" x14ac:dyDescent="0.25">
      <c r="A239" s="95">
        <v>40049</v>
      </c>
      <c r="B239" s="153">
        <v>3.83</v>
      </c>
      <c r="C239" s="94">
        <v>5050</v>
      </c>
      <c r="D239" s="94" t="s">
        <v>122</v>
      </c>
      <c r="E239" s="94" t="s">
        <v>122</v>
      </c>
      <c r="F239" s="94" t="s">
        <v>122</v>
      </c>
      <c r="G239" s="115" t="s">
        <v>122</v>
      </c>
    </row>
    <row r="240" spans="1:7" ht="27" customHeight="1" x14ac:dyDescent="0.25">
      <c r="A240" s="95">
        <v>40050</v>
      </c>
      <c r="B240" s="153">
        <v>3.83</v>
      </c>
      <c r="C240" s="94">
        <v>5050</v>
      </c>
      <c r="D240" s="94" t="s">
        <v>122</v>
      </c>
      <c r="E240" s="94" t="s">
        <v>122</v>
      </c>
      <c r="F240" s="94" t="s">
        <v>122</v>
      </c>
      <c r="G240" s="115" t="s">
        <v>122</v>
      </c>
    </row>
    <row r="241" spans="1:7" ht="27" customHeight="1" x14ac:dyDescent="0.25">
      <c r="A241" s="95">
        <v>40051</v>
      </c>
      <c r="B241" s="153">
        <v>3.75</v>
      </c>
      <c r="C241" s="94">
        <v>5000</v>
      </c>
      <c r="D241" s="94" t="s">
        <v>122</v>
      </c>
      <c r="E241" s="94" t="s">
        <v>122</v>
      </c>
      <c r="F241" s="94" t="s">
        <v>122</v>
      </c>
      <c r="G241" s="115" t="s">
        <v>122</v>
      </c>
    </row>
    <row r="242" spans="1:7" ht="27" customHeight="1" x14ac:dyDescent="0.25">
      <c r="A242" s="95">
        <v>40052</v>
      </c>
      <c r="B242" s="153">
        <v>3.75</v>
      </c>
      <c r="C242" s="94">
        <v>5000</v>
      </c>
      <c r="D242" s="94" t="s">
        <v>122</v>
      </c>
      <c r="E242" s="94" t="s">
        <v>122</v>
      </c>
      <c r="F242" s="94" t="s">
        <v>122</v>
      </c>
      <c r="G242" s="115" t="s">
        <v>122</v>
      </c>
    </row>
    <row r="243" spans="1:7" ht="27" customHeight="1" x14ac:dyDescent="0.25">
      <c r="A243" s="95">
        <v>40053</v>
      </c>
      <c r="B243" s="153">
        <v>3.75</v>
      </c>
      <c r="C243" s="94">
        <v>5000</v>
      </c>
      <c r="D243" s="94" t="s">
        <v>122</v>
      </c>
      <c r="E243" s="94" t="s">
        <v>122</v>
      </c>
      <c r="F243" s="94" t="s">
        <v>122</v>
      </c>
      <c r="G243" s="115" t="s">
        <v>122</v>
      </c>
    </row>
    <row r="244" spans="1:7" ht="27" customHeight="1" x14ac:dyDescent="0.25">
      <c r="A244" s="95">
        <v>40054</v>
      </c>
      <c r="B244" s="153">
        <v>3.75</v>
      </c>
      <c r="C244" s="94">
        <v>5000</v>
      </c>
      <c r="D244" s="94" t="s">
        <v>122</v>
      </c>
      <c r="E244" s="94" t="s">
        <v>122</v>
      </c>
      <c r="F244" s="94" t="s">
        <v>122</v>
      </c>
      <c r="G244" s="115" t="s">
        <v>122</v>
      </c>
    </row>
    <row r="245" spans="1:7" ht="27" customHeight="1" x14ac:dyDescent="0.25">
      <c r="A245" s="95">
        <v>40055</v>
      </c>
      <c r="B245" s="153">
        <v>3.75</v>
      </c>
      <c r="C245" s="94">
        <v>5000</v>
      </c>
      <c r="D245" s="94" t="s">
        <v>122</v>
      </c>
      <c r="E245" s="94" t="s">
        <v>122</v>
      </c>
      <c r="F245" s="94" t="s">
        <v>122</v>
      </c>
      <c r="G245" s="115" t="s">
        <v>122</v>
      </c>
    </row>
    <row r="246" spans="1:7" ht="27" customHeight="1" x14ac:dyDescent="0.25">
      <c r="A246" s="95">
        <v>40056</v>
      </c>
      <c r="B246" s="153">
        <v>3.67</v>
      </c>
      <c r="C246" s="94">
        <v>4900</v>
      </c>
      <c r="D246" s="94" t="s">
        <v>122</v>
      </c>
      <c r="E246" s="94" t="s">
        <v>122</v>
      </c>
      <c r="F246" s="94" t="s">
        <v>122</v>
      </c>
      <c r="G246" s="115" t="s">
        <v>122</v>
      </c>
    </row>
    <row r="247" spans="1:7" ht="27" customHeight="1" x14ac:dyDescent="0.25">
      <c r="A247" s="95">
        <v>40057</v>
      </c>
      <c r="B247" s="153">
        <v>3.67</v>
      </c>
      <c r="C247" s="94">
        <v>4900</v>
      </c>
      <c r="D247" s="94" t="s">
        <v>122</v>
      </c>
      <c r="E247" s="94" t="s">
        <v>122</v>
      </c>
      <c r="F247" s="94" t="s">
        <v>122</v>
      </c>
      <c r="G247" s="115" t="s">
        <v>122</v>
      </c>
    </row>
    <row r="248" spans="1:7" ht="27" customHeight="1" x14ac:dyDescent="0.25">
      <c r="A248" s="95">
        <v>40058</v>
      </c>
      <c r="B248" s="153">
        <v>3.67</v>
      </c>
      <c r="C248" s="94">
        <v>4900</v>
      </c>
      <c r="D248" s="94" t="s">
        <v>122</v>
      </c>
      <c r="E248" s="94" t="s">
        <v>122</v>
      </c>
      <c r="F248" s="94" t="s">
        <v>122</v>
      </c>
      <c r="G248" s="115" t="s">
        <v>122</v>
      </c>
    </row>
    <row r="249" spans="1:7" ht="27" customHeight="1" x14ac:dyDescent="0.25">
      <c r="A249" s="95">
        <v>40059</v>
      </c>
      <c r="B249" s="153">
        <v>3.58</v>
      </c>
      <c r="C249" s="94">
        <v>4800</v>
      </c>
      <c r="D249" s="94" t="s">
        <v>122</v>
      </c>
      <c r="E249" s="94" t="s">
        <v>122</v>
      </c>
      <c r="F249" s="94" t="s">
        <v>122</v>
      </c>
      <c r="G249" s="115" t="s">
        <v>122</v>
      </c>
    </row>
    <row r="250" spans="1:7" ht="27" customHeight="1" x14ac:dyDescent="0.25">
      <c r="A250" s="95">
        <v>40060</v>
      </c>
      <c r="B250" s="153">
        <v>3.58</v>
      </c>
      <c r="C250" s="94">
        <v>4800</v>
      </c>
      <c r="D250" s="94" t="s">
        <v>122</v>
      </c>
      <c r="E250" s="94" t="s">
        <v>122</v>
      </c>
      <c r="F250" s="94" t="s">
        <v>122</v>
      </c>
      <c r="G250" s="115" t="s">
        <v>122</v>
      </c>
    </row>
    <row r="251" spans="1:7" ht="27" customHeight="1" x14ac:dyDescent="0.25">
      <c r="A251" s="95">
        <v>40061</v>
      </c>
      <c r="B251" s="153">
        <v>3.58</v>
      </c>
      <c r="C251" s="94">
        <v>4800</v>
      </c>
      <c r="D251" s="94" t="s">
        <v>122</v>
      </c>
      <c r="E251" s="94" t="s">
        <v>122</v>
      </c>
      <c r="F251" s="94" t="s">
        <v>122</v>
      </c>
      <c r="G251" s="115" t="s">
        <v>122</v>
      </c>
    </row>
    <row r="252" spans="1:7" ht="27" customHeight="1" x14ac:dyDescent="0.25">
      <c r="A252" s="95">
        <v>40062</v>
      </c>
      <c r="B252" s="153">
        <v>3.5</v>
      </c>
      <c r="C252" s="94">
        <v>4750</v>
      </c>
      <c r="D252" s="94" t="s">
        <v>122</v>
      </c>
      <c r="E252" s="94" t="s">
        <v>122</v>
      </c>
      <c r="F252" s="94" t="s">
        <v>122</v>
      </c>
      <c r="G252" s="115" t="s">
        <v>122</v>
      </c>
    </row>
    <row r="253" spans="1:7" ht="27" customHeight="1" x14ac:dyDescent="0.25">
      <c r="A253" s="95">
        <v>40063</v>
      </c>
      <c r="B253" s="153">
        <v>3.5</v>
      </c>
      <c r="C253" s="94">
        <v>4750</v>
      </c>
      <c r="D253" s="94" t="s">
        <v>122</v>
      </c>
      <c r="E253" s="94" t="s">
        <v>122</v>
      </c>
      <c r="F253" s="94" t="s">
        <v>122</v>
      </c>
      <c r="G253" s="115" t="s">
        <v>122</v>
      </c>
    </row>
    <row r="254" spans="1:7" ht="27" customHeight="1" x14ac:dyDescent="0.25">
      <c r="A254" s="95">
        <v>40064</v>
      </c>
      <c r="B254" s="153">
        <v>3.42</v>
      </c>
      <c r="C254" s="94">
        <v>4700</v>
      </c>
      <c r="D254" s="94" t="s">
        <v>122</v>
      </c>
      <c r="E254" s="94" t="s">
        <v>122</v>
      </c>
      <c r="F254" s="94" t="s">
        <v>122</v>
      </c>
      <c r="G254" s="115" t="s">
        <v>122</v>
      </c>
    </row>
    <row r="255" spans="1:7" ht="27" customHeight="1" x14ac:dyDescent="0.25">
      <c r="A255" s="95">
        <v>40065</v>
      </c>
      <c r="B255" s="153">
        <v>3.42</v>
      </c>
      <c r="C255" s="94">
        <v>4700</v>
      </c>
      <c r="D255" s="94" t="s">
        <v>122</v>
      </c>
      <c r="E255" s="94" t="s">
        <v>122</v>
      </c>
      <c r="F255" s="94" t="s">
        <v>122</v>
      </c>
      <c r="G255" s="115" t="s">
        <v>122</v>
      </c>
    </row>
    <row r="256" spans="1:7" ht="27" customHeight="1" x14ac:dyDescent="0.25">
      <c r="A256" s="95">
        <v>40066</v>
      </c>
      <c r="B256" s="153">
        <v>3.42</v>
      </c>
      <c r="C256" s="94">
        <v>4700</v>
      </c>
      <c r="D256" s="94" t="s">
        <v>122</v>
      </c>
      <c r="E256" s="94" t="s">
        <v>122</v>
      </c>
      <c r="F256" s="94" t="s">
        <v>122</v>
      </c>
      <c r="G256" s="115" t="s">
        <v>122</v>
      </c>
    </row>
    <row r="257" spans="1:7" ht="27" customHeight="1" x14ac:dyDescent="0.25">
      <c r="A257" s="95">
        <v>40067</v>
      </c>
      <c r="B257" s="153">
        <v>3.33</v>
      </c>
      <c r="C257" s="94">
        <v>4600</v>
      </c>
      <c r="D257" s="94" t="s">
        <v>122</v>
      </c>
      <c r="E257" s="94" t="s">
        <v>122</v>
      </c>
      <c r="F257" s="94" t="s">
        <v>122</v>
      </c>
      <c r="G257" s="115" t="s">
        <v>122</v>
      </c>
    </row>
    <row r="258" spans="1:7" ht="27" customHeight="1" x14ac:dyDescent="0.25">
      <c r="A258" s="95">
        <v>40068</v>
      </c>
      <c r="B258" s="153">
        <v>3.33</v>
      </c>
      <c r="C258" s="94">
        <v>4600</v>
      </c>
      <c r="D258" s="94" t="s">
        <v>122</v>
      </c>
      <c r="E258" s="94" t="s">
        <v>122</v>
      </c>
      <c r="F258" s="94" t="s">
        <v>122</v>
      </c>
      <c r="G258" s="115" t="s">
        <v>122</v>
      </c>
    </row>
    <row r="259" spans="1:7" ht="27" customHeight="1" x14ac:dyDescent="0.25">
      <c r="A259" s="95">
        <v>40069</v>
      </c>
      <c r="B259" s="153">
        <v>3.33</v>
      </c>
      <c r="C259" s="94">
        <v>4600</v>
      </c>
      <c r="D259" s="94" t="s">
        <v>122</v>
      </c>
      <c r="E259" s="94" t="s">
        <v>122</v>
      </c>
      <c r="F259" s="94" t="s">
        <v>122</v>
      </c>
      <c r="G259" s="115" t="s">
        <v>122</v>
      </c>
    </row>
    <row r="260" spans="1:7" ht="27" customHeight="1" x14ac:dyDescent="0.25">
      <c r="A260" s="95">
        <v>40070</v>
      </c>
      <c r="B260" s="153">
        <v>3.33</v>
      </c>
      <c r="C260" s="94">
        <v>4600</v>
      </c>
      <c r="D260" s="94" t="s">
        <v>122</v>
      </c>
      <c r="E260" s="94" t="s">
        <v>122</v>
      </c>
      <c r="F260" s="94" t="s">
        <v>122</v>
      </c>
      <c r="G260" s="115" t="s">
        <v>122</v>
      </c>
    </row>
    <row r="261" spans="1:7" ht="27" customHeight="1" x14ac:dyDescent="0.25">
      <c r="A261" s="95">
        <v>40071</v>
      </c>
      <c r="B261" s="153">
        <v>3.25</v>
      </c>
      <c r="C261" s="94">
        <v>4500</v>
      </c>
      <c r="D261" s="94" t="s">
        <v>122</v>
      </c>
      <c r="E261" s="94" t="s">
        <v>122</v>
      </c>
      <c r="F261" s="94" t="s">
        <v>122</v>
      </c>
      <c r="G261" s="115" t="s">
        <v>122</v>
      </c>
    </row>
    <row r="262" spans="1:7" ht="27" customHeight="1" x14ac:dyDescent="0.25">
      <c r="A262" s="95">
        <v>40072</v>
      </c>
      <c r="B262" s="153">
        <v>3.25</v>
      </c>
      <c r="C262" s="94">
        <v>4500</v>
      </c>
      <c r="D262" s="94" t="s">
        <v>122</v>
      </c>
      <c r="E262" s="94" t="s">
        <v>122</v>
      </c>
      <c r="F262" s="94" t="s">
        <v>122</v>
      </c>
      <c r="G262" s="115" t="s">
        <v>122</v>
      </c>
    </row>
    <row r="263" spans="1:7" ht="27" customHeight="1" x14ac:dyDescent="0.25">
      <c r="A263" s="95">
        <v>40073</v>
      </c>
      <c r="B263" s="153">
        <v>3.25</v>
      </c>
      <c r="C263" s="94">
        <v>4500</v>
      </c>
      <c r="D263" s="94" t="s">
        <v>122</v>
      </c>
      <c r="E263" s="94" t="s">
        <v>122</v>
      </c>
      <c r="F263" s="94" t="s">
        <v>122</v>
      </c>
      <c r="G263" s="115" t="s">
        <v>122</v>
      </c>
    </row>
    <row r="264" spans="1:7" ht="27" customHeight="1" x14ac:dyDescent="0.25">
      <c r="A264" s="95">
        <v>40074</v>
      </c>
      <c r="B264" s="153">
        <v>3.25</v>
      </c>
      <c r="C264" s="94">
        <v>4500</v>
      </c>
      <c r="D264" s="94" t="s">
        <v>122</v>
      </c>
      <c r="E264" s="94" t="s">
        <v>122</v>
      </c>
      <c r="F264" s="94" t="s">
        <v>122</v>
      </c>
      <c r="G264" s="115" t="s">
        <v>122</v>
      </c>
    </row>
    <row r="265" spans="1:7" ht="27" customHeight="1" x14ac:dyDescent="0.25">
      <c r="A265" s="95">
        <v>40075</v>
      </c>
      <c r="B265" s="153">
        <v>3.17</v>
      </c>
      <c r="C265" s="94">
        <v>4450</v>
      </c>
      <c r="D265" s="94" t="s">
        <v>122</v>
      </c>
      <c r="E265" s="94" t="s">
        <v>122</v>
      </c>
      <c r="F265" s="94" t="s">
        <v>122</v>
      </c>
      <c r="G265" s="115" t="s">
        <v>122</v>
      </c>
    </row>
    <row r="266" spans="1:7" ht="27" customHeight="1" x14ac:dyDescent="0.25">
      <c r="A266" s="95">
        <v>40076</v>
      </c>
      <c r="B266" s="153">
        <v>3.17</v>
      </c>
      <c r="C266" s="94">
        <v>4450</v>
      </c>
      <c r="D266" s="94" t="s">
        <v>122</v>
      </c>
      <c r="E266" s="94" t="s">
        <v>122</v>
      </c>
      <c r="F266" s="94" t="s">
        <v>122</v>
      </c>
      <c r="G266" s="115" t="s">
        <v>122</v>
      </c>
    </row>
    <row r="267" spans="1:7" ht="27" customHeight="1" x14ac:dyDescent="0.25">
      <c r="A267" s="95">
        <v>40077</v>
      </c>
      <c r="B267" s="153">
        <v>3.17</v>
      </c>
      <c r="C267" s="94">
        <v>4450</v>
      </c>
      <c r="D267" s="94" t="s">
        <v>122</v>
      </c>
      <c r="E267" s="94" t="s">
        <v>122</v>
      </c>
      <c r="F267" s="94" t="s">
        <v>122</v>
      </c>
      <c r="G267" s="115" t="s">
        <v>122</v>
      </c>
    </row>
    <row r="268" spans="1:7" ht="27" customHeight="1" x14ac:dyDescent="0.25">
      <c r="A268" s="95">
        <v>40078</v>
      </c>
      <c r="B268" s="153">
        <v>3.17</v>
      </c>
      <c r="C268" s="94">
        <v>4450</v>
      </c>
      <c r="D268" s="94" t="s">
        <v>122</v>
      </c>
      <c r="E268" s="94" t="s">
        <v>122</v>
      </c>
      <c r="F268" s="94" t="s">
        <v>122</v>
      </c>
      <c r="G268" s="115" t="s">
        <v>122</v>
      </c>
    </row>
    <row r="269" spans="1:7" ht="27" customHeight="1" x14ac:dyDescent="0.25">
      <c r="A269" s="95">
        <v>40079</v>
      </c>
      <c r="B269" s="153">
        <v>3.08</v>
      </c>
      <c r="C269" s="94">
        <v>4400</v>
      </c>
      <c r="D269" s="94" t="s">
        <v>122</v>
      </c>
      <c r="E269" s="94" t="s">
        <v>122</v>
      </c>
      <c r="F269" s="94" t="s">
        <v>122</v>
      </c>
      <c r="G269" s="115" t="s">
        <v>122</v>
      </c>
    </row>
    <row r="270" spans="1:7" ht="27" customHeight="1" x14ac:dyDescent="0.25">
      <c r="A270" s="95">
        <v>40080</v>
      </c>
      <c r="B270" s="153">
        <v>3.08</v>
      </c>
      <c r="C270" s="94">
        <v>4400</v>
      </c>
      <c r="D270" s="94" t="s">
        <v>122</v>
      </c>
      <c r="E270" s="94" t="s">
        <v>122</v>
      </c>
      <c r="F270" s="94" t="s">
        <v>122</v>
      </c>
      <c r="G270" s="115" t="s">
        <v>122</v>
      </c>
    </row>
    <row r="271" spans="1:7" ht="27" customHeight="1" x14ac:dyDescent="0.25">
      <c r="A271" s="95">
        <v>40081</v>
      </c>
      <c r="B271" s="153">
        <v>3.08</v>
      </c>
      <c r="C271" s="94">
        <v>4400</v>
      </c>
      <c r="D271" s="94" t="s">
        <v>122</v>
      </c>
      <c r="E271" s="94" t="s">
        <v>122</v>
      </c>
      <c r="F271" s="94" t="s">
        <v>122</v>
      </c>
      <c r="G271" s="115" t="s">
        <v>122</v>
      </c>
    </row>
    <row r="272" spans="1:7" ht="27" customHeight="1" x14ac:dyDescent="0.25">
      <c r="A272" s="95">
        <v>40082</v>
      </c>
      <c r="B272" s="153">
        <v>3</v>
      </c>
      <c r="C272" s="94">
        <v>4350</v>
      </c>
      <c r="D272" s="94" t="s">
        <v>122</v>
      </c>
      <c r="E272" s="94" t="s">
        <v>122</v>
      </c>
      <c r="F272" s="94" t="s">
        <v>122</v>
      </c>
      <c r="G272" s="115" t="s">
        <v>122</v>
      </c>
    </row>
    <row r="273" spans="1:7" ht="27" customHeight="1" x14ac:dyDescent="0.25">
      <c r="A273" s="95">
        <v>40083</v>
      </c>
      <c r="B273" s="153">
        <v>3</v>
      </c>
      <c r="C273" s="94">
        <v>4350</v>
      </c>
      <c r="D273" s="94" t="s">
        <v>122</v>
      </c>
      <c r="E273" s="94" t="s">
        <v>122</v>
      </c>
      <c r="F273" s="94" t="s">
        <v>122</v>
      </c>
      <c r="G273" s="115" t="s">
        <v>122</v>
      </c>
    </row>
    <row r="274" spans="1:7" ht="27" customHeight="1" x14ac:dyDescent="0.25">
      <c r="A274" s="95">
        <v>40084</v>
      </c>
      <c r="B274" s="153">
        <v>3</v>
      </c>
      <c r="C274" s="94">
        <v>4350</v>
      </c>
      <c r="D274" s="94" t="s">
        <v>122</v>
      </c>
      <c r="E274" s="94" t="s">
        <v>122</v>
      </c>
      <c r="F274" s="94" t="s">
        <v>122</v>
      </c>
      <c r="G274" s="115" t="s">
        <v>122</v>
      </c>
    </row>
    <row r="275" spans="1:7" ht="27" customHeight="1" x14ac:dyDescent="0.25">
      <c r="A275" s="95">
        <v>40085</v>
      </c>
      <c r="B275" s="153">
        <v>3</v>
      </c>
      <c r="C275" s="94">
        <v>4350</v>
      </c>
      <c r="D275" s="94" t="s">
        <v>122</v>
      </c>
      <c r="E275" s="94" t="s">
        <v>122</v>
      </c>
      <c r="F275" s="94" t="s">
        <v>122</v>
      </c>
      <c r="G275" s="115" t="s">
        <v>122</v>
      </c>
    </row>
    <row r="276" spans="1:7" ht="27" customHeight="1" x14ac:dyDescent="0.25">
      <c r="A276" s="95">
        <v>40086</v>
      </c>
      <c r="B276" s="153">
        <v>2.92</v>
      </c>
      <c r="C276" s="94">
        <v>4300</v>
      </c>
      <c r="D276" s="94" t="s">
        <v>122</v>
      </c>
      <c r="E276" s="94" t="s">
        <v>122</v>
      </c>
      <c r="F276" s="94" t="s">
        <v>122</v>
      </c>
      <c r="G276" s="115" t="s">
        <v>122</v>
      </c>
    </row>
    <row r="277" spans="1:7" ht="27" customHeight="1" x14ac:dyDescent="0.25">
      <c r="A277" s="95">
        <v>40087</v>
      </c>
      <c r="B277" s="153">
        <v>2.92</v>
      </c>
      <c r="C277" s="94">
        <v>4300</v>
      </c>
      <c r="D277" s="94" t="s">
        <v>122</v>
      </c>
      <c r="E277" s="94" t="s">
        <v>122</v>
      </c>
      <c r="F277" s="94" t="s">
        <v>122</v>
      </c>
      <c r="G277" s="115" t="s">
        <v>122</v>
      </c>
    </row>
    <row r="278" spans="1:7" ht="27" customHeight="1" x14ac:dyDescent="0.25">
      <c r="A278" s="95">
        <v>40088</v>
      </c>
      <c r="B278" s="153">
        <v>2.92</v>
      </c>
      <c r="C278" s="94">
        <v>4300</v>
      </c>
      <c r="D278" s="94" t="s">
        <v>122</v>
      </c>
      <c r="E278" s="94" t="s">
        <v>122</v>
      </c>
      <c r="F278" s="94" t="s">
        <v>122</v>
      </c>
      <c r="G278" s="115" t="s">
        <v>122</v>
      </c>
    </row>
    <row r="279" spans="1:7" ht="27" customHeight="1" x14ac:dyDescent="0.25">
      <c r="A279" s="95">
        <v>40089</v>
      </c>
      <c r="B279" s="153">
        <v>2.92</v>
      </c>
      <c r="C279" s="94">
        <v>4300</v>
      </c>
      <c r="D279" s="94" t="s">
        <v>122</v>
      </c>
      <c r="E279" s="94" t="s">
        <v>122</v>
      </c>
      <c r="F279" s="94" t="s">
        <v>122</v>
      </c>
      <c r="G279" s="115" t="s">
        <v>122</v>
      </c>
    </row>
    <row r="280" spans="1:7" ht="27" customHeight="1" x14ac:dyDescent="0.25">
      <c r="A280" s="95">
        <v>40090</v>
      </c>
      <c r="B280" s="153">
        <v>2.83</v>
      </c>
      <c r="C280" s="94">
        <v>4250</v>
      </c>
      <c r="D280" s="94" t="s">
        <v>122</v>
      </c>
      <c r="E280" s="94" t="s">
        <v>122</v>
      </c>
      <c r="F280" s="94" t="s">
        <v>122</v>
      </c>
      <c r="G280" s="115" t="s">
        <v>122</v>
      </c>
    </row>
    <row r="281" spans="1:7" ht="27" customHeight="1" x14ac:dyDescent="0.25">
      <c r="A281" s="95">
        <v>40091</v>
      </c>
      <c r="B281" s="153">
        <v>2.83</v>
      </c>
      <c r="C281" s="94">
        <v>4250</v>
      </c>
      <c r="D281" s="94" t="s">
        <v>122</v>
      </c>
      <c r="E281" s="94" t="s">
        <v>122</v>
      </c>
      <c r="F281" s="94" t="s">
        <v>122</v>
      </c>
      <c r="G281" s="115" t="s">
        <v>122</v>
      </c>
    </row>
    <row r="282" spans="1:7" ht="27" customHeight="1" x14ac:dyDescent="0.25">
      <c r="A282" s="95">
        <v>40092</v>
      </c>
      <c r="B282" s="153">
        <v>2.83</v>
      </c>
      <c r="C282" s="94">
        <v>4250</v>
      </c>
      <c r="D282" s="94" t="s">
        <v>122</v>
      </c>
      <c r="E282" s="94" t="s">
        <v>122</v>
      </c>
      <c r="F282" s="94" t="s">
        <v>122</v>
      </c>
      <c r="G282" s="115" t="s">
        <v>122</v>
      </c>
    </row>
    <row r="283" spans="1:7" ht="27" customHeight="1" x14ac:dyDescent="0.25">
      <c r="A283" s="95">
        <v>40093</v>
      </c>
      <c r="B283" s="153">
        <v>2.83</v>
      </c>
      <c r="C283" s="94">
        <v>4250</v>
      </c>
      <c r="D283" s="94" t="s">
        <v>122</v>
      </c>
      <c r="E283" s="94" t="s">
        <v>122</v>
      </c>
      <c r="F283" s="94" t="s">
        <v>122</v>
      </c>
      <c r="G283" s="115" t="s">
        <v>122</v>
      </c>
    </row>
    <row r="284" spans="1:7" ht="27" customHeight="1" x14ac:dyDescent="0.25">
      <c r="A284" s="95">
        <v>40094</v>
      </c>
      <c r="B284" s="153">
        <v>2.75</v>
      </c>
      <c r="C284" s="94">
        <v>4200</v>
      </c>
      <c r="D284" s="94" t="s">
        <v>122</v>
      </c>
      <c r="E284" s="94" t="s">
        <v>122</v>
      </c>
      <c r="F284" s="94" t="s">
        <v>122</v>
      </c>
      <c r="G284" s="115" t="s">
        <v>122</v>
      </c>
    </row>
    <row r="285" spans="1:7" ht="27" customHeight="1" x14ac:dyDescent="0.25">
      <c r="A285" s="95">
        <v>40095</v>
      </c>
      <c r="B285" s="153">
        <v>2.75</v>
      </c>
      <c r="C285" s="94">
        <v>4200</v>
      </c>
      <c r="D285" s="94" t="s">
        <v>122</v>
      </c>
      <c r="E285" s="94" t="s">
        <v>122</v>
      </c>
      <c r="F285" s="94" t="s">
        <v>122</v>
      </c>
      <c r="G285" s="115" t="s">
        <v>122</v>
      </c>
    </row>
    <row r="286" spans="1:7" ht="27" customHeight="1" x14ac:dyDescent="0.25">
      <c r="A286" s="95">
        <v>40096</v>
      </c>
      <c r="B286" s="153">
        <v>2.75</v>
      </c>
      <c r="C286" s="94">
        <v>4200</v>
      </c>
      <c r="D286" s="94" t="s">
        <v>122</v>
      </c>
      <c r="E286" s="94" t="s">
        <v>122</v>
      </c>
      <c r="F286" s="94" t="s">
        <v>122</v>
      </c>
      <c r="G286" s="115" t="s">
        <v>122</v>
      </c>
    </row>
    <row r="287" spans="1:7" ht="27" customHeight="1" x14ac:dyDescent="0.25">
      <c r="A287" s="95">
        <v>40097</v>
      </c>
      <c r="B287" s="153">
        <v>2.75</v>
      </c>
      <c r="C287" s="94">
        <v>4200</v>
      </c>
      <c r="D287" s="94" t="s">
        <v>122</v>
      </c>
      <c r="E287" s="94" t="s">
        <v>122</v>
      </c>
      <c r="F287" s="94" t="s">
        <v>122</v>
      </c>
      <c r="G287" s="115" t="s">
        <v>122</v>
      </c>
    </row>
    <row r="288" spans="1:7" ht="27" customHeight="1" x14ac:dyDescent="0.25">
      <c r="A288" s="95">
        <v>40098</v>
      </c>
      <c r="B288" s="153">
        <v>2.67</v>
      </c>
      <c r="C288" s="94">
        <v>4150</v>
      </c>
      <c r="D288" s="94" t="s">
        <v>122</v>
      </c>
      <c r="E288" s="94" t="s">
        <v>122</v>
      </c>
      <c r="F288" s="94" t="s">
        <v>122</v>
      </c>
      <c r="G288" s="115" t="s">
        <v>122</v>
      </c>
    </row>
    <row r="289" spans="1:7" ht="27" customHeight="1" x14ac:dyDescent="0.25">
      <c r="A289" s="95">
        <v>40099</v>
      </c>
      <c r="B289" s="153">
        <v>2.67</v>
      </c>
      <c r="C289" s="94">
        <v>4150</v>
      </c>
      <c r="D289" s="94" t="s">
        <v>122</v>
      </c>
      <c r="E289" s="94" t="s">
        <v>122</v>
      </c>
      <c r="F289" s="94" t="s">
        <v>122</v>
      </c>
      <c r="G289" s="115" t="s">
        <v>122</v>
      </c>
    </row>
    <row r="290" spans="1:7" ht="27" customHeight="1" x14ac:dyDescent="0.25">
      <c r="A290" s="95">
        <v>40100</v>
      </c>
      <c r="B290" s="153">
        <v>2.67</v>
      </c>
      <c r="C290" s="94">
        <v>4150</v>
      </c>
      <c r="D290" s="94" t="s">
        <v>122</v>
      </c>
      <c r="E290" s="94" t="s">
        <v>122</v>
      </c>
      <c r="F290" s="94" t="s">
        <v>122</v>
      </c>
      <c r="G290" s="115" t="s">
        <v>122</v>
      </c>
    </row>
    <row r="291" spans="1:7" ht="27" customHeight="1" x14ac:dyDescent="0.25">
      <c r="A291" s="95">
        <v>40101</v>
      </c>
      <c r="B291" s="153">
        <v>2.58</v>
      </c>
      <c r="C291" s="94">
        <v>4100</v>
      </c>
      <c r="D291" s="94" t="s">
        <v>122</v>
      </c>
      <c r="E291" s="94" t="s">
        <v>122</v>
      </c>
      <c r="F291" s="94" t="s">
        <v>122</v>
      </c>
      <c r="G291" s="115" t="s">
        <v>122</v>
      </c>
    </row>
    <row r="292" spans="1:7" ht="27" customHeight="1" x14ac:dyDescent="0.25">
      <c r="A292" s="95">
        <v>40102</v>
      </c>
      <c r="B292" s="153">
        <v>2.58</v>
      </c>
      <c r="C292" s="94">
        <v>4100</v>
      </c>
      <c r="D292" s="94" t="s">
        <v>122</v>
      </c>
      <c r="E292" s="94" t="s">
        <v>122</v>
      </c>
      <c r="F292" s="94" t="s">
        <v>122</v>
      </c>
      <c r="G292" s="115" t="s">
        <v>122</v>
      </c>
    </row>
    <row r="293" spans="1:7" ht="27" customHeight="1" x14ac:dyDescent="0.25">
      <c r="A293" s="95">
        <v>40103</v>
      </c>
      <c r="B293" s="153">
        <v>2.58</v>
      </c>
      <c r="C293" s="94">
        <v>4100</v>
      </c>
      <c r="D293" s="94" t="s">
        <v>122</v>
      </c>
      <c r="E293" s="94" t="s">
        <v>122</v>
      </c>
      <c r="F293" s="94" t="s">
        <v>122</v>
      </c>
      <c r="G293" s="115" t="s">
        <v>122</v>
      </c>
    </row>
    <row r="294" spans="1:7" ht="27" customHeight="1" x14ac:dyDescent="0.25">
      <c r="A294" s="95">
        <v>40104</v>
      </c>
      <c r="B294" s="153">
        <v>2.5</v>
      </c>
      <c r="C294" s="94">
        <v>4000</v>
      </c>
      <c r="D294" s="94" t="s">
        <v>122</v>
      </c>
      <c r="E294" s="94" t="s">
        <v>122</v>
      </c>
      <c r="F294" s="94" t="s">
        <v>122</v>
      </c>
      <c r="G294" s="115" t="s">
        <v>122</v>
      </c>
    </row>
    <row r="295" spans="1:7" ht="27" customHeight="1" x14ac:dyDescent="0.25">
      <c r="A295" s="95">
        <v>40105</v>
      </c>
      <c r="B295" s="153">
        <v>2.5</v>
      </c>
      <c r="C295" s="94">
        <v>4000</v>
      </c>
      <c r="D295" s="94" t="s">
        <v>122</v>
      </c>
      <c r="E295" s="94" t="s">
        <v>122</v>
      </c>
      <c r="F295" s="94" t="s">
        <v>122</v>
      </c>
      <c r="G295" s="115" t="s">
        <v>122</v>
      </c>
    </row>
    <row r="296" spans="1:7" ht="27" customHeight="1" x14ac:dyDescent="0.25">
      <c r="A296" s="95">
        <v>40106</v>
      </c>
      <c r="B296" s="153">
        <v>2.5</v>
      </c>
      <c r="C296" s="94">
        <v>4000</v>
      </c>
      <c r="D296" s="94" t="s">
        <v>122</v>
      </c>
      <c r="E296" s="94" t="s">
        <v>122</v>
      </c>
      <c r="F296" s="94" t="s">
        <v>122</v>
      </c>
      <c r="G296" s="115" t="s">
        <v>122</v>
      </c>
    </row>
    <row r="297" spans="1:7" ht="27" customHeight="1" x14ac:dyDescent="0.25">
      <c r="A297" s="95">
        <v>40107</v>
      </c>
      <c r="B297" s="153">
        <v>2.42</v>
      </c>
      <c r="C297" s="94">
        <v>3900</v>
      </c>
      <c r="D297" s="94" t="s">
        <v>122</v>
      </c>
      <c r="E297" s="94" t="s">
        <v>122</v>
      </c>
      <c r="F297" s="94" t="s">
        <v>122</v>
      </c>
      <c r="G297" s="115" t="s">
        <v>122</v>
      </c>
    </row>
    <row r="298" spans="1:7" ht="27" customHeight="1" x14ac:dyDescent="0.25">
      <c r="A298" s="95">
        <v>40108</v>
      </c>
      <c r="B298" s="153">
        <v>2.42</v>
      </c>
      <c r="C298" s="94">
        <v>3900</v>
      </c>
      <c r="D298" s="94" t="s">
        <v>122</v>
      </c>
      <c r="E298" s="94" t="s">
        <v>122</v>
      </c>
      <c r="F298" s="94" t="s">
        <v>122</v>
      </c>
      <c r="G298" s="115" t="s">
        <v>122</v>
      </c>
    </row>
    <row r="299" spans="1:7" ht="27" customHeight="1" x14ac:dyDescent="0.25">
      <c r="A299" s="95">
        <v>40109</v>
      </c>
      <c r="B299" s="153">
        <v>2.42</v>
      </c>
      <c r="C299" s="94">
        <v>3900</v>
      </c>
      <c r="D299" s="94" t="s">
        <v>122</v>
      </c>
      <c r="E299" s="94" t="s">
        <v>122</v>
      </c>
      <c r="F299" s="94" t="s">
        <v>122</v>
      </c>
      <c r="G299" s="115" t="s">
        <v>122</v>
      </c>
    </row>
    <row r="300" spans="1:7" ht="27" customHeight="1" x14ac:dyDescent="0.25">
      <c r="A300" s="95">
        <v>40110</v>
      </c>
      <c r="B300" s="153">
        <v>2.33</v>
      </c>
      <c r="C300" s="94">
        <v>3800</v>
      </c>
      <c r="D300" s="94" t="s">
        <v>122</v>
      </c>
      <c r="E300" s="94" t="s">
        <v>122</v>
      </c>
      <c r="F300" s="94" t="s">
        <v>122</v>
      </c>
      <c r="G300" s="115" t="s">
        <v>122</v>
      </c>
    </row>
    <row r="301" spans="1:7" ht="27" customHeight="1" x14ac:dyDescent="0.25">
      <c r="A301" s="95">
        <v>40111</v>
      </c>
      <c r="B301" s="153">
        <v>2.33</v>
      </c>
      <c r="C301" s="94">
        <v>3800</v>
      </c>
      <c r="D301" s="94" t="s">
        <v>122</v>
      </c>
      <c r="E301" s="94" t="s">
        <v>122</v>
      </c>
      <c r="F301" s="94" t="s">
        <v>122</v>
      </c>
      <c r="G301" s="115" t="s">
        <v>122</v>
      </c>
    </row>
    <row r="302" spans="1:7" ht="27" customHeight="1" x14ac:dyDescent="0.25">
      <c r="A302" s="95">
        <v>40112</v>
      </c>
      <c r="B302" s="153">
        <v>2.33</v>
      </c>
      <c r="C302" s="94">
        <v>3800</v>
      </c>
      <c r="D302" s="94" t="s">
        <v>122</v>
      </c>
      <c r="E302" s="94" t="s">
        <v>122</v>
      </c>
      <c r="F302" s="94" t="s">
        <v>122</v>
      </c>
      <c r="G302" s="115" t="s">
        <v>122</v>
      </c>
    </row>
    <row r="303" spans="1:7" ht="27" customHeight="1" x14ac:dyDescent="0.25">
      <c r="A303" s="95">
        <v>40113</v>
      </c>
      <c r="B303" s="153">
        <v>2.33</v>
      </c>
      <c r="C303" s="94">
        <v>3800</v>
      </c>
      <c r="D303" s="94" t="s">
        <v>122</v>
      </c>
      <c r="E303" s="94" t="s">
        <v>122</v>
      </c>
      <c r="F303" s="94" t="s">
        <v>122</v>
      </c>
      <c r="G303" s="115" t="s">
        <v>122</v>
      </c>
    </row>
    <row r="304" spans="1:7" ht="27" customHeight="1" x14ac:dyDescent="0.25">
      <c r="A304" s="95">
        <v>40114</v>
      </c>
      <c r="B304" s="153">
        <v>2.25</v>
      </c>
      <c r="C304" s="94">
        <v>3750</v>
      </c>
      <c r="D304" s="94" t="s">
        <v>122</v>
      </c>
      <c r="E304" s="94" t="s">
        <v>122</v>
      </c>
      <c r="F304" s="94" t="s">
        <v>122</v>
      </c>
      <c r="G304" s="115" t="s">
        <v>122</v>
      </c>
    </row>
    <row r="305" spans="1:7" ht="27" customHeight="1" x14ac:dyDescent="0.25">
      <c r="A305" s="95">
        <v>40115</v>
      </c>
      <c r="B305" s="153">
        <v>2.25</v>
      </c>
      <c r="C305" s="94">
        <v>3750</v>
      </c>
      <c r="D305" s="94" t="s">
        <v>122</v>
      </c>
      <c r="E305" s="94" t="s">
        <v>122</v>
      </c>
      <c r="F305" s="94" t="s">
        <v>122</v>
      </c>
      <c r="G305" s="115" t="s">
        <v>122</v>
      </c>
    </row>
    <row r="306" spans="1:7" ht="27" customHeight="1" x14ac:dyDescent="0.25">
      <c r="A306" s="95">
        <v>40116</v>
      </c>
      <c r="B306" s="153">
        <v>2.25</v>
      </c>
      <c r="C306" s="94">
        <v>3750</v>
      </c>
      <c r="D306" s="94" t="s">
        <v>122</v>
      </c>
      <c r="E306" s="94" t="s">
        <v>122</v>
      </c>
      <c r="F306" s="94" t="s">
        <v>122</v>
      </c>
      <c r="G306" s="115" t="s">
        <v>122</v>
      </c>
    </row>
    <row r="307" spans="1:7" ht="27" customHeight="1" x14ac:dyDescent="0.25">
      <c r="A307" s="95">
        <v>40117</v>
      </c>
      <c r="B307" s="153">
        <v>2.25</v>
      </c>
      <c r="C307" s="94">
        <v>3750</v>
      </c>
      <c r="D307" s="94" t="s">
        <v>122</v>
      </c>
      <c r="E307" s="94" t="s">
        <v>122</v>
      </c>
      <c r="F307" s="94" t="s">
        <v>122</v>
      </c>
      <c r="G307" s="115" t="s">
        <v>122</v>
      </c>
    </row>
    <row r="308" spans="1:7" ht="27" customHeight="1" x14ac:dyDescent="0.25">
      <c r="A308" s="95">
        <v>40118</v>
      </c>
      <c r="B308" s="153">
        <v>2.25</v>
      </c>
      <c r="C308" s="94">
        <v>3750</v>
      </c>
      <c r="D308" s="94" t="s">
        <v>122</v>
      </c>
      <c r="E308" s="94" t="s">
        <v>122</v>
      </c>
      <c r="F308" s="94" t="s">
        <v>122</v>
      </c>
      <c r="G308" s="115" t="s">
        <v>122</v>
      </c>
    </row>
    <row r="309" spans="1:7" ht="27" customHeight="1" x14ac:dyDescent="0.25">
      <c r="A309" s="95">
        <v>40119</v>
      </c>
      <c r="B309" s="153">
        <v>2.25</v>
      </c>
      <c r="C309" s="94">
        <v>3750</v>
      </c>
      <c r="D309" s="94" t="s">
        <v>122</v>
      </c>
      <c r="E309" s="94" t="s">
        <v>122</v>
      </c>
      <c r="F309" s="94" t="s">
        <v>122</v>
      </c>
      <c r="G309" s="115" t="s">
        <v>122</v>
      </c>
    </row>
    <row r="310" spans="1:7" ht="27" customHeight="1" x14ac:dyDescent="0.25">
      <c r="A310" s="95">
        <v>40120</v>
      </c>
      <c r="B310" s="153">
        <v>2.25</v>
      </c>
      <c r="C310" s="94">
        <v>3750</v>
      </c>
      <c r="D310" s="94" t="s">
        <v>122</v>
      </c>
      <c r="E310" s="94" t="s">
        <v>122</v>
      </c>
      <c r="F310" s="94" t="s">
        <v>122</v>
      </c>
      <c r="G310" s="115" t="s">
        <v>122</v>
      </c>
    </row>
    <row r="311" spans="1:7" ht="27" customHeight="1" x14ac:dyDescent="0.25">
      <c r="A311" s="95">
        <v>40121</v>
      </c>
      <c r="B311" s="153">
        <v>2.25</v>
      </c>
      <c r="C311" s="94">
        <v>3750</v>
      </c>
      <c r="D311" s="94" t="s">
        <v>122</v>
      </c>
      <c r="E311" s="94" t="s">
        <v>122</v>
      </c>
      <c r="F311" s="94" t="s">
        <v>122</v>
      </c>
      <c r="G311" s="115" t="s">
        <v>122</v>
      </c>
    </row>
    <row r="312" spans="1:7" ht="27" customHeight="1" x14ac:dyDescent="0.25">
      <c r="A312" s="95">
        <v>40122</v>
      </c>
      <c r="B312" s="153">
        <v>2.25</v>
      </c>
      <c r="C312" s="94">
        <v>3750</v>
      </c>
      <c r="D312" s="94" t="s">
        <v>122</v>
      </c>
      <c r="E312" s="94" t="s">
        <v>122</v>
      </c>
      <c r="F312" s="94" t="s">
        <v>122</v>
      </c>
      <c r="G312" s="115" t="s">
        <v>122</v>
      </c>
    </row>
    <row r="313" spans="1:7" ht="27" customHeight="1" x14ac:dyDescent="0.25">
      <c r="A313" s="95">
        <v>40123</v>
      </c>
      <c r="B313" s="153">
        <v>2.25</v>
      </c>
      <c r="C313" s="94">
        <v>3750</v>
      </c>
      <c r="D313" s="94" t="s">
        <v>122</v>
      </c>
      <c r="E313" s="94" t="s">
        <v>122</v>
      </c>
      <c r="F313" s="94" t="s">
        <v>122</v>
      </c>
      <c r="G313" s="115" t="s">
        <v>122</v>
      </c>
    </row>
    <row r="314" spans="1:7" ht="27" customHeight="1" x14ac:dyDescent="0.25">
      <c r="A314" s="95">
        <v>40124</v>
      </c>
      <c r="B314" s="153">
        <v>3.33</v>
      </c>
      <c r="C314" s="94">
        <v>4600</v>
      </c>
      <c r="D314" s="94" t="s">
        <v>122</v>
      </c>
      <c r="E314" s="94" t="s">
        <v>122</v>
      </c>
      <c r="F314" s="94" t="s">
        <v>122</v>
      </c>
      <c r="G314" s="115" t="s">
        <v>122</v>
      </c>
    </row>
    <row r="315" spans="1:7" ht="27" customHeight="1" x14ac:dyDescent="0.25">
      <c r="A315" s="95">
        <v>40125</v>
      </c>
      <c r="B315" s="153">
        <v>4.25</v>
      </c>
      <c r="C315" s="94">
        <v>5300</v>
      </c>
      <c r="D315" s="94" t="s">
        <v>122</v>
      </c>
      <c r="E315" s="94" t="s">
        <v>122</v>
      </c>
      <c r="F315" s="94" t="s">
        <v>122</v>
      </c>
      <c r="G315" s="115" t="s">
        <v>122</v>
      </c>
    </row>
    <row r="316" spans="1:7" ht="27" customHeight="1" x14ac:dyDescent="0.25">
      <c r="A316" s="95">
        <v>40126</v>
      </c>
      <c r="B316" s="153">
        <v>4.5</v>
      </c>
      <c r="C316" s="94">
        <v>5500</v>
      </c>
      <c r="D316" s="94" t="s">
        <v>122</v>
      </c>
      <c r="E316" s="94" t="s">
        <v>122</v>
      </c>
      <c r="F316" s="94" t="s">
        <v>122</v>
      </c>
      <c r="G316" s="115" t="s">
        <v>122</v>
      </c>
    </row>
    <row r="317" spans="1:7" ht="27" customHeight="1" x14ac:dyDescent="0.25">
      <c r="A317" s="95">
        <v>40127</v>
      </c>
      <c r="B317" s="153">
        <v>4.67</v>
      </c>
      <c r="C317" s="94">
        <v>5700</v>
      </c>
      <c r="D317" s="94" t="s">
        <v>122</v>
      </c>
      <c r="E317" s="94" t="s">
        <v>122</v>
      </c>
      <c r="F317" s="94" t="s">
        <v>122</v>
      </c>
      <c r="G317" s="115" t="s">
        <v>122</v>
      </c>
    </row>
    <row r="318" spans="1:7" ht="27" customHeight="1" x14ac:dyDescent="0.25">
      <c r="A318" s="95">
        <v>40128</v>
      </c>
      <c r="B318" s="153">
        <v>4.67</v>
      </c>
      <c r="C318" s="94">
        <v>5700</v>
      </c>
      <c r="D318" s="94" t="s">
        <v>122</v>
      </c>
      <c r="E318" s="94" t="s">
        <v>122</v>
      </c>
      <c r="F318" s="94" t="s">
        <v>122</v>
      </c>
      <c r="G318" s="115" t="s">
        <v>122</v>
      </c>
    </row>
    <row r="319" spans="1:7" ht="27" customHeight="1" x14ac:dyDescent="0.25">
      <c r="A319" s="95">
        <v>40129</v>
      </c>
      <c r="B319" s="153">
        <v>4.67</v>
      </c>
      <c r="C319" s="94">
        <v>5700</v>
      </c>
      <c r="D319" s="94" t="s">
        <v>122</v>
      </c>
      <c r="E319" s="94" t="s">
        <v>122</v>
      </c>
      <c r="F319" s="94" t="s">
        <v>122</v>
      </c>
      <c r="G319" s="115" t="s">
        <v>122</v>
      </c>
    </row>
    <row r="320" spans="1:7" ht="27" customHeight="1" x14ac:dyDescent="0.25">
      <c r="A320" s="95">
        <v>40130</v>
      </c>
      <c r="B320" s="153">
        <v>4.67</v>
      </c>
      <c r="C320" s="94">
        <v>5700</v>
      </c>
      <c r="D320" s="94" t="s">
        <v>122</v>
      </c>
      <c r="E320" s="94" t="s">
        <v>122</v>
      </c>
      <c r="F320" s="94" t="s">
        <v>122</v>
      </c>
      <c r="G320" s="115" t="s">
        <v>122</v>
      </c>
    </row>
    <row r="321" spans="1:7" ht="27" customHeight="1" x14ac:dyDescent="0.25">
      <c r="A321" s="95">
        <v>40131</v>
      </c>
      <c r="B321" s="153">
        <v>5</v>
      </c>
      <c r="C321" s="94">
        <v>6000</v>
      </c>
      <c r="D321" s="94" t="s">
        <v>122</v>
      </c>
      <c r="E321" s="94" t="s">
        <v>122</v>
      </c>
      <c r="F321" s="94" t="s">
        <v>122</v>
      </c>
      <c r="G321" s="115" t="s">
        <v>122</v>
      </c>
    </row>
    <row r="322" spans="1:7" ht="27" customHeight="1" x14ac:dyDescent="0.25">
      <c r="A322" s="95">
        <v>40132</v>
      </c>
      <c r="B322" s="153">
        <v>5.33</v>
      </c>
      <c r="C322" s="94">
        <v>6250</v>
      </c>
      <c r="D322" s="94" t="s">
        <v>122</v>
      </c>
      <c r="E322" s="94" t="s">
        <v>122</v>
      </c>
      <c r="F322" s="94" t="s">
        <v>122</v>
      </c>
      <c r="G322" s="115" t="s">
        <v>122</v>
      </c>
    </row>
    <row r="323" spans="1:7" ht="27" customHeight="1" x14ac:dyDescent="0.25">
      <c r="A323" s="95">
        <v>40133</v>
      </c>
      <c r="B323" s="153">
        <v>5.67</v>
      </c>
      <c r="C323" s="94">
        <v>6500</v>
      </c>
      <c r="D323" s="94" t="s">
        <v>122</v>
      </c>
      <c r="E323" s="94" t="s">
        <v>122</v>
      </c>
      <c r="F323" s="94" t="s">
        <v>122</v>
      </c>
      <c r="G323" s="115" t="s">
        <v>122</v>
      </c>
    </row>
    <row r="324" spans="1:7" ht="27" customHeight="1" x14ac:dyDescent="0.25">
      <c r="A324" s="95">
        <v>40134</v>
      </c>
      <c r="B324" s="153">
        <v>5.67</v>
      </c>
      <c r="C324" s="94">
        <v>6500</v>
      </c>
      <c r="D324" s="94" t="s">
        <v>122</v>
      </c>
      <c r="E324" s="94" t="s">
        <v>122</v>
      </c>
      <c r="F324" s="94" t="s">
        <v>122</v>
      </c>
      <c r="G324" s="115" t="s">
        <v>122</v>
      </c>
    </row>
    <row r="325" spans="1:7" ht="27" customHeight="1" x14ac:dyDescent="0.25">
      <c r="A325" s="95">
        <v>40135</v>
      </c>
      <c r="B325" s="153">
        <v>6.67</v>
      </c>
      <c r="C325" s="94">
        <v>7500</v>
      </c>
      <c r="D325" s="94" t="s">
        <v>122</v>
      </c>
      <c r="E325" s="94" t="s">
        <v>122</v>
      </c>
      <c r="F325" s="94" t="s">
        <v>122</v>
      </c>
      <c r="G325" s="115" t="s">
        <v>122</v>
      </c>
    </row>
    <row r="326" spans="1:7" ht="27" customHeight="1" x14ac:dyDescent="0.25">
      <c r="A326" s="95">
        <v>40136</v>
      </c>
      <c r="B326" s="153">
        <v>7.08</v>
      </c>
      <c r="C326" s="94">
        <v>8000</v>
      </c>
      <c r="D326" s="94" t="s">
        <v>122</v>
      </c>
      <c r="E326" s="94" t="s">
        <v>122</v>
      </c>
      <c r="F326" s="94" t="s">
        <v>122</v>
      </c>
      <c r="G326" s="115" t="s">
        <v>122</v>
      </c>
    </row>
    <row r="327" spans="1:7" ht="27" customHeight="1" x14ac:dyDescent="0.25">
      <c r="A327" s="95">
        <v>40137</v>
      </c>
      <c r="B327" s="153">
        <v>7.5</v>
      </c>
      <c r="C327" s="94">
        <v>8400</v>
      </c>
      <c r="D327" s="94" t="s">
        <v>122</v>
      </c>
      <c r="E327" s="94" t="s">
        <v>122</v>
      </c>
      <c r="F327" s="94" t="s">
        <v>122</v>
      </c>
      <c r="G327" s="115" t="s">
        <v>122</v>
      </c>
    </row>
    <row r="328" spans="1:7" ht="27" customHeight="1" x14ac:dyDescent="0.25">
      <c r="A328" s="95">
        <v>40138</v>
      </c>
      <c r="B328" s="153">
        <v>7.58</v>
      </c>
      <c r="C328" s="94">
        <v>8500</v>
      </c>
      <c r="D328" s="94" t="s">
        <v>122</v>
      </c>
      <c r="E328" s="94" t="s">
        <v>122</v>
      </c>
      <c r="F328" s="94" t="s">
        <v>122</v>
      </c>
      <c r="G328" s="115" t="s">
        <v>122</v>
      </c>
    </row>
    <row r="329" spans="1:7" ht="27" customHeight="1" x14ac:dyDescent="0.25">
      <c r="A329" s="95">
        <v>40139</v>
      </c>
      <c r="B329" s="153">
        <v>7.92</v>
      </c>
      <c r="C329" s="94">
        <v>8900</v>
      </c>
      <c r="D329" s="94" t="s">
        <v>122</v>
      </c>
      <c r="E329" s="94"/>
      <c r="F329" s="94" t="s">
        <v>122</v>
      </c>
      <c r="G329" s="115" t="s">
        <v>122</v>
      </c>
    </row>
    <row r="330" spans="1:7" ht="27" customHeight="1" x14ac:dyDescent="0.25">
      <c r="A330" s="95">
        <v>40140</v>
      </c>
      <c r="B330" s="153">
        <v>8</v>
      </c>
      <c r="C330" s="94">
        <v>9000</v>
      </c>
      <c r="D330" s="94" t="s">
        <v>122</v>
      </c>
      <c r="E330" s="94" t="s">
        <v>122</v>
      </c>
      <c r="F330" s="94" t="s">
        <v>122</v>
      </c>
      <c r="G330" s="115" t="s">
        <v>122</v>
      </c>
    </row>
    <row r="331" spans="1:7" ht="27" customHeight="1" x14ac:dyDescent="0.25">
      <c r="A331" s="95">
        <v>40141</v>
      </c>
      <c r="B331" s="153">
        <v>8.17</v>
      </c>
      <c r="C331" s="94">
        <v>9200</v>
      </c>
      <c r="D331" s="94" t="s">
        <v>122</v>
      </c>
      <c r="E331" s="94" t="s">
        <v>122</v>
      </c>
      <c r="F331" s="94" t="s">
        <v>122</v>
      </c>
      <c r="G331" s="115" t="s">
        <v>122</v>
      </c>
    </row>
    <row r="332" spans="1:7" ht="27" customHeight="1" x14ac:dyDescent="0.25">
      <c r="A332" s="95">
        <v>40142</v>
      </c>
      <c r="B332" s="153">
        <v>9.25</v>
      </c>
      <c r="C332" s="94">
        <v>9300</v>
      </c>
      <c r="D332" s="137">
        <v>12</v>
      </c>
      <c r="E332" s="94">
        <v>45.37</v>
      </c>
      <c r="F332" s="108" t="s">
        <v>1249</v>
      </c>
      <c r="G332" s="115">
        <v>72.12</v>
      </c>
    </row>
    <row r="333" spans="1:7" ht="27" customHeight="1" x14ac:dyDescent="0.25">
      <c r="A333" s="95">
        <v>40143</v>
      </c>
      <c r="B333" s="153">
        <v>8.17</v>
      </c>
      <c r="C333" s="94">
        <v>9200</v>
      </c>
      <c r="D333" s="137">
        <v>6</v>
      </c>
      <c r="E333" s="94">
        <v>23.33</v>
      </c>
      <c r="F333" s="108" t="s">
        <v>1248</v>
      </c>
      <c r="G333" s="115">
        <v>51.4</v>
      </c>
    </row>
    <row r="334" spans="1:7" ht="27" customHeight="1" x14ac:dyDescent="0.25">
      <c r="A334" s="95">
        <v>40144</v>
      </c>
      <c r="B334" s="153">
        <v>8.08</v>
      </c>
      <c r="C334" s="94">
        <v>9100</v>
      </c>
      <c r="D334" s="94" t="s">
        <v>122</v>
      </c>
      <c r="E334" s="94" t="s">
        <v>122</v>
      </c>
      <c r="F334" s="94" t="s">
        <v>122</v>
      </c>
      <c r="G334" s="115" t="s">
        <v>122</v>
      </c>
    </row>
    <row r="335" spans="1:7" ht="27" customHeight="1" x14ac:dyDescent="0.25">
      <c r="A335" s="95">
        <v>40145</v>
      </c>
      <c r="B335" s="153">
        <v>7.75</v>
      </c>
      <c r="C335" s="94">
        <v>8700</v>
      </c>
      <c r="D335" s="137">
        <v>14</v>
      </c>
      <c r="E335" s="94">
        <v>50.43</v>
      </c>
      <c r="F335" s="108" t="s">
        <v>1248</v>
      </c>
      <c r="G335" s="115">
        <v>49.56</v>
      </c>
    </row>
    <row r="336" spans="1:7" ht="27" customHeight="1" x14ac:dyDescent="0.25">
      <c r="A336" s="95">
        <v>40146</v>
      </c>
      <c r="B336" s="153">
        <v>7.67</v>
      </c>
      <c r="C336" s="94">
        <v>8600</v>
      </c>
      <c r="D336" s="137">
        <v>14</v>
      </c>
      <c r="E336" s="94">
        <v>50.11</v>
      </c>
      <c r="F336" s="108" t="s">
        <v>1248</v>
      </c>
      <c r="G336" s="115">
        <v>49.19</v>
      </c>
    </row>
    <row r="337" spans="1:7" ht="27" customHeight="1" x14ac:dyDescent="0.25">
      <c r="A337" s="95">
        <v>40147</v>
      </c>
      <c r="B337" s="153">
        <v>7.5</v>
      </c>
      <c r="C337" s="94">
        <v>8400</v>
      </c>
      <c r="D337" s="137">
        <v>14</v>
      </c>
      <c r="E337" s="94">
        <v>49.46</v>
      </c>
      <c r="F337" s="108" t="s">
        <v>1248</v>
      </c>
      <c r="G337" s="115">
        <v>48.43</v>
      </c>
    </row>
    <row r="338" spans="1:7" ht="27" customHeight="1" x14ac:dyDescent="0.25">
      <c r="A338" s="95">
        <v>40148</v>
      </c>
      <c r="B338" s="153">
        <v>7.42</v>
      </c>
      <c r="C338" s="94">
        <v>8300</v>
      </c>
      <c r="D338" s="94" t="s">
        <v>122</v>
      </c>
      <c r="E338" s="94" t="s">
        <v>122</v>
      </c>
      <c r="F338" s="94" t="s">
        <v>122</v>
      </c>
      <c r="G338" s="115" t="s">
        <v>122</v>
      </c>
    </row>
    <row r="339" spans="1:7" ht="27" customHeight="1" x14ac:dyDescent="0.25">
      <c r="A339" s="95">
        <v>40149</v>
      </c>
      <c r="B339" s="153">
        <v>7.33</v>
      </c>
      <c r="C339" s="94">
        <v>8250</v>
      </c>
      <c r="D339" s="94" t="s">
        <v>122</v>
      </c>
      <c r="E339" s="94" t="s">
        <v>122</v>
      </c>
      <c r="F339" s="94" t="s">
        <v>122</v>
      </c>
      <c r="G339" s="115" t="s">
        <v>122</v>
      </c>
    </row>
    <row r="340" spans="1:7" ht="27" customHeight="1" x14ac:dyDescent="0.25">
      <c r="A340" s="95">
        <v>40150</v>
      </c>
      <c r="B340" s="153">
        <v>7.25</v>
      </c>
      <c r="C340" s="94">
        <v>8200</v>
      </c>
      <c r="D340" s="137">
        <v>14</v>
      </c>
      <c r="E340" s="94">
        <v>48.47</v>
      </c>
      <c r="F340" s="108" t="s">
        <v>1248</v>
      </c>
      <c r="G340" s="115">
        <v>47.27</v>
      </c>
    </row>
    <row r="341" spans="1:7" ht="27" customHeight="1" x14ac:dyDescent="0.25">
      <c r="A341" s="95">
        <v>40151</v>
      </c>
      <c r="B341" s="153">
        <v>7.17</v>
      </c>
      <c r="C341" s="94">
        <v>8100</v>
      </c>
      <c r="D341" s="137">
        <v>12</v>
      </c>
      <c r="E341" s="94">
        <v>41.84</v>
      </c>
      <c r="F341" s="108" t="s">
        <v>1249</v>
      </c>
      <c r="G341" s="115">
        <v>38.29</v>
      </c>
    </row>
    <row r="342" spans="1:7" ht="27" customHeight="1" x14ac:dyDescent="0.25">
      <c r="A342" s="95">
        <v>40152</v>
      </c>
      <c r="B342" s="153">
        <v>7.08</v>
      </c>
      <c r="C342" s="94">
        <v>8000</v>
      </c>
      <c r="D342" s="137"/>
      <c r="E342" s="94"/>
      <c r="F342" s="108" t="s">
        <v>824</v>
      </c>
      <c r="G342" s="115">
        <v>29.07</v>
      </c>
    </row>
    <row r="343" spans="1:7" ht="27" customHeight="1" x14ac:dyDescent="0.25">
      <c r="A343" s="95">
        <v>40153</v>
      </c>
      <c r="B343" s="153">
        <v>7</v>
      </c>
      <c r="C343" s="94">
        <v>7900</v>
      </c>
      <c r="D343" s="94" t="s">
        <v>122</v>
      </c>
      <c r="E343" s="94" t="s">
        <v>122</v>
      </c>
      <c r="F343" s="94" t="s">
        <v>122</v>
      </c>
      <c r="G343" s="115" t="s">
        <v>122</v>
      </c>
    </row>
    <row r="344" spans="1:7" ht="27" customHeight="1" x14ac:dyDescent="0.25">
      <c r="A344" s="95">
        <v>40154</v>
      </c>
      <c r="B344" s="153">
        <v>7</v>
      </c>
      <c r="C344" s="94">
        <v>7900</v>
      </c>
      <c r="D344" s="94" t="s">
        <v>122</v>
      </c>
      <c r="E344" s="94" t="s">
        <v>122</v>
      </c>
      <c r="F344" s="94" t="s">
        <v>122</v>
      </c>
      <c r="G344" s="115" t="s">
        <v>122</v>
      </c>
    </row>
    <row r="345" spans="1:7" ht="27" customHeight="1" x14ac:dyDescent="0.25">
      <c r="A345" s="95">
        <v>40155</v>
      </c>
      <c r="B345" s="153">
        <v>7.08</v>
      </c>
      <c r="C345" s="94">
        <v>8000</v>
      </c>
      <c r="D345" s="94" t="s">
        <v>122</v>
      </c>
      <c r="E345" s="94" t="s">
        <v>122</v>
      </c>
      <c r="F345" s="94" t="s">
        <v>122</v>
      </c>
      <c r="G345" s="115" t="s">
        <v>122</v>
      </c>
    </row>
    <row r="346" spans="1:7" ht="27" customHeight="1" x14ac:dyDescent="0.25">
      <c r="A346" s="95">
        <v>40156</v>
      </c>
      <c r="B346" s="153">
        <v>7.17</v>
      </c>
      <c r="C346" s="94">
        <v>8100</v>
      </c>
      <c r="D346" s="94" t="s">
        <v>122</v>
      </c>
      <c r="E346" s="94" t="s">
        <v>122</v>
      </c>
      <c r="F346" s="94" t="s">
        <v>122</v>
      </c>
      <c r="G346" s="115" t="s">
        <v>122</v>
      </c>
    </row>
    <row r="347" spans="1:7" ht="27" customHeight="1" x14ac:dyDescent="0.25">
      <c r="A347" s="95">
        <v>40157</v>
      </c>
      <c r="B347" s="153">
        <v>7.25</v>
      </c>
      <c r="C347" s="94">
        <v>8200</v>
      </c>
      <c r="D347" s="94" t="s">
        <v>122</v>
      </c>
      <c r="E347" s="94" t="s">
        <v>122</v>
      </c>
      <c r="F347" s="94" t="s">
        <v>122</v>
      </c>
      <c r="G347" s="115" t="s">
        <v>122</v>
      </c>
    </row>
    <row r="348" spans="1:7" ht="27" customHeight="1" x14ac:dyDescent="0.25">
      <c r="A348" s="95">
        <v>40158</v>
      </c>
      <c r="B348" s="153">
        <v>7.33</v>
      </c>
      <c r="C348" s="94">
        <v>8250</v>
      </c>
      <c r="D348" s="94" t="s">
        <v>122</v>
      </c>
      <c r="E348" s="94" t="s">
        <v>122</v>
      </c>
      <c r="F348" s="94" t="s">
        <v>122</v>
      </c>
      <c r="G348" s="115" t="s">
        <v>122</v>
      </c>
    </row>
    <row r="349" spans="1:7" ht="27" customHeight="1" x14ac:dyDescent="0.25">
      <c r="A349" s="95">
        <v>40159</v>
      </c>
      <c r="B349" s="153">
        <v>7.5</v>
      </c>
      <c r="C349" s="94">
        <v>8400</v>
      </c>
      <c r="D349" s="94" t="s">
        <v>122</v>
      </c>
      <c r="E349" s="94" t="s">
        <v>122</v>
      </c>
      <c r="F349" s="94" t="s">
        <v>122</v>
      </c>
      <c r="G349" s="115" t="s">
        <v>122</v>
      </c>
    </row>
    <row r="350" spans="1:7" ht="27" customHeight="1" x14ac:dyDescent="0.25">
      <c r="A350" s="95">
        <v>40160</v>
      </c>
      <c r="B350" s="153">
        <v>7.83</v>
      </c>
      <c r="C350" s="94">
        <v>8800</v>
      </c>
      <c r="D350" s="94" t="s">
        <v>122</v>
      </c>
      <c r="E350" s="94" t="s">
        <v>122</v>
      </c>
      <c r="F350" s="94" t="s">
        <v>122</v>
      </c>
      <c r="G350" s="115" t="s">
        <v>122</v>
      </c>
    </row>
    <row r="351" spans="1:7" ht="27" customHeight="1" x14ac:dyDescent="0.25">
      <c r="A351" s="95">
        <v>40161</v>
      </c>
      <c r="B351" s="153">
        <v>8.17</v>
      </c>
      <c r="C351" s="94">
        <v>9200</v>
      </c>
      <c r="D351" s="94" t="s">
        <v>122</v>
      </c>
      <c r="E351" s="94" t="s">
        <v>122</v>
      </c>
      <c r="F351" s="94" t="s">
        <v>122</v>
      </c>
      <c r="G351" s="115" t="s">
        <v>122</v>
      </c>
    </row>
    <row r="352" spans="1:7" ht="27" customHeight="1" x14ac:dyDescent="0.25">
      <c r="A352" s="95">
        <v>40162</v>
      </c>
      <c r="B352" s="153">
        <v>8.42</v>
      </c>
      <c r="C352" s="94">
        <v>9500</v>
      </c>
      <c r="D352" s="94" t="s">
        <v>122</v>
      </c>
      <c r="E352" s="94" t="s">
        <v>122</v>
      </c>
      <c r="F352" s="94" t="s">
        <v>122</v>
      </c>
      <c r="G352" s="115" t="s">
        <v>122</v>
      </c>
    </row>
    <row r="353" spans="1:7" ht="27" customHeight="1" x14ac:dyDescent="0.25">
      <c r="A353" s="95">
        <v>40163</v>
      </c>
      <c r="B353" s="153">
        <v>8.58</v>
      </c>
      <c r="C353" s="94">
        <v>9700</v>
      </c>
      <c r="D353" s="94" t="s">
        <v>122</v>
      </c>
      <c r="E353" s="94" t="s">
        <v>122</v>
      </c>
      <c r="F353" s="94" t="s">
        <v>122</v>
      </c>
      <c r="G353" s="115" t="s">
        <v>122</v>
      </c>
    </row>
    <row r="354" spans="1:7" ht="27" customHeight="1" x14ac:dyDescent="0.25">
      <c r="A354" s="95">
        <v>40164</v>
      </c>
      <c r="B354" s="153">
        <v>8.67</v>
      </c>
      <c r="C354" s="94">
        <v>9800</v>
      </c>
      <c r="D354" s="94" t="s">
        <v>122</v>
      </c>
      <c r="E354" s="94" t="s">
        <v>122</v>
      </c>
      <c r="F354" s="94" t="s">
        <v>122</v>
      </c>
      <c r="G354" s="115" t="s">
        <v>122</v>
      </c>
    </row>
    <row r="355" spans="1:7" ht="27" customHeight="1" x14ac:dyDescent="0.25">
      <c r="A355" s="95">
        <v>40165</v>
      </c>
      <c r="B355" s="153">
        <v>8.75</v>
      </c>
      <c r="C355" s="94">
        <v>9900</v>
      </c>
      <c r="D355" s="94" t="s">
        <v>122</v>
      </c>
      <c r="E355" s="94" t="s">
        <v>122</v>
      </c>
      <c r="F355" s="94" t="s">
        <v>122</v>
      </c>
      <c r="G355" s="115" t="s">
        <v>122</v>
      </c>
    </row>
    <row r="356" spans="1:7" ht="27" customHeight="1" x14ac:dyDescent="0.25">
      <c r="A356" s="95">
        <v>40166</v>
      </c>
      <c r="B356" s="153">
        <v>8.75</v>
      </c>
      <c r="C356" s="94">
        <v>9900</v>
      </c>
      <c r="D356" s="94" t="s">
        <v>122</v>
      </c>
      <c r="E356" s="94" t="s">
        <v>122</v>
      </c>
      <c r="F356" s="94" t="s">
        <v>122</v>
      </c>
      <c r="G356" s="115" t="s">
        <v>122</v>
      </c>
    </row>
    <row r="357" spans="1:7" ht="27" customHeight="1" x14ac:dyDescent="0.25">
      <c r="A357" s="95">
        <v>40167</v>
      </c>
      <c r="B357" s="153">
        <v>8.67</v>
      </c>
      <c r="C357" s="94">
        <v>9800</v>
      </c>
      <c r="D357" s="94" t="s">
        <v>122</v>
      </c>
      <c r="E357" s="94" t="s">
        <v>122</v>
      </c>
      <c r="F357" s="94" t="s">
        <v>122</v>
      </c>
      <c r="G357" s="115" t="s">
        <v>122</v>
      </c>
    </row>
    <row r="358" spans="1:7" ht="27" customHeight="1" x14ac:dyDescent="0.25">
      <c r="A358" s="95">
        <v>40168</v>
      </c>
      <c r="B358" s="153">
        <v>8.58</v>
      </c>
      <c r="C358" s="94">
        <v>9700</v>
      </c>
      <c r="D358" s="94" t="s">
        <v>122</v>
      </c>
      <c r="E358" s="94" t="s">
        <v>122</v>
      </c>
      <c r="F358" s="94" t="s">
        <v>122</v>
      </c>
      <c r="G358" s="115" t="s">
        <v>122</v>
      </c>
    </row>
    <row r="359" spans="1:7" ht="27" customHeight="1" x14ac:dyDescent="0.25">
      <c r="A359" s="95">
        <v>40169</v>
      </c>
      <c r="B359" s="153">
        <v>9</v>
      </c>
      <c r="C359" s="94">
        <v>10200</v>
      </c>
      <c r="D359" s="94" t="s">
        <v>122</v>
      </c>
      <c r="E359" s="94" t="s">
        <v>122</v>
      </c>
      <c r="F359" s="94" t="s">
        <v>122</v>
      </c>
      <c r="G359" s="115" t="s">
        <v>122</v>
      </c>
    </row>
    <row r="360" spans="1:7" ht="27" customHeight="1" x14ac:dyDescent="0.25">
      <c r="A360" s="95">
        <v>40170</v>
      </c>
      <c r="B360" s="153">
        <v>9.75</v>
      </c>
      <c r="C360" s="94">
        <v>11300</v>
      </c>
      <c r="D360" s="94" t="s">
        <v>122</v>
      </c>
      <c r="E360" s="94" t="s">
        <v>122</v>
      </c>
      <c r="F360" s="94" t="s">
        <v>122</v>
      </c>
      <c r="G360" s="115" t="s">
        <v>122</v>
      </c>
    </row>
    <row r="361" spans="1:7" ht="27" customHeight="1" x14ac:dyDescent="0.25">
      <c r="A361" s="95">
        <v>40171</v>
      </c>
      <c r="B361" s="153">
        <v>10.5</v>
      </c>
      <c r="C361" s="94">
        <v>12500</v>
      </c>
      <c r="D361" s="94" t="s">
        <v>122</v>
      </c>
      <c r="E361" s="94" t="s">
        <v>122</v>
      </c>
      <c r="F361" s="94" t="s">
        <v>122</v>
      </c>
      <c r="G361" s="115" t="s">
        <v>122</v>
      </c>
    </row>
    <row r="362" spans="1:7" ht="27" customHeight="1" x14ac:dyDescent="0.25">
      <c r="A362" s="95">
        <v>40172</v>
      </c>
      <c r="B362" s="153">
        <v>11.25</v>
      </c>
      <c r="C362" s="94">
        <v>13800</v>
      </c>
      <c r="D362" s="94" t="s">
        <v>122</v>
      </c>
      <c r="E362" s="94" t="s">
        <v>122</v>
      </c>
      <c r="F362" s="94" t="s">
        <v>122</v>
      </c>
      <c r="G362" s="115" t="s">
        <v>122</v>
      </c>
    </row>
    <row r="363" spans="1:7" ht="27" customHeight="1" x14ac:dyDescent="0.25">
      <c r="A363" s="95">
        <v>40173</v>
      </c>
      <c r="B363" s="153">
        <v>12</v>
      </c>
      <c r="C363" s="94">
        <v>15400</v>
      </c>
      <c r="D363" s="94" t="s">
        <v>122</v>
      </c>
      <c r="E363" s="94" t="s">
        <v>122</v>
      </c>
      <c r="F363" s="94" t="s">
        <v>122</v>
      </c>
      <c r="G363" s="115" t="s">
        <v>122</v>
      </c>
    </row>
    <row r="364" spans="1:7" ht="27" customHeight="1" x14ac:dyDescent="0.25">
      <c r="A364" s="95">
        <v>40174</v>
      </c>
      <c r="B364" s="153">
        <v>12.5</v>
      </c>
      <c r="C364" s="94">
        <v>16400</v>
      </c>
      <c r="D364" s="94" t="s">
        <v>122</v>
      </c>
      <c r="E364" s="94" t="s">
        <v>122</v>
      </c>
      <c r="F364" s="94" t="s">
        <v>122</v>
      </c>
      <c r="G364" s="115" t="s">
        <v>122</v>
      </c>
    </row>
    <row r="365" spans="1:7" ht="27" customHeight="1" x14ac:dyDescent="0.25">
      <c r="A365" s="95">
        <v>40175</v>
      </c>
      <c r="B365" s="153">
        <v>13</v>
      </c>
      <c r="C365" s="94">
        <v>17000</v>
      </c>
      <c r="D365" s="94" t="s">
        <v>122</v>
      </c>
      <c r="E365" s="94" t="s">
        <v>122</v>
      </c>
      <c r="F365" s="94" t="s">
        <v>122</v>
      </c>
      <c r="G365" s="115" t="s">
        <v>122</v>
      </c>
    </row>
    <row r="366" spans="1:7" ht="27" customHeight="1" x14ac:dyDescent="0.25">
      <c r="A366" s="95">
        <v>40176</v>
      </c>
      <c r="B366" s="153">
        <v>13.42</v>
      </c>
      <c r="C366" s="94">
        <v>17800</v>
      </c>
      <c r="D366" s="94" t="s">
        <v>122</v>
      </c>
      <c r="E366" s="94" t="s">
        <v>122</v>
      </c>
      <c r="F366" s="94" t="s">
        <v>122</v>
      </c>
      <c r="G366" s="115" t="s">
        <v>122</v>
      </c>
    </row>
    <row r="367" spans="1:7" ht="27" customHeight="1" x14ac:dyDescent="0.25">
      <c r="A367" s="95">
        <v>40177</v>
      </c>
      <c r="B367" s="153">
        <v>13.5</v>
      </c>
      <c r="C367" s="94">
        <v>18000</v>
      </c>
      <c r="D367" s="94" t="s">
        <v>122</v>
      </c>
      <c r="E367" s="94" t="s">
        <v>122</v>
      </c>
      <c r="F367" s="94" t="s">
        <v>122</v>
      </c>
      <c r="G367" s="115" t="s">
        <v>122</v>
      </c>
    </row>
    <row r="368" spans="1:7" ht="27" customHeight="1" thickBot="1" x14ac:dyDescent="0.3">
      <c r="A368" s="97">
        <v>40178</v>
      </c>
      <c r="B368" s="215">
        <v>13.58</v>
      </c>
      <c r="C368" s="117">
        <v>18250</v>
      </c>
      <c r="D368" s="117" t="s">
        <v>122</v>
      </c>
      <c r="E368" s="117" t="s">
        <v>122</v>
      </c>
      <c r="F368" s="117" t="s">
        <v>122</v>
      </c>
      <c r="G368" s="118" t="s">
        <v>122</v>
      </c>
    </row>
    <row r="369" spans="1:7" x14ac:dyDescent="0.25">
      <c r="A369" s="409" t="s">
        <v>1759</v>
      </c>
      <c r="B369" s="410"/>
      <c r="C369" s="410"/>
      <c r="D369" s="410"/>
      <c r="E369" s="410"/>
      <c r="F369" s="410"/>
      <c r="G369" s="410"/>
    </row>
  </sheetData>
  <mergeCells count="6">
    <mergeCell ref="A369:G369"/>
    <mergeCell ref="A1:G1"/>
    <mergeCell ref="A2:A3"/>
    <mergeCell ref="C2:C3"/>
    <mergeCell ref="B2:B3"/>
    <mergeCell ref="D2:G2"/>
  </mergeCells>
  <printOptions horizontalCentered="1"/>
  <pageMargins left="1" right="0.75" top="0.75" bottom="0.2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84"/>
  <sheetViews>
    <sheetView workbookViewId="0">
      <selection activeCell="G7" sqref="G7"/>
    </sheetView>
  </sheetViews>
  <sheetFormatPr defaultColWidth="7.140625" defaultRowHeight="15" x14ac:dyDescent="0.25"/>
  <cols>
    <col min="1" max="1" width="11.28515625" style="27" customWidth="1"/>
    <col min="2" max="2" width="8.5703125" style="27" customWidth="1"/>
    <col min="3" max="3" width="9.85546875" style="27" customWidth="1"/>
    <col min="4" max="4" width="9.42578125" style="14" customWidth="1"/>
    <col min="5" max="5" width="7.7109375" style="14" customWidth="1"/>
    <col min="6" max="6" width="8.42578125" style="14" customWidth="1"/>
    <col min="7" max="7" width="6.28515625" style="14" customWidth="1"/>
    <col min="8" max="8" width="8.42578125" style="14" customWidth="1"/>
    <col min="9" max="16384" width="7.140625" style="14"/>
  </cols>
  <sheetData>
    <row r="1" spans="1:8" ht="32.25" customHeight="1" thickBot="1" x14ac:dyDescent="0.3">
      <c r="A1" s="446" t="s">
        <v>2700</v>
      </c>
      <c r="B1" s="446"/>
      <c r="C1" s="446"/>
      <c r="D1" s="446"/>
      <c r="E1" s="446"/>
      <c r="F1" s="446"/>
      <c r="G1" s="446"/>
      <c r="H1" s="446"/>
    </row>
    <row r="2" spans="1:8" ht="21.75" customHeight="1" x14ac:dyDescent="0.25">
      <c r="A2" s="425" t="s">
        <v>0</v>
      </c>
      <c r="B2" s="423" t="s">
        <v>2684</v>
      </c>
      <c r="C2" s="449" t="s">
        <v>2689</v>
      </c>
      <c r="D2" s="451" t="s">
        <v>2698</v>
      </c>
      <c r="E2" s="452"/>
      <c r="F2" s="452"/>
      <c r="G2" s="452"/>
      <c r="H2" s="447" t="s">
        <v>2699</v>
      </c>
    </row>
    <row r="3" spans="1:8" ht="48.75" customHeight="1" thickBot="1" x14ac:dyDescent="0.3">
      <c r="A3" s="426"/>
      <c r="B3" s="424"/>
      <c r="C3" s="450"/>
      <c r="D3" s="181" t="s">
        <v>2687</v>
      </c>
      <c r="E3" s="184" t="s">
        <v>735</v>
      </c>
      <c r="F3" s="181" t="s">
        <v>2688</v>
      </c>
      <c r="G3" s="183" t="s">
        <v>735</v>
      </c>
      <c r="H3" s="448"/>
    </row>
    <row r="4" spans="1:8" ht="27" customHeight="1" x14ac:dyDescent="0.25">
      <c r="A4" s="132">
        <v>40179</v>
      </c>
      <c r="B4" s="113">
        <v>13.58</v>
      </c>
      <c r="C4" s="113">
        <v>18250</v>
      </c>
      <c r="D4" s="113" t="s">
        <v>122</v>
      </c>
      <c r="E4" s="113" t="s">
        <v>122</v>
      </c>
      <c r="F4" s="113" t="s">
        <v>122</v>
      </c>
      <c r="G4" s="113" t="s">
        <v>122</v>
      </c>
      <c r="H4" s="114" t="s">
        <v>122</v>
      </c>
    </row>
    <row r="5" spans="1:8" ht="27" customHeight="1" x14ac:dyDescent="0.3">
      <c r="A5" s="133">
        <v>40180</v>
      </c>
      <c r="B5" s="94">
        <v>13.67</v>
      </c>
      <c r="C5" s="94">
        <v>18600</v>
      </c>
      <c r="D5" s="137">
        <v>12</v>
      </c>
      <c r="E5" s="94">
        <v>59.97</v>
      </c>
      <c r="F5" s="137">
        <v>15</v>
      </c>
      <c r="G5" s="94">
        <v>71.3</v>
      </c>
      <c r="H5" s="115" t="s">
        <v>122</v>
      </c>
    </row>
    <row r="6" spans="1:8" ht="27" customHeight="1" x14ac:dyDescent="0.3">
      <c r="A6" s="133">
        <v>40181</v>
      </c>
      <c r="B6" s="94">
        <v>13.67</v>
      </c>
      <c r="C6" s="94">
        <v>18600</v>
      </c>
      <c r="D6" s="137">
        <v>12</v>
      </c>
      <c r="E6" s="94">
        <v>59.97</v>
      </c>
      <c r="F6" s="137">
        <v>15</v>
      </c>
      <c r="G6" s="94">
        <v>71.3</v>
      </c>
      <c r="H6" s="136" t="s">
        <v>122</v>
      </c>
    </row>
    <row r="7" spans="1:8" ht="27" customHeight="1" x14ac:dyDescent="0.3">
      <c r="A7" s="133">
        <v>40182</v>
      </c>
      <c r="B7" s="94">
        <v>13.67</v>
      </c>
      <c r="C7" s="94">
        <v>18600</v>
      </c>
      <c r="D7" s="137">
        <v>12</v>
      </c>
      <c r="E7" s="94">
        <v>59.97</v>
      </c>
      <c r="F7" s="137">
        <v>15</v>
      </c>
      <c r="G7" s="94">
        <v>71.3</v>
      </c>
      <c r="H7" s="136" t="s">
        <v>122</v>
      </c>
    </row>
    <row r="8" spans="1:8" ht="27" customHeight="1" x14ac:dyDescent="0.3">
      <c r="A8" s="133">
        <v>40183</v>
      </c>
      <c r="B8" s="94">
        <v>13.67</v>
      </c>
      <c r="C8" s="94">
        <v>18600</v>
      </c>
      <c r="D8" s="137">
        <v>12</v>
      </c>
      <c r="E8" s="94">
        <v>59.97</v>
      </c>
      <c r="F8" s="137">
        <v>15</v>
      </c>
      <c r="G8" s="94">
        <v>71.3</v>
      </c>
      <c r="H8" s="136" t="s">
        <v>122</v>
      </c>
    </row>
    <row r="9" spans="1:8" ht="27" customHeight="1" x14ac:dyDescent="0.3">
      <c r="A9" s="133">
        <v>40184</v>
      </c>
      <c r="B9" s="94">
        <v>13.67</v>
      </c>
      <c r="C9" s="94">
        <v>18600</v>
      </c>
      <c r="D9" s="137">
        <v>14</v>
      </c>
      <c r="E9" s="94">
        <v>69.510000000000005</v>
      </c>
      <c r="F9" s="137">
        <v>15</v>
      </c>
      <c r="G9" s="94">
        <v>71.3</v>
      </c>
      <c r="H9" s="136" t="s">
        <v>122</v>
      </c>
    </row>
    <row r="10" spans="1:8" ht="27" customHeight="1" x14ac:dyDescent="0.3">
      <c r="A10" s="133">
        <v>40185</v>
      </c>
      <c r="B10" s="94">
        <v>13.58</v>
      </c>
      <c r="C10" s="94">
        <v>18250</v>
      </c>
      <c r="D10" s="137">
        <v>12</v>
      </c>
      <c r="E10" s="94">
        <v>59.78</v>
      </c>
      <c r="F10" s="137">
        <v>16</v>
      </c>
      <c r="G10" s="94">
        <v>75.38</v>
      </c>
      <c r="H10" s="136" t="s">
        <v>122</v>
      </c>
    </row>
    <row r="11" spans="1:8" ht="27" customHeight="1" x14ac:dyDescent="0.3">
      <c r="A11" s="133">
        <v>40186</v>
      </c>
      <c r="B11" s="94">
        <v>13.42</v>
      </c>
      <c r="C11" s="94">
        <v>17800</v>
      </c>
      <c r="D11" s="137">
        <v>12</v>
      </c>
      <c r="E11" s="94">
        <v>59.38</v>
      </c>
      <c r="F11" s="137">
        <v>16</v>
      </c>
      <c r="G11" s="94">
        <v>74.790000000000006</v>
      </c>
      <c r="H11" s="136" t="s">
        <v>122</v>
      </c>
    </row>
    <row r="12" spans="1:8" ht="27" customHeight="1" x14ac:dyDescent="0.3">
      <c r="A12" s="133">
        <v>40187</v>
      </c>
      <c r="B12" s="94">
        <v>13.33</v>
      </c>
      <c r="C12" s="94">
        <v>17600</v>
      </c>
      <c r="D12" s="137">
        <v>9</v>
      </c>
      <c r="E12" s="94">
        <v>44.83</v>
      </c>
      <c r="F12" s="137">
        <v>12</v>
      </c>
      <c r="G12" s="94">
        <v>56.73</v>
      </c>
      <c r="H12" s="136" t="s">
        <v>122</v>
      </c>
    </row>
    <row r="13" spans="1:8" ht="27" customHeight="1" x14ac:dyDescent="0.3">
      <c r="A13" s="133">
        <v>40188</v>
      </c>
      <c r="B13" s="94">
        <v>13.25</v>
      </c>
      <c r="C13" s="94">
        <v>17500</v>
      </c>
      <c r="D13" s="137">
        <v>9</v>
      </c>
      <c r="E13" s="94">
        <v>44.68</v>
      </c>
      <c r="F13" s="137">
        <v>9</v>
      </c>
      <c r="G13" s="94">
        <v>42.78</v>
      </c>
      <c r="H13" s="136" t="s">
        <v>122</v>
      </c>
    </row>
    <row r="14" spans="1:8" ht="27" customHeight="1" x14ac:dyDescent="0.3">
      <c r="A14" s="133">
        <v>40189</v>
      </c>
      <c r="B14" s="94">
        <v>13.42</v>
      </c>
      <c r="C14" s="94">
        <v>17800</v>
      </c>
      <c r="D14" s="137"/>
      <c r="E14" s="94"/>
      <c r="F14" s="137">
        <v>9</v>
      </c>
      <c r="G14" s="94">
        <v>43.25</v>
      </c>
      <c r="H14" s="136" t="s">
        <v>122</v>
      </c>
    </row>
    <row r="15" spans="1:8" ht="27" customHeight="1" x14ac:dyDescent="0.25">
      <c r="A15" s="133">
        <v>40190</v>
      </c>
      <c r="B15" s="94">
        <v>13.5</v>
      </c>
      <c r="C15" s="94">
        <v>18000</v>
      </c>
      <c r="D15" s="93" t="s">
        <v>122</v>
      </c>
      <c r="E15" s="93" t="s">
        <v>122</v>
      </c>
      <c r="F15" s="93" t="s">
        <v>122</v>
      </c>
      <c r="G15" s="93" t="s">
        <v>122</v>
      </c>
      <c r="H15" s="136" t="s">
        <v>122</v>
      </c>
    </row>
    <row r="16" spans="1:8" ht="27" customHeight="1" x14ac:dyDescent="0.25">
      <c r="A16" s="133">
        <v>40191</v>
      </c>
      <c r="B16" s="94">
        <v>13.58</v>
      </c>
      <c r="C16" s="94">
        <v>18250</v>
      </c>
      <c r="D16" s="93" t="s">
        <v>122</v>
      </c>
      <c r="E16" s="93" t="s">
        <v>122</v>
      </c>
      <c r="F16" s="93" t="s">
        <v>122</v>
      </c>
      <c r="G16" s="93" t="s">
        <v>122</v>
      </c>
      <c r="H16" s="136" t="s">
        <v>122</v>
      </c>
    </row>
    <row r="17" spans="1:8" ht="27" customHeight="1" x14ac:dyDescent="0.25">
      <c r="A17" s="133">
        <v>40192</v>
      </c>
      <c r="B17" s="94">
        <v>13.58</v>
      </c>
      <c r="C17" s="94">
        <v>18250</v>
      </c>
      <c r="D17" s="93" t="s">
        <v>122</v>
      </c>
      <c r="E17" s="93" t="s">
        <v>122</v>
      </c>
      <c r="F17" s="93" t="s">
        <v>122</v>
      </c>
      <c r="G17" s="93" t="s">
        <v>122</v>
      </c>
      <c r="H17" s="136" t="s">
        <v>122</v>
      </c>
    </row>
    <row r="18" spans="1:8" ht="27" customHeight="1" x14ac:dyDescent="0.25">
      <c r="A18" s="133">
        <v>40193</v>
      </c>
      <c r="B18" s="94">
        <v>13.58</v>
      </c>
      <c r="C18" s="94">
        <v>18250</v>
      </c>
      <c r="D18" s="93" t="s">
        <v>122</v>
      </c>
      <c r="E18" s="93" t="s">
        <v>122</v>
      </c>
      <c r="F18" s="93" t="s">
        <v>122</v>
      </c>
      <c r="G18" s="93" t="s">
        <v>122</v>
      </c>
      <c r="H18" s="136" t="s">
        <v>122</v>
      </c>
    </row>
    <row r="19" spans="1:8" ht="27" customHeight="1" x14ac:dyDescent="0.25">
      <c r="A19" s="133">
        <v>40194</v>
      </c>
      <c r="B19" s="94">
        <v>13.58</v>
      </c>
      <c r="C19" s="94">
        <v>18250</v>
      </c>
      <c r="D19" s="93" t="s">
        <v>122</v>
      </c>
      <c r="E19" s="93" t="s">
        <v>122</v>
      </c>
      <c r="F19" s="93" t="s">
        <v>122</v>
      </c>
      <c r="G19" s="93" t="s">
        <v>122</v>
      </c>
      <c r="H19" s="136" t="s">
        <v>122</v>
      </c>
    </row>
    <row r="20" spans="1:8" ht="27" customHeight="1" x14ac:dyDescent="0.25">
      <c r="A20" s="133">
        <v>40195</v>
      </c>
      <c r="B20" s="94">
        <v>13.67</v>
      </c>
      <c r="C20" s="94">
        <v>18600</v>
      </c>
      <c r="D20" s="93" t="s">
        <v>122</v>
      </c>
      <c r="E20" s="93" t="s">
        <v>122</v>
      </c>
      <c r="F20" s="93" t="s">
        <v>122</v>
      </c>
      <c r="G20" s="93" t="s">
        <v>122</v>
      </c>
      <c r="H20" s="136" t="s">
        <v>122</v>
      </c>
    </row>
    <row r="21" spans="1:8" ht="27" customHeight="1" x14ac:dyDescent="0.25">
      <c r="A21" s="133">
        <v>40196</v>
      </c>
      <c r="B21" s="94">
        <v>13.75</v>
      </c>
      <c r="C21" s="94">
        <v>19000</v>
      </c>
      <c r="D21" s="93" t="s">
        <v>122</v>
      </c>
      <c r="E21" s="93" t="s">
        <v>122</v>
      </c>
      <c r="F21" s="93" t="s">
        <v>122</v>
      </c>
      <c r="G21" s="93" t="s">
        <v>122</v>
      </c>
      <c r="H21" s="136" t="s">
        <v>122</v>
      </c>
    </row>
    <row r="22" spans="1:8" ht="27" customHeight="1" x14ac:dyDescent="0.25">
      <c r="A22" s="133">
        <v>40197</v>
      </c>
      <c r="B22" s="94">
        <v>13.75</v>
      </c>
      <c r="C22" s="94">
        <v>19000</v>
      </c>
      <c r="D22" s="93" t="s">
        <v>122</v>
      </c>
      <c r="E22" s="93" t="s">
        <v>122</v>
      </c>
      <c r="F22" s="93" t="s">
        <v>122</v>
      </c>
      <c r="G22" s="93" t="s">
        <v>122</v>
      </c>
      <c r="H22" s="136" t="s">
        <v>122</v>
      </c>
    </row>
    <row r="23" spans="1:8" ht="27" customHeight="1" x14ac:dyDescent="0.25">
      <c r="A23" s="133">
        <v>40198</v>
      </c>
      <c r="B23" s="94">
        <v>13.83</v>
      </c>
      <c r="C23" s="94">
        <v>19200</v>
      </c>
      <c r="D23" s="137">
        <v>14</v>
      </c>
      <c r="E23" s="94">
        <v>69.97</v>
      </c>
      <c r="F23" s="137">
        <v>16</v>
      </c>
      <c r="G23" s="94">
        <v>76.19</v>
      </c>
      <c r="H23" s="136" t="s">
        <v>122</v>
      </c>
    </row>
    <row r="24" spans="1:8" ht="27" customHeight="1" x14ac:dyDescent="0.25">
      <c r="A24" s="133">
        <v>40199</v>
      </c>
      <c r="B24" s="94">
        <v>13.75</v>
      </c>
      <c r="C24" s="94">
        <v>19000</v>
      </c>
      <c r="D24" s="137">
        <v>14</v>
      </c>
      <c r="E24" s="94">
        <v>69.739999999999995</v>
      </c>
      <c r="F24" s="137">
        <v>16</v>
      </c>
      <c r="G24" s="94">
        <v>75.91</v>
      </c>
      <c r="H24" s="136" t="s">
        <v>122</v>
      </c>
    </row>
    <row r="25" spans="1:8" ht="27" customHeight="1" x14ac:dyDescent="0.25">
      <c r="A25" s="133">
        <v>40200</v>
      </c>
      <c r="B25" s="94">
        <v>13.58</v>
      </c>
      <c r="C25" s="94">
        <v>18250</v>
      </c>
      <c r="D25" s="137">
        <v>14</v>
      </c>
      <c r="E25" s="94">
        <v>69.150000000000006</v>
      </c>
      <c r="F25" s="137">
        <v>16</v>
      </c>
      <c r="G25" s="94">
        <v>75.36</v>
      </c>
      <c r="H25" s="136" t="s">
        <v>122</v>
      </c>
    </row>
    <row r="26" spans="1:8" ht="27" customHeight="1" x14ac:dyDescent="0.25">
      <c r="A26" s="133">
        <v>40201</v>
      </c>
      <c r="B26" s="94">
        <v>13.42</v>
      </c>
      <c r="C26" s="94">
        <v>17800</v>
      </c>
      <c r="D26" s="137">
        <v>14</v>
      </c>
      <c r="E26" s="94">
        <v>68.81</v>
      </c>
      <c r="F26" s="137">
        <v>16</v>
      </c>
      <c r="G26" s="94">
        <v>74.790000000000006</v>
      </c>
      <c r="H26" s="136" t="s">
        <v>122</v>
      </c>
    </row>
    <row r="27" spans="1:8" ht="27" customHeight="1" x14ac:dyDescent="0.25">
      <c r="A27" s="133">
        <v>40202</v>
      </c>
      <c r="B27" s="94">
        <v>13.25</v>
      </c>
      <c r="C27" s="94">
        <v>17500</v>
      </c>
      <c r="D27" s="137">
        <v>14</v>
      </c>
      <c r="E27" s="94">
        <v>68.34</v>
      </c>
      <c r="F27" s="137">
        <v>16</v>
      </c>
      <c r="G27" s="94">
        <v>74.23</v>
      </c>
      <c r="H27" s="136" t="s">
        <v>122</v>
      </c>
    </row>
    <row r="28" spans="1:8" ht="27" customHeight="1" x14ac:dyDescent="0.25">
      <c r="A28" s="133">
        <v>40203</v>
      </c>
      <c r="B28" s="94">
        <v>13.17</v>
      </c>
      <c r="C28" s="94">
        <v>17400</v>
      </c>
      <c r="D28" s="137">
        <v>14</v>
      </c>
      <c r="E28" s="94">
        <v>68.099999999999994</v>
      </c>
      <c r="F28" s="137">
        <v>14</v>
      </c>
      <c r="G28" s="94">
        <v>65.2</v>
      </c>
      <c r="H28" s="136" t="s">
        <v>122</v>
      </c>
    </row>
    <row r="29" spans="1:8" ht="27" customHeight="1" x14ac:dyDescent="0.25">
      <c r="A29" s="133">
        <v>40204</v>
      </c>
      <c r="B29" s="94">
        <v>13</v>
      </c>
      <c r="C29" s="94">
        <v>17000</v>
      </c>
      <c r="D29" s="137">
        <v>14</v>
      </c>
      <c r="E29" s="94">
        <v>67.63</v>
      </c>
      <c r="F29" s="137">
        <v>16</v>
      </c>
      <c r="G29" s="94">
        <v>73.37</v>
      </c>
      <c r="H29" s="136" t="s">
        <v>122</v>
      </c>
    </row>
    <row r="30" spans="1:8" ht="27" customHeight="1" x14ac:dyDescent="0.25">
      <c r="A30" s="133">
        <v>40205</v>
      </c>
      <c r="B30" s="94">
        <v>12.92</v>
      </c>
      <c r="C30" s="94">
        <v>16900</v>
      </c>
      <c r="D30" s="137">
        <v>14</v>
      </c>
      <c r="E30" s="94">
        <v>67.39</v>
      </c>
      <c r="F30" s="137">
        <v>16</v>
      </c>
      <c r="G30" s="94">
        <v>73.09</v>
      </c>
      <c r="H30" s="136" t="s">
        <v>122</v>
      </c>
    </row>
    <row r="31" spans="1:8" ht="27" customHeight="1" x14ac:dyDescent="0.25">
      <c r="A31" s="133">
        <v>40206</v>
      </c>
      <c r="B31" s="94">
        <v>12.83</v>
      </c>
      <c r="C31" s="94">
        <v>16800</v>
      </c>
      <c r="D31" s="137">
        <v>14</v>
      </c>
      <c r="E31" s="94">
        <v>67.150000000000006</v>
      </c>
      <c r="F31" s="137">
        <v>16</v>
      </c>
      <c r="G31" s="94">
        <v>72.8</v>
      </c>
      <c r="H31" s="136" t="s">
        <v>122</v>
      </c>
    </row>
    <row r="32" spans="1:8" ht="27" customHeight="1" x14ac:dyDescent="0.25">
      <c r="A32" s="133">
        <v>40207</v>
      </c>
      <c r="B32" s="94">
        <v>12.67</v>
      </c>
      <c r="C32" s="94">
        <v>16600</v>
      </c>
      <c r="D32" s="137">
        <v>14</v>
      </c>
      <c r="E32" s="94">
        <v>66.67</v>
      </c>
      <c r="F32" s="137">
        <v>16</v>
      </c>
      <c r="G32" s="94">
        <v>72.22</v>
      </c>
      <c r="H32" s="136" t="s">
        <v>122</v>
      </c>
    </row>
    <row r="33" spans="1:8" ht="27" customHeight="1" x14ac:dyDescent="0.25">
      <c r="A33" s="133">
        <v>40208</v>
      </c>
      <c r="B33" s="94">
        <v>12.58</v>
      </c>
      <c r="C33" s="94">
        <v>16500</v>
      </c>
      <c r="D33" s="137">
        <v>14</v>
      </c>
      <c r="E33" s="94">
        <v>66.3</v>
      </c>
      <c r="F33" s="137">
        <v>16</v>
      </c>
      <c r="G33" s="94">
        <v>71.930000000000007</v>
      </c>
      <c r="H33" s="136" t="s">
        <v>122</v>
      </c>
    </row>
    <row r="34" spans="1:8" ht="27" customHeight="1" x14ac:dyDescent="0.25">
      <c r="A34" s="133">
        <v>40209</v>
      </c>
      <c r="B34" s="94">
        <v>12.5</v>
      </c>
      <c r="C34" s="94">
        <v>16400</v>
      </c>
      <c r="D34" s="137">
        <v>14</v>
      </c>
      <c r="E34" s="94">
        <v>66.180000000000007</v>
      </c>
      <c r="F34" s="137">
        <v>16</v>
      </c>
      <c r="G34" s="94">
        <v>71.63</v>
      </c>
      <c r="H34" s="136" t="s">
        <v>122</v>
      </c>
    </row>
    <row r="35" spans="1:8" ht="27" customHeight="1" x14ac:dyDescent="0.25">
      <c r="A35" s="133">
        <v>40210</v>
      </c>
      <c r="B35" s="94">
        <v>12.5</v>
      </c>
      <c r="C35" s="94">
        <v>16400</v>
      </c>
      <c r="D35" s="93" t="s">
        <v>122</v>
      </c>
      <c r="E35" s="93" t="s">
        <v>122</v>
      </c>
      <c r="F35" s="93" t="s">
        <v>122</v>
      </c>
      <c r="G35" s="93" t="s">
        <v>122</v>
      </c>
      <c r="H35" s="136" t="s">
        <v>122</v>
      </c>
    </row>
    <row r="36" spans="1:8" ht="27" customHeight="1" x14ac:dyDescent="0.25">
      <c r="A36" s="133">
        <v>40211</v>
      </c>
      <c r="B36" s="94">
        <v>12.5</v>
      </c>
      <c r="C36" s="94">
        <v>16400</v>
      </c>
      <c r="D36" s="93" t="s">
        <v>122</v>
      </c>
      <c r="E36" s="93" t="s">
        <v>122</v>
      </c>
      <c r="F36" s="93" t="s">
        <v>122</v>
      </c>
      <c r="G36" s="93" t="s">
        <v>122</v>
      </c>
      <c r="H36" s="136" t="s">
        <v>122</v>
      </c>
    </row>
    <row r="37" spans="1:8" ht="27" customHeight="1" x14ac:dyDescent="0.25">
      <c r="A37" s="133">
        <v>40212</v>
      </c>
      <c r="B37" s="94">
        <v>12.5</v>
      </c>
      <c r="C37" s="94">
        <v>16400</v>
      </c>
      <c r="D37" s="93" t="s">
        <v>122</v>
      </c>
      <c r="E37" s="93" t="s">
        <v>122</v>
      </c>
      <c r="F37" s="93" t="s">
        <v>122</v>
      </c>
      <c r="G37" s="93" t="s">
        <v>122</v>
      </c>
      <c r="H37" s="136" t="s">
        <v>122</v>
      </c>
    </row>
    <row r="38" spans="1:8" ht="27" customHeight="1" x14ac:dyDescent="0.25">
      <c r="A38" s="133">
        <v>40213</v>
      </c>
      <c r="B38" s="94">
        <v>12.33</v>
      </c>
      <c r="C38" s="94">
        <v>16000</v>
      </c>
      <c r="D38" s="137">
        <v>9</v>
      </c>
      <c r="E38" s="94">
        <v>42.94</v>
      </c>
      <c r="F38" s="137">
        <v>14</v>
      </c>
      <c r="G38" s="94">
        <v>62.68</v>
      </c>
      <c r="H38" s="136" t="s">
        <v>122</v>
      </c>
    </row>
    <row r="39" spans="1:8" ht="27" customHeight="1" x14ac:dyDescent="0.25">
      <c r="A39" s="133">
        <v>40214</v>
      </c>
      <c r="B39" s="94">
        <v>12.08</v>
      </c>
      <c r="C39" s="94">
        <v>15500</v>
      </c>
      <c r="D39" s="137">
        <v>14</v>
      </c>
      <c r="E39" s="94">
        <v>64.95</v>
      </c>
      <c r="F39" s="137">
        <v>16</v>
      </c>
      <c r="G39" s="94">
        <v>70.150000000000006</v>
      </c>
      <c r="H39" s="136" t="s">
        <v>122</v>
      </c>
    </row>
    <row r="40" spans="1:8" ht="27" customHeight="1" x14ac:dyDescent="0.25">
      <c r="A40" s="133">
        <v>40215</v>
      </c>
      <c r="B40" s="94">
        <v>12</v>
      </c>
      <c r="C40" s="94">
        <v>15400</v>
      </c>
      <c r="D40" s="137">
        <v>14</v>
      </c>
      <c r="E40" s="94">
        <v>64.7</v>
      </c>
      <c r="F40" s="137">
        <v>15</v>
      </c>
      <c r="G40" s="94">
        <v>65.63</v>
      </c>
      <c r="H40" s="136" t="s">
        <v>122</v>
      </c>
    </row>
    <row r="41" spans="1:8" ht="27" customHeight="1" x14ac:dyDescent="0.25">
      <c r="A41" s="133">
        <v>40216</v>
      </c>
      <c r="B41" s="94">
        <v>11.92</v>
      </c>
      <c r="C41" s="94">
        <v>15200</v>
      </c>
      <c r="D41" s="137">
        <v>12</v>
      </c>
      <c r="E41" s="94">
        <v>55.68</v>
      </c>
      <c r="F41" s="137">
        <v>14</v>
      </c>
      <c r="G41" s="94">
        <v>61.38</v>
      </c>
      <c r="H41" s="136" t="s">
        <v>122</v>
      </c>
    </row>
    <row r="42" spans="1:8" ht="27" customHeight="1" x14ac:dyDescent="0.25">
      <c r="A42" s="133">
        <v>40217</v>
      </c>
      <c r="B42" s="94">
        <v>11.83</v>
      </c>
      <c r="C42" s="94">
        <v>15000</v>
      </c>
      <c r="D42" s="137">
        <v>12</v>
      </c>
      <c r="E42" s="94">
        <v>55.46</v>
      </c>
      <c r="F42" s="137">
        <v>21</v>
      </c>
      <c r="G42" s="94">
        <v>88.65</v>
      </c>
      <c r="H42" s="136" t="s">
        <v>122</v>
      </c>
    </row>
    <row r="43" spans="1:8" ht="27" customHeight="1" x14ac:dyDescent="0.25">
      <c r="A43" s="133">
        <v>40218</v>
      </c>
      <c r="B43" s="94">
        <v>11.67</v>
      </c>
      <c r="C43" s="94">
        <v>14700</v>
      </c>
      <c r="D43" s="137">
        <v>14</v>
      </c>
      <c r="E43" s="94">
        <v>63.7</v>
      </c>
      <c r="F43" s="137">
        <v>21</v>
      </c>
      <c r="G43" s="94">
        <v>87.82</v>
      </c>
      <c r="H43" s="136" t="s">
        <v>122</v>
      </c>
    </row>
    <row r="44" spans="1:8" ht="27" customHeight="1" x14ac:dyDescent="0.25">
      <c r="A44" s="133">
        <v>40219</v>
      </c>
      <c r="B44" s="94">
        <v>11.5</v>
      </c>
      <c r="C44" s="94">
        <v>14400</v>
      </c>
      <c r="D44" s="137">
        <v>12</v>
      </c>
      <c r="E44" s="94">
        <v>54.6</v>
      </c>
      <c r="F44" s="137">
        <v>18</v>
      </c>
      <c r="G44" s="94">
        <v>75.81</v>
      </c>
      <c r="H44" s="136" t="s">
        <v>122</v>
      </c>
    </row>
    <row r="45" spans="1:8" ht="27" customHeight="1" x14ac:dyDescent="0.25">
      <c r="A45" s="133">
        <v>40220</v>
      </c>
      <c r="B45" s="94">
        <v>11.33</v>
      </c>
      <c r="C45" s="94">
        <v>14000</v>
      </c>
      <c r="D45" s="137">
        <v>12</v>
      </c>
      <c r="E45" s="94">
        <v>54.17</v>
      </c>
      <c r="F45" s="137">
        <v>18</v>
      </c>
      <c r="G45" s="94">
        <v>75.11</v>
      </c>
      <c r="H45" s="136" t="s">
        <v>122</v>
      </c>
    </row>
    <row r="46" spans="1:8" ht="27" customHeight="1" x14ac:dyDescent="0.25">
      <c r="A46" s="133">
        <v>40221</v>
      </c>
      <c r="B46" s="94">
        <v>11.17</v>
      </c>
      <c r="C46" s="94">
        <v>13700</v>
      </c>
      <c r="D46" s="137">
        <v>12</v>
      </c>
      <c r="E46" s="94">
        <v>53.73</v>
      </c>
      <c r="F46" s="137">
        <v>16</v>
      </c>
      <c r="G46" s="94">
        <v>66.77</v>
      </c>
      <c r="H46" s="136" t="s">
        <v>122</v>
      </c>
    </row>
    <row r="47" spans="1:8" ht="27" customHeight="1" x14ac:dyDescent="0.25">
      <c r="A47" s="133">
        <v>40222</v>
      </c>
      <c r="B47" s="94">
        <v>11.08</v>
      </c>
      <c r="C47" s="94">
        <v>13600</v>
      </c>
      <c r="D47" s="137"/>
      <c r="E47" s="94"/>
      <c r="F47" s="137">
        <v>12</v>
      </c>
      <c r="G47" s="94">
        <v>50.78</v>
      </c>
      <c r="H47" s="136" t="s">
        <v>122</v>
      </c>
    </row>
    <row r="48" spans="1:8" ht="27" customHeight="1" x14ac:dyDescent="0.25">
      <c r="A48" s="133">
        <v>40223</v>
      </c>
      <c r="B48" s="94">
        <v>11</v>
      </c>
      <c r="C48" s="94">
        <v>13500</v>
      </c>
      <c r="D48" s="137"/>
      <c r="E48" s="94"/>
      <c r="F48" s="137">
        <v>12</v>
      </c>
      <c r="G48" s="94">
        <v>50.55</v>
      </c>
      <c r="H48" s="136" t="s">
        <v>122</v>
      </c>
    </row>
    <row r="49" spans="1:8" ht="27" customHeight="1" x14ac:dyDescent="0.25">
      <c r="A49" s="133">
        <v>40224</v>
      </c>
      <c r="B49" s="94">
        <v>10.83</v>
      </c>
      <c r="C49" s="94">
        <v>13000</v>
      </c>
      <c r="D49" s="137">
        <v>12</v>
      </c>
      <c r="E49" s="94">
        <v>52.84</v>
      </c>
      <c r="F49" s="137">
        <v>16</v>
      </c>
      <c r="G49" s="94">
        <v>65.489999999999995</v>
      </c>
      <c r="H49" s="136" t="s">
        <v>122</v>
      </c>
    </row>
    <row r="50" spans="1:8" ht="27" customHeight="1" x14ac:dyDescent="0.25">
      <c r="A50" s="133">
        <v>40225</v>
      </c>
      <c r="B50" s="94">
        <v>10.67</v>
      </c>
      <c r="C50" s="94">
        <v>12800</v>
      </c>
      <c r="D50" s="137">
        <v>15</v>
      </c>
      <c r="E50" s="94">
        <v>64.77</v>
      </c>
      <c r="F50" s="137">
        <v>16</v>
      </c>
      <c r="G50" s="94">
        <v>64.849999999999994</v>
      </c>
      <c r="H50" s="136" t="s">
        <v>122</v>
      </c>
    </row>
    <row r="51" spans="1:8" ht="27" customHeight="1" x14ac:dyDescent="0.25">
      <c r="A51" s="133">
        <v>40226</v>
      </c>
      <c r="B51" s="94">
        <v>10.5</v>
      </c>
      <c r="C51" s="94">
        <v>12500</v>
      </c>
      <c r="D51" s="94">
        <v>15</v>
      </c>
      <c r="E51" s="153">
        <v>63.91</v>
      </c>
      <c r="F51" s="137">
        <v>16</v>
      </c>
      <c r="G51" s="94">
        <v>64.2</v>
      </c>
      <c r="H51" s="136" t="s">
        <v>122</v>
      </c>
    </row>
    <row r="52" spans="1:8" ht="27" customHeight="1" x14ac:dyDescent="0.25">
      <c r="A52" s="133">
        <v>40227</v>
      </c>
      <c r="B52" s="94">
        <v>10.33</v>
      </c>
      <c r="C52" s="94">
        <v>12300</v>
      </c>
      <c r="D52" s="137">
        <v>14</v>
      </c>
      <c r="E52" s="94">
        <v>59.52</v>
      </c>
      <c r="F52" s="137">
        <v>16</v>
      </c>
      <c r="G52" s="94">
        <v>63.54</v>
      </c>
      <c r="H52" s="136" t="s">
        <v>122</v>
      </c>
    </row>
    <row r="53" spans="1:8" ht="27" customHeight="1" x14ac:dyDescent="0.25">
      <c r="A53" s="133">
        <v>40228</v>
      </c>
      <c r="B53" s="94">
        <v>10.17</v>
      </c>
      <c r="C53" s="94">
        <v>12000</v>
      </c>
      <c r="D53" s="137">
        <v>14</v>
      </c>
      <c r="E53" s="94">
        <v>58.97</v>
      </c>
      <c r="F53" s="137">
        <v>12</v>
      </c>
      <c r="G53" s="94">
        <v>48.15</v>
      </c>
      <c r="H53" s="136" t="s">
        <v>122</v>
      </c>
    </row>
    <row r="54" spans="1:8" ht="27" customHeight="1" x14ac:dyDescent="0.25">
      <c r="A54" s="133">
        <v>40229</v>
      </c>
      <c r="B54" s="94">
        <v>10.08</v>
      </c>
      <c r="C54" s="94">
        <v>11800</v>
      </c>
      <c r="D54" s="137">
        <v>12</v>
      </c>
      <c r="E54" s="94">
        <v>50.78</v>
      </c>
      <c r="F54" s="137">
        <v>3</v>
      </c>
      <c r="G54" s="94">
        <v>12.49</v>
      </c>
      <c r="H54" s="136" t="s">
        <v>122</v>
      </c>
    </row>
    <row r="55" spans="1:8" ht="27" customHeight="1" x14ac:dyDescent="0.25">
      <c r="A55" s="133">
        <v>40230</v>
      </c>
      <c r="B55" s="94">
        <v>10.08</v>
      </c>
      <c r="C55" s="94">
        <v>11800</v>
      </c>
      <c r="D55" s="137">
        <v>12</v>
      </c>
      <c r="E55" s="94">
        <v>50.78</v>
      </c>
      <c r="F55" s="93" t="s">
        <v>122</v>
      </c>
      <c r="G55" s="93" t="s">
        <v>122</v>
      </c>
      <c r="H55" s="136" t="s">
        <v>122</v>
      </c>
    </row>
    <row r="56" spans="1:8" ht="27" customHeight="1" x14ac:dyDescent="0.25">
      <c r="A56" s="133">
        <v>40231</v>
      </c>
      <c r="B56" s="94">
        <v>10</v>
      </c>
      <c r="C56" s="94">
        <v>11600</v>
      </c>
      <c r="D56" s="137">
        <v>12</v>
      </c>
      <c r="E56" s="94">
        <v>50.55</v>
      </c>
      <c r="F56" s="93" t="s">
        <v>122</v>
      </c>
      <c r="G56" s="93" t="s">
        <v>122</v>
      </c>
      <c r="H56" s="136" t="s">
        <v>122</v>
      </c>
    </row>
    <row r="57" spans="1:8" ht="27" customHeight="1" x14ac:dyDescent="0.25">
      <c r="A57" s="133">
        <v>40232</v>
      </c>
      <c r="B57" s="94">
        <v>9.92</v>
      </c>
      <c r="C57" s="94">
        <v>11500</v>
      </c>
      <c r="D57" s="137"/>
      <c r="E57" s="94"/>
      <c r="F57" s="93" t="s">
        <v>122</v>
      </c>
      <c r="G57" s="93" t="s">
        <v>122</v>
      </c>
      <c r="H57" s="136" t="s">
        <v>122</v>
      </c>
    </row>
    <row r="58" spans="1:8" ht="27" customHeight="1" x14ac:dyDescent="0.25">
      <c r="A58" s="133">
        <v>40233</v>
      </c>
      <c r="B58" s="94">
        <v>9.92</v>
      </c>
      <c r="C58" s="94">
        <v>11500</v>
      </c>
      <c r="D58" s="137"/>
      <c r="E58" s="94"/>
      <c r="F58" s="137">
        <v>16</v>
      </c>
      <c r="G58" s="94">
        <v>61.86</v>
      </c>
      <c r="H58" s="136" t="s">
        <v>122</v>
      </c>
    </row>
    <row r="59" spans="1:8" ht="27" customHeight="1" x14ac:dyDescent="0.25">
      <c r="A59" s="133">
        <v>40234</v>
      </c>
      <c r="B59" s="94">
        <v>9.83</v>
      </c>
      <c r="C59" s="94">
        <v>11400</v>
      </c>
      <c r="D59" s="137">
        <v>12</v>
      </c>
      <c r="E59" s="94">
        <v>50.08</v>
      </c>
      <c r="F59" s="137">
        <v>20</v>
      </c>
      <c r="G59" s="94">
        <v>74.709999999999994</v>
      </c>
      <c r="H59" s="136" t="s">
        <v>122</v>
      </c>
    </row>
    <row r="60" spans="1:8" ht="27" customHeight="1" x14ac:dyDescent="0.25">
      <c r="A60" s="133">
        <v>40235</v>
      </c>
      <c r="B60" s="94">
        <v>9.58</v>
      </c>
      <c r="C60" s="94">
        <v>11100</v>
      </c>
      <c r="D60" s="137">
        <v>12</v>
      </c>
      <c r="E60" s="94">
        <v>49.37</v>
      </c>
      <c r="F60" s="137">
        <v>20</v>
      </c>
      <c r="G60" s="94">
        <v>73.819999999999993</v>
      </c>
      <c r="H60" s="136" t="s">
        <v>122</v>
      </c>
    </row>
    <row r="61" spans="1:8" ht="27" customHeight="1" x14ac:dyDescent="0.25">
      <c r="A61" s="133">
        <v>40236</v>
      </c>
      <c r="B61" s="94">
        <v>9.42</v>
      </c>
      <c r="C61" s="94">
        <v>10700</v>
      </c>
      <c r="D61" s="137">
        <v>12</v>
      </c>
      <c r="E61" s="94">
        <v>48.88</v>
      </c>
      <c r="F61" s="137">
        <v>20</v>
      </c>
      <c r="G61" s="94">
        <v>72.930000000000007</v>
      </c>
      <c r="H61" s="136" t="s">
        <v>122</v>
      </c>
    </row>
    <row r="62" spans="1:8" ht="27" customHeight="1" x14ac:dyDescent="0.25">
      <c r="A62" s="133">
        <v>40237</v>
      </c>
      <c r="B62" s="94">
        <v>9.25</v>
      </c>
      <c r="C62" s="94">
        <v>10500</v>
      </c>
      <c r="D62" s="137">
        <v>12</v>
      </c>
      <c r="E62" s="94">
        <v>48.4</v>
      </c>
      <c r="F62" s="137">
        <v>12</v>
      </c>
      <c r="G62" s="94">
        <v>45.37</v>
      </c>
      <c r="H62" s="136" t="s">
        <v>122</v>
      </c>
    </row>
    <row r="63" spans="1:8" ht="27" customHeight="1" x14ac:dyDescent="0.25">
      <c r="A63" s="133">
        <v>40238</v>
      </c>
      <c r="B63" s="94">
        <v>9.08</v>
      </c>
      <c r="C63" s="94">
        <v>10300</v>
      </c>
      <c r="D63" s="137">
        <v>12</v>
      </c>
      <c r="E63" s="94">
        <v>47.91</v>
      </c>
      <c r="F63" s="137">
        <v>12</v>
      </c>
      <c r="G63" s="94">
        <v>44.84</v>
      </c>
      <c r="H63" s="136" t="s">
        <v>122</v>
      </c>
    </row>
    <row r="64" spans="1:8" ht="27" customHeight="1" x14ac:dyDescent="0.25">
      <c r="A64" s="133">
        <v>40239</v>
      </c>
      <c r="B64" s="94">
        <v>8.92</v>
      </c>
      <c r="C64" s="94">
        <v>10100</v>
      </c>
      <c r="D64" s="137">
        <v>12</v>
      </c>
      <c r="E64" s="94">
        <v>47.41</v>
      </c>
      <c r="F64" s="137">
        <v>12</v>
      </c>
      <c r="G64" s="94">
        <v>44.31</v>
      </c>
      <c r="H64" s="136" t="s">
        <v>122</v>
      </c>
    </row>
    <row r="65" spans="1:8" ht="27" customHeight="1" x14ac:dyDescent="0.25">
      <c r="A65" s="133">
        <v>40240</v>
      </c>
      <c r="B65" s="94">
        <v>8.75</v>
      </c>
      <c r="C65" s="94">
        <v>9900</v>
      </c>
      <c r="D65" s="137">
        <v>12</v>
      </c>
      <c r="E65" s="94">
        <v>46.91</v>
      </c>
      <c r="F65" s="137">
        <v>12</v>
      </c>
      <c r="G65" s="94">
        <v>43.77</v>
      </c>
      <c r="H65" s="136" t="s">
        <v>122</v>
      </c>
    </row>
    <row r="66" spans="1:8" ht="27" customHeight="1" x14ac:dyDescent="0.25">
      <c r="A66" s="133">
        <v>40241</v>
      </c>
      <c r="B66" s="94">
        <v>8.58</v>
      </c>
      <c r="C66" s="94">
        <v>9700</v>
      </c>
      <c r="D66" s="137" t="s">
        <v>122</v>
      </c>
      <c r="E66" s="94"/>
      <c r="F66" s="137">
        <v>6</v>
      </c>
      <c r="G66" s="94">
        <v>22.43</v>
      </c>
      <c r="H66" s="136" t="s">
        <v>122</v>
      </c>
    </row>
    <row r="67" spans="1:8" ht="27" customHeight="1" x14ac:dyDescent="0.25">
      <c r="A67" s="133">
        <v>40242</v>
      </c>
      <c r="B67" s="94">
        <v>8.5</v>
      </c>
      <c r="C67" s="94">
        <v>9600</v>
      </c>
      <c r="D67" s="137">
        <v>12</v>
      </c>
      <c r="E67" s="94">
        <v>46.14</v>
      </c>
      <c r="F67" s="137">
        <v>14</v>
      </c>
      <c r="G67" s="94">
        <v>49.46</v>
      </c>
      <c r="H67" s="136" t="s">
        <v>122</v>
      </c>
    </row>
    <row r="68" spans="1:8" ht="27" customHeight="1" x14ac:dyDescent="0.25">
      <c r="A68" s="133">
        <v>40243</v>
      </c>
      <c r="B68" s="94">
        <v>8.33</v>
      </c>
      <c r="C68" s="94">
        <v>9400</v>
      </c>
      <c r="D68" s="137">
        <v>14</v>
      </c>
      <c r="E68" s="94">
        <v>52.62</v>
      </c>
      <c r="F68" s="137">
        <v>14</v>
      </c>
      <c r="G68" s="94">
        <v>48.81</v>
      </c>
      <c r="H68" s="136" t="s">
        <v>122</v>
      </c>
    </row>
    <row r="69" spans="1:8" ht="27" customHeight="1" x14ac:dyDescent="0.25">
      <c r="A69" s="133">
        <v>40244</v>
      </c>
      <c r="B69" s="94">
        <v>8.17</v>
      </c>
      <c r="C69" s="94">
        <v>9200</v>
      </c>
      <c r="D69" s="137">
        <v>14</v>
      </c>
      <c r="E69" s="94">
        <v>52</v>
      </c>
      <c r="F69" s="137">
        <v>14</v>
      </c>
      <c r="G69" s="94">
        <v>48.14</v>
      </c>
      <c r="H69" s="136" t="s">
        <v>122</v>
      </c>
    </row>
    <row r="70" spans="1:8" ht="27" customHeight="1" x14ac:dyDescent="0.25">
      <c r="A70" s="133">
        <v>40245</v>
      </c>
      <c r="B70" s="94">
        <v>8</v>
      </c>
      <c r="C70" s="94">
        <v>9000</v>
      </c>
      <c r="D70" s="137" t="s">
        <v>122</v>
      </c>
      <c r="E70" s="94" t="s">
        <v>122</v>
      </c>
      <c r="F70" s="137" t="s">
        <v>122</v>
      </c>
      <c r="G70" s="94" t="s">
        <v>122</v>
      </c>
      <c r="H70" s="136" t="s">
        <v>122</v>
      </c>
    </row>
    <row r="71" spans="1:8" ht="27" customHeight="1" x14ac:dyDescent="0.25">
      <c r="A71" s="133">
        <v>40246</v>
      </c>
      <c r="B71" s="94">
        <v>8</v>
      </c>
      <c r="C71" s="94">
        <v>9000</v>
      </c>
      <c r="D71" s="137" t="s">
        <v>122</v>
      </c>
      <c r="E71" s="94" t="s">
        <v>122</v>
      </c>
      <c r="F71" s="137" t="s">
        <v>122</v>
      </c>
      <c r="G71" s="94" t="s">
        <v>122</v>
      </c>
      <c r="H71" s="136" t="s">
        <v>122</v>
      </c>
    </row>
    <row r="72" spans="1:8" ht="27" customHeight="1" x14ac:dyDescent="0.25">
      <c r="A72" s="133">
        <v>40247</v>
      </c>
      <c r="B72" s="94">
        <v>8</v>
      </c>
      <c r="C72" s="94">
        <v>9000</v>
      </c>
      <c r="D72" s="137" t="s">
        <v>122</v>
      </c>
      <c r="E72" s="94" t="s">
        <v>122</v>
      </c>
      <c r="F72" s="137" t="s">
        <v>122</v>
      </c>
      <c r="G72" s="94" t="s">
        <v>122</v>
      </c>
      <c r="H72" s="136" t="s">
        <v>122</v>
      </c>
    </row>
    <row r="73" spans="1:8" ht="27" customHeight="1" x14ac:dyDescent="0.25">
      <c r="A73" s="133">
        <v>40248</v>
      </c>
      <c r="B73" s="94">
        <v>8</v>
      </c>
      <c r="C73" s="94">
        <v>9000</v>
      </c>
      <c r="D73" s="137" t="s">
        <v>122</v>
      </c>
      <c r="E73" s="94" t="s">
        <v>122</v>
      </c>
      <c r="F73" s="137" t="s">
        <v>122</v>
      </c>
      <c r="G73" s="94" t="s">
        <v>122</v>
      </c>
      <c r="H73" s="136" t="s">
        <v>122</v>
      </c>
    </row>
    <row r="74" spans="1:8" ht="27" customHeight="1" x14ac:dyDescent="0.25">
      <c r="A74" s="133">
        <v>40249</v>
      </c>
      <c r="B74" s="94">
        <v>8</v>
      </c>
      <c r="C74" s="94">
        <v>9000</v>
      </c>
      <c r="D74" s="137" t="s">
        <v>122</v>
      </c>
      <c r="E74" s="94" t="s">
        <v>122</v>
      </c>
      <c r="F74" s="137" t="s">
        <v>122</v>
      </c>
      <c r="G74" s="94" t="s">
        <v>122</v>
      </c>
      <c r="H74" s="136" t="s">
        <v>122</v>
      </c>
    </row>
    <row r="75" spans="1:8" ht="27" customHeight="1" x14ac:dyDescent="0.25">
      <c r="A75" s="133">
        <v>40250</v>
      </c>
      <c r="B75" s="94">
        <v>7.92</v>
      </c>
      <c r="C75" s="94">
        <v>8900</v>
      </c>
      <c r="D75" s="137" t="s">
        <v>122</v>
      </c>
      <c r="E75" s="94" t="s">
        <v>122</v>
      </c>
      <c r="F75" s="137" t="s">
        <v>122</v>
      </c>
      <c r="G75" s="94" t="s">
        <v>122</v>
      </c>
      <c r="H75" s="136" t="s">
        <v>122</v>
      </c>
    </row>
    <row r="76" spans="1:8" ht="27" customHeight="1" x14ac:dyDescent="0.25">
      <c r="A76" s="133">
        <v>40251</v>
      </c>
      <c r="B76" s="94">
        <v>7.92</v>
      </c>
      <c r="C76" s="94">
        <v>8900</v>
      </c>
      <c r="D76" s="137" t="s">
        <v>122</v>
      </c>
      <c r="E76" s="94" t="s">
        <v>122</v>
      </c>
      <c r="F76" s="137" t="s">
        <v>122</v>
      </c>
      <c r="G76" s="94" t="s">
        <v>122</v>
      </c>
      <c r="H76" s="136" t="s">
        <v>122</v>
      </c>
    </row>
    <row r="77" spans="1:8" ht="27" customHeight="1" x14ac:dyDescent="0.25">
      <c r="A77" s="133">
        <v>40252</v>
      </c>
      <c r="B77" s="94">
        <v>7.92</v>
      </c>
      <c r="C77" s="94">
        <v>8900</v>
      </c>
      <c r="D77" s="137" t="s">
        <v>122</v>
      </c>
      <c r="E77" s="94" t="s">
        <v>122</v>
      </c>
      <c r="F77" s="137" t="s">
        <v>122</v>
      </c>
      <c r="G77" s="94" t="s">
        <v>122</v>
      </c>
      <c r="H77" s="136" t="s">
        <v>122</v>
      </c>
    </row>
    <row r="78" spans="1:8" ht="27" customHeight="1" x14ac:dyDescent="0.25">
      <c r="A78" s="133">
        <v>40253</v>
      </c>
      <c r="B78" s="94">
        <v>7.92</v>
      </c>
      <c r="C78" s="94">
        <v>8900</v>
      </c>
      <c r="D78" s="137" t="s">
        <v>122</v>
      </c>
      <c r="E78" s="94" t="s">
        <v>122</v>
      </c>
      <c r="F78" s="137" t="s">
        <v>122</v>
      </c>
      <c r="G78" s="94" t="s">
        <v>122</v>
      </c>
      <c r="H78" s="136" t="s">
        <v>122</v>
      </c>
    </row>
    <row r="79" spans="1:8" ht="27" customHeight="1" x14ac:dyDescent="0.25">
      <c r="A79" s="133">
        <v>40254</v>
      </c>
      <c r="B79" s="94">
        <v>7.92</v>
      </c>
      <c r="C79" s="94">
        <v>8900</v>
      </c>
      <c r="D79" s="137" t="s">
        <v>122</v>
      </c>
      <c r="E79" s="94" t="s">
        <v>122</v>
      </c>
      <c r="F79" s="137" t="s">
        <v>122</v>
      </c>
      <c r="G79" s="94" t="s">
        <v>122</v>
      </c>
      <c r="H79" s="136" t="s">
        <v>122</v>
      </c>
    </row>
    <row r="80" spans="1:8" ht="27" customHeight="1" x14ac:dyDescent="0.25">
      <c r="A80" s="133">
        <v>40255</v>
      </c>
      <c r="B80" s="94">
        <v>7.92</v>
      </c>
      <c r="C80" s="94">
        <v>8900</v>
      </c>
      <c r="D80" s="137" t="s">
        <v>122</v>
      </c>
      <c r="E80" s="94" t="s">
        <v>122</v>
      </c>
      <c r="F80" s="137" t="s">
        <v>122</v>
      </c>
      <c r="G80" s="94" t="s">
        <v>122</v>
      </c>
      <c r="H80" s="136" t="s">
        <v>122</v>
      </c>
    </row>
    <row r="81" spans="1:8" ht="27" customHeight="1" x14ac:dyDescent="0.25">
      <c r="A81" s="133">
        <v>40256</v>
      </c>
      <c r="B81" s="94">
        <v>7.92</v>
      </c>
      <c r="C81" s="94">
        <v>8900</v>
      </c>
      <c r="D81" s="137" t="s">
        <v>122</v>
      </c>
      <c r="E81" s="94" t="s">
        <v>122</v>
      </c>
      <c r="F81" s="137" t="s">
        <v>122</v>
      </c>
      <c r="G81" s="94" t="s">
        <v>122</v>
      </c>
      <c r="H81" s="136" t="s">
        <v>122</v>
      </c>
    </row>
    <row r="82" spans="1:8" ht="27" customHeight="1" x14ac:dyDescent="0.25">
      <c r="A82" s="133">
        <v>40257</v>
      </c>
      <c r="B82" s="94">
        <v>7.83</v>
      </c>
      <c r="C82" s="94">
        <v>8800</v>
      </c>
      <c r="D82" s="137" t="s">
        <v>122</v>
      </c>
      <c r="E82" s="94" t="s">
        <v>122</v>
      </c>
      <c r="F82" s="137" t="s">
        <v>122</v>
      </c>
      <c r="G82" s="94" t="s">
        <v>122</v>
      </c>
      <c r="H82" s="136" t="s">
        <v>122</v>
      </c>
    </row>
    <row r="83" spans="1:8" ht="27" customHeight="1" x14ac:dyDescent="0.25">
      <c r="A83" s="133">
        <v>40258</v>
      </c>
      <c r="B83" s="94">
        <v>7.83</v>
      </c>
      <c r="C83" s="94">
        <v>8800</v>
      </c>
      <c r="D83" s="137" t="s">
        <v>122</v>
      </c>
      <c r="E83" s="94" t="s">
        <v>122</v>
      </c>
      <c r="F83" s="137" t="s">
        <v>122</v>
      </c>
      <c r="G83" s="94" t="s">
        <v>122</v>
      </c>
      <c r="H83" s="136" t="s">
        <v>122</v>
      </c>
    </row>
    <row r="84" spans="1:8" ht="27" customHeight="1" x14ac:dyDescent="0.25">
      <c r="A84" s="133">
        <v>40259</v>
      </c>
      <c r="B84" s="94">
        <v>7.83</v>
      </c>
      <c r="C84" s="94">
        <v>8800</v>
      </c>
      <c r="D84" s="137" t="s">
        <v>122</v>
      </c>
      <c r="E84" s="94" t="s">
        <v>122</v>
      </c>
      <c r="F84" s="137" t="s">
        <v>122</v>
      </c>
      <c r="G84" s="94" t="s">
        <v>122</v>
      </c>
      <c r="H84" s="136" t="s">
        <v>122</v>
      </c>
    </row>
    <row r="85" spans="1:8" ht="27" customHeight="1" x14ac:dyDescent="0.25">
      <c r="A85" s="133">
        <v>40260</v>
      </c>
      <c r="B85" s="94">
        <v>7.83</v>
      </c>
      <c r="C85" s="94">
        <v>8800</v>
      </c>
      <c r="D85" s="137" t="s">
        <v>122</v>
      </c>
      <c r="E85" s="94" t="s">
        <v>122</v>
      </c>
      <c r="F85" s="137" t="s">
        <v>122</v>
      </c>
      <c r="G85" s="94" t="s">
        <v>122</v>
      </c>
      <c r="H85" s="136" t="s">
        <v>122</v>
      </c>
    </row>
    <row r="86" spans="1:8" ht="27" customHeight="1" x14ac:dyDescent="0.25">
      <c r="A86" s="133">
        <v>40261</v>
      </c>
      <c r="B86" s="94">
        <v>7.83</v>
      </c>
      <c r="C86" s="94">
        <v>8800</v>
      </c>
      <c r="D86" s="137" t="s">
        <v>122</v>
      </c>
      <c r="E86" s="94" t="s">
        <v>122</v>
      </c>
      <c r="F86" s="137" t="s">
        <v>122</v>
      </c>
      <c r="G86" s="94" t="s">
        <v>122</v>
      </c>
      <c r="H86" s="136" t="s">
        <v>122</v>
      </c>
    </row>
    <row r="87" spans="1:8" ht="27" customHeight="1" x14ac:dyDescent="0.25">
      <c r="A87" s="133">
        <v>40262</v>
      </c>
      <c r="B87" s="94">
        <v>7.83</v>
      </c>
      <c r="C87" s="94">
        <v>8800</v>
      </c>
      <c r="D87" s="137" t="s">
        <v>122</v>
      </c>
      <c r="E87" s="94" t="s">
        <v>122</v>
      </c>
      <c r="F87" s="137" t="s">
        <v>122</v>
      </c>
      <c r="G87" s="94" t="s">
        <v>122</v>
      </c>
      <c r="H87" s="136" t="s">
        <v>122</v>
      </c>
    </row>
    <row r="88" spans="1:8" ht="27" customHeight="1" x14ac:dyDescent="0.25">
      <c r="A88" s="133">
        <v>40263</v>
      </c>
      <c r="B88" s="94">
        <v>7.83</v>
      </c>
      <c r="C88" s="94">
        <v>8800</v>
      </c>
      <c r="D88" s="137" t="s">
        <v>122</v>
      </c>
      <c r="E88" s="94" t="s">
        <v>122</v>
      </c>
      <c r="F88" s="137" t="s">
        <v>122</v>
      </c>
      <c r="G88" s="94" t="s">
        <v>122</v>
      </c>
      <c r="H88" s="136" t="s">
        <v>122</v>
      </c>
    </row>
    <row r="89" spans="1:8" ht="27" customHeight="1" x14ac:dyDescent="0.25">
      <c r="A89" s="133">
        <v>40264</v>
      </c>
      <c r="B89" s="94">
        <v>7.75</v>
      </c>
      <c r="C89" s="94">
        <v>8700</v>
      </c>
      <c r="D89" s="137" t="s">
        <v>122</v>
      </c>
      <c r="E89" s="94" t="s">
        <v>122</v>
      </c>
      <c r="F89" s="137" t="s">
        <v>122</v>
      </c>
      <c r="G89" s="94" t="s">
        <v>122</v>
      </c>
      <c r="H89" s="136" t="s">
        <v>122</v>
      </c>
    </row>
    <row r="90" spans="1:8" ht="27" customHeight="1" x14ac:dyDescent="0.25">
      <c r="A90" s="133">
        <v>40265</v>
      </c>
      <c r="B90" s="94">
        <v>8.08</v>
      </c>
      <c r="C90" s="94">
        <v>9100</v>
      </c>
      <c r="D90" s="137" t="s">
        <v>122</v>
      </c>
      <c r="E90" s="94" t="s">
        <v>122</v>
      </c>
      <c r="F90" s="137" t="s">
        <v>122</v>
      </c>
      <c r="G90" s="94" t="s">
        <v>122</v>
      </c>
      <c r="H90" s="136" t="s">
        <v>122</v>
      </c>
    </row>
    <row r="91" spans="1:8" ht="27" customHeight="1" x14ac:dyDescent="0.25">
      <c r="A91" s="133">
        <v>40266</v>
      </c>
      <c r="B91" s="94">
        <v>8.42</v>
      </c>
      <c r="C91" s="94">
        <v>9500</v>
      </c>
      <c r="D91" s="137" t="s">
        <v>122</v>
      </c>
      <c r="E91" s="94" t="s">
        <v>122</v>
      </c>
      <c r="F91" s="137" t="s">
        <v>122</v>
      </c>
      <c r="G91" s="94" t="s">
        <v>122</v>
      </c>
      <c r="H91" s="136" t="s">
        <v>122</v>
      </c>
    </row>
    <row r="92" spans="1:8" ht="27" customHeight="1" x14ac:dyDescent="0.25">
      <c r="A92" s="133">
        <v>40267</v>
      </c>
      <c r="B92" s="94">
        <v>8.58</v>
      </c>
      <c r="C92" s="94">
        <v>9700</v>
      </c>
      <c r="D92" s="137" t="s">
        <v>122</v>
      </c>
      <c r="E92" s="94" t="s">
        <v>122</v>
      </c>
      <c r="F92" s="137" t="s">
        <v>122</v>
      </c>
      <c r="G92" s="94" t="s">
        <v>122</v>
      </c>
      <c r="H92" s="136" t="s">
        <v>122</v>
      </c>
    </row>
    <row r="93" spans="1:8" ht="27" customHeight="1" x14ac:dyDescent="0.25">
      <c r="A93" s="133">
        <v>40268</v>
      </c>
      <c r="B93" s="94">
        <v>8.75</v>
      </c>
      <c r="C93" s="94">
        <v>9900</v>
      </c>
      <c r="D93" s="137" t="s">
        <v>122</v>
      </c>
      <c r="E93" s="94" t="s">
        <v>122</v>
      </c>
      <c r="F93" s="137" t="s">
        <v>122</v>
      </c>
      <c r="G93" s="94" t="s">
        <v>122</v>
      </c>
      <c r="H93" s="136" t="s">
        <v>122</v>
      </c>
    </row>
    <row r="94" spans="1:8" ht="27" customHeight="1" x14ac:dyDescent="0.25">
      <c r="A94" s="133">
        <v>40269</v>
      </c>
      <c r="B94" s="94">
        <v>8.83</v>
      </c>
      <c r="C94" s="94">
        <v>10000</v>
      </c>
      <c r="D94" s="137" t="s">
        <v>122</v>
      </c>
      <c r="E94" s="94" t="s">
        <v>122</v>
      </c>
      <c r="F94" s="137" t="s">
        <v>122</v>
      </c>
      <c r="G94" s="94" t="s">
        <v>122</v>
      </c>
      <c r="H94" s="136" t="s">
        <v>122</v>
      </c>
    </row>
    <row r="95" spans="1:8" ht="27" customHeight="1" x14ac:dyDescent="0.25">
      <c r="A95" s="133">
        <v>40270</v>
      </c>
      <c r="B95" s="94">
        <v>8.83</v>
      </c>
      <c r="C95" s="94">
        <v>10000</v>
      </c>
      <c r="D95" s="137" t="s">
        <v>122</v>
      </c>
      <c r="E95" s="94" t="s">
        <v>122</v>
      </c>
      <c r="F95" s="137" t="s">
        <v>122</v>
      </c>
      <c r="G95" s="94" t="s">
        <v>122</v>
      </c>
      <c r="H95" s="136" t="s">
        <v>122</v>
      </c>
    </row>
    <row r="96" spans="1:8" ht="27" customHeight="1" x14ac:dyDescent="0.25">
      <c r="A96" s="133">
        <v>40271</v>
      </c>
      <c r="B96" s="94">
        <v>8.83</v>
      </c>
      <c r="C96" s="94">
        <v>10000</v>
      </c>
      <c r="D96" s="137" t="s">
        <v>122</v>
      </c>
      <c r="E96" s="94" t="s">
        <v>122</v>
      </c>
      <c r="F96" s="137" t="s">
        <v>122</v>
      </c>
      <c r="G96" s="94" t="s">
        <v>122</v>
      </c>
      <c r="H96" s="136" t="s">
        <v>122</v>
      </c>
    </row>
    <row r="97" spans="1:8" ht="27" customHeight="1" x14ac:dyDescent="0.25">
      <c r="A97" s="133">
        <v>40272</v>
      </c>
      <c r="B97" s="94">
        <v>8.83</v>
      </c>
      <c r="C97" s="94">
        <v>10000</v>
      </c>
      <c r="D97" s="137" t="s">
        <v>122</v>
      </c>
      <c r="E97" s="94" t="s">
        <v>122</v>
      </c>
      <c r="F97" s="137" t="s">
        <v>122</v>
      </c>
      <c r="G97" s="94" t="s">
        <v>122</v>
      </c>
      <c r="H97" s="136" t="s">
        <v>122</v>
      </c>
    </row>
    <row r="98" spans="1:8" ht="27" customHeight="1" x14ac:dyDescent="0.25">
      <c r="A98" s="133">
        <v>40273</v>
      </c>
      <c r="B98" s="94">
        <v>8.83</v>
      </c>
      <c r="C98" s="94">
        <v>10000</v>
      </c>
      <c r="D98" s="137" t="s">
        <v>122</v>
      </c>
      <c r="E98" s="94" t="s">
        <v>122</v>
      </c>
      <c r="F98" s="137" t="s">
        <v>122</v>
      </c>
      <c r="G98" s="94" t="s">
        <v>122</v>
      </c>
      <c r="H98" s="136" t="s">
        <v>122</v>
      </c>
    </row>
    <row r="99" spans="1:8" ht="27" customHeight="1" x14ac:dyDescent="0.25">
      <c r="A99" s="133">
        <v>40274</v>
      </c>
      <c r="B99" s="94">
        <v>8.83</v>
      </c>
      <c r="C99" s="94">
        <v>10000</v>
      </c>
      <c r="D99" s="137" t="s">
        <v>122</v>
      </c>
      <c r="E99" s="94" t="s">
        <v>122</v>
      </c>
      <c r="F99" s="137" t="s">
        <v>122</v>
      </c>
      <c r="G99" s="94" t="s">
        <v>122</v>
      </c>
      <c r="H99" s="136" t="s">
        <v>122</v>
      </c>
    </row>
    <row r="100" spans="1:8" ht="27" customHeight="1" x14ac:dyDescent="0.25">
      <c r="A100" s="133">
        <v>40275</v>
      </c>
      <c r="B100" s="94">
        <v>8.83</v>
      </c>
      <c r="C100" s="94">
        <v>10000</v>
      </c>
      <c r="D100" s="137" t="s">
        <v>122</v>
      </c>
      <c r="E100" s="94" t="s">
        <v>122</v>
      </c>
      <c r="F100" s="137" t="s">
        <v>122</v>
      </c>
      <c r="G100" s="94" t="s">
        <v>122</v>
      </c>
      <c r="H100" s="136" t="s">
        <v>122</v>
      </c>
    </row>
    <row r="101" spans="1:8" ht="27" customHeight="1" x14ac:dyDescent="0.25">
      <c r="A101" s="133">
        <v>40276</v>
      </c>
      <c r="B101" s="94">
        <v>8.83</v>
      </c>
      <c r="C101" s="94">
        <v>10000</v>
      </c>
      <c r="D101" s="137" t="s">
        <v>122</v>
      </c>
      <c r="E101" s="94" t="s">
        <v>122</v>
      </c>
      <c r="F101" s="137" t="s">
        <v>122</v>
      </c>
      <c r="G101" s="94" t="s">
        <v>122</v>
      </c>
      <c r="H101" s="136" t="s">
        <v>122</v>
      </c>
    </row>
    <row r="102" spans="1:8" ht="27" customHeight="1" x14ac:dyDescent="0.25">
      <c r="A102" s="133">
        <v>40277</v>
      </c>
      <c r="B102" s="94">
        <v>8.75</v>
      </c>
      <c r="C102" s="94">
        <v>9900</v>
      </c>
      <c r="D102" s="137" t="s">
        <v>122</v>
      </c>
      <c r="E102" s="94" t="s">
        <v>122</v>
      </c>
      <c r="F102" s="137" t="s">
        <v>122</v>
      </c>
      <c r="G102" s="94" t="s">
        <v>122</v>
      </c>
      <c r="H102" s="136" t="s">
        <v>122</v>
      </c>
    </row>
    <row r="103" spans="1:8" ht="27" customHeight="1" x14ac:dyDescent="0.25">
      <c r="A103" s="133">
        <v>40278</v>
      </c>
      <c r="B103" s="94">
        <v>8.75</v>
      </c>
      <c r="C103" s="94">
        <v>9900</v>
      </c>
      <c r="D103" s="137" t="s">
        <v>122</v>
      </c>
      <c r="E103" s="94" t="s">
        <v>122</v>
      </c>
      <c r="F103" s="137" t="s">
        <v>122</v>
      </c>
      <c r="G103" s="94" t="s">
        <v>122</v>
      </c>
      <c r="H103" s="136" t="s">
        <v>122</v>
      </c>
    </row>
    <row r="104" spans="1:8" ht="27" customHeight="1" x14ac:dyDescent="0.25">
      <c r="A104" s="133">
        <v>40279</v>
      </c>
      <c r="B104" s="94">
        <v>8.75</v>
      </c>
      <c r="C104" s="94">
        <v>9900</v>
      </c>
      <c r="D104" s="137" t="s">
        <v>122</v>
      </c>
      <c r="E104" s="94" t="s">
        <v>122</v>
      </c>
      <c r="F104" s="137" t="s">
        <v>122</v>
      </c>
      <c r="G104" s="94" t="s">
        <v>122</v>
      </c>
      <c r="H104" s="136" t="s">
        <v>122</v>
      </c>
    </row>
    <row r="105" spans="1:8" ht="27" customHeight="1" x14ac:dyDescent="0.25">
      <c r="A105" s="133">
        <v>40280</v>
      </c>
      <c r="B105" s="94">
        <v>8.67</v>
      </c>
      <c r="C105" s="94">
        <v>9800</v>
      </c>
      <c r="D105" s="137" t="s">
        <v>122</v>
      </c>
      <c r="E105" s="94" t="s">
        <v>122</v>
      </c>
      <c r="F105" s="137" t="s">
        <v>122</v>
      </c>
      <c r="G105" s="94" t="s">
        <v>122</v>
      </c>
      <c r="H105" s="136" t="s">
        <v>122</v>
      </c>
    </row>
    <row r="106" spans="1:8" ht="27" customHeight="1" x14ac:dyDescent="0.25">
      <c r="A106" s="133">
        <v>40281</v>
      </c>
      <c r="B106" s="94">
        <v>8.67</v>
      </c>
      <c r="C106" s="94">
        <v>9800</v>
      </c>
      <c r="D106" s="137" t="s">
        <v>122</v>
      </c>
      <c r="E106" s="94" t="s">
        <v>122</v>
      </c>
      <c r="F106" s="137" t="s">
        <v>122</v>
      </c>
      <c r="G106" s="94" t="s">
        <v>122</v>
      </c>
      <c r="H106" s="136" t="s">
        <v>122</v>
      </c>
    </row>
    <row r="107" spans="1:8" ht="27" customHeight="1" x14ac:dyDescent="0.25">
      <c r="A107" s="133">
        <v>40282</v>
      </c>
      <c r="B107" s="94">
        <v>8.67</v>
      </c>
      <c r="C107" s="94">
        <v>9800</v>
      </c>
      <c r="D107" s="137" t="s">
        <v>122</v>
      </c>
      <c r="E107" s="94" t="s">
        <v>122</v>
      </c>
      <c r="F107" s="137" t="s">
        <v>122</v>
      </c>
      <c r="G107" s="94" t="s">
        <v>122</v>
      </c>
      <c r="H107" s="136" t="s">
        <v>122</v>
      </c>
    </row>
    <row r="108" spans="1:8" ht="27" customHeight="1" x14ac:dyDescent="0.25">
      <c r="A108" s="133">
        <v>40283</v>
      </c>
      <c r="B108" s="94">
        <v>8.75</v>
      </c>
      <c r="C108" s="94">
        <v>9900</v>
      </c>
      <c r="D108" s="137" t="s">
        <v>122</v>
      </c>
      <c r="E108" s="94" t="s">
        <v>122</v>
      </c>
      <c r="F108" s="137" t="s">
        <v>122</v>
      </c>
      <c r="G108" s="94" t="s">
        <v>122</v>
      </c>
      <c r="H108" s="136" t="s">
        <v>122</v>
      </c>
    </row>
    <row r="109" spans="1:8" ht="27" customHeight="1" x14ac:dyDescent="0.25">
      <c r="A109" s="133">
        <v>40284</v>
      </c>
      <c r="B109" s="94">
        <v>8.75</v>
      </c>
      <c r="C109" s="94">
        <v>9900</v>
      </c>
      <c r="D109" s="137" t="s">
        <v>122</v>
      </c>
      <c r="E109" s="94" t="s">
        <v>122</v>
      </c>
      <c r="F109" s="137" t="s">
        <v>122</v>
      </c>
      <c r="G109" s="94" t="s">
        <v>122</v>
      </c>
      <c r="H109" s="136" t="s">
        <v>122</v>
      </c>
    </row>
    <row r="110" spans="1:8" ht="27" customHeight="1" x14ac:dyDescent="0.25">
      <c r="A110" s="133">
        <v>40285</v>
      </c>
      <c r="B110" s="94">
        <v>8.75</v>
      </c>
      <c r="C110" s="94">
        <v>9900</v>
      </c>
      <c r="D110" s="137" t="s">
        <v>122</v>
      </c>
      <c r="E110" s="94" t="s">
        <v>122</v>
      </c>
      <c r="F110" s="137" t="s">
        <v>122</v>
      </c>
      <c r="G110" s="94" t="s">
        <v>122</v>
      </c>
      <c r="H110" s="136" t="s">
        <v>122</v>
      </c>
    </row>
    <row r="111" spans="1:8" ht="27" customHeight="1" x14ac:dyDescent="0.25">
      <c r="A111" s="133">
        <v>40286</v>
      </c>
      <c r="B111" s="94">
        <v>8.75</v>
      </c>
      <c r="C111" s="94">
        <v>9900</v>
      </c>
      <c r="D111" s="137" t="s">
        <v>122</v>
      </c>
      <c r="E111" s="94" t="s">
        <v>122</v>
      </c>
      <c r="F111" s="137" t="s">
        <v>122</v>
      </c>
      <c r="G111" s="94" t="s">
        <v>122</v>
      </c>
      <c r="H111" s="136" t="s">
        <v>122</v>
      </c>
    </row>
    <row r="112" spans="1:8" ht="27" customHeight="1" x14ac:dyDescent="0.25">
      <c r="A112" s="133">
        <v>40287</v>
      </c>
      <c r="B112" s="94">
        <v>8.83</v>
      </c>
      <c r="C112" s="94">
        <v>10000</v>
      </c>
      <c r="D112" s="137" t="s">
        <v>122</v>
      </c>
      <c r="E112" s="94" t="s">
        <v>122</v>
      </c>
      <c r="F112" s="137" t="s">
        <v>122</v>
      </c>
      <c r="G112" s="94" t="s">
        <v>122</v>
      </c>
      <c r="H112" s="136" t="s">
        <v>122</v>
      </c>
    </row>
    <row r="113" spans="1:8" ht="27" customHeight="1" x14ac:dyDescent="0.25">
      <c r="A113" s="133">
        <v>40288</v>
      </c>
      <c r="B113" s="94">
        <v>8.83</v>
      </c>
      <c r="C113" s="94">
        <v>10000</v>
      </c>
      <c r="D113" s="137" t="s">
        <v>122</v>
      </c>
      <c r="E113" s="94" t="s">
        <v>122</v>
      </c>
      <c r="F113" s="137" t="s">
        <v>122</v>
      </c>
      <c r="G113" s="94" t="s">
        <v>122</v>
      </c>
      <c r="H113" s="136" t="s">
        <v>122</v>
      </c>
    </row>
    <row r="114" spans="1:8" ht="27" customHeight="1" x14ac:dyDescent="0.25">
      <c r="A114" s="133">
        <v>40289</v>
      </c>
      <c r="B114" s="94">
        <v>8.83</v>
      </c>
      <c r="C114" s="94">
        <v>10000</v>
      </c>
      <c r="D114" s="137" t="s">
        <v>122</v>
      </c>
      <c r="E114" s="94" t="s">
        <v>122</v>
      </c>
      <c r="F114" s="137" t="s">
        <v>122</v>
      </c>
      <c r="G114" s="94" t="s">
        <v>122</v>
      </c>
      <c r="H114" s="136" t="s">
        <v>122</v>
      </c>
    </row>
    <row r="115" spans="1:8" ht="27" customHeight="1" x14ac:dyDescent="0.25">
      <c r="A115" s="133">
        <v>40290</v>
      </c>
      <c r="B115" s="94">
        <v>8.83</v>
      </c>
      <c r="C115" s="94">
        <v>10000</v>
      </c>
      <c r="D115" s="137" t="s">
        <v>122</v>
      </c>
      <c r="E115" s="94" t="s">
        <v>122</v>
      </c>
      <c r="F115" s="137" t="s">
        <v>122</v>
      </c>
      <c r="G115" s="94" t="s">
        <v>122</v>
      </c>
      <c r="H115" s="136" t="s">
        <v>122</v>
      </c>
    </row>
    <row r="116" spans="1:8" ht="27" customHeight="1" x14ac:dyDescent="0.25">
      <c r="A116" s="133">
        <v>40291</v>
      </c>
      <c r="B116" s="94">
        <v>8.83</v>
      </c>
      <c r="C116" s="94">
        <v>10000</v>
      </c>
      <c r="D116" s="137" t="s">
        <v>122</v>
      </c>
      <c r="E116" s="94" t="s">
        <v>122</v>
      </c>
      <c r="F116" s="137" t="s">
        <v>122</v>
      </c>
      <c r="G116" s="94" t="s">
        <v>122</v>
      </c>
      <c r="H116" s="136" t="s">
        <v>122</v>
      </c>
    </row>
    <row r="117" spans="1:8" ht="27" customHeight="1" x14ac:dyDescent="0.25">
      <c r="A117" s="133">
        <v>40292</v>
      </c>
      <c r="B117" s="94">
        <v>8.83</v>
      </c>
      <c r="C117" s="94">
        <v>10000</v>
      </c>
      <c r="D117" s="137" t="s">
        <v>122</v>
      </c>
      <c r="E117" s="94" t="s">
        <v>122</v>
      </c>
      <c r="F117" s="137" t="s">
        <v>122</v>
      </c>
      <c r="G117" s="94" t="s">
        <v>122</v>
      </c>
      <c r="H117" s="136" t="s">
        <v>122</v>
      </c>
    </row>
    <row r="118" spans="1:8" ht="27" customHeight="1" x14ac:dyDescent="0.25">
      <c r="A118" s="133">
        <v>40293</v>
      </c>
      <c r="B118" s="94">
        <v>8.83</v>
      </c>
      <c r="C118" s="94">
        <v>10000</v>
      </c>
      <c r="D118" s="137" t="s">
        <v>122</v>
      </c>
      <c r="E118" s="94" t="s">
        <v>122</v>
      </c>
      <c r="F118" s="137" t="s">
        <v>122</v>
      </c>
      <c r="G118" s="94" t="s">
        <v>122</v>
      </c>
      <c r="H118" s="136" t="s">
        <v>122</v>
      </c>
    </row>
    <row r="119" spans="1:8" ht="27" customHeight="1" x14ac:dyDescent="0.25">
      <c r="A119" s="133">
        <v>40294</v>
      </c>
      <c r="B119" s="94">
        <v>9</v>
      </c>
      <c r="C119" s="94">
        <v>10200</v>
      </c>
      <c r="D119" s="137" t="s">
        <v>122</v>
      </c>
      <c r="E119" s="94" t="s">
        <v>122</v>
      </c>
      <c r="F119" s="137" t="s">
        <v>122</v>
      </c>
      <c r="G119" s="94" t="s">
        <v>122</v>
      </c>
      <c r="H119" s="136" t="s">
        <v>122</v>
      </c>
    </row>
    <row r="120" spans="1:8" ht="27" customHeight="1" x14ac:dyDescent="0.25">
      <c r="A120" s="133">
        <v>40295</v>
      </c>
      <c r="B120" s="94">
        <v>9.25</v>
      </c>
      <c r="C120" s="94">
        <v>10500</v>
      </c>
      <c r="D120" s="137" t="s">
        <v>122</v>
      </c>
      <c r="E120" s="94" t="s">
        <v>122</v>
      </c>
      <c r="F120" s="137" t="s">
        <v>122</v>
      </c>
      <c r="G120" s="94" t="s">
        <v>122</v>
      </c>
      <c r="H120" s="136" t="s">
        <v>122</v>
      </c>
    </row>
    <row r="121" spans="1:8" ht="27" customHeight="1" x14ac:dyDescent="0.25">
      <c r="A121" s="133">
        <v>40296</v>
      </c>
      <c r="B121" s="94">
        <v>9.25</v>
      </c>
      <c r="C121" s="94">
        <v>10500</v>
      </c>
      <c r="D121" s="137" t="s">
        <v>122</v>
      </c>
      <c r="E121" s="94" t="s">
        <v>122</v>
      </c>
      <c r="F121" s="137" t="s">
        <v>122</v>
      </c>
      <c r="G121" s="94" t="s">
        <v>122</v>
      </c>
      <c r="H121" s="136" t="s">
        <v>122</v>
      </c>
    </row>
    <row r="122" spans="1:8" ht="27" customHeight="1" x14ac:dyDescent="0.25">
      <c r="A122" s="133">
        <v>40297</v>
      </c>
      <c r="B122" s="94">
        <v>9.25</v>
      </c>
      <c r="C122" s="94">
        <v>10500</v>
      </c>
      <c r="D122" s="137" t="s">
        <v>122</v>
      </c>
      <c r="E122" s="94" t="s">
        <v>122</v>
      </c>
      <c r="F122" s="137" t="s">
        <v>122</v>
      </c>
      <c r="G122" s="94" t="s">
        <v>122</v>
      </c>
      <c r="H122" s="136" t="s">
        <v>122</v>
      </c>
    </row>
    <row r="123" spans="1:8" ht="27" customHeight="1" x14ac:dyDescent="0.25">
      <c r="A123" s="133">
        <v>40298</v>
      </c>
      <c r="B123" s="94">
        <v>9.25</v>
      </c>
      <c r="C123" s="94">
        <v>10500</v>
      </c>
      <c r="D123" s="137" t="s">
        <v>122</v>
      </c>
      <c r="E123" s="94" t="s">
        <v>122</v>
      </c>
      <c r="F123" s="137" t="s">
        <v>122</v>
      </c>
      <c r="G123" s="94" t="s">
        <v>122</v>
      </c>
      <c r="H123" s="136" t="s">
        <v>122</v>
      </c>
    </row>
    <row r="124" spans="1:8" ht="27" customHeight="1" x14ac:dyDescent="0.25">
      <c r="A124" s="133">
        <v>40299</v>
      </c>
      <c r="B124" s="94">
        <v>9.33</v>
      </c>
      <c r="C124" s="94">
        <v>10600</v>
      </c>
      <c r="D124" s="137" t="s">
        <v>122</v>
      </c>
      <c r="E124" s="94" t="s">
        <v>122</v>
      </c>
      <c r="F124" s="137" t="s">
        <v>122</v>
      </c>
      <c r="G124" s="94" t="s">
        <v>122</v>
      </c>
      <c r="H124" s="136" t="s">
        <v>122</v>
      </c>
    </row>
    <row r="125" spans="1:8" ht="27" customHeight="1" x14ac:dyDescent="0.25">
      <c r="A125" s="133">
        <v>40300</v>
      </c>
      <c r="B125" s="94">
        <v>9.33</v>
      </c>
      <c r="C125" s="94">
        <v>10600</v>
      </c>
      <c r="D125" s="137" t="s">
        <v>122</v>
      </c>
      <c r="E125" s="94" t="s">
        <v>122</v>
      </c>
      <c r="F125" s="137" t="s">
        <v>122</v>
      </c>
      <c r="G125" s="94" t="s">
        <v>122</v>
      </c>
      <c r="H125" s="136" t="s">
        <v>122</v>
      </c>
    </row>
    <row r="126" spans="1:8" ht="27" customHeight="1" x14ac:dyDescent="0.25">
      <c r="A126" s="133">
        <v>40301</v>
      </c>
      <c r="B126" s="94">
        <v>9.33</v>
      </c>
      <c r="C126" s="94">
        <v>10600</v>
      </c>
      <c r="D126" s="137" t="s">
        <v>122</v>
      </c>
      <c r="E126" s="94" t="s">
        <v>122</v>
      </c>
      <c r="F126" s="137" t="s">
        <v>122</v>
      </c>
      <c r="G126" s="94" t="s">
        <v>122</v>
      </c>
      <c r="H126" s="136" t="s">
        <v>122</v>
      </c>
    </row>
    <row r="127" spans="1:8" ht="27" customHeight="1" x14ac:dyDescent="0.25">
      <c r="A127" s="133">
        <v>40302</v>
      </c>
      <c r="B127" s="94">
        <v>9.33</v>
      </c>
      <c r="C127" s="94">
        <v>10600</v>
      </c>
      <c r="D127" s="137" t="s">
        <v>122</v>
      </c>
      <c r="E127" s="94" t="s">
        <v>122</v>
      </c>
      <c r="F127" s="137" t="s">
        <v>122</v>
      </c>
      <c r="G127" s="94" t="s">
        <v>122</v>
      </c>
      <c r="H127" s="136" t="s">
        <v>122</v>
      </c>
    </row>
    <row r="128" spans="1:8" ht="27" customHeight="1" x14ac:dyDescent="0.25">
      <c r="A128" s="133">
        <v>40303</v>
      </c>
      <c r="B128" s="94">
        <v>9.2899999999999991</v>
      </c>
      <c r="C128" s="94">
        <v>10550</v>
      </c>
      <c r="D128" s="137" t="s">
        <v>122</v>
      </c>
      <c r="E128" s="94" t="s">
        <v>122</v>
      </c>
      <c r="F128" s="137" t="s">
        <v>122</v>
      </c>
      <c r="G128" s="94" t="s">
        <v>122</v>
      </c>
      <c r="H128" s="136" t="s">
        <v>122</v>
      </c>
    </row>
    <row r="129" spans="1:8" ht="27" customHeight="1" x14ac:dyDescent="0.25">
      <c r="A129" s="133">
        <v>40304</v>
      </c>
      <c r="B129" s="94">
        <v>9.25</v>
      </c>
      <c r="C129" s="94">
        <v>10500</v>
      </c>
      <c r="D129" s="137" t="s">
        <v>122</v>
      </c>
      <c r="E129" s="94" t="s">
        <v>122</v>
      </c>
      <c r="F129" s="137" t="s">
        <v>122</v>
      </c>
      <c r="G129" s="94" t="s">
        <v>122</v>
      </c>
      <c r="H129" s="136" t="s">
        <v>122</v>
      </c>
    </row>
    <row r="130" spans="1:8" ht="27" customHeight="1" x14ac:dyDescent="0.25">
      <c r="A130" s="133">
        <v>40305</v>
      </c>
      <c r="B130" s="94">
        <v>9.25</v>
      </c>
      <c r="C130" s="94">
        <v>10500</v>
      </c>
      <c r="D130" s="137" t="s">
        <v>122</v>
      </c>
      <c r="E130" s="94" t="s">
        <v>122</v>
      </c>
      <c r="F130" s="137" t="s">
        <v>122</v>
      </c>
      <c r="G130" s="94" t="s">
        <v>122</v>
      </c>
      <c r="H130" s="136" t="s">
        <v>122</v>
      </c>
    </row>
    <row r="131" spans="1:8" ht="27" customHeight="1" x14ac:dyDescent="0.25">
      <c r="A131" s="133">
        <v>40306</v>
      </c>
      <c r="B131" s="94">
        <v>9.75</v>
      </c>
      <c r="C131" s="94">
        <v>10800</v>
      </c>
      <c r="D131" s="137" t="s">
        <v>122</v>
      </c>
      <c r="E131" s="94" t="s">
        <v>122</v>
      </c>
      <c r="F131" s="137" t="s">
        <v>122</v>
      </c>
      <c r="G131" s="94" t="s">
        <v>122</v>
      </c>
      <c r="H131" s="136" t="s">
        <v>122</v>
      </c>
    </row>
    <row r="132" spans="1:8" ht="27" customHeight="1" x14ac:dyDescent="0.25">
      <c r="A132" s="133">
        <v>40307</v>
      </c>
      <c r="B132" s="94">
        <v>11.25</v>
      </c>
      <c r="C132" s="94">
        <v>13800</v>
      </c>
      <c r="D132" s="137" t="s">
        <v>122</v>
      </c>
      <c r="E132" s="94" t="s">
        <v>122</v>
      </c>
      <c r="F132" s="137" t="s">
        <v>122</v>
      </c>
      <c r="G132" s="94" t="s">
        <v>122</v>
      </c>
      <c r="H132" s="136" t="s">
        <v>122</v>
      </c>
    </row>
    <row r="133" spans="1:8" ht="27" customHeight="1" x14ac:dyDescent="0.25">
      <c r="A133" s="133">
        <v>40308</v>
      </c>
      <c r="B133" s="94">
        <v>11.75</v>
      </c>
      <c r="C133" s="94">
        <v>14900</v>
      </c>
      <c r="D133" s="137" t="s">
        <v>122</v>
      </c>
      <c r="E133" s="94" t="s">
        <v>122</v>
      </c>
      <c r="F133" s="137" t="s">
        <v>122</v>
      </c>
      <c r="G133" s="94" t="s">
        <v>122</v>
      </c>
      <c r="H133" s="136" t="s">
        <v>122</v>
      </c>
    </row>
    <row r="134" spans="1:8" ht="27" customHeight="1" x14ac:dyDescent="0.25">
      <c r="A134" s="133">
        <v>40309</v>
      </c>
      <c r="B134" s="94">
        <v>11.92</v>
      </c>
      <c r="C134" s="94">
        <v>15200</v>
      </c>
      <c r="D134" s="137">
        <v>2.5</v>
      </c>
      <c r="E134" s="94">
        <v>11.5</v>
      </c>
      <c r="F134" s="137" t="s">
        <v>122</v>
      </c>
      <c r="G134" s="94" t="s">
        <v>122</v>
      </c>
      <c r="H134" s="136" t="s">
        <v>122</v>
      </c>
    </row>
    <row r="135" spans="1:8" ht="27" customHeight="1" x14ac:dyDescent="0.25">
      <c r="A135" s="133">
        <v>40310</v>
      </c>
      <c r="B135" s="94">
        <v>11.92</v>
      </c>
      <c r="C135" s="94">
        <v>15200</v>
      </c>
      <c r="D135" s="137">
        <v>2.5</v>
      </c>
      <c r="E135" s="94">
        <v>11.5</v>
      </c>
      <c r="F135" s="137" t="s">
        <v>122</v>
      </c>
      <c r="G135" s="94" t="s">
        <v>122</v>
      </c>
      <c r="H135" s="136" t="s">
        <v>122</v>
      </c>
    </row>
    <row r="136" spans="1:8" ht="27" customHeight="1" x14ac:dyDescent="0.25">
      <c r="A136" s="133">
        <v>40311</v>
      </c>
      <c r="B136" s="94">
        <v>11.92</v>
      </c>
      <c r="C136" s="94">
        <v>15200</v>
      </c>
      <c r="D136" s="137">
        <v>3.5</v>
      </c>
      <c r="E136" s="94">
        <v>16.739999999999998</v>
      </c>
      <c r="F136" s="137" t="s">
        <v>122</v>
      </c>
      <c r="G136" s="94" t="s">
        <v>122</v>
      </c>
      <c r="H136" s="136" t="s">
        <v>122</v>
      </c>
    </row>
    <row r="137" spans="1:8" ht="27" customHeight="1" x14ac:dyDescent="0.25">
      <c r="A137" s="133">
        <v>40312</v>
      </c>
      <c r="B137" s="94">
        <v>11.92</v>
      </c>
      <c r="C137" s="94">
        <v>15200</v>
      </c>
      <c r="D137" s="137">
        <v>4</v>
      </c>
      <c r="E137" s="94">
        <v>19.12</v>
      </c>
      <c r="F137" s="137" t="s">
        <v>122</v>
      </c>
      <c r="G137" s="94" t="s">
        <v>122</v>
      </c>
      <c r="H137" s="136" t="s">
        <v>122</v>
      </c>
    </row>
    <row r="138" spans="1:8" ht="27" customHeight="1" x14ac:dyDescent="0.25">
      <c r="A138" s="133">
        <v>40313</v>
      </c>
      <c r="B138" s="94">
        <v>11.92</v>
      </c>
      <c r="C138" s="94">
        <v>15200</v>
      </c>
      <c r="D138" s="137">
        <v>4</v>
      </c>
      <c r="E138" s="94">
        <v>19.12</v>
      </c>
      <c r="F138" s="137" t="s">
        <v>122</v>
      </c>
      <c r="G138" s="94" t="s">
        <v>122</v>
      </c>
      <c r="H138" s="136" t="s">
        <v>122</v>
      </c>
    </row>
    <row r="139" spans="1:8" ht="27" customHeight="1" x14ac:dyDescent="0.25">
      <c r="A139" s="133">
        <v>40314</v>
      </c>
      <c r="B139" s="94">
        <v>11.83</v>
      </c>
      <c r="C139" s="94">
        <v>15000</v>
      </c>
      <c r="D139" s="137">
        <v>3.5</v>
      </c>
      <c r="E139" s="94">
        <v>16.68</v>
      </c>
      <c r="F139" s="137" t="s">
        <v>122</v>
      </c>
      <c r="G139" s="94" t="s">
        <v>122</v>
      </c>
      <c r="H139" s="136" t="s">
        <v>122</v>
      </c>
    </row>
    <row r="140" spans="1:8" ht="27" customHeight="1" x14ac:dyDescent="0.25">
      <c r="A140" s="133">
        <v>40315</v>
      </c>
      <c r="B140" s="94">
        <v>11.79</v>
      </c>
      <c r="C140" s="94">
        <v>14950</v>
      </c>
      <c r="D140" s="137">
        <v>3.5</v>
      </c>
      <c r="E140" s="94">
        <v>16.68</v>
      </c>
      <c r="F140" s="137" t="s">
        <v>122</v>
      </c>
      <c r="G140" s="94" t="s">
        <v>122</v>
      </c>
      <c r="H140" s="136" t="s">
        <v>122</v>
      </c>
    </row>
    <row r="141" spans="1:8" ht="27" customHeight="1" x14ac:dyDescent="0.25">
      <c r="A141" s="133">
        <v>40316</v>
      </c>
      <c r="B141" s="94">
        <v>11.75</v>
      </c>
      <c r="C141" s="94">
        <v>14300</v>
      </c>
      <c r="D141" s="137">
        <v>1</v>
      </c>
      <c r="E141" s="94">
        <v>4.8099999999999996</v>
      </c>
      <c r="F141" s="137" t="s">
        <v>122</v>
      </c>
      <c r="G141" s="94" t="s">
        <v>122</v>
      </c>
      <c r="H141" s="136" t="s">
        <v>122</v>
      </c>
    </row>
    <row r="142" spans="1:8" ht="27" customHeight="1" x14ac:dyDescent="0.25">
      <c r="A142" s="133">
        <v>40317</v>
      </c>
      <c r="B142" s="94">
        <v>11.83</v>
      </c>
      <c r="C142" s="94">
        <v>15000</v>
      </c>
      <c r="D142" s="137" t="s">
        <v>122</v>
      </c>
      <c r="E142" s="137" t="s">
        <v>122</v>
      </c>
      <c r="F142" s="137" t="s">
        <v>122</v>
      </c>
      <c r="G142" s="94" t="s">
        <v>122</v>
      </c>
      <c r="H142" s="136" t="s">
        <v>122</v>
      </c>
    </row>
    <row r="143" spans="1:8" ht="27" customHeight="1" x14ac:dyDescent="0.25">
      <c r="A143" s="133">
        <v>40318</v>
      </c>
      <c r="B143" s="94">
        <v>11.83</v>
      </c>
      <c r="C143" s="94">
        <v>15000</v>
      </c>
      <c r="D143" s="137" t="s">
        <v>122</v>
      </c>
      <c r="E143" s="137" t="s">
        <v>122</v>
      </c>
      <c r="F143" s="137" t="s">
        <v>122</v>
      </c>
      <c r="G143" s="94" t="s">
        <v>122</v>
      </c>
      <c r="H143" s="136" t="s">
        <v>122</v>
      </c>
    </row>
    <row r="144" spans="1:8" ht="27" customHeight="1" x14ac:dyDescent="0.25">
      <c r="A144" s="133">
        <v>40319</v>
      </c>
      <c r="B144" s="94">
        <v>11.83</v>
      </c>
      <c r="C144" s="94">
        <v>15000</v>
      </c>
      <c r="D144" s="137" t="s">
        <v>122</v>
      </c>
      <c r="E144" s="137" t="s">
        <v>122</v>
      </c>
      <c r="F144" s="137" t="s">
        <v>122</v>
      </c>
      <c r="G144" s="94" t="s">
        <v>122</v>
      </c>
      <c r="H144" s="136" t="s">
        <v>122</v>
      </c>
    </row>
    <row r="145" spans="1:8" ht="27" customHeight="1" x14ac:dyDescent="0.25">
      <c r="A145" s="133">
        <v>40320</v>
      </c>
      <c r="B145" s="94">
        <v>11.83</v>
      </c>
      <c r="C145" s="94">
        <v>15000</v>
      </c>
      <c r="D145" s="137" t="s">
        <v>122</v>
      </c>
      <c r="E145" s="137" t="s">
        <v>122</v>
      </c>
      <c r="F145" s="137" t="s">
        <v>122</v>
      </c>
      <c r="G145" s="94" t="s">
        <v>122</v>
      </c>
      <c r="H145" s="136" t="s">
        <v>122</v>
      </c>
    </row>
    <row r="146" spans="1:8" ht="27" customHeight="1" x14ac:dyDescent="0.25">
      <c r="A146" s="133">
        <v>40321</v>
      </c>
      <c r="B146" s="94">
        <v>11.83</v>
      </c>
      <c r="C146" s="94">
        <v>15000</v>
      </c>
      <c r="D146" s="137" t="s">
        <v>122</v>
      </c>
      <c r="E146" s="137" t="s">
        <v>122</v>
      </c>
      <c r="F146" s="137" t="s">
        <v>122</v>
      </c>
      <c r="G146" s="94" t="s">
        <v>122</v>
      </c>
      <c r="H146" s="136" t="s">
        <v>122</v>
      </c>
    </row>
    <row r="147" spans="1:8" ht="27" customHeight="1" x14ac:dyDescent="0.25">
      <c r="A147" s="133">
        <v>40322</v>
      </c>
      <c r="B147" s="94">
        <v>11.83</v>
      </c>
      <c r="C147" s="94">
        <v>15000</v>
      </c>
      <c r="D147" s="137">
        <v>3.5</v>
      </c>
      <c r="E147" s="94">
        <v>16.68</v>
      </c>
      <c r="F147" s="137" t="s">
        <v>122</v>
      </c>
      <c r="G147" s="94" t="s">
        <v>122</v>
      </c>
      <c r="H147" s="136" t="s">
        <v>122</v>
      </c>
    </row>
    <row r="148" spans="1:8" ht="27" customHeight="1" x14ac:dyDescent="0.25">
      <c r="A148" s="133">
        <v>40323</v>
      </c>
      <c r="B148" s="94">
        <v>11.75</v>
      </c>
      <c r="C148" s="94">
        <v>14950</v>
      </c>
      <c r="D148" s="137">
        <v>3.5</v>
      </c>
      <c r="E148" s="94">
        <v>16.68</v>
      </c>
      <c r="F148" s="137" t="s">
        <v>122</v>
      </c>
      <c r="G148" s="94" t="s">
        <v>122</v>
      </c>
      <c r="H148" s="136" t="s">
        <v>122</v>
      </c>
    </row>
    <row r="149" spans="1:8" ht="27" customHeight="1" x14ac:dyDescent="0.25">
      <c r="A149" s="133">
        <v>40324</v>
      </c>
      <c r="B149" s="94">
        <v>11.75</v>
      </c>
      <c r="C149" s="94">
        <v>14900</v>
      </c>
      <c r="D149" s="137" t="s">
        <v>122</v>
      </c>
      <c r="E149" s="137" t="s">
        <v>122</v>
      </c>
      <c r="F149" s="137" t="s">
        <v>122</v>
      </c>
      <c r="G149" s="94" t="s">
        <v>122</v>
      </c>
      <c r="H149" s="136" t="s">
        <v>122</v>
      </c>
    </row>
    <row r="150" spans="1:8" ht="27" customHeight="1" x14ac:dyDescent="0.25">
      <c r="A150" s="133">
        <v>40325</v>
      </c>
      <c r="B150" s="94">
        <v>11.75</v>
      </c>
      <c r="C150" s="94">
        <v>14900</v>
      </c>
      <c r="D150" s="137" t="s">
        <v>122</v>
      </c>
      <c r="E150" s="137" t="s">
        <v>122</v>
      </c>
      <c r="F150" s="137" t="s">
        <v>122</v>
      </c>
      <c r="G150" s="94" t="s">
        <v>122</v>
      </c>
      <c r="H150" s="136" t="s">
        <v>122</v>
      </c>
    </row>
    <row r="151" spans="1:8" ht="27" customHeight="1" x14ac:dyDescent="0.25">
      <c r="A151" s="133">
        <v>40326</v>
      </c>
      <c r="B151" s="94">
        <v>11.75</v>
      </c>
      <c r="C151" s="94">
        <v>14900</v>
      </c>
      <c r="D151" s="137" t="s">
        <v>122</v>
      </c>
      <c r="E151" s="137" t="s">
        <v>122</v>
      </c>
      <c r="F151" s="137" t="s">
        <v>122</v>
      </c>
      <c r="G151" s="94" t="s">
        <v>122</v>
      </c>
      <c r="H151" s="136" t="s">
        <v>122</v>
      </c>
    </row>
    <row r="152" spans="1:8" ht="27" customHeight="1" x14ac:dyDescent="0.25">
      <c r="A152" s="133">
        <v>40327</v>
      </c>
      <c r="B152" s="94">
        <v>11.75</v>
      </c>
      <c r="C152" s="94">
        <v>14900</v>
      </c>
      <c r="D152" s="137" t="s">
        <v>122</v>
      </c>
      <c r="E152" s="137" t="s">
        <v>122</v>
      </c>
      <c r="F152" s="137" t="s">
        <v>122</v>
      </c>
      <c r="G152" s="94" t="s">
        <v>122</v>
      </c>
      <c r="H152" s="136" t="s">
        <v>122</v>
      </c>
    </row>
    <row r="153" spans="1:8" ht="27" customHeight="1" x14ac:dyDescent="0.25">
      <c r="A153" s="133">
        <v>40328</v>
      </c>
      <c r="B153" s="94">
        <v>11.71</v>
      </c>
      <c r="C153" s="94">
        <v>14800</v>
      </c>
      <c r="D153" s="137">
        <v>3</v>
      </c>
      <c r="E153" s="94">
        <v>14.26</v>
      </c>
      <c r="F153" s="137" t="s">
        <v>122</v>
      </c>
      <c r="G153" s="94" t="s">
        <v>122</v>
      </c>
      <c r="H153" s="136" t="s">
        <v>122</v>
      </c>
    </row>
    <row r="154" spans="1:8" ht="27" customHeight="1" x14ac:dyDescent="0.25">
      <c r="A154" s="133">
        <v>40329</v>
      </c>
      <c r="B154" s="94">
        <v>11.67</v>
      </c>
      <c r="C154" s="94">
        <v>14700</v>
      </c>
      <c r="D154" s="137">
        <v>3</v>
      </c>
      <c r="E154" s="94">
        <v>14.26</v>
      </c>
      <c r="F154" s="137" t="s">
        <v>122</v>
      </c>
      <c r="G154" s="94" t="s">
        <v>122</v>
      </c>
      <c r="H154" s="136" t="s">
        <v>122</v>
      </c>
    </row>
    <row r="155" spans="1:8" ht="27" customHeight="1" x14ac:dyDescent="0.25">
      <c r="A155" s="133">
        <v>40330</v>
      </c>
      <c r="B155" s="94">
        <v>11.63</v>
      </c>
      <c r="C155" s="94">
        <v>14650</v>
      </c>
      <c r="D155" s="137">
        <v>3</v>
      </c>
      <c r="E155" s="94">
        <v>14.21</v>
      </c>
      <c r="F155" s="137" t="s">
        <v>122</v>
      </c>
      <c r="G155" s="94" t="s">
        <v>122</v>
      </c>
      <c r="H155" s="136" t="s">
        <v>122</v>
      </c>
    </row>
    <row r="156" spans="1:8" ht="27" customHeight="1" x14ac:dyDescent="0.25">
      <c r="A156" s="133">
        <v>40331</v>
      </c>
      <c r="B156" s="94">
        <v>11.54</v>
      </c>
      <c r="C156" s="94">
        <v>14500</v>
      </c>
      <c r="D156" s="137">
        <v>4</v>
      </c>
      <c r="E156" s="94">
        <v>18.77</v>
      </c>
      <c r="F156" s="137" t="s">
        <v>122</v>
      </c>
      <c r="G156" s="94" t="s">
        <v>122</v>
      </c>
      <c r="H156" s="136" t="s">
        <v>122</v>
      </c>
    </row>
    <row r="157" spans="1:8" ht="27" customHeight="1" x14ac:dyDescent="0.25">
      <c r="A157" s="133">
        <v>40332</v>
      </c>
      <c r="B157" s="94">
        <v>11.5</v>
      </c>
      <c r="C157" s="94">
        <v>14400</v>
      </c>
      <c r="D157" s="137">
        <v>3</v>
      </c>
      <c r="E157" s="94">
        <v>14.05</v>
      </c>
      <c r="F157" s="137" t="s">
        <v>122</v>
      </c>
      <c r="G157" s="94" t="s">
        <v>122</v>
      </c>
      <c r="H157" s="136" t="s">
        <v>122</v>
      </c>
    </row>
    <row r="158" spans="1:8" ht="27" customHeight="1" x14ac:dyDescent="0.25">
      <c r="A158" s="133">
        <v>40333</v>
      </c>
      <c r="B158" s="94">
        <v>11.46</v>
      </c>
      <c r="C158" s="94">
        <v>14300</v>
      </c>
      <c r="D158" s="137" t="s">
        <v>122</v>
      </c>
      <c r="E158" s="137" t="s">
        <v>122</v>
      </c>
      <c r="F158" s="137" t="s">
        <v>122</v>
      </c>
      <c r="G158" s="94" t="s">
        <v>122</v>
      </c>
      <c r="H158" s="136" t="s">
        <v>122</v>
      </c>
    </row>
    <row r="159" spans="1:8" ht="27" customHeight="1" x14ac:dyDescent="0.25">
      <c r="A159" s="133">
        <v>40334</v>
      </c>
      <c r="B159" s="94">
        <v>11.42</v>
      </c>
      <c r="C159" s="94">
        <v>14200</v>
      </c>
      <c r="D159" s="137" t="s">
        <v>122</v>
      </c>
      <c r="E159" s="137" t="s">
        <v>122</v>
      </c>
      <c r="F159" s="137" t="s">
        <v>122</v>
      </c>
      <c r="G159" s="94" t="s">
        <v>122</v>
      </c>
      <c r="H159" s="136" t="s">
        <v>122</v>
      </c>
    </row>
    <row r="160" spans="1:8" ht="27" customHeight="1" x14ac:dyDescent="0.25">
      <c r="A160" s="133">
        <v>40335</v>
      </c>
      <c r="B160" s="94">
        <v>11.38</v>
      </c>
      <c r="C160" s="94">
        <v>14100</v>
      </c>
      <c r="D160" s="137" t="s">
        <v>122</v>
      </c>
      <c r="E160" s="137" t="s">
        <v>122</v>
      </c>
      <c r="F160" s="137" t="s">
        <v>122</v>
      </c>
      <c r="G160" s="94" t="s">
        <v>122</v>
      </c>
      <c r="H160" s="136" t="s">
        <v>122</v>
      </c>
    </row>
    <row r="161" spans="1:8" ht="27" customHeight="1" x14ac:dyDescent="0.25">
      <c r="A161" s="133">
        <v>40336</v>
      </c>
      <c r="B161" s="94">
        <v>11.38</v>
      </c>
      <c r="C161" s="94">
        <v>14100</v>
      </c>
      <c r="D161" s="137" t="s">
        <v>122</v>
      </c>
      <c r="E161" s="137" t="s">
        <v>122</v>
      </c>
      <c r="F161" s="137" t="s">
        <v>122</v>
      </c>
      <c r="G161" s="94" t="s">
        <v>122</v>
      </c>
      <c r="H161" s="136" t="s">
        <v>122</v>
      </c>
    </row>
    <row r="162" spans="1:8" ht="27" customHeight="1" x14ac:dyDescent="0.25">
      <c r="A162" s="133">
        <v>40337</v>
      </c>
      <c r="B162" s="94">
        <v>11.38</v>
      </c>
      <c r="C162" s="94">
        <v>14100</v>
      </c>
      <c r="D162" s="137">
        <v>3.5</v>
      </c>
      <c r="E162" s="94">
        <v>16.38</v>
      </c>
      <c r="F162" s="137" t="s">
        <v>122</v>
      </c>
      <c r="G162" s="94" t="s">
        <v>122</v>
      </c>
      <c r="H162" s="136" t="s">
        <v>122</v>
      </c>
    </row>
    <row r="163" spans="1:8" ht="27" customHeight="1" x14ac:dyDescent="0.25">
      <c r="A163" s="133">
        <v>40338</v>
      </c>
      <c r="B163" s="94">
        <v>11.29</v>
      </c>
      <c r="C163" s="94">
        <v>13900</v>
      </c>
      <c r="D163" s="137">
        <v>3.5</v>
      </c>
      <c r="E163" s="94">
        <v>16.32</v>
      </c>
      <c r="F163" s="137" t="s">
        <v>122</v>
      </c>
      <c r="G163" s="94" t="s">
        <v>122</v>
      </c>
      <c r="H163" s="136" t="s">
        <v>122</v>
      </c>
    </row>
    <row r="164" spans="1:8" ht="27" customHeight="1" x14ac:dyDescent="0.25">
      <c r="A164" s="133">
        <v>40339</v>
      </c>
      <c r="B164" s="94">
        <v>11.25</v>
      </c>
      <c r="C164" s="94">
        <v>13800</v>
      </c>
      <c r="D164" s="137">
        <v>3.5</v>
      </c>
      <c r="E164" s="94">
        <v>16.260000000000002</v>
      </c>
      <c r="F164" s="137" t="s">
        <v>122</v>
      </c>
      <c r="G164" s="94" t="s">
        <v>122</v>
      </c>
      <c r="H164" s="136" t="s">
        <v>122</v>
      </c>
    </row>
    <row r="165" spans="1:8" ht="27" customHeight="1" x14ac:dyDescent="0.25">
      <c r="A165" s="133">
        <v>40340</v>
      </c>
      <c r="B165" s="94">
        <v>11.21</v>
      </c>
      <c r="C165" s="94">
        <v>13750</v>
      </c>
      <c r="D165" s="137">
        <v>3.5</v>
      </c>
      <c r="E165" s="94">
        <v>16.22</v>
      </c>
      <c r="F165" s="137" t="s">
        <v>122</v>
      </c>
      <c r="G165" s="94" t="s">
        <v>122</v>
      </c>
      <c r="H165" s="136" t="s">
        <v>122</v>
      </c>
    </row>
    <row r="166" spans="1:8" ht="27" customHeight="1" x14ac:dyDescent="0.25">
      <c r="A166" s="133">
        <v>40341</v>
      </c>
      <c r="B166" s="94">
        <v>11.17</v>
      </c>
      <c r="C166" s="94">
        <v>13700</v>
      </c>
      <c r="D166" s="137">
        <v>3.5</v>
      </c>
      <c r="E166" s="94">
        <v>16.190000000000001</v>
      </c>
      <c r="F166" s="137" t="s">
        <v>122</v>
      </c>
      <c r="G166" s="94" t="s">
        <v>122</v>
      </c>
      <c r="H166" s="136" t="s">
        <v>122</v>
      </c>
    </row>
    <row r="167" spans="1:8" ht="27" customHeight="1" x14ac:dyDescent="0.25">
      <c r="A167" s="133">
        <v>40342</v>
      </c>
      <c r="B167" s="94">
        <v>11.17</v>
      </c>
      <c r="C167" s="94">
        <v>13700</v>
      </c>
      <c r="D167" s="137" t="s">
        <v>122</v>
      </c>
      <c r="E167" s="137" t="s">
        <v>122</v>
      </c>
      <c r="F167" s="137" t="s">
        <v>122</v>
      </c>
      <c r="G167" s="94" t="s">
        <v>122</v>
      </c>
      <c r="H167" s="136" t="s">
        <v>122</v>
      </c>
    </row>
    <row r="168" spans="1:8" ht="27" customHeight="1" x14ac:dyDescent="0.25">
      <c r="A168" s="133">
        <v>40343</v>
      </c>
      <c r="B168" s="94">
        <v>11.13</v>
      </c>
      <c r="C168" s="94">
        <v>13650</v>
      </c>
      <c r="D168" s="137" t="s">
        <v>122</v>
      </c>
      <c r="E168" s="137" t="s">
        <v>122</v>
      </c>
      <c r="F168" s="137" t="s">
        <v>122</v>
      </c>
      <c r="G168" s="94" t="s">
        <v>122</v>
      </c>
      <c r="H168" s="136" t="s">
        <v>122</v>
      </c>
    </row>
    <row r="169" spans="1:8" ht="27" customHeight="1" x14ac:dyDescent="0.25">
      <c r="A169" s="133">
        <v>40344</v>
      </c>
      <c r="B169" s="94">
        <v>11.13</v>
      </c>
      <c r="C169" s="94">
        <v>13650</v>
      </c>
      <c r="D169" s="137" t="s">
        <v>122</v>
      </c>
      <c r="E169" s="137" t="s">
        <v>122</v>
      </c>
      <c r="F169" s="137" t="s">
        <v>122</v>
      </c>
      <c r="G169" s="94" t="s">
        <v>122</v>
      </c>
      <c r="H169" s="136" t="s">
        <v>122</v>
      </c>
    </row>
    <row r="170" spans="1:8" ht="27" customHeight="1" x14ac:dyDescent="0.25">
      <c r="A170" s="133">
        <v>40345</v>
      </c>
      <c r="B170" s="94">
        <v>11.13</v>
      </c>
      <c r="C170" s="94">
        <v>13650</v>
      </c>
      <c r="D170" s="137" t="s">
        <v>122</v>
      </c>
      <c r="E170" s="137" t="s">
        <v>122</v>
      </c>
      <c r="F170" s="137" t="s">
        <v>122</v>
      </c>
      <c r="G170" s="94" t="s">
        <v>122</v>
      </c>
      <c r="H170" s="136" t="s">
        <v>122</v>
      </c>
    </row>
    <row r="171" spans="1:8" ht="27" customHeight="1" x14ac:dyDescent="0.25">
      <c r="A171" s="133">
        <v>40346</v>
      </c>
      <c r="B171" s="94">
        <v>11.13</v>
      </c>
      <c r="C171" s="94">
        <v>13650</v>
      </c>
      <c r="D171" s="137" t="s">
        <v>122</v>
      </c>
      <c r="E171" s="137" t="s">
        <v>122</v>
      </c>
      <c r="F171" s="137" t="s">
        <v>122</v>
      </c>
      <c r="G171" s="94" t="s">
        <v>122</v>
      </c>
      <c r="H171" s="136" t="s">
        <v>122</v>
      </c>
    </row>
    <row r="172" spans="1:8" ht="27" customHeight="1" x14ac:dyDescent="0.25">
      <c r="A172" s="133">
        <v>40347</v>
      </c>
      <c r="B172" s="94">
        <v>11</v>
      </c>
      <c r="C172" s="94">
        <v>13500</v>
      </c>
      <c r="D172" s="137">
        <v>5</v>
      </c>
      <c r="E172" s="94">
        <v>22.75</v>
      </c>
      <c r="F172" s="137" t="s">
        <v>122</v>
      </c>
      <c r="G172" s="94" t="s">
        <v>122</v>
      </c>
      <c r="H172" s="136" t="s">
        <v>122</v>
      </c>
    </row>
    <row r="173" spans="1:8" ht="27" customHeight="1" x14ac:dyDescent="0.25">
      <c r="A173" s="133">
        <v>40348</v>
      </c>
      <c r="B173" s="94">
        <v>10.96</v>
      </c>
      <c r="C173" s="94">
        <v>13375</v>
      </c>
      <c r="D173" s="137">
        <v>5</v>
      </c>
      <c r="E173" s="94">
        <v>22.8</v>
      </c>
      <c r="F173" s="137" t="s">
        <v>122</v>
      </c>
      <c r="G173" s="94" t="s">
        <v>122</v>
      </c>
      <c r="H173" s="136" t="s">
        <v>122</v>
      </c>
    </row>
    <row r="174" spans="1:8" ht="27" customHeight="1" x14ac:dyDescent="0.25">
      <c r="A174" s="133">
        <v>40349</v>
      </c>
      <c r="B174" s="94">
        <v>10.92</v>
      </c>
      <c r="C174" s="94">
        <v>13250</v>
      </c>
      <c r="D174" s="137">
        <v>4.5</v>
      </c>
      <c r="E174" s="94">
        <v>20.54</v>
      </c>
      <c r="F174" s="137" t="s">
        <v>122</v>
      </c>
      <c r="G174" s="94" t="s">
        <v>122</v>
      </c>
      <c r="H174" s="136" t="s">
        <v>122</v>
      </c>
    </row>
    <row r="175" spans="1:8" ht="27" customHeight="1" x14ac:dyDescent="0.25">
      <c r="A175" s="133">
        <v>40350</v>
      </c>
      <c r="B175" s="94">
        <v>10.88</v>
      </c>
      <c r="C175" s="94">
        <v>13125</v>
      </c>
      <c r="D175" s="137">
        <v>4.5</v>
      </c>
      <c r="E175" s="94">
        <v>20.46</v>
      </c>
      <c r="F175" s="137" t="s">
        <v>122</v>
      </c>
      <c r="G175" s="94" t="s">
        <v>122</v>
      </c>
      <c r="H175" s="136" t="s">
        <v>122</v>
      </c>
    </row>
    <row r="176" spans="1:8" ht="27" customHeight="1" x14ac:dyDescent="0.25">
      <c r="A176" s="133">
        <v>40351</v>
      </c>
      <c r="B176" s="94">
        <v>10.83</v>
      </c>
      <c r="C176" s="94">
        <v>13000</v>
      </c>
      <c r="D176" s="137">
        <v>4.5</v>
      </c>
      <c r="E176" s="94">
        <v>20.420000000000002</v>
      </c>
      <c r="F176" s="137" t="s">
        <v>122</v>
      </c>
      <c r="G176" s="94" t="s">
        <v>122</v>
      </c>
      <c r="H176" s="136" t="s">
        <v>122</v>
      </c>
    </row>
    <row r="177" spans="1:8" ht="27" customHeight="1" x14ac:dyDescent="0.25">
      <c r="A177" s="133">
        <v>40352</v>
      </c>
      <c r="B177" s="94">
        <v>10.79</v>
      </c>
      <c r="C177" s="94">
        <v>12950</v>
      </c>
      <c r="D177" s="137">
        <v>4.5</v>
      </c>
      <c r="E177" s="94">
        <v>20.38</v>
      </c>
      <c r="F177" s="137" t="s">
        <v>122</v>
      </c>
      <c r="G177" s="94" t="s">
        <v>122</v>
      </c>
      <c r="H177" s="136" t="s">
        <v>122</v>
      </c>
    </row>
    <row r="178" spans="1:8" ht="27" customHeight="1" x14ac:dyDescent="0.25">
      <c r="A178" s="133">
        <v>40353</v>
      </c>
      <c r="B178" s="94">
        <v>10.75</v>
      </c>
      <c r="C178" s="94">
        <v>12900</v>
      </c>
      <c r="D178" s="137" t="s">
        <v>122</v>
      </c>
      <c r="E178" s="137" t="s">
        <v>122</v>
      </c>
      <c r="F178" s="137" t="s">
        <v>122</v>
      </c>
      <c r="G178" s="94" t="s">
        <v>122</v>
      </c>
      <c r="H178" s="136" t="s">
        <v>122</v>
      </c>
    </row>
    <row r="179" spans="1:8" ht="27" customHeight="1" x14ac:dyDescent="0.25">
      <c r="A179" s="133">
        <v>40354</v>
      </c>
      <c r="B179" s="94">
        <v>10.75</v>
      </c>
      <c r="C179" s="94">
        <v>12900</v>
      </c>
      <c r="D179" s="137" t="s">
        <v>122</v>
      </c>
      <c r="E179" s="137" t="s">
        <v>122</v>
      </c>
      <c r="F179" s="137" t="s">
        <v>122</v>
      </c>
      <c r="G179" s="94" t="s">
        <v>122</v>
      </c>
      <c r="H179" s="136" t="s">
        <v>122</v>
      </c>
    </row>
    <row r="180" spans="1:8" ht="27" customHeight="1" x14ac:dyDescent="0.25">
      <c r="A180" s="133">
        <v>40355</v>
      </c>
      <c r="B180" s="94">
        <v>10.75</v>
      </c>
      <c r="C180" s="94">
        <v>12900</v>
      </c>
      <c r="D180" s="137" t="s">
        <v>122</v>
      </c>
      <c r="E180" s="137" t="s">
        <v>122</v>
      </c>
      <c r="F180" s="137" t="s">
        <v>122</v>
      </c>
      <c r="G180" s="94" t="s">
        <v>122</v>
      </c>
      <c r="H180" s="136" t="s">
        <v>122</v>
      </c>
    </row>
    <row r="181" spans="1:8" ht="27" customHeight="1" x14ac:dyDescent="0.25">
      <c r="A181" s="133">
        <v>40356</v>
      </c>
      <c r="B181" s="94">
        <v>10.75</v>
      </c>
      <c r="C181" s="94">
        <v>12900</v>
      </c>
      <c r="D181" s="137" t="s">
        <v>122</v>
      </c>
      <c r="E181" s="137" t="s">
        <v>122</v>
      </c>
      <c r="F181" s="137" t="s">
        <v>122</v>
      </c>
      <c r="G181" s="94" t="s">
        <v>122</v>
      </c>
      <c r="H181" s="136" t="s">
        <v>122</v>
      </c>
    </row>
    <row r="182" spans="1:8" ht="27" customHeight="1" x14ac:dyDescent="0.25">
      <c r="A182" s="133">
        <v>40357</v>
      </c>
      <c r="B182" s="94">
        <v>10.71</v>
      </c>
      <c r="C182" s="94">
        <v>12850</v>
      </c>
      <c r="D182" s="137">
        <v>4.5</v>
      </c>
      <c r="E182" s="94">
        <v>20.34</v>
      </c>
      <c r="F182" s="137" t="s">
        <v>122</v>
      </c>
      <c r="G182" s="94" t="s">
        <v>122</v>
      </c>
      <c r="H182" s="136" t="s">
        <v>122</v>
      </c>
    </row>
    <row r="183" spans="1:8" ht="27" customHeight="1" x14ac:dyDescent="0.25">
      <c r="A183" s="133">
        <v>40358</v>
      </c>
      <c r="B183" s="94">
        <v>10.63</v>
      </c>
      <c r="C183" s="94">
        <v>12700</v>
      </c>
      <c r="D183" s="137">
        <v>4.5</v>
      </c>
      <c r="E183" s="94">
        <v>20.21</v>
      </c>
      <c r="F183" s="137" t="s">
        <v>122</v>
      </c>
      <c r="G183" s="94" t="s">
        <v>122</v>
      </c>
      <c r="H183" s="136" t="s">
        <v>122</v>
      </c>
    </row>
    <row r="184" spans="1:8" ht="27" customHeight="1" x14ac:dyDescent="0.25">
      <c r="A184" s="133">
        <v>40359</v>
      </c>
      <c r="B184" s="94">
        <v>10.58</v>
      </c>
      <c r="C184" s="94">
        <v>12600</v>
      </c>
      <c r="D184" s="137">
        <v>4.5</v>
      </c>
      <c r="E184" s="94">
        <v>20.170000000000002</v>
      </c>
      <c r="F184" s="137" t="s">
        <v>122</v>
      </c>
      <c r="G184" s="94" t="s">
        <v>122</v>
      </c>
      <c r="H184" s="136" t="s">
        <v>122</v>
      </c>
    </row>
    <row r="185" spans="1:8" ht="27" customHeight="1" x14ac:dyDescent="0.25">
      <c r="A185" s="133">
        <v>40360</v>
      </c>
      <c r="B185" s="216">
        <v>10.5</v>
      </c>
      <c r="C185" s="94">
        <v>12500</v>
      </c>
      <c r="D185" s="137">
        <v>4.5</v>
      </c>
      <c r="E185" s="94">
        <v>20.13</v>
      </c>
      <c r="F185" s="137" t="s">
        <v>122</v>
      </c>
      <c r="G185" s="94" t="s">
        <v>122</v>
      </c>
      <c r="H185" s="136" t="s">
        <v>122</v>
      </c>
    </row>
    <row r="186" spans="1:8" ht="27" customHeight="1" x14ac:dyDescent="0.25">
      <c r="A186" s="133">
        <v>40361</v>
      </c>
      <c r="B186" s="216">
        <v>10.46</v>
      </c>
      <c r="C186" s="94">
        <v>12450</v>
      </c>
      <c r="D186" s="137">
        <v>4.5</v>
      </c>
      <c r="E186" s="94">
        <v>20.05</v>
      </c>
      <c r="F186" s="137" t="s">
        <v>122</v>
      </c>
      <c r="G186" s="94" t="s">
        <v>122</v>
      </c>
      <c r="H186" s="136" t="s">
        <v>122</v>
      </c>
    </row>
    <row r="187" spans="1:8" ht="27" customHeight="1" x14ac:dyDescent="0.25">
      <c r="A187" s="133">
        <v>40362</v>
      </c>
      <c r="B187" s="216">
        <v>10.42</v>
      </c>
      <c r="C187" s="94">
        <v>12400</v>
      </c>
      <c r="D187" s="137">
        <v>4.5</v>
      </c>
      <c r="E187" s="94">
        <v>20</v>
      </c>
      <c r="F187" s="137" t="s">
        <v>122</v>
      </c>
      <c r="G187" s="94" t="s">
        <v>122</v>
      </c>
      <c r="H187" s="136" t="s">
        <v>122</v>
      </c>
    </row>
    <row r="188" spans="1:8" ht="27" customHeight="1" x14ac:dyDescent="0.25">
      <c r="A188" s="133">
        <v>40363</v>
      </c>
      <c r="B188" s="216">
        <v>10.38</v>
      </c>
      <c r="C188" s="94">
        <v>12350</v>
      </c>
      <c r="D188" s="137">
        <v>4.5</v>
      </c>
      <c r="E188" s="94">
        <v>19.96</v>
      </c>
      <c r="F188" s="137" t="s">
        <v>122</v>
      </c>
      <c r="G188" s="94" t="s">
        <v>122</v>
      </c>
      <c r="H188" s="136" t="s">
        <v>122</v>
      </c>
    </row>
    <row r="189" spans="1:8" ht="27" customHeight="1" x14ac:dyDescent="0.25">
      <c r="A189" s="133">
        <v>40364</v>
      </c>
      <c r="B189" s="216">
        <v>10.38</v>
      </c>
      <c r="C189" s="94">
        <v>12350</v>
      </c>
      <c r="D189" s="137" t="s">
        <v>122</v>
      </c>
      <c r="E189" s="137" t="s">
        <v>122</v>
      </c>
      <c r="F189" s="137" t="s">
        <v>122</v>
      </c>
      <c r="G189" s="94" t="s">
        <v>122</v>
      </c>
      <c r="H189" s="136" t="s">
        <v>122</v>
      </c>
    </row>
    <row r="190" spans="1:8" ht="27" customHeight="1" x14ac:dyDescent="0.25">
      <c r="A190" s="133">
        <v>40365</v>
      </c>
      <c r="B190" s="216">
        <v>10.38</v>
      </c>
      <c r="C190" s="94">
        <v>12350</v>
      </c>
      <c r="D190" s="137" t="s">
        <v>122</v>
      </c>
      <c r="E190" s="137" t="s">
        <v>122</v>
      </c>
      <c r="F190" s="137" t="s">
        <v>122</v>
      </c>
      <c r="G190" s="94" t="s">
        <v>122</v>
      </c>
      <c r="H190" s="136" t="s">
        <v>122</v>
      </c>
    </row>
    <row r="191" spans="1:8" ht="27" customHeight="1" x14ac:dyDescent="0.25">
      <c r="A191" s="133">
        <v>40366</v>
      </c>
      <c r="B191" s="216">
        <v>10.38</v>
      </c>
      <c r="C191" s="94">
        <v>12350</v>
      </c>
      <c r="D191" s="137" t="s">
        <v>122</v>
      </c>
      <c r="E191" s="137" t="s">
        <v>122</v>
      </c>
      <c r="F191" s="137" t="s">
        <v>122</v>
      </c>
      <c r="G191" s="94" t="s">
        <v>122</v>
      </c>
      <c r="H191" s="136" t="s">
        <v>122</v>
      </c>
    </row>
    <row r="192" spans="1:8" ht="27" customHeight="1" x14ac:dyDescent="0.25">
      <c r="A192" s="133">
        <v>40367</v>
      </c>
      <c r="B192" s="216">
        <v>10.38</v>
      </c>
      <c r="C192" s="94">
        <v>12350</v>
      </c>
      <c r="D192" s="137" t="s">
        <v>122</v>
      </c>
      <c r="E192" s="137" t="s">
        <v>122</v>
      </c>
      <c r="F192" s="137" t="s">
        <v>122</v>
      </c>
      <c r="G192" s="94" t="s">
        <v>122</v>
      </c>
      <c r="H192" s="136" t="s">
        <v>122</v>
      </c>
    </row>
    <row r="193" spans="1:8" ht="27" customHeight="1" x14ac:dyDescent="0.25">
      <c r="A193" s="133">
        <v>40368</v>
      </c>
      <c r="B193" s="216">
        <v>10.38</v>
      </c>
      <c r="C193" s="94">
        <v>12350</v>
      </c>
      <c r="D193" s="137" t="s">
        <v>122</v>
      </c>
      <c r="E193" s="137" t="s">
        <v>122</v>
      </c>
      <c r="F193" s="137" t="s">
        <v>122</v>
      </c>
      <c r="G193" s="94" t="s">
        <v>122</v>
      </c>
      <c r="H193" s="136" t="s">
        <v>122</v>
      </c>
    </row>
    <row r="194" spans="1:8" ht="27" customHeight="1" x14ac:dyDescent="0.25">
      <c r="A194" s="133">
        <v>40369</v>
      </c>
      <c r="B194" s="216">
        <v>10.38</v>
      </c>
      <c r="C194" s="94">
        <v>12350</v>
      </c>
      <c r="D194" s="137" t="s">
        <v>122</v>
      </c>
      <c r="E194" s="137" t="s">
        <v>122</v>
      </c>
      <c r="F194" s="137" t="s">
        <v>122</v>
      </c>
      <c r="G194" s="94" t="s">
        <v>122</v>
      </c>
      <c r="H194" s="136" t="s">
        <v>122</v>
      </c>
    </row>
    <row r="195" spans="1:8" ht="27" customHeight="1" x14ac:dyDescent="0.25">
      <c r="A195" s="133">
        <v>40370</v>
      </c>
      <c r="B195" s="216">
        <v>10.38</v>
      </c>
      <c r="C195" s="94">
        <v>12350</v>
      </c>
      <c r="D195" s="137" t="s">
        <v>122</v>
      </c>
      <c r="E195" s="137" t="s">
        <v>122</v>
      </c>
      <c r="F195" s="137" t="s">
        <v>122</v>
      </c>
      <c r="G195" s="94" t="s">
        <v>122</v>
      </c>
      <c r="H195" s="136" t="s">
        <v>122</v>
      </c>
    </row>
    <row r="196" spans="1:8" ht="27" customHeight="1" x14ac:dyDescent="0.25">
      <c r="A196" s="133">
        <v>40371</v>
      </c>
      <c r="B196" s="216">
        <v>10.38</v>
      </c>
      <c r="C196" s="94">
        <v>12350</v>
      </c>
      <c r="D196" s="137" t="s">
        <v>122</v>
      </c>
      <c r="E196" s="137" t="s">
        <v>122</v>
      </c>
      <c r="F196" s="137" t="s">
        <v>122</v>
      </c>
      <c r="G196" s="94" t="s">
        <v>122</v>
      </c>
      <c r="H196" s="136" t="s">
        <v>122</v>
      </c>
    </row>
    <row r="197" spans="1:8" ht="27" customHeight="1" x14ac:dyDescent="0.25">
      <c r="A197" s="133">
        <v>40372</v>
      </c>
      <c r="B197" s="216">
        <v>10.33</v>
      </c>
      <c r="C197" s="94">
        <v>12300</v>
      </c>
      <c r="D197" s="137">
        <v>4.5</v>
      </c>
      <c r="E197" s="94">
        <v>19.920000000000002</v>
      </c>
      <c r="F197" s="137" t="s">
        <v>122</v>
      </c>
      <c r="G197" s="94" t="s">
        <v>122</v>
      </c>
      <c r="H197" s="136" t="s">
        <v>122</v>
      </c>
    </row>
    <row r="198" spans="1:8" ht="27" customHeight="1" x14ac:dyDescent="0.25">
      <c r="A198" s="133">
        <v>40373</v>
      </c>
      <c r="B198" s="216">
        <v>10.25</v>
      </c>
      <c r="C198" s="94">
        <v>12200</v>
      </c>
      <c r="D198" s="137">
        <v>4.5</v>
      </c>
      <c r="E198" s="94">
        <v>19.88</v>
      </c>
      <c r="F198" s="137" t="s">
        <v>122</v>
      </c>
      <c r="G198" s="94" t="s">
        <v>122</v>
      </c>
      <c r="H198" s="136" t="s">
        <v>122</v>
      </c>
    </row>
    <row r="199" spans="1:8" ht="27" customHeight="1" x14ac:dyDescent="0.25">
      <c r="A199" s="133">
        <v>40374</v>
      </c>
      <c r="B199" s="216">
        <v>10.210000000000001</v>
      </c>
      <c r="C199" s="94">
        <v>12100</v>
      </c>
      <c r="D199" s="137">
        <v>4.5</v>
      </c>
      <c r="E199" s="94">
        <v>19.84</v>
      </c>
      <c r="F199" s="137" t="s">
        <v>122</v>
      </c>
      <c r="G199" s="94" t="s">
        <v>122</v>
      </c>
      <c r="H199" s="136" t="s">
        <v>122</v>
      </c>
    </row>
    <row r="200" spans="1:8" ht="27" customHeight="1" x14ac:dyDescent="0.25">
      <c r="A200" s="133">
        <v>40375</v>
      </c>
      <c r="B200" s="216">
        <v>10.130000000000001</v>
      </c>
      <c r="C200" s="94">
        <v>11900</v>
      </c>
      <c r="D200" s="137">
        <v>4.5</v>
      </c>
      <c r="E200" s="94">
        <v>19.71</v>
      </c>
      <c r="F200" s="137" t="s">
        <v>122</v>
      </c>
      <c r="G200" s="94" t="s">
        <v>122</v>
      </c>
      <c r="H200" s="136" t="s">
        <v>122</v>
      </c>
    </row>
    <row r="201" spans="1:8" ht="27" customHeight="1" x14ac:dyDescent="0.25">
      <c r="A201" s="133">
        <v>40376</v>
      </c>
      <c r="B201" s="216">
        <v>10.08</v>
      </c>
      <c r="C201" s="94">
        <v>11800</v>
      </c>
      <c r="D201" s="137">
        <v>4.5</v>
      </c>
      <c r="E201" s="94">
        <v>19.670000000000002</v>
      </c>
      <c r="F201" s="137" t="s">
        <v>122</v>
      </c>
      <c r="G201" s="94" t="s">
        <v>122</v>
      </c>
      <c r="H201" s="136" t="s">
        <v>122</v>
      </c>
    </row>
    <row r="202" spans="1:8" ht="27" customHeight="1" x14ac:dyDescent="0.25">
      <c r="A202" s="133">
        <v>40377</v>
      </c>
      <c r="B202" s="217">
        <v>10</v>
      </c>
      <c r="C202" s="94">
        <v>11600</v>
      </c>
      <c r="D202" s="137">
        <v>4.5</v>
      </c>
      <c r="E202" s="94">
        <v>19.63</v>
      </c>
      <c r="F202" s="137" t="s">
        <v>122</v>
      </c>
      <c r="G202" s="94" t="s">
        <v>122</v>
      </c>
      <c r="H202" s="136" t="s">
        <v>122</v>
      </c>
    </row>
    <row r="203" spans="1:8" ht="27" customHeight="1" x14ac:dyDescent="0.25">
      <c r="A203" s="133">
        <v>40378</v>
      </c>
      <c r="B203" s="217">
        <v>10</v>
      </c>
      <c r="C203" s="94">
        <v>11600</v>
      </c>
      <c r="D203" s="137" t="s">
        <v>122</v>
      </c>
      <c r="E203" s="137" t="s">
        <v>122</v>
      </c>
      <c r="F203" s="137" t="s">
        <v>122</v>
      </c>
      <c r="G203" s="94" t="s">
        <v>122</v>
      </c>
      <c r="H203" s="136" t="s">
        <v>122</v>
      </c>
    </row>
    <row r="204" spans="1:8" ht="27" customHeight="1" x14ac:dyDescent="0.25">
      <c r="A204" s="133">
        <v>40379</v>
      </c>
      <c r="B204" s="94">
        <v>10</v>
      </c>
      <c r="C204" s="94">
        <v>11600</v>
      </c>
      <c r="D204" s="137" t="s">
        <v>122</v>
      </c>
      <c r="E204" s="137" t="s">
        <v>122</v>
      </c>
      <c r="F204" s="137" t="s">
        <v>122</v>
      </c>
      <c r="G204" s="94" t="s">
        <v>122</v>
      </c>
      <c r="H204" s="136" t="s">
        <v>122</v>
      </c>
    </row>
    <row r="205" spans="1:8" ht="27" customHeight="1" x14ac:dyDescent="0.25">
      <c r="A205" s="133">
        <v>40380</v>
      </c>
      <c r="B205" s="94">
        <v>9.9600000000000009</v>
      </c>
      <c r="C205" s="94">
        <v>11550</v>
      </c>
      <c r="D205" s="137" t="s">
        <v>122</v>
      </c>
      <c r="E205" s="137" t="s">
        <v>122</v>
      </c>
      <c r="F205" s="137" t="s">
        <v>122</v>
      </c>
      <c r="G205" s="94" t="s">
        <v>122</v>
      </c>
      <c r="H205" s="136" t="s">
        <v>122</v>
      </c>
    </row>
    <row r="206" spans="1:8" ht="27" customHeight="1" x14ac:dyDescent="0.25">
      <c r="A206" s="133">
        <v>40381</v>
      </c>
      <c r="B206" s="216">
        <v>9.9600000000000009</v>
      </c>
      <c r="C206" s="94">
        <v>11550</v>
      </c>
      <c r="D206" s="137" t="s">
        <v>122</v>
      </c>
      <c r="E206" s="137" t="s">
        <v>122</v>
      </c>
      <c r="F206" s="137" t="s">
        <v>122</v>
      </c>
      <c r="G206" s="94" t="s">
        <v>122</v>
      </c>
      <c r="H206" s="136" t="s">
        <v>122</v>
      </c>
    </row>
    <row r="207" spans="1:8" ht="27" customHeight="1" x14ac:dyDescent="0.25">
      <c r="A207" s="133">
        <v>40382</v>
      </c>
      <c r="B207" s="216">
        <v>9.9600000000000009</v>
      </c>
      <c r="C207" s="94">
        <v>11550</v>
      </c>
      <c r="D207" s="137" t="s">
        <v>122</v>
      </c>
      <c r="E207" s="137" t="s">
        <v>122</v>
      </c>
      <c r="F207" s="137" t="s">
        <v>122</v>
      </c>
      <c r="G207" s="94" t="s">
        <v>122</v>
      </c>
      <c r="H207" s="136" t="s">
        <v>122</v>
      </c>
    </row>
    <row r="208" spans="1:8" ht="27" customHeight="1" x14ac:dyDescent="0.25">
      <c r="A208" s="133">
        <v>40383</v>
      </c>
      <c r="B208" s="216">
        <v>9.9600000000000009</v>
      </c>
      <c r="C208" s="94">
        <v>11550</v>
      </c>
      <c r="D208" s="137">
        <v>4.5</v>
      </c>
      <c r="E208" s="94">
        <v>19.54</v>
      </c>
      <c r="F208" s="137" t="s">
        <v>122</v>
      </c>
      <c r="G208" s="94" t="s">
        <v>122</v>
      </c>
      <c r="H208" s="136" t="s">
        <v>122</v>
      </c>
    </row>
    <row r="209" spans="1:8" ht="27" customHeight="1" x14ac:dyDescent="0.25">
      <c r="A209" s="133">
        <v>40384</v>
      </c>
      <c r="B209" s="216">
        <v>9.92</v>
      </c>
      <c r="C209" s="94">
        <v>11400</v>
      </c>
      <c r="D209" s="137">
        <v>4.5</v>
      </c>
      <c r="E209" s="94">
        <v>19.41</v>
      </c>
      <c r="F209" s="137" t="s">
        <v>122</v>
      </c>
      <c r="G209" s="94" t="s">
        <v>122</v>
      </c>
      <c r="H209" s="136" t="s">
        <v>122</v>
      </c>
    </row>
    <row r="210" spans="1:8" ht="27" customHeight="1" x14ac:dyDescent="0.25">
      <c r="A210" s="133">
        <v>40385</v>
      </c>
      <c r="B210" s="216">
        <v>9.83</v>
      </c>
      <c r="C210" s="94">
        <v>11300</v>
      </c>
      <c r="D210" s="137">
        <v>4.5</v>
      </c>
      <c r="E210" s="94">
        <v>19.37</v>
      </c>
      <c r="F210" s="137" t="s">
        <v>122</v>
      </c>
      <c r="G210" s="94" t="s">
        <v>122</v>
      </c>
      <c r="H210" s="136" t="s">
        <v>122</v>
      </c>
    </row>
    <row r="211" spans="1:8" ht="27" customHeight="1" x14ac:dyDescent="0.25">
      <c r="A211" s="133">
        <v>40386</v>
      </c>
      <c r="B211" s="216">
        <v>9.67</v>
      </c>
      <c r="C211" s="94">
        <v>11200</v>
      </c>
      <c r="D211" s="137">
        <v>5</v>
      </c>
      <c r="E211" s="94">
        <v>21.36</v>
      </c>
      <c r="F211" s="137" t="s">
        <v>122</v>
      </c>
      <c r="G211" s="94" t="s">
        <v>122</v>
      </c>
      <c r="H211" s="136" t="s">
        <v>122</v>
      </c>
    </row>
    <row r="212" spans="1:8" ht="27" customHeight="1" x14ac:dyDescent="0.25">
      <c r="A212" s="133">
        <v>40387</v>
      </c>
      <c r="B212" s="218">
        <v>9.58</v>
      </c>
      <c r="C212" s="94">
        <v>11100</v>
      </c>
      <c r="D212" s="137">
        <v>5</v>
      </c>
      <c r="E212" s="94">
        <v>21.26</v>
      </c>
      <c r="F212" s="137" t="s">
        <v>122</v>
      </c>
      <c r="G212" s="94" t="s">
        <v>122</v>
      </c>
      <c r="H212" s="136" t="s">
        <v>122</v>
      </c>
    </row>
    <row r="213" spans="1:8" ht="27" customHeight="1" x14ac:dyDescent="0.25">
      <c r="A213" s="133">
        <v>40388</v>
      </c>
      <c r="B213" s="216">
        <v>9.5399999999999991</v>
      </c>
      <c r="C213" s="94">
        <v>10950</v>
      </c>
      <c r="D213" s="137" t="s">
        <v>122</v>
      </c>
      <c r="E213" s="137" t="s">
        <v>122</v>
      </c>
      <c r="F213" s="137" t="s">
        <v>122</v>
      </c>
      <c r="G213" s="94" t="s">
        <v>122</v>
      </c>
      <c r="H213" s="136" t="s">
        <v>122</v>
      </c>
    </row>
    <row r="214" spans="1:8" ht="27" customHeight="1" x14ac:dyDescent="0.25">
      <c r="A214" s="133">
        <v>40389</v>
      </c>
      <c r="B214" s="216">
        <v>9.5399999999999991</v>
      </c>
      <c r="C214" s="94">
        <v>10950</v>
      </c>
      <c r="D214" s="137" t="s">
        <v>122</v>
      </c>
      <c r="E214" s="137" t="s">
        <v>122</v>
      </c>
      <c r="F214" s="137" t="s">
        <v>122</v>
      </c>
      <c r="G214" s="94" t="s">
        <v>122</v>
      </c>
      <c r="H214" s="136" t="s">
        <v>122</v>
      </c>
    </row>
    <row r="215" spans="1:8" ht="27" customHeight="1" x14ac:dyDescent="0.25">
      <c r="A215" s="133">
        <v>40390</v>
      </c>
      <c r="B215" s="216">
        <v>9.5399999999999991</v>
      </c>
      <c r="C215" s="94">
        <v>10950</v>
      </c>
      <c r="D215" s="137" t="s">
        <v>122</v>
      </c>
      <c r="E215" s="137" t="s">
        <v>122</v>
      </c>
      <c r="F215" s="137" t="s">
        <v>122</v>
      </c>
      <c r="G215" s="94" t="s">
        <v>122</v>
      </c>
      <c r="H215" s="136" t="s">
        <v>122</v>
      </c>
    </row>
    <row r="216" spans="1:8" ht="27" customHeight="1" x14ac:dyDescent="0.25">
      <c r="A216" s="133">
        <v>40391</v>
      </c>
      <c r="B216" s="94">
        <v>9.5399999999999991</v>
      </c>
      <c r="C216" s="94">
        <v>10950</v>
      </c>
      <c r="D216" s="137" t="s">
        <v>122</v>
      </c>
      <c r="E216" s="137" t="s">
        <v>122</v>
      </c>
      <c r="F216" s="137" t="s">
        <v>122</v>
      </c>
      <c r="G216" s="94" t="s">
        <v>122</v>
      </c>
      <c r="H216" s="136" t="s">
        <v>122</v>
      </c>
    </row>
    <row r="217" spans="1:8" ht="27" customHeight="1" x14ac:dyDescent="0.25">
      <c r="A217" s="133">
        <v>40392</v>
      </c>
      <c r="B217" s="94">
        <v>9.5</v>
      </c>
      <c r="C217" s="94">
        <v>10800</v>
      </c>
      <c r="D217" s="137" t="s">
        <v>122</v>
      </c>
      <c r="E217" s="137" t="s">
        <v>122</v>
      </c>
      <c r="F217" s="137" t="s">
        <v>122</v>
      </c>
      <c r="G217" s="94" t="s">
        <v>122</v>
      </c>
      <c r="H217" s="136" t="s">
        <v>122</v>
      </c>
    </row>
    <row r="218" spans="1:8" ht="27" customHeight="1" x14ac:dyDescent="0.25">
      <c r="A218" s="133">
        <v>40393</v>
      </c>
      <c r="B218" s="94">
        <v>9.4600000000000009</v>
      </c>
      <c r="C218" s="94">
        <v>10750</v>
      </c>
      <c r="D218" s="137">
        <v>5</v>
      </c>
      <c r="E218" s="94">
        <v>21.11</v>
      </c>
      <c r="F218" s="137" t="s">
        <v>122</v>
      </c>
      <c r="G218" s="94" t="s">
        <v>122</v>
      </c>
      <c r="H218" s="136" t="s">
        <v>122</v>
      </c>
    </row>
    <row r="219" spans="1:8" ht="27" customHeight="1" x14ac:dyDescent="0.25">
      <c r="A219" s="133">
        <v>40394</v>
      </c>
      <c r="B219" s="94">
        <v>9.3800000000000008</v>
      </c>
      <c r="C219" s="94">
        <v>10650</v>
      </c>
      <c r="D219" s="137">
        <v>5</v>
      </c>
      <c r="E219" s="94">
        <v>21.02</v>
      </c>
      <c r="F219" s="137" t="s">
        <v>122</v>
      </c>
      <c r="G219" s="94" t="s">
        <v>122</v>
      </c>
      <c r="H219" s="136" t="s">
        <v>122</v>
      </c>
    </row>
    <row r="220" spans="1:8" ht="27" customHeight="1" x14ac:dyDescent="0.25">
      <c r="A220" s="133">
        <v>40395</v>
      </c>
      <c r="B220" s="94">
        <v>9.33</v>
      </c>
      <c r="C220" s="94">
        <v>10600</v>
      </c>
      <c r="D220" s="137">
        <v>5</v>
      </c>
      <c r="E220" s="94">
        <v>20.97</v>
      </c>
      <c r="F220" s="137" t="s">
        <v>122</v>
      </c>
      <c r="G220" s="94" t="s">
        <v>122</v>
      </c>
      <c r="H220" s="136" t="s">
        <v>122</v>
      </c>
    </row>
    <row r="221" spans="1:8" ht="27" customHeight="1" x14ac:dyDescent="0.25">
      <c r="A221" s="133">
        <v>40396</v>
      </c>
      <c r="B221" s="94">
        <v>9.25</v>
      </c>
      <c r="C221" s="94">
        <v>10500</v>
      </c>
      <c r="D221" s="137">
        <v>5</v>
      </c>
      <c r="E221" s="94">
        <v>20.87</v>
      </c>
      <c r="F221" s="137" t="s">
        <v>122</v>
      </c>
      <c r="G221" s="94" t="s">
        <v>122</v>
      </c>
      <c r="H221" s="136" t="s">
        <v>122</v>
      </c>
    </row>
    <row r="222" spans="1:8" ht="27" customHeight="1" x14ac:dyDescent="0.25">
      <c r="A222" s="133">
        <v>40397</v>
      </c>
      <c r="B222" s="94">
        <v>9.17</v>
      </c>
      <c r="C222" s="94">
        <v>10400</v>
      </c>
      <c r="D222" s="137">
        <v>4</v>
      </c>
      <c r="E222" s="94">
        <v>16.62</v>
      </c>
      <c r="F222" s="137" t="s">
        <v>122</v>
      </c>
      <c r="G222" s="94" t="s">
        <v>122</v>
      </c>
      <c r="H222" s="136" t="s">
        <v>122</v>
      </c>
    </row>
    <row r="223" spans="1:8" ht="27" customHeight="1" x14ac:dyDescent="0.25">
      <c r="A223" s="133">
        <v>40398</v>
      </c>
      <c r="B223" s="94">
        <v>9.17</v>
      </c>
      <c r="C223" s="94">
        <v>10400</v>
      </c>
      <c r="D223" s="137" t="s">
        <v>122</v>
      </c>
      <c r="E223" s="137" t="s">
        <v>122</v>
      </c>
      <c r="F223" s="137" t="s">
        <v>122</v>
      </c>
      <c r="G223" s="94" t="s">
        <v>122</v>
      </c>
      <c r="H223" s="136" t="s">
        <v>122</v>
      </c>
    </row>
    <row r="224" spans="1:8" ht="27" customHeight="1" x14ac:dyDescent="0.25">
      <c r="A224" s="133">
        <v>40399</v>
      </c>
      <c r="B224" s="94">
        <v>9.17</v>
      </c>
      <c r="C224" s="94">
        <v>10400</v>
      </c>
      <c r="D224" s="137" t="s">
        <v>122</v>
      </c>
      <c r="E224" s="137" t="s">
        <v>122</v>
      </c>
      <c r="F224" s="137" t="s">
        <v>122</v>
      </c>
      <c r="G224" s="94" t="s">
        <v>122</v>
      </c>
      <c r="H224" s="136" t="s">
        <v>122</v>
      </c>
    </row>
    <row r="225" spans="1:8" ht="27" customHeight="1" x14ac:dyDescent="0.25">
      <c r="A225" s="133">
        <v>40400</v>
      </c>
      <c r="B225" s="94">
        <v>9.17</v>
      </c>
      <c r="C225" s="94">
        <v>10400</v>
      </c>
      <c r="D225" s="137" t="s">
        <v>122</v>
      </c>
      <c r="E225" s="137" t="s">
        <v>122</v>
      </c>
      <c r="F225" s="137" t="s">
        <v>122</v>
      </c>
      <c r="G225" s="94" t="s">
        <v>122</v>
      </c>
      <c r="H225" s="136" t="s">
        <v>122</v>
      </c>
    </row>
    <row r="226" spans="1:8" ht="27" customHeight="1" x14ac:dyDescent="0.25">
      <c r="A226" s="133">
        <v>40401</v>
      </c>
      <c r="B226" s="94">
        <v>9.17</v>
      </c>
      <c r="C226" s="94">
        <v>10400</v>
      </c>
      <c r="D226" s="137" t="s">
        <v>122</v>
      </c>
      <c r="E226" s="137" t="s">
        <v>122</v>
      </c>
      <c r="F226" s="137" t="s">
        <v>122</v>
      </c>
      <c r="G226" s="94" t="s">
        <v>122</v>
      </c>
      <c r="H226" s="136" t="s">
        <v>122</v>
      </c>
    </row>
    <row r="227" spans="1:8" ht="27" customHeight="1" x14ac:dyDescent="0.25">
      <c r="A227" s="133">
        <v>40402</v>
      </c>
      <c r="B227" s="94">
        <v>9.1300000000000008</v>
      </c>
      <c r="C227" s="94">
        <v>10350</v>
      </c>
      <c r="D227" s="137" t="s">
        <v>122</v>
      </c>
      <c r="E227" s="137" t="s">
        <v>122</v>
      </c>
      <c r="F227" s="137" t="s">
        <v>122</v>
      </c>
      <c r="G227" s="94" t="s">
        <v>122</v>
      </c>
      <c r="H227" s="136" t="s">
        <v>122</v>
      </c>
    </row>
    <row r="228" spans="1:8" ht="27" customHeight="1" x14ac:dyDescent="0.25">
      <c r="A228" s="133">
        <v>40403</v>
      </c>
      <c r="B228" s="94">
        <v>9.1300000000000008</v>
      </c>
      <c r="C228" s="94">
        <v>10350</v>
      </c>
      <c r="D228" s="137" t="s">
        <v>122</v>
      </c>
      <c r="E228" s="137" t="s">
        <v>122</v>
      </c>
      <c r="F228" s="137" t="s">
        <v>122</v>
      </c>
      <c r="G228" s="94" t="s">
        <v>122</v>
      </c>
      <c r="H228" s="136" t="s">
        <v>122</v>
      </c>
    </row>
    <row r="229" spans="1:8" ht="27" customHeight="1" x14ac:dyDescent="0.25">
      <c r="A229" s="133">
        <v>40404</v>
      </c>
      <c r="B229" s="94">
        <v>9.1300000000000008</v>
      </c>
      <c r="C229" s="94">
        <v>10350</v>
      </c>
      <c r="D229" s="137">
        <v>4</v>
      </c>
      <c r="E229" s="94">
        <v>16.66</v>
      </c>
      <c r="F229" s="137" t="s">
        <v>122</v>
      </c>
      <c r="G229" s="94" t="s">
        <v>122</v>
      </c>
      <c r="H229" s="136" t="s">
        <v>122</v>
      </c>
    </row>
    <row r="230" spans="1:8" ht="27" customHeight="1" x14ac:dyDescent="0.25">
      <c r="A230" s="133">
        <v>40405</v>
      </c>
      <c r="B230" s="94">
        <v>9.0399999999999991</v>
      </c>
      <c r="C230" s="94">
        <v>10250</v>
      </c>
      <c r="D230" s="137">
        <v>4</v>
      </c>
      <c r="E230" s="94">
        <v>16.54</v>
      </c>
      <c r="F230" s="137" t="s">
        <v>122</v>
      </c>
      <c r="G230" s="94" t="s">
        <v>122</v>
      </c>
      <c r="H230" s="136" t="s">
        <v>122</v>
      </c>
    </row>
    <row r="231" spans="1:8" ht="27" customHeight="1" x14ac:dyDescent="0.25">
      <c r="A231" s="133">
        <v>40406</v>
      </c>
      <c r="B231" s="94">
        <v>9</v>
      </c>
      <c r="C231" s="94">
        <v>10200</v>
      </c>
      <c r="D231" s="137">
        <v>3</v>
      </c>
      <c r="E231" s="94">
        <v>12.43</v>
      </c>
      <c r="F231" s="137" t="s">
        <v>122</v>
      </c>
      <c r="G231" s="94" t="s">
        <v>122</v>
      </c>
      <c r="H231" s="136" t="s">
        <v>122</v>
      </c>
    </row>
    <row r="232" spans="1:8" ht="27" customHeight="1" x14ac:dyDescent="0.25">
      <c r="A232" s="133">
        <v>40407</v>
      </c>
      <c r="B232" s="216">
        <v>8.9600000000000009</v>
      </c>
      <c r="C232" s="94">
        <v>10150</v>
      </c>
      <c r="D232" s="137">
        <v>3</v>
      </c>
      <c r="E232" s="94">
        <v>12.42</v>
      </c>
      <c r="F232" s="137" t="s">
        <v>122</v>
      </c>
      <c r="G232" s="94" t="s">
        <v>122</v>
      </c>
      <c r="H232" s="136" t="s">
        <v>122</v>
      </c>
    </row>
    <row r="233" spans="1:8" ht="27" customHeight="1" x14ac:dyDescent="0.25">
      <c r="A233" s="133">
        <v>40408</v>
      </c>
      <c r="B233" s="217">
        <v>8.92</v>
      </c>
      <c r="C233" s="94">
        <v>10100</v>
      </c>
      <c r="D233" s="137">
        <v>3</v>
      </c>
      <c r="E233" s="94">
        <v>12.4</v>
      </c>
      <c r="F233" s="137" t="s">
        <v>122</v>
      </c>
      <c r="G233" s="94" t="s">
        <v>122</v>
      </c>
      <c r="H233" s="136" t="s">
        <v>122</v>
      </c>
    </row>
    <row r="234" spans="1:8" ht="27" customHeight="1" x14ac:dyDescent="0.25">
      <c r="A234" s="133">
        <v>40409</v>
      </c>
      <c r="B234" s="216">
        <v>8.83</v>
      </c>
      <c r="C234" s="94">
        <v>10000</v>
      </c>
      <c r="D234" s="137">
        <v>3</v>
      </c>
      <c r="E234" s="94">
        <v>12.37</v>
      </c>
      <c r="F234" s="137" t="s">
        <v>122</v>
      </c>
      <c r="G234" s="94" t="s">
        <v>122</v>
      </c>
      <c r="H234" s="136" t="s">
        <v>122</v>
      </c>
    </row>
    <row r="235" spans="1:8" ht="27" customHeight="1" x14ac:dyDescent="0.25">
      <c r="A235" s="133">
        <v>40410</v>
      </c>
      <c r="B235" s="216">
        <v>8.83</v>
      </c>
      <c r="C235" s="94">
        <v>10000</v>
      </c>
      <c r="D235" s="137">
        <v>3</v>
      </c>
      <c r="E235" s="94">
        <v>12.37</v>
      </c>
      <c r="F235" s="137" t="s">
        <v>122</v>
      </c>
      <c r="G235" s="94" t="s">
        <v>122</v>
      </c>
      <c r="H235" s="136" t="s">
        <v>122</v>
      </c>
    </row>
    <row r="236" spans="1:8" ht="27" customHeight="1" x14ac:dyDescent="0.25">
      <c r="A236" s="133">
        <v>40411</v>
      </c>
      <c r="B236" s="216">
        <v>8.83</v>
      </c>
      <c r="C236" s="94">
        <v>10000</v>
      </c>
      <c r="D236" s="137" t="s">
        <v>122</v>
      </c>
      <c r="E236" s="137" t="s">
        <v>122</v>
      </c>
      <c r="F236" s="137" t="s">
        <v>122</v>
      </c>
      <c r="G236" s="94" t="s">
        <v>122</v>
      </c>
      <c r="H236" s="136" t="s">
        <v>122</v>
      </c>
    </row>
    <row r="237" spans="1:8" ht="27" customHeight="1" x14ac:dyDescent="0.25">
      <c r="A237" s="133">
        <v>40412</v>
      </c>
      <c r="B237" s="216">
        <v>8.83</v>
      </c>
      <c r="C237" s="94">
        <v>10000</v>
      </c>
      <c r="D237" s="137" t="s">
        <v>122</v>
      </c>
      <c r="E237" s="137" t="s">
        <v>122</v>
      </c>
      <c r="F237" s="137" t="s">
        <v>122</v>
      </c>
      <c r="G237" s="94" t="s">
        <v>122</v>
      </c>
      <c r="H237" s="136" t="s">
        <v>122</v>
      </c>
    </row>
    <row r="238" spans="1:8" ht="27" customHeight="1" x14ac:dyDescent="0.25">
      <c r="A238" s="133">
        <v>40413</v>
      </c>
      <c r="B238" s="216">
        <v>8.83</v>
      </c>
      <c r="C238" s="94">
        <v>10000</v>
      </c>
      <c r="D238" s="137" t="s">
        <v>122</v>
      </c>
      <c r="E238" s="137" t="s">
        <v>122</v>
      </c>
      <c r="F238" s="137" t="s">
        <v>122</v>
      </c>
      <c r="G238" s="94" t="s">
        <v>122</v>
      </c>
      <c r="H238" s="136" t="s">
        <v>122</v>
      </c>
    </row>
    <row r="239" spans="1:8" ht="27" customHeight="1" x14ac:dyDescent="0.25">
      <c r="A239" s="133">
        <v>40414</v>
      </c>
      <c r="B239" s="216">
        <v>8.83</v>
      </c>
      <c r="C239" s="94">
        <v>10000</v>
      </c>
      <c r="D239" s="137" t="s">
        <v>122</v>
      </c>
      <c r="E239" s="137" t="s">
        <v>122</v>
      </c>
      <c r="F239" s="137" t="s">
        <v>122</v>
      </c>
      <c r="G239" s="94" t="s">
        <v>122</v>
      </c>
      <c r="H239" s="136" t="s">
        <v>122</v>
      </c>
    </row>
    <row r="240" spans="1:8" ht="27" customHeight="1" x14ac:dyDescent="0.25">
      <c r="A240" s="133">
        <v>40415</v>
      </c>
      <c r="B240" s="216">
        <v>8.83</v>
      </c>
      <c r="C240" s="94">
        <v>10000</v>
      </c>
      <c r="D240" s="137" t="s">
        <v>122</v>
      </c>
      <c r="E240" s="137" t="s">
        <v>122</v>
      </c>
      <c r="F240" s="137" t="s">
        <v>122</v>
      </c>
      <c r="G240" s="94" t="s">
        <v>122</v>
      </c>
      <c r="H240" s="136" t="s">
        <v>122</v>
      </c>
    </row>
    <row r="241" spans="1:8" ht="27" customHeight="1" x14ac:dyDescent="0.25">
      <c r="A241" s="133">
        <v>40416</v>
      </c>
      <c r="B241" s="216">
        <v>8.83</v>
      </c>
      <c r="C241" s="94">
        <v>10000</v>
      </c>
      <c r="D241" s="137" t="s">
        <v>122</v>
      </c>
      <c r="E241" s="137" t="s">
        <v>122</v>
      </c>
      <c r="F241" s="137" t="s">
        <v>122</v>
      </c>
      <c r="G241" s="94" t="s">
        <v>122</v>
      </c>
      <c r="H241" s="136" t="s">
        <v>122</v>
      </c>
    </row>
    <row r="242" spans="1:8" ht="27" customHeight="1" x14ac:dyDescent="0.25">
      <c r="A242" s="133">
        <v>40417</v>
      </c>
      <c r="B242" s="216">
        <v>8.75</v>
      </c>
      <c r="C242" s="94">
        <v>9900</v>
      </c>
      <c r="D242" s="137" t="s">
        <v>122</v>
      </c>
      <c r="E242" s="137" t="s">
        <v>122</v>
      </c>
      <c r="F242" s="137" t="s">
        <v>122</v>
      </c>
      <c r="G242" s="94" t="s">
        <v>122</v>
      </c>
      <c r="H242" s="136" t="s">
        <v>122</v>
      </c>
    </row>
    <row r="243" spans="1:8" ht="27" customHeight="1" x14ac:dyDescent="0.25">
      <c r="A243" s="133">
        <v>40418</v>
      </c>
      <c r="B243" s="216">
        <v>8.67</v>
      </c>
      <c r="C243" s="94">
        <v>9800</v>
      </c>
      <c r="D243" s="137" t="s">
        <v>122</v>
      </c>
      <c r="E243" s="137" t="s">
        <v>122</v>
      </c>
      <c r="F243" s="137" t="s">
        <v>122</v>
      </c>
      <c r="G243" s="94" t="s">
        <v>122</v>
      </c>
      <c r="H243" s="136" t="s">
        <v>122</v>
      </c>
    </row>
    <row r="244" spans="1:8" ht="27" customHeight="1" x14ac:dyDescent="0.25">
      <c r="A244" s="133">
        <v>40419</v>
      </c>
      <c r="B244" s="216">
        <v>8.67</v>
      </c>
      <c r="C244" s="94">
        <v>9800</v>
      </c>
      <c r="D244" s="137" t="s">
        <v>122</v>
      </c>
      <c r="E244" s="137" t="s">
        <v>122</v>
      </c>
      <c r="F244" s="137" t="s">
        <v>122</v>
      </c>
      <c r="G244" s="94" t="s">
        <v>122</v>
      </c>
      <c r="H244" s="136" t="s">
        <v>122</v>
      </c>
    </row>
    <row r="245" spans="1:8" ht="27" customHeight="1" x14ac:dyDescent="0.25">
      <c r="A245" s="133">
        <v>40420</v>
      </c>
      <c r="B245" s="216">
        <v>8.67</v>
      </c>
      <c r="C245" s="94">
        <v>9800</v>
      </c>
      <c r="D245" s="137" t="s">
        <v>122</v>
      </c>
      <c r="E245" s="137" t="s">
        <v>122</v>
      </c>
      <c r="F245" s="137" t="s">
        <v>122</v>
      </c>
      <c r="G245" s="94" t="s">
        <v>122</v>
      </c>
      <c r="H245" s="136" t="s">
        <v>122</v>
      </c>
    </row>
    <row r="246" spans="1:8" ht="27" customHeight="1" x14ac:dyDescent="0.25">
      <c r="A246" s="133">
        <v>40421</v>
      </c>
      <c r="B246" s="216">
        <v>8.67</v>
      </c>
      <c r="C246" s="94">
        <v>9800</v>
      </c>
      <c r="D246" s="137" t="s">
        <v>122</v>
      </c>
      <c r="E246" s="137" t="s">
        <v>122</v>
      </c>
      <c r="F246" s="137" t="s">
        <v>122</v>
      </c>
      <c r="G246" s="94" t="s">
        <v>122</v>
      </c>
      <c r="H246" s="136" t="s">
        <v>122</v>
      </c>
    </row>
    <row r="247" spans="1:8" ht="27" customHeight="1" x14ac:dyDescent="0.25">
      <c r="A247" s="133">
        <v>40422</v>
      </c>
      <c r="B247" s="216">
        <v>8.75</v>
      </c>
      <c r="C247" s="94">
        <v>9900</v>
      </c>
      <c r="D247" s="137" t="s">
        <v>122</v>
      </c>
      <c r="E247" s="137" t="s">
        <v>122</v>
      </c>
      <c r="F247" s="137" t="s">
        <v>122</v>
      </c>
      <c r="G247" s="94" t="s">
        <v>122</v>
      </c>
      <c r="H247" s="136" t="s">
        <v>122</v>
      </c>
    </row>
    <row r="248" spans="1:8" ht="27" customHeight="1" x14ac:dyDescent="0.25">
      <c r="A248" s="133">
        <v>40423</v>
      </c>
      <c r="B248" s="216">
        <v>8.67</v>
      </c>
      <c r="C248" s="94">
        <v>9800</v>
      </c>
      <c r="D248" s="137" t="s">
        <v>122</v>
      </c>
      <c r="E248" s="137" t="s">
        <v>122</v>
      </c>
      <c r="F248" s="137" t="s">
        <v>122</v>
      </c>
      <c r="G248" s="94" t="s">
        <v>122</v>
      </c>
      <c r="H248" s="136" t="s">
        <v>122</v>
      </c>
    </row>
    <row r="249" spans="1:8" ht="27" customHeight="1" x14ac:dyDescent="0.25">
      <c r="A249" s="133">
        <v>40424</v>
      </c>
      <c r="B249" s="216">
        <v>8.67</v>
      </c>
      <c r="C249" s="94">
        <v>9800</v>
      </c>
      <c r="D249" s="137" t="s">
        <v>122</v>
      </c>
      <c r="E249" s="137" t="s">
        <v>122</v>
      </c>
      <c r="F249" s="137" t="s">
        <v>122</v>
      </c>
      <c r="G249" s="94" t="s">
        <v>122</v>
      </c>
      <c r="H249" s="136" t="s">
        <v>122</v>
      </c>
    </row>
    <row r="250" spans="1:8" ht="27" customHeight="1" x14ac:dyDescent="0.25">
      <c r="A250" s="133">
        <v>40425</v>
      </c>
      <c r="B250" s="216">
        <v>8.67</v>
      </c>
      <c r="C250" s="94">
        <v>9800</v>
      </c>
      <c r="D250" s="137" t="s">
        <v>122</v>
      </c>
      <c r="E250" s="137" t="s">
        <v>122</v>
      </c>
      <c r="F250" s="137" t="s">
        <v>122</v>
      </c>
      <c r="G250" s="94" t="s">
        <v>122</v>
      </c>
      <c r="H250" s="136" t="s">
        <v>122</v>
      </c>
    </row>
    <row r="251" spans="1:8" ht="27" customHeight="1" x14ac:dyDescent="0.25">
      <c r="A251" s="133">
        <v>40426</v>
      </c>
      <c r="B251" s="216">
        <v>8.58</v>
      </c>
      <c r="C251" s="94">
        <v>9700</v>
      </c>
      <c r="D251" s="137" t="s">
        <v>122</v>
      </c>
      <c r="E251" s="137" t="s">
        <v>122</v>
      </c>
      <c r="F251" s="137" t="s">
        <v>122</v>
      </c>
      <c r="G251" s="94" t="s">
        <v>122</v>
      </c>
      <c r="H251" s="136" t="s">
        <v>122</v>
      </c>
    </row>
    <row r="252" spans="1:8" ht="27" customHeight="1" x14ac:dyDescent="0.25">
      <c r="A252" s="133">
        <v>40427</v>
      </c>
      <c r="B252" s="216">
        <v>8.58</v>
      </c>
      <c r="C252" s="94">
        <v>9700</v>
      </c>
      <c r="D252" s="137" t="s">
        <v>122</v>
      </c>
      <c r="E252" s="137" t="s">
        <v>122</v>
      </c>
      <c r="F252" s="137" t="s">
        <v>122</v>
      </c>
      <c r="G252" s="94" t="s">
        <v>122</v>
      </c>
      <c r="H252" s="136" t="s">
        <v>122</v>
      </c>
    </row>
    <row r="253" spans="1:8" ht="27" customHeight="1" x14ac:dyDescent="0.25">
      <c r="A253" s="133">
        <v>40428</v>
      </c>
      <c r="B253" s="216">
        <v>8.58</v>
      </c>
      <c r="C253" s="94">
        <v>9700</v>
      </c>
      <c r="D253" s="137" t="s">
        <v>122</v>
      </c>
      <c r="E253" s="137" t="s">
        <v>122</v>
      </c>
      <c r="F253" s="137" t="s">
        <v>122</v>
      </c>
      <c r="G253" s="94" t="s">
        <v>122</v>
      </c>
      <c r="H253" s="136" t="s">
        <v>122</v>
      </c>
    </row>
    <row r="254" spans="1:8" ht="27" customHeight="1" x14ac:dyDescent="0.25">
      <c r="A254" s="133">
        <v>40429</v>
      </c>
      <c r="B254" s="216">
        <v>8.58</v>
      </c>
      <c r="C254" s="94">
        <v>9700</v>
      </c>
      <c r="D254" s="137" t="s">
        <v>122</v>
      </c>
      <c r="E254" s="137" t="s">
        <v>122</v>
      </c>
      <c r="F254" s="137" t="s">
        <v>122</v>
      </c>
      <c r="G254" s="94" t="s">
        <v>122</v>
      </c>
      <c r="H254" s="136" t="s">
        <v>122</v>
      </c>
    </row>
    <row r="255" spans="1:8" ht="27" customHeight="1" x14ac:dyDescent="0.25">
      <c r="A255" s="133">
        <v>40430</v>
      </c>
      <c r="B255" s="216">
        <v>8.5</v>
      </c>
      <c r="C255" s="94">
        <v>9600</v>
      </c>
      <c r="D255" s="137" t="s">
        <v>122</v>
      </c>
      <c r="E255" s="137" t="s">
        <v>122</v>
      </c>
      <c r="F255" s="137" t="s">
        <v>122</v>
      </c>
      <c r="G255" s="94" t="s">
        <v>122</v>
      </c>
      <c r="H255" s="136" t="s">
        <v>122</v>
      </c>
    </row>
    <row r="256" spans="1:8" ht="27" customHeight="1" x14ac:dyDescent="0.25">
      <c r="A256" s="133">
        <v>40431</v>
      </c>
      <c r="B256" s="216">
        <v>8.5</v>
      </c>
      <c r="C256" s="94">
        <v>9600</v>
      </c>
      <c r="D256" s="137" t="s">
        <v>122</v>
      </c>
      <c r="E256" s="137" t="s">
        <v>122</v>
      </c>
      <c r="F256" s="137" t="s">
        <v>122</v>
      </c>
      <c r="G256" s="94" t="s">
        <v>122</v>
      </c>
      <c r="H256" s="136" t="s">
        <v>122</v>
      </c>
    </row>
    <row r="257" spans="1:8" ht="27" customHeight="1" x14ac:dyDescent="0.25">
      <c r="A257" s="133">
        <v>40432</v>
      </c>
      <c r="B257" s="216">
        <v>8.5</v>
      </c>
      <c r="C257" s="94">
        <v>9600</v>
      </c>
      <c r="D257" s="137" t="s">
        <v>122</v>
      </c>
      <c r="E257" s="137" t="s">
        <v>122</v>
      </c>
      <c r="F257" s="137" t="s">
        <v>122</v>
      </c>
      <c r="G257" s="94" t="s">
        <v>122</v>
      </c>
      <c r="H257" s="136" t="s">
        <v>122</v>
      </c>
    </row>
    <row r="258" spans="1:8" ht="27" customHeight="1" x14ac:dyDescent="0.25">
      <c r="A258" s="133">
        <v>40433</v>
      </c>
      <c r="B258" s="216">
        <v>8.5</v>
      </c>
      <c r="C258" s="94">
        <v>9600</v>
      </c>
      <c r="D258" s="137" t="s">
        <v>122</v>
      </c>
      <c r="E258" s="137" t="s">
        <v>122</v>
      </c>
      <c r="F258" s="137" t="s">
        <v>122</v>
      </c>
      <c r="G258" s="94" t="s">
        <v>122</v>
      </c>
      <c r="H258" s="136" t="s">
        <v>122</v>
      </c>
    </row>
    <row r="259" spans="1:8" ht="27" customHeight="1" x14ac:dyDescent="0.25">
      <c r="A259" s="133">
        <v>40434</v>
      </c>
      <c r="B259" s="216">
        <v>8.5</v>
      </c>
      <c r="C259" s="94">
        <v>9600</v>
      </c>
      <c r="D259" s="137" t="s">
        <v>122</v>
      </c>
      <c r="E259" s="137" t="s">
        <v>122</v>
      </c>
      <c r="F259" s="137" t="s">
        <v>122</v>
      </c>
      <c r="G259" s="94" t="s">
        <v>122</v>
      </c>
      <c r="H259" s="136" t="s">
        <v>122</v>
      </c>
    </row>
    <row r="260" spans="1:8" ht="27" customHeight="1" x14ac:dyDescent="0.25">
      <c r="A260" s="133">
        <v>40435</v>
      </c>
      <c r="B260" s="216">
        <v>8.5</v>
      </c>
      <c r="C260" s="94">
        <v>9600</v>
      </c>
      <c r="D260" s="137" t="s">
        <v>122</v>
      </c>
      <c r="E260" s="137" t="s">
        <v>122</v>
      </c>
      <c r="F260" s="137" t="s">
        <v>122</v>
      </c>
      <c r="G260" s="94" t="s">
        <v>122</v>
      </c>
      <c r="H260" s="136" t="s">
        <v>122</v>
      </c>
    </row>
    <row r="261" spans="1:8" ht="27" customHeight="1" x14ac:dyDescent="0.25">
      <c r="A261" s="133">
        <v>40436</v>
      </c>
      <c r="B261" s="216">
        <v>8.42</v>
      </c>
      <c r="C261" s="94">
        <v>9500</v>
      </c>
      <c r="D261" s="137" t="s">
        <v>122</v>
      </c>
      <c r="E261" s="137" t="s">
        <v>122</v>
      </c>
      <c r="F261" s="137" t="s">
        <v>122</v>
      </c>
      <c r="G261" s="94" t="s">
        <v>122</v>
      </c>
      <c r="H261" s="136" t="s">
        <v>122</v>
      </c>
    </row>
    <row r="262" spans="1:8" ht="27" customHeight="1" x14ac:dyDescent="0.25">
      <c r="A262" s="133">
        <v>40437</v>
      </c>
      <c r="B262" s="216">
        <v>8.42</v>
      </c>
      <c r="C262" s="94">
        <v>9500</v>
      </c>
      <c r="D262" s="137" t="s">
        <v>122</v>
      </c>
      <c r="E262" s="137" t="s">
        <v>122</v>
      </c>
      <c r="F262" s="137" t="s">
        <v>122</v>
      </c>
      <c r="G262" s="94" t="s">
        <v>122</v>
      </c>
      <c r="H262" s="136" t="s">
        <v>122</v>
      </c>
    </row>
    <row r="263" spans="1:8" ht="27" customHeight="1" x14ac:dyDescent="0.25">
      <c r="A263" s="133">
        <v>40438</v>
      </c>
      <c r="B263" s="216">
        <v>8.42</v>
      </c>
      <c r="C263" s="94">
        <v>9500</v>
      </c>
      <c r="D263" s="137" t="s">
        <v>122</v>
      </c>
      <c r="E263" s="137" t="s">
        <v>122</v>
      </c>
      <c r="F263" s="137" t="s">
        <v>122</v>
      </c>
      <c r="G263" s="94" t="s">
        <v>122</v>
      </c>
      <c r="H263" s="136" t="s">
        <v>122</v>
      </c>
    </row>
    <row r="264" spans="1:8" ht="27" customHeight="1" x14ac:dyDescent="0.25">
      <c r="A264" s="133">
        <v>40439</v>
      </c>
      <c r="B264" s="216">
        <v>8.42</v>
      </c>
      <c r="C264" s="94">
        <v>9500</v>
      </c>
      <c r="D264" s="137" t="s">
        <v>122</v>
      </c>
      <c r="E264" s="137" t="s">
        <v>122</v>
      </c>
      <c r="F264" s="137" t="s">
        <v>122</v>
      </c>
      <c r="G264" s="94" t="s">
        <v>122</v>
      </c>
      <c r="H264" s="136" t="s">
        <v>122</v>
      </c>
    </row>
    <row r="265" spans="1:8" ht="27" customHeight="1" x14ac:dyDescent="0.25">
      <c r="A265" s="133">
        <v>40440</v>
      </c>
      <c r="B265" s="216">
        <v>8.42</v>
      </c>
      <c r="C265" s="94">
        <v>9500</v>
      </c>
      <c r="D265" s="137" t="s">
        <v>122</v>
      </c>
      <c r="E265" s="137" t="s">
        <v>122</v>
      </c>
      <c r="F265" s="137" t="s">
        <v>122</v>
      </c>
      <c r="G265" s="94" t="s">
        <v>122</v>
      </c>
      <c r="H265" s="136" t="s">
        <v>122</v>
      </c>
    </row>
    <row r="266" spans="1:8" ht="27" customHeight="1" x14ac:dyDescent="0.25">
      <c r="A266" s="133">
        <v>40441</v>
      </c>
      <c r="B266" s="216">
        <v>8.33</v>
      </c>
      <c r="C266" s="94">
        <v>9400</v>
      </c>
      <c r="D266" s="137" t="s">
        <v>122</v>
      </c>
      <c r="E266" s="137" t="s">
        <v>122</v>
      </c>
      <c r="F266" s="137" t="s">
        <v>122</v>
      </c>
      <c r="G266" s="94" t="s">
        <v>122</v>
      </c>
      <c r="H266" s="136" t="s">
        <v>122</v>
      </c>
    </row>
    <row r="267" spans="1:8" ht="27" customHeight="1" x14ac:dyDescent="0.25">
      <c r="A267" s="133">
        <v>40442</v>
      </c>
      <c r="B267" s="216">
        <v>8.33</v>
      </c>
      <c r="C267" s="94">
        <v>9400</v>
      </c>
      <c r="D267" s="137" t="s">
        <v>122</v>
      </c>
      <c r="E267" s="137" t="s">
        <v>122</v>
      </c>
      <c r="F267" s="137" t="s">
        <v>122</v>
      </c>
      <c r="G267" s="94" t="s">
        <v>122</v>
      </c>
      <c r="H267" s="136" t="s">
        <v>122</v>
      </c>
    </row>
    <row r="268" spans="1:8" ht="27" customHeight="1" x14ac:dyDescent="0.25">
      <c r="A268" s="133">
        <v>40443</v>
      </c>
      <c r="B268" s="216">
        <v>8.75</v>
      </c>
      <c r="C268" s="94">
        <v>9900</v>
      </c>
      <c r="D268" s="137" t="s">
        <v>122</v>
      </c>
      <c r="E268" s="137" t="s">
        <v>122</v>
      </c>
      <c r="F268" s="137" t="s">
        <v>122</v>
      </c>
      <c r="G268" s="94" t="s">
        <v>122</v>
      </c>
      <c r="H268" s="136" t="s">
        <v>122</v>
      </c>
    </row>
    <row r="269" spans="1:8" ht="27" customHeight="1" x14ac:dyDescent="0.25">
      <c r="A269" s="133">
        <v>40444</v>
      </c>
      <c r="B269" s="216">
        <v>8.83</v>
      </c>
      <c r="C269" s="94">
        <v>10000</v>
      </c>
      <c r="D269" s="137" t="s">
        <v>122</v>
      </c>
      <c r="E269" s="137" t="s">
        <v>122</v>
      </c>
      <c r="F269" s="137" t="s">
        <v>122</v>
      </c>
      <c r="G269" s="94" t="s">
        <v>122</v>
      </c>
      <c r="H269" s="136" t="s">
        <v>122</v>
      </c>
    </row>
    <row r="270" spans="1:8" ht="27" customHeight="1" x14ac:dyDescent="0.25">
      <c r="A270" s="133">
        <v>40445</v>
      </c>
      <c r="B270" s="216">
        <v>8.83</v>
      </c>
      <c r="C270" s="94">
        <v>10000</v>
      </c>
      <c r="D270" s="137" t="s">
        <v>122</v>
      </c>
      <c r="E270" s="137" t="s">
        <v>122</v>
      </c>
      <c r="F270" s="137" t="s">
        <v>122</v>
      </c>
      <c r="G270" s="94" t="s">
        <v>122</v>
      </c>
      <c r="H270" s="136" t="s">
        <v>122</v>
      </c>
    </row>
    <row r="271" spans="1:8" ht="27" customHeight="1" x14ac:dyDescent="0.25">
      <c r="A271" s="133">
        <v>40446</v>
      </c>
      <c r="B271" s="216">
        <v>8.83</v>
      </c>
      <c r="C271" s="94">
        <v>10000</v>
      </c>
      <c r="D271" s="137" t="s">
        <v>122</v>
      </c>
      <c r="E271" s="137" t="s">
        <v>122</v>
      </c>
      <c r="F271" s="137" t="s">
        <v>122</v>
      </c>
      <c r="G271" s="94" t="s">
        <v>122</v>
      </c>
      <c r="H271" s="136" t="s">
        <v>122</v>
      </c>
    </row>
    <row r="272" spans="1:8" ht="27" customHeight="1" x14ac:dyDescent="0.25">
      <c r="A272" s="133">
        <v>40447</v>
      </c>
      <c r="B272" s="216">
        <v>8.83</v>
      </c>
      <c r="C272" s="94">
        <v>10000</v>
      </c>
      <c r="D272" s="137" t="s">
        <v>122</v>
      </c>
      <c r="E272" s="137" t="s">
        <v>122</v>
      </c>
      <c r="F272" s="137" t="s">
        <v>122</v>
      </c>
      <c r="G272" s="94" t="s">
        <v>122</v>
      </c>
      <c r="H272" s="136" t="s">
        <v>122</v>
      </c>
    </row>
    <row r="273" spans="1:8" ht="27" customHeight="1" x14ac:dyDescent="0.25">
      <c r="A273" s="133">
        <v>40448</v>
      </c>
      <c r="B273" s="216">
        <v>8.83</v>
      </c>
      <c r="C273" s="94">
        <v>10000</v>
      </c>
      <c r="D273" s="137" t="s">
        <v>122</v>
      </c>
      <c r="E273" s="137" t="s">
        <v>122</v>
      </c>
      <c r="F273" s="137" t="s">
        <v>122</v>
      </c>
      <c r="G273" s="94" t="s">
        <v>122</v>
      </c>
      <c r="H273" s="136" t="s">
        <v>122</v>
      </c>
    </row>
    <row r="274" spans="1:8" ht="27" customHeight="1" x14ac:dyDescent="0.25">
      <c r="A274" s="133">
        <v>40449</v>
      </c>
      <c r="B274" s="216">
        <v>8.83</v>
      </c>
      <c r="C274" s="94">
        <v>10000</v>
      </c>
      <c r="D274" s="137" t="s">
        <v>122</v>
      </c>
      <c r="E274" s="137" t="s">
        <v>122</v>
      </c>
      <c r="F274" s="137" t="s">
        <v>122</v>
      </c>
      <c r="G274" s="94" t="s">
        <v>122</v>
      </c>
      <c r="H274" s="136" t="s">
        <v>122</v>
      </c>
    </row>
    <row r="275" spans="1:8" ht="27" customHeight="1" x14ac:dyDescent="0.25">
      <c r="A275" s="133">
        <v>40450</v>
      </c>
      <c r="B275" s="216">
        <v>9.33</v>
      </c>
      <c r="C275" s="94">
        <v>10600</v>
      </c>
      <c r="D275" s="137" t="s">
        <v>122</v>
      </c>
      <c r="E275" s="137" t="s">
        <v>122</v>
      </c>
      <c r="F275" s="137" t="s">
        <v>122</v>
      </c>
      <c r="G275" s="94" t="s">
        <v>122</v>
      </c>
      <c r="H275" s="136" t="s">
        <v>122</v>
      </c>
    </row>
    <row r="276" spans="1:8" ht="27" customHeight="1" x14ac:dyDescent="0.25">
      <c r="A276" s="133">
        <v>40451</v>
      </c>
      <c r="B276" s="216">
        <v>9.33</v>
      </c>
      <c r="C276" s="94">
        <v>10600</v>
      </c>
      <c r="D276" s="137" t="s">
        <v>122</v>
      </c>
      <c r="E276" s="137" t="s">
        <v>122</v>
      </c>
      <c r="F276" s="137" t="s">
        <v>122</v>
      </c>
      <c r="G276" s="94" t="s">
        <v>122</v>
      </c>
      <c r="H276" s="136" t="s">
        <v>122</v>
      </c>
    </row>
    <row r="277" spans="1:8" ht="27" customHeight="1" x14ac:dyDescent="0.25">
      <c r="A277" s="133">
        <v>40452</v>
      </c>
      <c r="B277" s="217">
        <v>9.5</v>
      </c>
      <c r="C277" s="94">
        <v>10800</v>
      </c>
      <c r="D277" s="137" t="s">
        <v>122</v>
      </c>
      <c r="E277" s="137" t="s">
        <v>122</v>
      </c>
      <c r="F277" s="137" t="s">
        <v>122</v>
      </c>
      <c r="G277" s="94" t="s">
        <v>122</v>
      </c>
      <c r="H277" s="136" t="s">
        <v>122</v>
      </c>
    </row>
    <row r="278" spans="1:8" ht="27" customHeight="1" x14ac:dyDescent="0.25">
      <c r="A278" s="133">
        <v>40453</v>
      </c>
      <c r="B278" s="217">
        <v>9.58</v>
      </c>
      <c r="C278" s="94">
        <v>11100</v>
      </c>
      <c r="D278" s="137" t="s">
        <v>122</v>
      </c>
      <c r="E278" s="137" t="s">
        <v>122</v>
      </c>
      <c r="F278" s="137" t="s">
        <v>122</v>
      </c>
      <c r="G278" s="94" t="s">
        <v>122</v>
      </c>
      <c r="H278" s="136" t="s">
        <v>122</v>
      </c>
    </row>
    <row r="279" spans="1:8" ht="27" customHeight="1" x14ac:dyDescent="0.25">
      <c r="A279" s="133">
        <v>40454</v>
      </c>
      <c r="B279" s="217">
        <v>10</v>
      </c>
      <c r="C279" s="94">
        <v>11600</v>
      </c>
      <c r="D279" s="137" t="s">
        <v>122</v>
      </c>
      <c r="E279" s="137" t="s">
        <v>122</v>
      </c>
      <c r="F279" s="137" t="s">
        <v>122</v>
      </c>
      <c r="G279" s="94" t="s">
        <v>122</v>
      </c>
      <c r="H279" s="136" t="s">
        <v>122</v>
      </c>
    </row>
    <row r="280" spans="1:8" ht="27" customHeight="1" x14ac:dyDescent="0.25">
      <c r="A280" s="133">
        <v>40455</v>
      </c>
      <c r="B280" s="217">
        <v>10</v>
      </c>
      <c r="C280" s="94">
        <v>11600</v>
      </c>
      <c r="D280" s="137" t="s">
        <v>122</v>
      </c>
      <c r="E280" s="137" t="s">
        <v>122</v>
      </c>
      <c r="F280" s="137" t="s">
        <v>122</v>
      </c>
      <c r="G280" s="94" t="s">
        <v>122</v>
      </c>
      <c r="H280" s="136" t="s">
        <v>122</v>
      </c>
    </row>
    <row r="281" spans="1:8" ht="27" customHeight="1" x14ac:dyDescent="0.25">
      <c r="A281" s="133">
        <v>40456</v>
      </c>
      <c r="B281" s="217">
        <v>10.08</v>
      </c>
      <c r="C281" s="94">
        <v>11800</v>
      </c>
      <c r="D281" s="137" t="s">
        <v>122</v>
      </c>
      <c r="E281" s="137" t="s">
        <v>122</v>
      </c>
      <c r="F281" s="137" t="s">
        <v>122</v>
      </c>
      <c r="G281" s="94" t="s">
        <v>122</v>
      </c>
      <c r="H281" s="136" t="s">
        <v>122</v>
      </c>
    </row>
    <row r="282" spans="1:8" ht="27" customHeight="1" x14ac:dyDescent="0.25">
      <c r="A282" s="133">
        <v>40457</v>
      </c>
      <c r="B282" s="217">
        <v>10.08</v>
      </c>
      <c r="C282" s="94">
        <v>11800</v>
      </c>
      <c r="D282" s="137" t="s">
        <v>122</v>
      </c>
      <c r="E282" s="137" t="s">
        <v>122</v>
      </c>
      <c r="F282" s="137" t="s">
        <v>122</v>
      </c>
      <c r="G282" s="94" t="s">
        <v>122</v>
      </c>
      <c r="H282" s="136" t="s">
        <v>122</v>
      </c>
    </row>
    <row r="283" spans="1:8" ht="27" customHeight="1" x14ac:dyDescent="0.25">
      <c r="A283" s="133">
        <v>40458</v>
      </c>
      <c r="B283" s="217">
        <v>10.08</v>
      </c>
      <c r="C283" s="94">
        <v>11800</v>
      </c>
      <c r="D283" s="137" t="s">
        <v>122</v>
      </c>
      <c r="E283" s="137" t="s">
        <v>122</v>
      </c>
      <c r="F283" s="137" t="s">
        <v>122</v>
      </c>
      <c r="G283" s="94" t="s">
        <v>122</v>
      </c>
      <c r="H283" s="136" t="s">
        <v>122</v>
      </c>
    </row>
    <row r="284" spans="1:8" ht="27" customHeight="1" x14ac:dyDescent="0.25">
      <c r="A284" s="133">
        <v>40459</v>
      </c>
      <c r="B284" s="217">
        <v>10.08</v>
      </c>
      <c r="C284" s="94">
        <v>11800</v>
      </c>
      <c r="D284" s="137" t="s">
        <v>122</v>
      </c>
      <c r="E284" s="137" t="s">
        <v>122</v>
      </c>
      <c r="F284" s="137" t="s">
        <v>122</v>
      </c>
      <c r="G284" s="94" t="s">
        <v>122</v>
      </c>
      <c r="H284" s="136" t="s">
        <v>122</v>
      </c>
    </row>
    <row r="285" spans="1:8" ht="27" customHeight="1" x14ac:dyDescent="0.25">
      <c r="A285" s="133">
        <v>40460</v>
      </c>
      <c r="B285" s="217">
        <v>10.08</v>
      </c>
      <c r="C285" s="94">
        <v>11800</v>
      </c>
      <c r="D285" s="137" t="s">
        <v>122</v>
      </c>
      <c r="E285" s="137" t="s">
        <v>122</v>
      </c>
      <c r="F285" s="137" t="s">
        <v>122</v>
      </c>
      <c r="G285" s="94" t="s">
        <v>122</v>
      </c>
      <c r="H285" s="136" t="s">
        <v>122</v>
      </c>
    </row>
    <row r="286" spans="1:8" ht="27" customHeight="1" x14ac:dyDescent="0.25">
      <c r="A286" s="133">
        <v>40461</v>
      </c>
      <c r="B286" s="217">
        <v>10.08</v>
      </c>
      <c r="C286" s="94">
        <v>11800</v>
      </c>
      <c r="D286" s="137" t="s">
        <v>122</v>
      </c>
      <c r="E286" s="137" t="s">
        <v>122</v>
      </c>
      <c r="F286" s="137" t="s">
        <v>122</v>
      </c>
      <c r="G286" s="94" t="s">
        <v>122</v>
      </c>
      <c r="H286" s="136" t="s">
        <v>122</v>
      </c>
    </row>
    <row r="287" spans="1:8" ht="27" customHeight="1" x14ac:dyDescent="0.25">
      <c r="A287" s="133">
        <v>40462</v>
      </c>
      <c r="B287" s="217">
        <v>10.08</v>
      </c>
      <c r="C287" s="94">
        <v>11800</v>
      </c>
      <c r="D287" s="137" t="s">
        <v>122</v>
      </c>
      <c r="E287" s="137" t="s">
        <v>122</v>
      </c>
      <c r="F287" s="137" t="s">
        <v>122</v>
      </c>
      <c r="G287" s="94" t="s">
        <v>122</v>
      </c>
      <c r="H287" s="136" t="s">
        <v>122</v>
      </c>
    </row>
    <row r="288" spans="1:8" ht="27" customHeight="1" x14ac:dyDescent="0.25">
      <c r="A288" s="133">
        <v>40463</v>
      </c>
      <c r="B288" s="217">
        <v>10.08</v>
      </c>
      <c r="C288" s="94">
        <v>11800</v>
      </c>
      <c r="D288" s="137" t="s">
        <v>122</v>
      </c>
      <c r="E288" s="137" t="s">
        <v>122</v>
      </c>
      <c r="F288" s="137" t="s">
        <v>122</v>
      </c>
      <c r="G288" s="94" t="s">
        <v>122</v>
      </c>
      <c r="H288" s="136" t="s">
        <v>122</v>
      </c>
    </row>
    <row r="289" spans="1:8" ht="27" customHeight="1" x14ac:dyDescent="0.25">
      <c r="A289" s="133">
        <v>40464</v>
      </c>
      <c r="B289" s="217">
        <v>10.08</v>
      </c>
      <c r="C289" s="94">
        <v>11800</v>
      </c>
      <c r="D289" s="137" t="s">
        <v>122</v>
      </c>
      <c r="E289" s="137" t="s">
        <v>122</v>
      </c>
      <c r="F289" s="137" t="s">
        <v>122</v>
      </c>
      <c r="G289" s="94" t="s">
        <v>122</v>
      </c>
      <c r="H289" s="136" t="s">
        <v>122</v>
      </c>
    </row>
    <row r="290" spans="1:8" ht="27" customHeight="1" x14ac:dyDescent="0.25">
      <c r="A290" s="133">
        <v>40465</v>
      </c>
      <c r="B290" s="217">
        <v>10.08</v>
      </c>
      <c r="C290" s="94">
        <v>11800</v>
      </c>
      <c r="D290" s="137" t="s">
        <v>122</v>
      </c>
      <c r="E290" s="137" t="s">
        <v>122</v>
      </c>
      <c r="F290" s="137" t="s">
        <v>122</v>
      </c>
      <c r="G290" s="94" t="s">
        <v>122</v>
      </c>
      <c r="H290" s="136" t="s">
        <v>122</v>
      </c>
    </row>
    <row r="291" spans="1:8" ht="27" customHeight="1" x14ac:dyDescent="0.25">
      <c r="A291" s="133">
        <v>40466</v>
      </c>
      <c r="B291" s="217">
        <v>10.08</v>
      </c>
      <c r="C291" s="94">
        <v>11800</v>
      </c>
      <c r="D291" s="137" t="s">
        <v>122</v>
      </c>
      <c r="E291" s="137" t="s">
        <v>122</v>
      </c>
      <c r="F291" s="137" t="s">
        <v>122</v>
      </c>
      <c r="G291" s="94" t="s">
        <v>122</v>
      </c>
      <c r="H291" s="136" t="s">
        <v>122</v>
      </c>
    </row>
    <row r="292" spans="1:8" ht="27" customHeight="1" x14ac:dyDescent="0.25">
      <c r="A292" s="133">
        <v>40467</v>
      </c>
      <c r="B292" s="217">
        <v>10</v>
      </c>
      <c r="C292" s="94">
        <v>11600</v>
      </c>
      <c r="D292" s="137" t="s">
        <v>122</v>
      </c>
      <c r="E292" s="137" t="s">
        <v>122</v>
      </c>
      <c r="F292" s="137" t="s">
        <v>122</v>
      </c>
      <c r="G292" s="94" t="s">
        <v>122</v>
      </c>
      <c r="H292" s="136" t="s">
        <v>122</v>
      </c>
    </row>
    <row r="293" spans="1:8" ht="27" customHeight="1" x14ac:dyDescent="0.25">
      <c r="A293" s="133">
        <v>40468</v>
      </c>
      <c r="B293" s="217">
        <v>10</v>
      </c>
      <c r="C293" s="94">
        <v>11600</v>
      </c>
      <c r="D293" s="137" t="s">
        <v>122</v>
      </c>
      <c r="E293" s="137" t="s">
        <v>122</v>
      </c>
      <c r="F293" s="137" t="s">
        <v>122</v>
      </c>
      <c r="G293" s="94" t="s">
        <v>122</v>
      </c>
      <c r="H293" s="136" t="s">
        <v>122</v>
      </c>
    </row>
    <row r="294" spans="1:8" ht="27" customHeight="1" x14ac:dyDescent="0.25">
      <c r="A294" s="133">
        <v>40469</v>
      </c>
      <c r="B294" s="217">
        <v>10</v>
      </c>
      <c r="C294" s="94">
        <v>11600</v>
      </c>
      <c r="D294" s="137" t="s">
        <v>122</v>
      </c>
      <c r="E294" s="137" t="s">
        <v>122</v>
      </c>
      <c r="F294" s="137" t="s">
        <v>122</v>
      </c>
      <c r="G294" s="94" t="s">
        <v>122</v>
      </c>
      <c r="H294" s="136" t="s">
        <v>122</v>
      </c>
    </row>
    <row r="295" spans="1:8" ht="27" customHeight="1" x14ac:dyDescent="0.25">
      <c r="A295" s="133">
        <v>40470</v>
      </c>
      <c r="B295" s="217">
        <v>10</v>
      </c>
      <c r="C295" s="94">
        <v>11600</v>
      </c>
      <c r="D295" s="137" t="s">
        <v>122</v>
      </c>
      <c r="E295" s="137" t="s">
        <v>122</v>
      </c>
      <c r="F295" s="137" t="s">
        <v>122</v>
      </c>
      <c r="G295" s="94" t="s">
        <v>122</v>
      </c>
      <c r="H295" s="136" t="s">
        <v>122</v>
      </c>
    </row>
    <row r="296" spans="1:8" ht="27" customHeight="1" x14ac:dyDescent="0.25">
      <c r="A296" s="133">
        <v>40471</v>
      </c>
      <c r="B296" s="217">
        <v>10</v>
      </c>
      <c r="C296" s="94">
        <v>11600</v>
      </c>
      <c r="D296" s="137" t="s">
        <v>122</v>
      </c>
      <c r="E296" s="137" t="s">
        <v>122</v>
      </c>
      <c r="F296" s="137" t="s">
        <v>122</v>
      </c>
      <c r="G296" s="94" t="s">
        <v>122</v>
      </c>
      <c r="H296" s="136" t="s">
        <v>122</v>
      </c>
    </row>
    <row r="297" spans="1:8" ht="27" customHeight="1" x14ac:dyDescent="0.25">
      <c r="A297" s="133">
        <v>40472</v>
      </c>
      <c r="B297" s="216">
        <v>9.92</v>
      </c>
      <c r="C297" s="94">
        <v>11500</v>
      </c>
      <c r="D297" s="137" t="s">
        <v>122</v>
      </c>
      <c r="E297" s="137" t="s">
        <v>122</v>
      </c>
      <c r="F297" s="137" t="s">
        <v>122</v>
      </c>
      <c r="G297" s="94" t="s">
        <v>122</v>
      </c>
      <c r="H297" s="136" t="s">
        <v>122</v>
      </c>
    </row>
    <row r="298" spans="1:8" ht="27" customHeight="1" x14ac:dyDescent="0.25">
      <c r="A298" s="133">
        <v>40473</v>
      </c>
      <c r="B298" s="216">
        <v>9.92</v>
      </c>
      <c r="C298" s="94">
        <v>11500</v>
      </c>
      <c r="D298" s="137" t="s">
        <v>122</v>
      </c>
      <c r="E298" s="137" t="s">
        <v>122</v>
      </c>
      <c r="F298" s="137" t="s">
        <v>122</v>
      </c>
      <c r="G298" s="94" t="s">
        <v>122</v>
      </c>
      <c r="H298" s="136" t="s">
        <v>122</v>
      </c>
    </row>
    <row r="299" spans="1:8" ht="27" customHeight="1" x14ac:dyDescent="0.25">
      <c r="A299" s="133">
        <v>40474</v>
      </c>
      <c r="B299" s="216">
        <v>9.92</v>
      </c>
      <c r="C299" s="94">
        <v>11500</v>
      </c>
      <c r="D299" s="137" t="s">
        <v>122</v>
      </c>
      <c r="E299" s="137" t="s">
        <v>122</v>
      </c>
      <c r="F299" s="137" t="s">
        <v>122</v>
      </c>
      <c r="G299" s="94" t="s">
        <v>122</v>
      </c>
      <c r="H299" s="136" t="s">
        <v>122</v>
      </c>
    </row>
    <row r="300" spans="1:8" ht="27" customHeight="1" x14ac:dyDescent="0.25">
      <c r="A300" s="133">
        <v>40475</v>
      </c>
      <c r="B300" s="216">
        <v>9.92</v>
      </c>
      <c r="C300" s="94">
        <v>11500</v>
      </c>
      <c r="D300" s="137" t="s">
        <v>122</v>
      </c>
      <c r="E300" s="137" t="s">
        <v>122</v>
      </c>
      <c r="F300" s="137" t="s">
        <v>122</v>
      </c>
      <c r="G300" s="94" t="s">
        <v>122</v>
      </c>
      <c r="H300" s="136" t="s">
        <v>122</v>
      </c>
    </row>
    <row r="301" spans="1:8" ht="27" customHeight="1" x14ac:dyDescent="0.25">
      <c r="A301" s="133">
        <v>40476</v>
      </c>
      <c r="B301" s="216">
        <v>9.92</v>
      </c>
      <c r="C301" s="94">
        <v>11500</v>
      </c>
      <c r="D301" s="137" t="s">
        <v>122</v>
      </c>
      <c r="E301" s="137" t="s">
        <v>122</v>
      </c>
      <c r="F301" s="137" t="s">
        <v>122</v>
      </c>
      <c r="G301" s="94" t="s">
        <v>122</v>
      </c>
      <c r="H301" s="136" t="s">
        <v>122</v>
      </c>
    </row>
    <row r="302" spans="1:8" ht="27" customHeight="1" x14ac:dyDescent="0.25">
      <c r="A302" s="133">
        <v>40477</v>
      </c>
      <c r="B302" s="216">
        <v>9.83</v>
      </c>
      <c r="C302" s="94">
        <v>11400</v>
      </c>
      <c r="D302" s="137" t="s">
        <v>122</v>
      </c>
      <c r="E302" s="137" t="s">
        <v>122</v>
      </c>
      <c r="F302" s="137" t="s">
        <v>122</v>
      </c>
      <c r="G302" s="94" t="s">
        <v>122</v>
      </c>
      <c r="H302" s="136" t="s">
        <v>122</v>
      </c>
    </row>
    <row r="303" spans="1:8" ht="27" customHeight="1" x14ac:dyDescent="0.25">
      <c r="A303" s="133">
        <v>40478</v>
      </c>
      <c r="B303" s="216">
        <v>9.83</v>
      </c>
      <c r="C303" s="94">
        <v>11400</v>
      </c>
      <c r="D303" s="137" t="s">
        <v>122</v>
      </c>
      <c r="E303" s="137" t="s">
        <v>122</v>
      </c>
      <c r="F303" s="137" t="s">
        <v>122</v>
      </c>
      <c r="G303" s="94" t="s">
        <v>122</v>
      </c>
      <c r="H303" s="136" t="s">
        <v>122</v>
      </c>
    </row>
    <row r="304" spans="1:8" ht="27" customHeight="1" x14ac:dyDescent="0.25">
      <c r="A304" s="133">
        <v>40479</v>
      </c>
      <c r="B304" s="216">
        <v>9.83</v>
      </c>
      <c r="C304" s="94">
        <v>11400</v>
      </c>
      <c r="D304" s="137" t="s">
        <v>122</v>
      </c>
      <c r="E304" s="137" t="s">
        <v>122</v>
      </c>
      <c r="F304" s="137" t="s">
        <v>122</v>
      </c>
      <c r="G304" s="94" t="s">
        <v>122</v>
      </c>
      <c r="H304" s="136" t="s">
        <v>122</v>
      </c>
    </row>
    <row r="305" spans="1:8" ht="27" customHeight="1" x14ac:dyDescent="0.25">
      <c r="A305" s="133">
        <v>40480</v>
      </c>
      <c r="B305" s="216">
        <v>9.83</v>
      </c>
      <c r="C305" s="94">
        <v>11400</v>
      </c>
      <c r="D305" s="137" t="s">
        <v>122</v>
      </c>
      <c r="E305" s="137" t="s">
        <v>122</v>
      </c>
      <c r="F305" s="137" t="s">
        <v>122</v>
      </c>
      <c r="G305" s="94" t="s">
        <v>122</v>
      </c>
      <c r="H305" s="136" t="s">
        <v>122</v>
      </c>
    </row>
    <row r="306" spans="1:8" ht="27" customHeight="1" x14ac:dyDescent="0.25">
      <c r="A306" s="133">
        <v>40481</v>
      </c>
      <c r="B306" s="216">
        <v>9.83</v>
      </c>
      <c r="C306" s="94">
        <v>11400</v>
      </c>
      <c r="D306" s="137" t="s">
        <v>122</v>
      </c>
      <c r="E306" s="137" t="s">
        <v>122</v>
      </c>
      <c r="F306" s="137" t="s">
        <v>122</v>
      </c>
      <c r="G306" s="94" t="s">
        <v>122</v>
      </c>
      <c r="H306" s="136" t="s">
        <v>122</v>
      </c>
    </row>
    <row r="307" spans="1:8" ht="27" customHeight="1" x14ac:dyDescent="0.25">
      <c r="A307" s="133">
        <v>40482</v>
      </c>
      <c r="B307" s="216">
        <v>9.83</v>
      </c>
      <c r="C307" s="94">
        <v>11400</v>
      </c>
      <c r="D307" s="137" t="s">
        <v>122</v>
      </c>
      <c r="E307" s="137" t="s">
        <v>122</v>
      </c>
      <c r="F307" s="137" t="s">
        <v>122</v>
      </c>
      <c r="G307" s="94" t="s">
        <v>122</v>
      </c>
      <c r="H307" s="136" t="s">
        <v>122</v>
      </c>
    </row>
    <row r="308" spans="1:8" ht="27" customHeight="1" x14ac:dyDescent="0.25">
      <c r="A308" s="133">
        <v>40483</v>
      </c>
      <c r="B308" s="216">
        <v>9.83</v>
      </c>
      <c r="C308" s="94">
        <v>11400</v>
      </c>
      <c r="D308" s="137" t="s">
        <v>122</v>
      </c>
      <c r="E308" s="137" t="s">
        <v>122</v>
      </c>
      <c r="F308" s="137" t="s">
        <v>122</v>
      </c>
      <c r="G308" s="94" t="s">
        <v>122</v>
      </c>
      <c r="H308" s="136" t="s">
        <v>122</v>
      </c>
    </row>
    <row r="309" spans="1:8" ht="27" customHeight="1" x14ac:dyDescent="0.25">
      <c r="A309" s="133">
        <v>40484</v>
      </c>
      <c r="B309" s="216">
        <v>9.83</v>
      </c>
      <c r="C309" s="94">
        <v>11400</v>
      </c>
      <c r="D309" s="137" t="s">
        <v>122</v>
      </c>
      <c r="E309" s="137" t="s">
        <v>122</v>
      </c>
      <c r="F309" s="137" t="s">
        <v>122</v>
      </c>
      <c r="G309" s="94" t="s">
        <v>122</v>
      </c>
      <c r="H309" s="136" t="s">
        <v>122</v>
      </c>
    </row>
    <row r="310" spans="1:8" ht="27" customHeight="1" x14ac:dyDescent="0.25">
      <c r="A310" s="133">
        <v>40485</v>
      </c>
      <c r="B310" s="216">
        <v>9.83</v>
      </c>
      <c r="C310" s="94">
        <v>11400</v>
      </c>
      <c r="D310" s="137" t="s">
        <v>122</v>
      </c>
      <c r="E310" s="137" t="s">
        <v>122</v>
      </c>
      <c r="F310" s="137" t="s">
        <v>122</v>
      </c>
      <c r="G310" s="94" t="s">
        <v>122</v>
      </c>
      <c r="H310" s="136" t="s">
        <v>122</v>
      </c>
    </row>
    <row r="311" spans="1:8" ht="27" customHeight="1" x14ac:dyDescent="0.25">
      <c r="A311" s="133">
        <v>40486</v>
      </c>
      <c r="B311" s="216">
        <v>9.83</v>
      </c>
      <c r="C311" s="94">
        <v>11400</v>
      </c>
      <c r="D311" s="137" t="s">
        <v>122</v>
      </c>
      <c r="E311" s="137" t="s">
        <v>122</v>
      </c>
      <c r="F311" s="137" t="s">
        <v>122</v>
      </c>
      <c r="G311" s="94" t="s">
        <v>122</v>
      </c>
      <c r="H311" s="136" t="s">
        <v>122</v>
      </c>
    </row>
    <row r="312" spans="1:8" ht="27" customHeight="1" x14ac:dyDescent="0.25">
      <c r="A312" s="133">
        <v>40487</v>
      </c>
      <c r="B312" s="216">
        <v>9.92</v>
      </c>
      <c r="C312" s="94">
        <v>11500</v>
      </c>
      <c r="D312" s="137" t="s">
        <v>122</v>
      </c>
      <c r="E312" s="137" t="s">
        <v>122</v>
      </c>
      <c r="F312" s="137" t="s">
        <v>122</v>
      </c>
      <c r="G312" s="94" t="s">
        <v>122</v>
      </c>
      <c r="H312" s="136" t="s">
        <v>122</v>
      </c>
    </row>
    <row r="313" spans="1:8" ht="27" customHeight="1" x14ac:dyDescent="0.25">
      <c r="A313" s="133">
        <v>40488</v>
      </c>
      <c r="B313" s="216">
        <v>10</v>
      </c>
      <c r="C313" s="94">
        <v>11600</v>
      </c>
      <c r="D313" s="137" t="s">
        <v>122</v>
      </c>
      <c r="E313" s="137" t="s">
        <v>122</v>
      </c>
      <c r="F313" s="137" t="s">
        <v>122</v>
      </c>
      <c r="G313" s="94" t="s">
        <v>122</v>
      </c>
      <c r="H313" s="136" t="s">
        <v>122</v>
      </c>
    </row>
    <row r="314" spans="1:8" ht="27" customHeight="1" x14ac:dyDescent="0.25">
      <c r="A314" s="133">
        <v>40489</v>
      </c>
      <c r="B314" s="216">
        <v>10</v>
      </c>
      <c r="C314" s="94">
        <v>11600</v>
      </c>
      <c r="D314" s="137" t="s">
        <v>122</v>
      </c>
      <c r="E314" s="137" t="s">
        <v>122</v>
      </c>
      <c r="F314" s="137" t="s">
        <v>122</v>
      </c>
      <c r="G314" s="94" t="s">
        <v>122</v>
      </c>
      <c r="H314" s="136" t="s">
        <v>122</v>
      </c>
    </row>
    <row r="315" spans="1:8" ht="27" customHeight="1" x14ac:dyDescent="0.25">
      <c r="A315" s="133">
        <v>40490</v>
      </c>
      <c r="B315" s="216">
        <v>10</v>
      </c>
      <c r="C315" s="94">
        <v>11600</v>
      </c>
      <c r="D315" s="137" t="s">
        <v>122</v>
      </c>
      <c r="E315" s="137" t="s">
        <v>122</v>
      </c>
      <c r="F315" s="137" t="s">
        <v>122</v>
      </c>
      <c r="G315" s="94" t="s">
        <v>122</v>
      </c>
      <c r="H315" s="136" t="s">
        <v>122</v>
      </c>
    </row>
    <row r="316" spans="1:8" ht="27" customHeight="1" x14ac:dyDescent="0.25">
      <c r="A316" s="133">
        <v>40491</v>
      </c>
      <c r="B316" s="216">
        <v>10</v>
      </c>
      <c r="C316" s="94">
        <v>11600</v>
      </c>
      <c r="D316" s="137" t="s">
        <v>122</v>
      </c>
      <c r="E316" s="137" t="s">
        <v>122</v>
      </c>
      <c r="F316" s="137" t="s">
        <v>122</v>
      </c>
      <c r="G316" s="94" t="s">
        <v>122</v>
      </c>
      <c r="H316" s="136" t="s">
        <v>122</v>
      </c>
    </row>
    <row r="317" spans="1:8" ht="27" customHeight="1" x14ac:dyDescent="0.25">
      <c r="A317" s="133">
        <v>40492</v>
      </c>
      <c r="B317" s="216">
        <v>10.08</v>
      </c>
      <c r="C317" s="94">
        <v>11800</v>
      </c>
      <c r="D317" s="137" t="s">
        <v>122</v>
      </c>
      <c r="E317" s="137" t="s">
        <v>122</v>
      </c>
      <c r="F317" s="137" t="s">
        <v>122</v>
      </c>
      <c r="G317" s="94" t="s">
        <v>122</v>
      </c>
      <c r="H317" s="136" t="s">
        <v>122</v>
      </c>
    </row>
    <row r="318" spans="1:8" ht="27" customHeight="1" x14ac:dyDescent="0.25">
      <c r="A318" s="133">
        <v>40493</v>
      </c>
      <c r="B318" s="216">
        <v>10.08</v>
      </c>
      <c r="C318" s="94">
        <v>11800</v>
      </c>
      <c r="D318" s="137" t="s">
        <v>122</v>
      </c>
      <c r="E318" s="137" t="s">
        <v>122</v>
      </c>
      <c r="F318" s="137" t="s">
        <v>122</v>
      </c>
      <c r="G318" s="94" t="s">
        <v>122</v>
      </c>
      <c r="H318" s="136" t="s">
        <v>122</v>
      </c>
    </row>
    <row r="319" spans="1:8" ht="27" customHeight="1" x14ac:dyDescent="0.25">
      <c r="A319" s="133">
        <v>40494</v>
      </c>
      <c r="B319" s="216">
        <v>10.08</v>
      </c>
      <c r="C319" s="94">
        <v>11800</v>
      </c>
      <c r="D319" s="137" t="s">
        <v>122</v>
      </c>
      <c r="E319" s="137" t="s">
        <v>122</v>
      </c>
      <c r="F319" s="137" t="s">
        <v>122</v>
      </c>
      <c r="G319" s="94" t="s">
        <v>122</v>
      </c>
      <c r="H319" s="136" t="s">
        <v>122</v>
      </c>
    </row>
    <row r="320" spans="1:8" ht="27" customHeight="1" x14ac:dyDescent="0.25">
      <c r="A320" s="133">
        <v>40495</v>
      </c>
      <c r="B320" s="216">
        <v>10.17</v>
      </c>
      <c r="C320" s="94">
        <v>12000</v>
      </c>
      <c r="D320" s="137" t="s">
        <v>122</v>
      </c>
      <c r="E320" s="137" t="s">
        <v>122</v>
      </c>
      <c r="F320" s="137" t="s">
        <v>122</v>
      </c>
      <c r="G320" s="94" t="s">
        <v>122</v>
      </c>
      <c r="H320" s="136" t="s">
        <v>122</v>
      </c>
    </row>
    <row r="321" spans="1:8" ht="27" customHeight="1" x14ac:dyDescent="0.25">
      <c r="A321" s="133">
        <v>40496</v>
      </c>
      <c r="B321" s="216">
        <v>10.17</v>
      </c>
      <c r="C321" s="94">
        <v>12000</v>
      </c>
      <c r="D321" s="137" t="s">
        <v>122</v>
      </c>
      <c r="E321" s="137" t="s">
        <v>122</v>
      </c>
      <c r="F321" s="137" t="s">
        <v>122</v>
      </c>
      <c r="G321" s="94" t="s">
        <v>122</v>
      </c>
      <c r="H321" s="136" t="s">
        <v>122</v>
      </c>
    </row>
    <row r="322" spans="1:8" ht="27" customHeight="1" x14ac:dyDescent="0.25">
      <c r="A322" s="133">
        <v>40497</v>
      </c>
      <c r="B322" s="216">
        <v>10.17</v>
      </c>
      <c r="C322" s="94">
        <v>12000</v>
      </c>
      <c r="D322" s="137" t="s">
        <v>122</v>
      </c>
      <c r="E322" s="137" t="s">
        <v>122</v>
      </c>
      <c r="F322" s="137" t="s">
        <v>122</v>
      </c>
      <c r="G322" s="94" t="s">
        <v>122</v>
      </c>
      <c r="H322" s="136" t="s">
        <v>122</v>
      </c>
    </row>
    <row r="323" spans="1:8" ht="27" customHeight="1" x14ac:dyDescent="0.25">
      <c r="A323" s="133">
        <v>40498</v>
      </c>
      <c r="B323" s="216">
        <v>10.17</v>
      </c>
      <c r="C323" s="94">
        <v>12000</v>
      </c>
      <c r="D323" s="137" t="s">
        <v>122</v>
      </c>
      <c r="E323" s="137" t="s">
        <v>122</v>
      </c>
      <c r="F323" s="137" t="s">
        <v>122</v>
      </c>
      <c r="G323" s="94" t="s">
        <v>122</v>
      </c>
      <c r="H323" s="136" t="s">
        <v>122</v>
      </c>
    </row>
    <row r="324" spans="1:8" ht="27" customHeight="1" x14ac:dyDescent="0.25">
      <c r="A324" s="133">
        <v>40499</v>
      </c>
      <c r="B324" s="216">
        <v>10.17</v>
      </c>
      <c r="C324" s="94">
        <v>12000</v>
      </c>
      <c r="D324" s="137" t="s">
        <v>122</v>
      </c>
      <c r="E324" s="137" t="s">
        <v>122</v>
      </c>
      <c r="F324" s="137" t="s">
        <v>122</v>
      </c>
      <c r="G324" s="94" t="s">
        <v>122</v>
      </c>
      <c r="H324" s="136" t="s">
        <v>122</v>
      </c>
    </row>
    <row r="325" spans="1:8" ht="27" customHeight="1" x14ac:dyDescent="0.25">
      <c r="A325" s="133">
        <v>40500</v>
      </c>
      <c r="B325" s="216">
        <v>10.25</v>
      </c>
      <c r="C325" s="94">
        <v>12200</v>
      </c>
      <c r="D325" s="137" t="s">
        <v>122</v>
      </c>
      <c r="E325" s="137" t="s">
        <v>122</v>
      </c>
      <c r="F325" s="137" t="s">
        <v>122</v>
      </c>
      <c r="G325" s="94" t="s">
        <v>122</v>
      </c>
      <c r="H325" s="136" t="s">
        <v>122</v>
      </c>
    </row>
    <row r="326" spans="1:8" ht="27" customHeight="1" x14ac:dyDescent="0.25">
      <c r="A326" s="133">
        <v>40501</v>
      </c>
      <c r="B326" s="216">
        <v>10.25</v>
      </c>
      <c r="C326" s="94">
        <v>12200</v>
      </c>
      <c r="D326" s="137" t="s">
        <v>122</v>
      </c>
      <c r="E326" s="137" t="s">
        <v>122</v>
      </c>
      <c r="F326" s="137" t="s">
        <v>122</v>
      </c>
      <c r="G326" s="94" t="s">
        <v>122</v>
      </c>
      <c r="H326" s="136" t="s">
        <v>122</v>
      </c>
    </row>
    <row r="327" spans="1:8" ht="27" customHeight="1" x14ac:dyDescent="0.25">
      <c r="A327" s="133">
        <v>40502</v>
      </c>
      <c r="B327" s="216">
        <v>10.33</v>
      </c>
      <c r="C327" s="94">
        <v>12300</v>
      </c>
      <c r="D327" s="137" t="s">
        <v>122</v>
      </c>
      <c r="E327" s="137" t="s">
        <v>122</v>
      </c>
      <c r="F327" s="137" t="s">
        <v>122</v>
      </c>
      <c r="G327" s="94" t="s">
        <v>122</v>
      </c>
      <c r="H327" s="136" t="s">
        <v>122</v>
      </c>
    </row>
    <row r="328" spans="1:8" ht="27" customHeight="1" x14ac:dyDescent="0.25">
      <c r="A328" s="133">
        <v>40503</v>
      </c>
      <c r="B328" s="216">
        <v>10.33</v>
      </c>
      <c r="C328" s="94">
        <v>12300</v>
      </c>
      <c r="D328" s="137" t="s">
        <v>122</v>
      </c>
      <c r="E328" s="137" t="s">
        <v>122</v>
      </c>
      <c r="F328" s="137" t="s">
        <v>122</v>
      </c>
      <c r="G328" s="94" t="s">
        <v>122</v>
      </c>
      <c r="H328" s="136" t="s">
        <v>122</v>
      </c>
    </row>
    <row r="329" spans="1:8" ht="27" customHeight="1" x14ac:dyDescent="0.25">
      <c r="A329" s="133">
        <v>40504</v>
      </c>
      <c r="B329" s="216">
        <v>10.58</v>
      </c>
      <c r="C329" s="94">
        <v>12600</v>
      </c>
      <c r="D329" s="137" t="s">
        <v>122</v>
      </c>
      <c r="E329" s="137" t="s">
        <v>122</v>
      </c>
      <c r="F329" s="137" t="s">
        <v>122</v>
      </c>
      <c r="G329" s="94" t="s">
        <v>122</v>
      </c>
      <c r="H329" s="136" t="s">
        <v>122</v>
      </c>
    </row>
    <row r="330" spans="1:8" ht="27" customHeight="1" x14ac:dyDescent="0.25">
      <c r="A330" s="133">
        <v>40505</v>
      </c>
      <c r="B330" s="216">
        <v>10.67</v>
      </c>
      <c r="C330" s="94">
        <v>12800</v>
      </c>
      <c r="D330" s="137" t="s">
        <v>122</v>
      </c>
      <c r="E330" s="137" t="s">
        <v>122</v>
      </c>
      <c r="F330" s="137" t="s">
        <v>122</v>
      </c>
      <c r="G330" s="94" t="s">
        <v>122</v>
      </c>
      <c r="H330" s="136" t="s">
        <v>122</v>
      </c>
    </row>
    <row r="331" spans="1:8" ht="27" customHeight="1" x14ac:dyDescent="0.25">
      <c r="A331" s="133">
        <v>40506</v>
      </c>
      <c r="B331" s="216">
        <v>10.58</v>
      </c>
      <c r="C331" s="94">
        <v>12600</v>
      </c>
      <c r="D331" s="137" t="s">
        <v>122</v>
      </c>
      <c r="E331" s="137" t="s">
        <v>122</v>
      </c>
      <c r="F331" s="137" t="s">
        <v>122</v>
      </c>
      <c r="G331" s="94" t="s">
        <v>122</v>
      </c>
      <c r="H331" s="136" t="s">
        <v>122</v>
      </c>
    </row>
    <row r="332" spans="1:8" ht="27" customHeight="1" x14ac:dyDescent="0.25">
      <c r="A332" s="133">
        <v>40507</v>
      </c>
      <c r="B332" s="216">
        <v>11.25</v>
      </c>
      <c r="C332" s="94">
        <v>13800</v>
      </c>
      <c r="D332" s="137" t="s">
        <v>122</v>
      </c>
      <c r="E332" s="137" t="s">
        <v>122</v>
      </c>
      <c r="F332" s="137" t="s">
        <v>122</v>
      </c>
      <c r="G332" s="94" t="s">
        <v>122</v>
      </c>
      <c r="H332" s="136" t="s">
        <v>122</v>
      </c>
    </row>
    <row r="333" spans="1:8" ht="27" customHeight="1" x14ac:dyDescent="0.25">
      <c r="A333" s="133">
        <v>40508</v>
      </c>
      <c r="B333" s="216">
        <v>11.5</v>
      </c>
      <c r="C333" s="94">
        <v>14400</v>
      </c>
      <c r="D333" s="137" t="s">
        <v>122</v>
      </c>
      <c r="E333" s="137" t="s">
        <v>122</v>
      </c>
      <c r="F333" s="137" t="s">
        <v>122</v>
      </c>
      <c r="G333" s="94" t="s">
        <v>122</v>
      </c>
      <c r="H333" s="136" t="s">
        <v>122</v>
      </c>
    </row>
    <row r="334" spans="1:8" ht="27" customHeight="1" x14ac:dyDescent="0.25">
      <c r="A334" s="133">
        <v>40509</v>
      </c>
      <c r="B334" s="216">
        <v>11.5</v>
      </c>
      <c r="C334" s="94">
        <v>14400</v>
      </c>
      <c r="D334" s="137" t="s">
        <v>122</v>
      </c>
      <c r="E334" s="137" t="s">
        <v>122</v>
      </c>
      <c r="F334" s="137" t="s">
        <v>122</v>
      </c>
      <c r="G334" s="94" t="s">
        <v>122</v>
      </c>
      <c r="H334" s="136" t="s">
        <v>122</v>
      </c>
    </row>
    <row r="335" spans="1:8" ht="27" customHeight="1" x14ac:dyDescent="0.25">
      <c r="A335" s="133">
        <v>40510</v>
      </c>
      <c r="B335" s="216">
        <v>11.67</v>
      </c>
      <c r="C335" s="94">
        <v>14700</v>
      </c>
      <c r="D335" s="137" t="s">
        <v>122</v>
      </c>
      <c r="E335" s="137" t="s">
        <v>122</v>
      </c>
      <c r="F335" s="137" t="s">
        <v>122</v>
      </c>
      <c r="G335" s="94" t="s">
        <v>122</v>
      </c>
      <c r="H335" s="136" t="s">
        <v>122</v>
      </c>
    </row>
    <row r="336" spans="1:8" ht="27" customHeight="1" x14ac:dyDescent="0.25">
      <c r="A336" s="133">
        <v>40511</v>
      </c>
      <c r="B336" s="217">
        <v>12</v>
      </c>
      <c r="C336" s="94">
        <v>15400</v>
      </c>
      <c r="D336" s="137" t="s">
        <v>122</v>
      </c>
      <c r="E336" s="137" t="s">
        <v>122</v>
      </c>
      <c r="F336" s="137" t="s">
        <v>122</v>
      </c>
      <c r="G336" s="94" t="s">
        <v>122</v>
      </c>
      <c r="H336" s="136" t="s">
        <v>122</v>
      </c>
    </row>
    <row r="337" spans="1:8" ht="27" customHeight="1" x14ac:dyDescent="0.25">
      <c r="A337" s="133">
        <v>40512</v>
      </c>
      <c r="B337" s="216">
        <v>12.08</v>
      </c>
      <c r="C337" s="94">
        <v>15500</v>
      </c>
      <c r="D337" s="137">
        <v>8</v>
      </c>
      <c r="E337" s="94">
        <v>37.96</v>
      </c>
      <c r="F337" s="137">
        <v>8</v>
      </c>
      <c r="G337" s="94">
        <v>36.26</v>
      </c>
      <c r="H337" s="136" t="s">
        <v>122</v>
      </c>
    </row>
    <row r="338" spans="1:8" ht="27" customHeight="1" x14ac:dyDescent="0.25">
      <c r="A338" s="133">
        <v>40513</v>
      </c>
      <c r="B338" s="217">
        <v>12.42</v>
      </c>
      <c r="C338" s="94">
        <v>16200</v>
      </c>
      <c r="D338" s="137"/>
      <c r="E338" s="94"/>
      <c r="F338" s="137"/>
      <c r="G338" s="94"/>
      <c r="H338" s="136" t="s">
        <v>122</v>
      </c>
    </row>
    <row r="339" spans="1:8" ht="27" customHeight="1" x14ac:dyDescent="0.25">
      <c r="A339" s="133">
        <v>40514</v>
      </c>
      <c r="B339" s="217">
        <v>12.83</v>
      </c>
      <c r="C339" s="94">
        <v>16800</v>
      </c>
      <c r="D339" s="137">
        <v>7</v>
      </c>
      <c r="E339" s="94">
        <v>34.46</v>
      </c>
      <c r="F339" s="137">
        <v>10</v>
      </c>
      <c r="G339" s="94">
        <v>46.57</v>
      </c>
      <c r="H339" s="136" t="s">
        <v>122</v>
      </c>
    </row>
    <row r="340" spans="1:8" ht="27" customHeight="1" x14ac:dyDescent="0.25">
      <c r="A340" s="133">
        <v>40515</v>
      </c>
      <c r="B340" s="217">
        <v>13.25</v>
      </c>
      <c r="C340" s="94">
        <v>17500</v>
      </c>
      <c r="D340" s="137"/>
      <c r="E340" s="94"/>
      <c r="F340" s="137"/>
      <c r="G340" s="94"/>
      <c r="H340" s="136" t="s">
        <v>122</v>
      </c>
    </row>
    <row r="341" spans="1:8" ht="27" customHeight="1" x14ac:dyDescent="0.25">
      <c r="A341" s="133">
        <v>40516</v>
      </c>
      <c r="B341" s="217">
        <v>13.92</v>
      </c>
      <c r="C341" s="94">
        <v>19300</v>
      </c>
      <c r="D341" s="137"/>
      <c r="E341" s="94"/>
      <c r="F341" s="94"/>
      <c r="G341" s="94"/>
      <c r="H341" s="136" t="s">
        <v>122</v>
      </c>
    </row>
    <row r="342" spans="1:8" ht="27" customHeight="1" x14ac:dyDescent="0.25">
      <c r="A342" s="133">
        <v>40517</v>
      </c>
      <c r="B342" s="217">
        <v>14.42</v>
      </c>
      <c r="C342" s="94">
        <v>20650</v>
      </c>
      <c r="D342" s="137">
        <v>7</v>
      </c>
      <c r="E342" s="94">
        <v>36.57</v>
      </c>
      <c r="F342" s="137">
        <v>7</v>
      </c>
      <c r="G342" s="94">
        <v>35.22</v>
      </c>
      <c r="H342" s="136" t="s">
        <v>122</v>
      </c>
    </row>
    <row r="343" spans="1:8" ht="27" customHeight="1" x14ac:dyDescent="0.25">
      <c r="A343" s="133">
        <v>40518</v>
      </c>
      <c r="B343" s="217">
        <v>15.08</v>
      </c>
      <c r="C343" s="94">
        <v>22500</v>
      </c>
      <c r="D343" s="137"/>
      <c r="E343" s="94"/>
      <c r="F343" s="137">
        <v>5</v>
      </c>
      <c r="G343" s="94">
        <v>25.96</v>
      </c>
      <c r="H343" s="136" t="s">
        <v>122</v>
      </c>
    </row>
    <row r="344" spans="1:8" ht="27" customHeight="1" x14ac:dyDescent="0.25">
      <c r="A344" s="133">
        <v>40519</v>
      </c>
      <c r="B344" s="217">
        <v>15.75</v>
      </c>
      <c r="C344" s="94">
        <v>25000</v>
      </c>
      <c r="D344" s="137"/>
      <c r="E344" s="94"/>
      <c r="F344" s="137">
        <v>4</v>
      </c>
      <c r="G344" s="94">
        <v>21.33</v>
      </c>
      <c r="H344" s="136" t="s">
        <v>122</v>
      </c>
    </row>
    <row r="345" spans="1:8" ht="27" customHeight="1" x14ac:dyDescent="0.25">
      <c r="A345" s="133">
        <v>40520</v>
      </c>
      <c r="B345" s="217">
        <v>16.420000000000002</v>
      </c>
      <c r="C345" s="94">
        <v>26750</v>
      </c>
      <c r="D345" s="137"/>
      <c r="E345" s="94"/>
      <c r="F345" s="137">
        <v>4</v>
      </c>
      <c r="G345" s="94">
        <v>21.82</v>
      </c>
      <c r="H345" s="136" t="s">
        <v>122</v>
      </c>
    </row>
    <row r="346" spans="1:8" ht="27" customHeight="1" x14ac:dyDescent="0.25">
      <c r="A346" s="133">
        <v>40521</v>
      </c>
      <c r="B346" s="217">
        <v>16.75</v>
      </c>
      <c r="C346" s="94">
        <v>28000</v>
      </c>
      <c r="D346" s="137"/>
      <c r="E346" s="94"/>
      <c r="F346" s="137">
        <v>4</v>
      </c>
      <c r="G346" s="94">
        <v>22.06</v>
      </c>
      <c r="H346" s="136" t="s">
        <v>122</v>
      </c>
    </row>
    <row r="347" spans="1:8" ht="27" customHeight="1" x14ac:dyDescent="0.25">
      <c r="A347" s="133">
        <v>40522</v>
      </c>
      <c r="B347" s="217">
        <v>16.920000000000002</v>
      </c>
      <c r="C347" s="94">
        <v>28400</v>
      </c>
      <c r="D347" s="137">
        <v>6</v>
      </c>
      <c r="E347" s="94">
        <v>34.229999999999997</v>
      </c>
      <c r="F347" s="137">
        <v>4</v>
      </c>
      <c r="G347" s="94">
        <v>22.18</v>
      </c>
      <c r="H347" s="136" t="s">
        <v>122</v>
      </c>
    </row>
    <row r="348" spans="1:8" ht="27" customHeight="1" x14ac:dyDescent="0.25">
      <c r="A348" s="133">
        <v>40523</v>
      </c>
      <c r="B348" s="217">
        <v>17</v>
      </c>
      <c r="C348" s="94">
        <v>28500</v>
      </c>
      <c r="D348" s="137">
        <v>9</v>
      </c>
      <c r="E348" s="94">
        <v>51.01</v>
      </c>
      <c r="F348" s="137">
        <v>9</v>
      </c>
      <c r="G348" s="94">
        <v>49.42</v>
      </c>
      <c r="H348" s="136" t="s">
        <v>122</v>
      </c>
    </row>
    <row r="349" spans="1:8" ht="27" customHeight="1" x14ac:dyDescent="0.25">
      <c r="A349" s="133">
        <v>40524</v>
      </c>
      <c r="B349" s="217">
        <v>17</v>
      </c>
      <c r="C349" s="94">
        <v>28500</v>
      </c>
      <c r="D349" s="137">
        <v>6</v>
      </c>
      <c r="E349" s="94">
        <v>34.229999999999997</v>
      </c>
      <c r="F349" s="137">
        <v>12</v>
      </c>
      <c r="G349" s="94">
        <v>65.27</v>
      </c>
      <c r="H349" s="136" t="s">
        <v>122</v>
      </c>
    </row>
    <row r="350" spans="1:8" ht="27" customHeight="1" x14ac:dyDescent="0.25">
      <c r="A350" s="133">
        <v>40525</v>
      </c>
      <c r="B350" s="217">
        <v>17</v>
      </c>
      <c r="C350" s="94">
        <v>28500</v>
      </c>
      <c r="D350" s="137">
        <v>6</v>
      </c>
      <c r="E350" s="94">
        <v>34.14</v>
      </c>
      <c r="F350" s="94"/>
      <c r="G350" s="94"/>
      <c r="H350" s="136" t="s">
        <v>122</v>
      </c>
    </row>
    <row r="351" spans="1:8" ht="27" customHeight="1" x14ac:dyDescent="0.25">
      <c r="A351" s="133">
        <v>40526</v>
      </c>
      <c r="B351" s="217">
        <v>16.920000000000002</v>
      </c>
      <c r="C351" s="94">
        <v>28400</v>
      </c>
      <c r="D351" s="137">
        <v>6</v>
      </c>
      <c r="E351" s="94">
        <v>33.97</v>
      </c>
      <c r="F351" s="137">
        <v>12</v>
      </c>
      <c r="G351" s="94">
        <v>65.08</v>
      </c>
      <c r="H351" s="136" t="s">
        <v>122</v>
      </c>
    </row>
    <row r="352" spans="1:8" ht="27" customHeight="1" x14ac:dyDescent="0.25">
      <c r="A352" s="133">
        <v>40527</v>
      </c>
      <c r="B352" s="217">
        <v>16.75</v>
      </c>
      <c r="C352" s="94">
        <v>28000</v>
      </c>
      <c r="D352" s="94">
        <v>6</v>
      </c>
      <c r="E352" s="94">
        <v>33.97</v>
      </c>
      <c r="F352" s="137">
        <v>12</v>
      </c>
      <c r="G352" s="94">
        <v>64.72</v>
      </c>
      <c r="H352" s="136" t="s">
        <v>122</v>
      </c>
    </row>
    <row r="353" spans="1:8" ht="27" customHeight="1" x14ac:dyDescent="0.25">
      <c r="A353" s="133">
        <v>40528</v>
      </c>
      <c r="B353" s="217">
        <v>16.75</v>
      </c>
      <c r="C353" s="94">
        <v>28000</v>
      </c>
      <c r="D353" s="137">
        <v>4</v>
      </c>
      <c r="E353" s="94">
        <v>22.7</v>
      </c>
      <c r="F353" s="137">
        <v>12</v>
      </c>
      <c r="G353" s="94">
        <v>64.72</v>
      </c>
      <c r="H353" s="136" t="s">
        <v>122</v>
      </c>
    </row>
    <row r="354" spans="1:8" ht="27" customHeight="1" x14ac:dyDescent="0.25">
      <c r="A354" s="133">
        <v>40529</v>
      </c>
      <c r="B354" s="217">
        <v>16.670000000000002</v>
      </c>
      <c r="C354" s="94">
        <v>27850</v>
      </c>
      <c r="D354" s="137">
        <v>4</v>
      </c>
      <c r="E354" s="94">
        <v>22.64</v>
      </c>
      <c r="F354" s="137">
        <v>9</v>
      </c>
      <c r="G354" s="94">
        <v>48.88</v>
      </c>
      <c r="H354" s="136" t="s">
        <v>122</v>
      </c>
    </row>
    <row r="355" spans="1:8" ht="27" customHeight="1" x14ac:dyDescent="0.25">
      <c r="A355" s="133">
        <v>40530</v>
      </c>
      <c r="B355" s="217">
        <v>16.579999999999998</v>
      </c>
      <c r="C355" s="94">
        <v>27500</v>
      </c>
      <c r="D355" s="137">
        <v>4</v>
      </c>
      <c r="E355" s="94">
        <v>22.64</v>
      </c>
      <c r="F355" s="137">
        <v>9</v>
      </c>
      <c r="G355" s="94">
        <v>48.75</v>
      </c>
      <c r="H355" s="136" t="s">
        <v>122</v>
      </c>
    </row>
    <row r="356" spans="1:8" s="27" customFormat="1" ht="24" customHeight="1" x14ac:dyDescent="0.25">
      <c r="A356" s="95">
        <v>40531</v>
      </c>
      <c r="B356" s="217">
        <v>16.579999999999998</v>
      </c>
      <c r="C356" s="94">
        <v>27500</v>
      </c>
      <c r="D356" s="137" t="s">
        <v>122</v>
      </c>
      <c r="E356" s="94" t="s">
        <v>122</v>
      </c>
      <c r="F356" s="137">
        <v>9</v>
      </c>
      <c r="G356" s="94">
        <v>48.75</v>
      </c>
      <c r="H356" s="115" t="s">
        <v>122</v>
      </c>
    </row>
    <row r="357" spans="1:8" s="27" customFormat="1" ht="24" customHeight="1" x14ac:dyDescent="0.25">
      <c r="A357" s="95">
        <v>40532</v>
      </c>
      <c r="B357" s="217">
        <v>16.5</v>
      </c>
      <c r="C357" s="94">
        <v>27000</v>
      </c>
      <c r="D357" s="137" t="s">
        <v>122</v>
      </c>
      <c r="E357" s="94" t="s">
        <v>122</v>
      </c>
      <c r="F357" s="137" t="s">
        <v>122</v>
      </c>
      <c r="G357" s="94" t="s">
        <v>122</v>
      </c>
      <c r="H357" s="115" t="s">
        <v>122</v>
      </c>
    </row>
    <row r="358" spans="1:8" s="27" customFormat="1" ht="24" customHeight="1" x14ac:dyDescent="0.25">
      <c r="A358" s="95">
        <v>40533</v>
      </c>
      <c r="B358" s="217">
        <v>16.5</v>
      </c>
      <c r="C358" s="94">
        <v>27000</v>
      </c>
      <c r="D358" s="137" t="s">
        <v>122</v>
      </c>
      <c r="E358" s="94" t="s">
        <v>122</v>
      </c>
      <c r="F358" s="137" t="s">
        <v>122</v>
      </c>
      <c r="G358" s="94" t="s">
        <v>122</v>
      </c>
      <c r="H358" s="115" t="s">
        <v>122</v>
      </c>
    </row>
    <row r="359" spans="1:8" s="27" customFormat="1" ht="24" customHeight="1" x14ac:dyDescent="0.25">
      <c r="A359" s="95">
        <v>40534</v>
      </c>
      <c r="B359" s="217">
        <v>16.920000000000002</v>
      </c>
      <c r="C359" s="94">
        <v>28400</v>
      </c>
      <c r="D359" s="137" t="s">
        <v>122</v>
      </c>
      <c r="E359" s="94" t="s">
        <v>122</v>
      </c>
      <c r="F359" s="137" t="s">
        <v>122</v>
      </c>
      <c r="G359" s="94" t="s">
        <v>122</v>
      </c>
      <c r="H359" s="115" t="s">
        <v>122</v>
      </c>
    </row>
    <row r="360" spans="1:8" s="27" customFormat="1" ht="24" customHeight="1" x14ac:dyDescent="0.25">
      <c r="A360" s="95">
        <v>40535</v>
      </c>
      <c r="B360" s="217">
        <v>17.170000000000002</v>
      </c>
      <c r="C360" s="94">
        <v>28750</v>
      </c>
      <c r="D360" s="137" t="s">
        <v>122</v>
      </c>
      <c r="E360" s="94" t="s">
        <v>122</v>
      </c>
      <c r="F360" s="137" t="s">
        <v>122</v>
      </c>
      <c r="G360" s="94" t="s">
        <v>122</v>
      </c>
      <c r="H360" s="115" t="s">
        <v>122</v>
      </c>
    </row>
    <row r="361" spans="1:8" s="27" customFormat="1" ht="24" customHeight="1" x14ac:dyDescent="0.25">
      <c r="A361" s="95">
        <v>40536</v>
      </c>
      <c r="B361" s="217">
        <v>17.5</v>
      </c>
      <c r="C361" s="94">
        <v>30300</v>
      </c>
      <c r="D361" s="137" t="s">
        <v>122</v>
      </c>
      <c r="E361" s="94" t="s">
        <v>122</v>
      </c>
      <c r="F361" s="137" t="s">
        <v>122</v>
      </c>
      <c r="G361" s="94" t="s">
        <v>122</v>
      </c>
      <c r="H361" s="115" t="s">
        <v>122</v>
      </c>
    </row>
    <row r="362" spans="1:8" s="27" customFormat="1" ht="24" customHeight="1" x14ac:dyDescent="0.25">
      <c r="A362" s="95">
        <v>40537</v>
      </c>
      <c r="B362" s="153">
        <v>18.25</v>
      </c>
      <c r="C362" s="94">
        <v>32800</v>
      </c>
      <c r="D362" s="137" t="s">
        <v>122</v>
      </c>
      <c r="E362" s="94" t="s">
        <v>122</v>
      </c>
      <c r="F362" s="137" t="s">
        <v>122</v>
      </c>
      <c r="G362" s="94" t="s">
        <v>122</v>
      </c>
      <c r="H362" s="115" t="s">
        <v>122</v>
      </c>
    </row>
    <row r="363" spans="1:8" s="27" customFormat="1" ht="24" customHeight="1" x14ac:dyDescent="0.25">
      <c r="A363" s="95">
        <v>40538</v>
      </c>
      <c r="B363" s="153">
        <v>18.920000000000002</v>
      </c>
      <c r="C363" s="94">
        <v>35750</v>
      </c>
      <c r="D363" s="137" t="s">
        <v>122</v>
      </c>
      <c r="E363" s="94" t="s">
        <v>122</v>
      </c>
      <c r="F363" s="137" t="s">
        <v>122</v>
      </c>
      <c r="G363" s="94" t="s">
        <v>122</v>
      </c>
      <c r="H363" s="115" t="s">
        <v>122</v>
      </c>
    </row>
    <row r="364" spans="1:8" s="27" customFormat="1" ht="24" customHeight="1" x14ac:dyDescent="0.25">
      <c r="A364" s="95">
        <v>40539</v>
      </c>
      <c r="B364" s="153">
        <v>19.25</v>
      </c>
      <c r="C364" s="94" t="s">
        <v>539</v>
      </c>
      <c r="D364" s="137" t="s">
        <v>122</v>
      </c>
      <c r="E364" s="94" t="s">
        <v>122</v>
      </c>
      <c r="F364" s="137" t="s">
        <v>122</v>
      </c>
      <c r="G364" s="94" t="s">
        <v>122</v>
      </c>
      <c r="H364" s="115">
        <v>647.20000000000005</v>
      </c>
    </row>
    <row r="365" spans="1:8" s="27" customFormat="1" ht="24" customHeight="1" x14ac:dyDescent="0.25">
      <c r="A365" s="95">
        <v>40540</v>
      </c>
      <c r="B365" s="153">
        <v>19.5</v>
      </c>
      <c r="C365" s="94" t="s">
        <v>539</v>
      </c>
      <c r="D365" s="137" t="s">
        <v>122</v>
      </c>
      <c r="E365" s="94" t="s">
        <v>122</v>
      </c>
      <c r="F365" s="137" t="s">
        <v>122</v>
      </c>
      <c r="G365" s="94" t="s">
        <v>122</v>
      </c>
      <c r="H365" s="115">
        <v>2032.19</v>
      </c>
    </row>
    <row r="366" spans="1:8" s="27" customFormat="1" ht="24" customHeight="1" x14ac:dyDescent="0.25">
      <c r="A366" s="95">
        <v>40541</v>
      </c>
      <c r="B366" s="153">
        <v>19.420000000000002</v>
      </c>
      <c r="C366" s="94" t="s">
        <v>539</v>
      </c>
      <c r="D366" s="137" t="s">
        <v>122</v>
      </c>
      <c r="E366" s="94" t="s">
        <v>122</v>
      </c>
      <c r="F366" s="137" t="s">
        <v>122</v>
      </c>
      <c r="G366" s="94" t="s">
        <v>122</v>
      </c>
      <c r="H366" s="115">
        <v>1564.52</v>
      </c>
    </row>
    <row r="367" spans="1:8" s="27" customFormat="1" ht="24" customHeight="1" x14ac:dyDescent="0.25">
      <c r="A367" s="95">
        <v>40542</v>
      </c>
      <c r="B367" s="153">
        <v>19.420000000000002</v>
      </c>
      <c r="C367" s="94" t="s">
        <v>539</v>
      </c>
      <c r="D367" s="137" t="s">
        <v>122</v>
      </c>
      <c r="E367" s="94" t="s">
        <v>122</v>
      </c>
      <c r="F367" s="137" t="s">
        <v>122</v>
      </c>
      <c r="G367" s="94" t="s">
        <v>122</v>
      </c>
      <c r="H367" s="115">
        <v>1564.52</v>
      </c>
    </row>
    <row r="368" spans="1:8" s="27" customFormat="1" ht="24" customHeight="1" thickBot="1" x14ac:dyDescent="0.3">
      <c r="A368" s="97">
        <v>40543</v>
      </c>
      <c r="B368" s="215">
        <v>19.420000000000002</v>
      </c>
      <c r="C368" s="117" t="s">
        <v>539</v>
      </c>
      <c r="D368" s="117"/>
      <c r="E368" s="117"/>
      <c r="F368" s="117"/>
      <c r="G368" s="117"/>
      <c r="H368" s="118">
        <v>1564.52</v>
      </c>
    </row>
    <row r="369" spans="1:7" x14ac:dyDescent="0.25">
      <c r="A369" s="410"/>
      <c r="B369" s="410"/>
      <c r="C369" s="410"/>
      <c r="D369" s="410"/>
      <c r="E369" s="410"/>
      <c r="F369" s="410"/>
      <c r="G369" s="410"/>
    </row>
    <row r="370" spans="1:7" x14ac:dyDescent="0.25">
      <c r="A370" s="45"/>
      <c r="B370" s="45"/>
      <c r="C370" s="45"/>
      <c r="D370" s="45"/>
      <c r="E370" s="45"/>
      <c r="F370" s="45"/>
      <c r="G370" s="45"/>
    </row>
    <row r="371" spans="1:7" x14ac:dyDescent="0.25">
      <c r="A371" s="45"/>
      <c r="B371" s="45"/>
      <c r="C371" s="45"/>
      <c r="D371" s="45"/>
      <c r="E371" s="45"/>
      <c r="F371" s="45"/>
      <c r="G371" s="45"/>
    </row>
    <row r="372" spans="1:7" x14ac:dyDescent="0.25">
      <c r="A372" s="45"/>
      <c r="B372" s="45"/>
      <c r="C372" s="45"/>
      <c r="D372" s="45"/>
      <c r="E372" s="45"/>
      <c r="F372" s="45"/>
      <c r="G372" s="45"/>
    </row>
    <row r="373" spans="1:7" x14ac:dyDescent="0.25">
      <c r="A373" s="45"/>
      <c r="B373" s="45"/>
      <c r="C373" s="45"/>
      <c r="D373" s="45"/>
      <c r="E373" s="45"/>
      <c r="F373" s="45"/>
      <c r="G373" s="45"/>
    </row>
    <row r="374" spans="1:7" x14ac:dyDescent="0.25">
      <c r="A374" s="45"/>
      <c r="B374" s="45"/>
      <c r="C374" s="45"/>
      <c r="D374" s="45"/>
      <c r="E374" s="45"/>
      <c r="F374" s="45"/>
      <c r="G374" s="45"/>
    </row>
    <row r="375" spans="1:7" x14ac:dyDescent="0.25">
      <c r="A375" s="45"/>
      <c r="B375" s="45"/>
      <c r="C375" s="45"/>
      <c r="D375" s="45"/>
      <c r="E375" s="45"/>
      <c r="F375" s="45"/>
      <c r="G375" s="45"/>
    </row>
    <row r="376" spans="1:7" x14ac:dyDescent="0.25">
      <c r="A376" s="45"/>
      <c r="B376" s="45"/>
      <c r="C376" s="45"/>
      <c r="D376" s="45"/>
      <c r="E376" s="45"/>
      <c r="F376" s="45"/>
      <c r="G376" s="45"/>
    </row>
    <row r="377" spans="1:7" x14ac:dyDescent="0.25">
      <c r="A377" s="45"/>
      <c r="B377" s="45"/>
      <c r="C377" s="45"/>
      <c r="D377" s="45"/>
      <c r="E377" s="45"/>
      <c r="F377" s="45"/>
      <c r="G377" s="45"/>
    </row>
    <row r="378" spans="1:7" x14ac:dyDescent="0.25">
      <c r="A378" s="45"/>
      <c r="B378" s="45"/>
      <c r="C378" s="45"/>
      <c r="D378" s="45"/>
      <c r="E378" s="45"/>
      <c r="F378" s="45"/>
      <c r="G378" s="45"/>
    </row>
    <row r="379" spans="1:7" x14ac:dyDescent="0.25">
      <c r="A379" s="45"/>
      <c r="B379" s="45"/>
      <c r="C379" s="45"/>
      <c r="D379" s="45"/>
      <c r="E379" s="45"/>
      <c r="F379" s="45"/>
      <c r="G379" s="45"/>
    </row>
    <row r="380" spans="1:7" x14ac:dyDescent="0.25">
      <c r="A380" s="45"/>
      <c r="B380" s="45"/>
      <c r="C380" s="45"/>
      <c r="D380" s="45"/>
      <c r="E380" s="45"/>
      <c r="F380" s="45"/>
      <c r="G380" s="45"/>
    </row>
    <row r="381" spans="1:7" x14ac:dyDescent="0.25">
      <c r="A381" s="45"/>
      <c r="B381" s="45"/>
      <c r="C381" s="45"/>
      <c r="D381" s="45"/>
      <c r="E381" s="45"/>
      <c r="F381" s="45"/>
      <c r="G381" s="45"/>
    </row>
    <row r="382" spans="1:7" x14ac:dyDescent="0.25">
      <c r="A382" s="45"/>
      <c r="B382" s="45"/>
      <c r="C382" s="45"/>
      <c r="D382" s="45"/>
      <c r="E382" s="45"/>
      <c r="F382" s="45"/>
      <c r="G382" s="45"/>
    </row>
    <row r="383" spans="1:7" x14ac:dyDescent="0.25">
      <c r="A383" s="45"/>
      <c r="B383" s="45"/>
      <c r="C383" s="45"/>
      <c r="D383" s="45"/>
      <c r="E383" s="45"/>
      <c r="F383" s="45"/>
      <c r="G383" s="45"/>
    </row>
    <row r="384" spans="1:7" x14ac:dyDescent="0.25">
      <c r="A384" s="45"/>
      <c r="B384" s="45"/>
      <c r="C384" s="45"/>
      <c r="D384" s="45"/>
      <c r="E384" s="45"/>
      <c r="F384" s="45"/>
      <c r="G384" s="45"/>
    </row>
  </sheetData>
  <mergeCells count="7">
    <mergeCell ref="A1:H1"/>
    <mergeCell ref="H2:H3"/>
    <mergeCell ref="A369:G369"/>
    <mergeCell ref="A2:A3"/>
    <mergeCell ref="B2:B3"/>
    <mergeCell ref="C2:C3"/>
    <mergeCell ref="D2:G2"/>
  </mergeCells>
  <printOptions horizontalCentered="1"/>
  <pageMargins left="1" right="0.75" top="0.75" bottom="0.2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369"/>
  <sheetViews>
    <sheetView workbookViewId="0">
      <selection activeCell="A2" sqref="A2:H3"/>
    </sheetView>
  </sheetViews>
  <sheetFormatPr defaultColWidth="9.140625" defaultRowHeight="15" x14ac:dyDescent="0.25"/>
  <cols>
    <col min="1" max="1" width="11.140625" style="27" customWidth="1"/>
    <col min="2" max="2" width="7.28515625" style="27" customWidth="1"/>
    <col min="3" max="3" width="9.42578125" style="27" customWidth="1"/>
    <col min="4" max="4" width="9.28515625" style="14" customWidth="1"/>
    <col min="5" max="5" width="7" style="27" customWidth="1"/>
    <col min="6" max="6" width="9.28515625" style="14" customWidth="1"/>
    <col min="7" max="7" width="7" style="14" customWidth="1"/>
    <col min="8" max="8" width="11.140625" style="14" customWidth="1"/>
    <col min="9" max="16384" width="9.140625" style="14"/>
  </cols>
  <sheetData>
    <row r="1" spans="1:9" ht="39" customHeight="1" thickBot="1" x14ac:dyDescent="0.3">
      <c r="A1" s="453" t="s">
        <v>2682</v>
      </c>
      <c r="B1" s="453"/>
      <c r="C1" s="453"/>
      <c r="D1" s="453"/>
      <c r="E1" s="453"/>
      <c r="F1" s="453"/>
      <c r="G1" s="453"/>
      <c r="H1" s="453"/>
      <c r="I1" s="221"/>
    </row>
    <row r="2" spans="1:9" ht="25.5" customHeight="1" x14ac:dyDescent="0.25">
      <c r="A2" s="425" t="s">
        <v>0</v>
      </c>
      <c r="B2" s="423" t="s">
        <v>2684</v>
      </c>
      <c r="C2" s="449" t="s">
        <v>2689</v>
      </c>
      <c r="D2" s="451" t="s">
        <v>2698</v>
      </c>
      <c r="E2" s="452"/>
      <c r="F2" s="452"/>
      <c r="G2" s="452"/>
      <c r="H2" s="454" t="s">
        <v>2670</v>
      </c>
    </row>
    <row r="3" spans="1:9" ht="49.5" customHeight="1" thickBot="1" x14ac:dyDescent="0.3">
      <c r="A3" s="426"/>
      <c r="B3" s="424"/>
      <c r="C3" s="450"/>
      <c r="D3" s="181" t="s">
        <v>2687</v>
      </c>
      <c r="E3" s="184" t="s">
        <v>735</v>
      </c>
      <c r="F3" s="181" t="s">
        <v>2688</v>
      </c>
      <c r="G3" s="219" t="s">
        <v>735</v>
      </c>
      <c r="H3" s="455"/>
    </row>
    <row r="4" spans="1:9" ht="21.75" customHeight="1" x14ac:dyDescent="0.25">
      <c r="A4" s="120">
        <v>40544</v>
      </c>
      <c r="B4" s="212">
        <v>19</v>
      </c>
      <c r="C4" s="113" t="s">
        <v>539</v>
      </c>
      <c r="D4" s="113" t="s">
        <v>122</v>
      </c>
      <c r="E4" s="113" t="s">
        <v>122</v>
      </c>
      <c r="F4" s="113" t="s">
        <v>122</v>
      </c>
      <c r="G4" s="113" t="s">
        <v>122</v>
      </c>
      <c r="H4" s="114" t="s">
        <v>122</v>
      </c>
    </row>
    <row r="5" spans="1:9" ht="21.75" customHeight="1" x14ac:dyDescent="0.25">
      <c r="A5" s="95">
        <v>40545</v>
      </c>
      <c r="B5" s="94">
        <v>19.71</v>
      </c>
      <c r="C5" s="94" t="s">
        <v>539</v>
      </c>
      <c r="D5" s="94" t="s">
        <v>122</v>
      </c>
      <c r="E5" s="94" t="s">
        <v>122</v>
      </c>
      <c r="F5" s="94" t="s">
        <v>122</v>
      </c>
      <c r="G5" s="94" t="s">
        <v>122</v>
      </c>
      <c r="H5" s="115" t="s">
        <v>122</v>
      </c>
    </row>
    <row r="6" spans="1:9" ht="21.75" customHeight="1" x14ac:dyDescent="0.25">
      <c r="A6" s="95">
        <v>40546</v>
      </c>
      <c r="B6" s="94">
        <v>19.62</v>
      </c>
      <c r="C6" s="94" t="s">
        <v>539</v>
      </c>
      <c r="D6" s="94" t="s">
        <v>122</v>
      </c>
      <c r="E6" s="94" t="s">
        <v>122</v>
      </c>
      <c r="F6" s="94" t="s">
        <v>122</v>
      </c>
      <c r="G6" s="94" t="s">
        <v>122</v>
      </c>
      <c r="H6" s="115" t="s">
        <v>122</v>
      </c>
    </row>
    <row r="7" spans="1:9" ht="21.75" customHeight="1" x14ac:dyDescent="0.25">
      <c r="A7" s="95">
        <v>40547</v>
      </c>
      <c r="B7" s="94">
        <v>19.420000000000002</v>
      </c>
      <c r="C7" s="94" t="s">
        <v>539</v>
      </c>
      <c r="D7" s="94">
        <v>4</v>
      </c>
      <c r="E7" s="94">
        <v>24.38</v>
      </c>
      <c r="F7" s="94">
        <v>3</v>
      </c>
      <c r="G7" s="94">
        <v>17.98</v>
      </c>
      <c r="H7" s="136" t="s">
        <v>122</v>
      </c>
    </row>
    <row r="8" spans="1:9" ht="21.75" customHeight="1" x14ac:dyDescent="0.25">
      <c r="A8" s="95">
        <v>40548</v>
      </c>
      <c r="B8" s="94">
        <v>19.420000000000002</v>
      </c>
      <c r="C8" s="94" t="s">
        <v>539</v>
      </c>
      <c r="D8" s="94" t="s">
        <v>122</v>
      </c>
      <c r="E8" s="94" t="s">
        <v>122</v>
      </c>
      <c r="F8" s="94" t="s">
        <v>122</v>
      </c>
      <c r="G8" s="94" t="s">
        <v>122</v>
      </c>
      <c r="H8" s="136" t="s">
        <v>122</v>
      </c>
    </row>
    <row r="9" spans="1:9" ht="21.75" customHeight="1" x14ac:dyDescent="0.25">
      <c r="A9" s="95">
        <v>40549</v>
      </c>
      <c r="B9" s="94">
        <v>19.670000000000002</v>
      </c>
      <c r="C9" s="94" t="s">
        <v>539</v>
      </c>
      <c r="D9" s="94" t="s">
        <v>122</v>
      </c>
      <c r="E9" s="94" t="s">
        <v>122</v>
      </c>
      <c r="F9" s="94" t="s">
        <v>122</v>
      </c>
      <c r="G9" s="94" t="s">
        <v>122</v>
      </c>
      <c r="H9" s="136" t="s">
        <v>122</v>
      </c>
    </row>
    <row r="10" spans="1:9" ht="21.75" customHeight="1" x14ac:dyDescent="0.25">
      <c r="A10" s="95">
        <v>40550</v>
      </c>
      <c r="B10" s="94">
        <v>19.62</v>
      </c>
      <c r="C10" s="94" t="s">
        <v>539</v>
      </c>
      <c r="D10" s="94" t="s">
        <v>122</v>
      </c>
      <c r="E10" s="94" t="s">
        <v>122</v>
      </c>
      <c r="F10" s="94" t="s">
        <v>122</v>
      </c>
      <c r="G10" s="94" t="s">
        <v>122</v>
      </c>
      <c r="H10" s="136" t="s">
        <v>122</v>
      </c>
    </row>
    <row r="11" spans="1:9" ht="21.75" customHeight="1" x14ac:dyDescent="0.25">
      <c r="A11" s="95">
        <v>40551</v>
      </c>
      <c r="B11" s="153">
        <v>19.5</v>
      </c>
      <c r="C11" s="94" t="s">
        <v>539</v>
      </c>
      <c r="D11" s="94" t="s">
        <v>122</v>
      </c>
      <c r="E11" s="94" t="s">
        <v>122</v>
      </c>
      <c r="F11" s="94" t="s">
        <v>122</v>
      </c>
      <c r="G11" s="94" t="s">
        <v>122</v>
      </c>
      <c r="H11" s="136" t="s">
        <v>122</v>
      </c>
    </row>
    <row r="12" spans="1:9" ht="21.75" customHeight="1" x14ac:dyDescent="0.25">
      <c r="A12" s="95">
        <v>40552</v>
      </c>
      <c r="B12" s="94">
        <v>19.54</v>
      </c>
      <c r="C12" s="94" t="s">
        <v>539</v>
      </c>
      <c r="D12" s="94" t="s">
        <v>122</v>
      </c>
      <c r="E12" s="94" t="s">
        <v>122</v>
      </c>
      <c r="F12" s="94" t="s">
        <v>122</v>
      </c>
      <c r="G12" s="94" t="s">
        <v>122</v>
      </c>
      <c r="H12" s="136" t="s">
        <v>122</v>
      </c>
    </row>
    <row r="13" spans="1:9" ht="21.75" customHeight="1" x14ac:dyDescent="0.25">
      <c r="A13" s="95">
        <v>40553</v>
      </c>
      <c r="B13" s="94">
        <v>20.5</v>
      </c>
      <c r="C13" s="94" t="s">
        <v>539</v>
      </c>
      <c r="D13" s="94" t="s">
        <v>122</v>
      </c>
      <c r="E13" s="94" t="s">
        <v>122</v>
      </c>
      <c r="F13" s="94" t="s">
        <v>122</v>
      </c>
      <c r="G13" s="94" t="s">
        <v>122</v>
      </c>
      <c r="H13" s="136" t="s">
        <v>122</v>
      </c>
    </row>
    <row r="14" spans="1:9" ht="21.75" customHeight="1" x14ac:dyDescent="0.25">
      <c r="A14" s="95">
        <v>40554</v>
      </c>
      <c r="B14" s="153">
        <v>21</v>
      </c>
      <c r="C14" s="94" t="s">
        <v>539</v>
      </c>
      <c r="D14" s="94" t="s">
        <v>122</v>
      </c>
      <c r="E14" s="94" t="s">
        <v>122</v>
      </c>
      <c r="F14" s="94" t="s">
        <v>122</v>
      </c>
      <c r="G14" s="94" t="s">
        <v>122</v>
      </c>
      <c r="H14" s="136" t="s">
        <v>122</v>
      </c>
    </row>
    <row r="15" spans="1:9" ht="21.75" customHeight="1" x14ac:dyDescent="0.25">
      <c r="A15" s="95">
        <v>40555</v>
      </c>
      <c r="B15" s="94">
        <v>21.17</v>
      </c>
      <c r="C15" s="94" t="s">
        <v>539</v>
      </c>
      <c r="D15" s="94" t="s">
        <v>122</v>
      </c>
      <c r="E15" s="94" t="s">
        <v>122</v>
      </c>
      <c r="F15" s="94" t="s">
        <v>122</v>
      </c>
      <c r="G15" s="94" t="s">
        <v>122</v>
      </c>
      <c r="H15" s="136" t="s">
        <v>122</v>
      </c>
    </row>
    <row r="16" spans="1:9" ht="21.75" customHeight="1" x14ac:dyDescent="0.25">
      <c r="A16" s="95">
        <v>40556</v>
      </c>
      <c r="B16" s="94">
        <v>19.75</v>
      </c>
      <c r="C16" s="94" t="s">
        <v>539</v>
      </c>
      <c r="D16" s="94" t="s">
        <v>122</v>
      </c>
      <c r="E16" s="94" t="s">
        <v>122</v>
      </c>
      <c r="F16" s="94" t="s">
        <v>122</v>
      </c>
      <c r="G16" s="94" t="s">
        <v>122</v>
      </c>
      <c r="H16" s="136" t="s">
        <v>122</v>
      </c>
    </row>
    <row r="17" spans="1:8" ht="21.75" customHeight="1" x14ac:dyDescent="0.25">
      <c r="A17" s="95">
        <v>40557</v>
      </c>
      <c r="B17" s="94">
        <v>19.46</v>
      </c>
      <c r="C17" s="94" t="s">
        <v>539</v>
      </c>
      <c r="D17" s="94" t="s">
        <v>122</v>
      </c>
      <c r="E17" s="94" t="s">
        <v>122</v>
      </c>
      <c r="F17" s="94" t="s">
        <v>122</v>
      </c>
      <c r="G17" s="94" t="s">
        <v>122</v>
      </c>
      <c r="H17" s="136" t="s">
        <v>122</v>
      </c>
    </row>
    <row r="18" spans="1:8" ht="21.75" customHeight="1" x14ac:dyDescent="0.25">
      <c r="A18" s="95">
        <v>40558</v>
      </c>
      <c r="B18" s="94">
        <v>19.420000000000002</v>
      </c>
      <c r="C18" s="94" t="s">
        <v>539</v>
      </c>
      <c r="D18" s="94" t="s">
        <v>122</v>
      </c>
      <c r="E18" s="94" t="s">
        <v>122</v>
      </c>
      <c r="F18" s="94" t="s">
        <v>122</v>
      </c>
      <c r="G18" s="94" t="s">
        <v>122</v>
      </c>
      <c r="H18" s="136" t="s">
        <v>122</v>
      </c>
    </row>
    <row r="19" spans="1:8" ht="21.75" customHeight="1" x14ac:dyDescent="0.25">
      <c r="A19" s="95">
        <v>40559</v>
      </c>
      <c r="B19" s="94">
        <v>19.25</v>
      </c>
      <c r="C19" s="94" t="s">
        <v>539</v>
      </c>
      <c r="D19" s="94" t="s">
        <v>122</v>
      </c>
      <c r="E19" s="94" t="s">
        <v>122</v>
      </c>
      <c r="F19" s="94" t="s">
        <v>122</v>
      </c>
      <c r="G19" s="94" t="s">
        <v>122</v>
      </c>
      <c r="H19" s="136" t="s">
        <v>122</v>
      </c>
    </row>
    <row r="20" spans="1:8" ht="21.75" customHeight="1" x14ac:dyDescent="0.25">
      <c r="A20" s="95">
        <v>40560</v>
      </c>
      <c r="B20" s="94">
        <v>19.04</v>
      </c>
      <c r="C20" s="94" t="s">
        <v>539</v>
      </c>
      <c r="D20" s="94" t="s">
        <v>122</v>
      </c>
      <c r="E20" s="94" t="s">
        <v>122</v>
      </c>
      <c r="F20" s="94" t="s">
        <v>122</v>
      </c>
      <c r="G20" s="94" t="s">
        <v>122</v>
      </c>
      <c r="H20" s="136" t="s">
        <v>122</v>
      </c>
    </row>
    <row r="21" spans="1:8" ht="21.75" customHeight="1" x14ac:dyDescent="0.25">
      <c r="A21" s="95">
        <v>40561</v>
      </c>
      <c r="B21" s="94">
        <v>19.420000000000002</v>
      </c>
      <c r="C21" s="94" t="s">
        <v>539</v>
      </c>
      <c r="D21" s="94" t="s">
        <v>122</v>
      </c>
      <c r="E21" s="94" t="s">
        <v>122</v>
      </c>
      <c r="F21" s="94" t="s">
        <v>122</v>
      </c>
      <c r="G21" s="94" t="s">
        <v>122</v>
      </c>
      <c r="H21" s="136" t="s">
        <v>122</v>
      </c>
    </row>
    <row r="22" spans="1:8" ht="21.75" customHeight="1" x14ac:dyDescent="0.25">
      <c r="A22" s="95">
        <v>40562</v>
      </c>
      <c r="B22" s="94">
        <v>19.329999999999998</v>
      </c>
      <c r="C22" s="94" t="s">
        <v>539</v>
      </c>
      <c r="D22" s="94" t="s">
        <v>122</v>
      </c>
      <c r="E22" s="94" t="s">
        <v>122</v>
      </c>
      <c r="F22" s="94" t="s">
        <v>122</v>
      </c>
      <c r="G22" s="94" t="s">
        <v>122</v>
      </c>
      <c r="H22" s="136" t="s">
        <v>122</v>
      </c>
    </row>
    <row r="23" spans="1:8" ht="21.75" customHeight="1" x14ac:dyDescent="0.25">
      <c r="A23" s="95">
        <v>40563</v>
      </c>
      <c r="B23" s="94">
        <v>19.25</v>
      </c>
      <c r="C23" s="94" t="s">
        <v>539</v>
      </c>
      <c r="D23" s="94" t="s">
        <v>122</v>
      </c>
      <c r="E23" s="94" t="s">
        <v>122</v>
      </c>
      <c r="F23" s="94" t="s">
        <v>122</v>
      </c>
      <c r="G23" s="94" t="s">
        <v>122</v>
      </c>
      <c r="H23" s="136" t="s">
        <v>122</v>
      </c>
    </row>
    <row r="24" spans="1:8" ht="21.75" customHeight="1" x14ac:dyDescent="0.25">
      <c r="A24" s="95">
        <v>40564</v>
      </c>
      <c r="B24" s="94">
        <v>19.21</v>
      </c>
      <c r="C24" s="94" t="s">
        <v>539</v>
      </c>
      <c r="D24" s="94">
        <v>12</v>
      </c>
      <c r="E24" s="94">
        <v>71.989999999999995</v>
      </c>
      <c r="F24" s="94">
        <v>6</v>
      </c>
      <c r="G24" s="94">
        <v>35.42</v>
      </c>
      <c r="H24" s="136" t="s">
        <v>122</v>
      </c>
    </row>
    <row r="25" spans="1:8" ht="21.75" customHeight="1" x14ac:dyDescent="0.25">
      <c r="A25" s="95">
        <v>40565</v>
      </c>
      <c r="B25" s="94">
        <v>19.21</v>
      </c>
      <c r="C25" s="94" t="s">
        <v>539</v>
      </c>
      <c r="D25" s="94">
        <v>15</v>
      </c>
      <c r="E25" s="94">
        <v>89.27</v>
      </c>
      <c r="F25" s="94">
        <v>9</v>
      </c>
      <c r="G25" s="94">
        <v>52.81</v>
      </c>
      <c r="H25" s="136" t="s">
        <v>122</v>
      </c>
    </row>
    <row r="26" spans="1:8" ht="21.75" customHeight="1" x14ac:dyDescent="0.25">
      <c r="A26" s="95">
        <v>40566</v>
      </c>
      <c r="B26" s="94">
        <v>19.079999999999998</v>
      </c>
      <c r="C26" s="94" t="s">
        <v>539</v>
      </c>
      <c r="D26" s="94">
        <v>15</v>
      </c>
      <c r="E26" s="94">
        <v>88.85</v>
      </c>
      <c r="F26" s="94">
        <v>9</v>
      </c>
      <c r="G26" s="94">
        <v>52.68</v>
      </c>
      <c r="H26" s="136" t="s">
        <v>122</v>
      </c>
    </row>
    <row r="27" spans="1:8" ht="21.75" customHeight="1" x14ac:dyDescent="0.25">
      <c r="A27" s="95">
        <v>40567</v>
      </c>
      <c r="B27" s="94">
        <v>19.04</v>
      </c>
      <c r="C27" s="94" t="s">
        <v>539</v>
      </c>
      <c r="D27" s="94">
        <v>15</v>
      </c>
      <c r="E27" s="94">
        <v>88.85</v>
      </c>
      <c r="F27" s="94">
        <v>10</v>
      </c>
      <c r="G27" s="94">
        <v>58.33</v>
      </c>
      <c r="H27" s="136" t="s">
        <v>122</v>
      </c>
    </row>
    <row r="28" spans="1:8" ht="21.75" customHeight="1" x14ac:dyDescent="0.25">
      <c r="A28" s="95">
        <v>40568</v>
      </c>
      <c r="B28" s="94">
        <v>18.920000000000002</v>
      </c>
      <c r="C28" s="94">
        <v>35750</v>
      </c>
      <c r="D28" s="94">
        <v>15</v>
      </c>
      <c r="E28" s="94">
        <v>88.64</v>
      </c>
      <c r="F28" s="94">
        <v>10</v>
      </c>
      <c r="G28" s="94">
        <v>58.04</v>
      </c>
      <c r="H28" s="136" t="s">
        <v>122</v>
      </c>
    </row>
    <row r="29" spans="1:8" ht="21.75" customHeight="1" x14ac:dyDescent="0.25">
      <c r="A29" s="95">
        <v>40569</v>
      </c>
      <c r="B29" s="94">
        <v>18.87</v>
      </c>
      <c r="C29" s="94">
        <v>35500</v>
      </c>
      <c r="D29" s="94">
        <v>15</v>
      </c>
      <c r="E29" s="94">
        <v>88.64</v>
      </c>
      <c r="F29" s="94">
        <v>10</v>
      </c>
      <c r="G29" s="94">
        <v>57.9</v>
      </c>
      <c r="H29" s="136" t="s">
        <v>122</v>
      </c>
    </row>
    <row r="30" spans="1:8" ht="21.75" customHeight="1" x14ac:dyDescent="0.25">
      <c r="A30" s="95">
        <v>40570</v>
      </c>
      <c r="B30" s="94">
        <v>18.920000000000002</v>
      </c>
      <c r="C30" s="94">
        <v>35750</v>
      </c>
      <c r="D30" s="94">
        <v>10</v>
      </c>
      <c r="E30" s="94">
        <v>88.64</v>
      </c>
      <c r="F30" s="94" t="s">
        <v>122</v>
      </c>
      <c r="G30" s="94" t="s">
        <v>122</v>
      </c>
      <c r="H30" s="136" t="s">
        <v>122</v>
      </c>
    </row>
    <row r="31" spans="1:8" ht="21.75" customHeight="1" x14ac:dyDescent="0.25">
      <c r="A31" s="95">
        <v>40571</v>
      </c>
      <c r="B31" s="94">
        <v>18.920000000000002</v>
      </c>
      <c r="C31" s="94">
        <v>35750</v>
      </c>
      <c r="D31" s="94" t="s">
        <v>122</v>
      </c>
      <c r="E31" s="94" t="s">
        <v>122</v>
      </c>
      <c r="F31" s="94">
        <v>10</v>
      </c>
      <c r="G31" s="94">
        <v>58.04</v>
      </c>
      <c r="H31" s="136" t="s">
        <v>122</v>
      </c>
    </row>
    <row r="32" spans="1:8" ht="21.75" customHeight="1" x14ac:dyDescent="0.25">
      <c r="A32" s="95">
        <v>40572</v>
      </c>
      <c r="B32" s="94">
        <v>19.25</v>
      </c>
      <c r="C32" s="94" t="s">
        <v>539</v>
      </c>
      <c r="D32" s="94" t="s">
        <v>122</v>
      </c>
      <c r="E32" s="94" t="s">
        <v>122</v>
      </c>
      <c r="F32" s="94" t="s">
        <v>122</v>
      </c>
      <c r="G32" s="94" t="s">
        <v>122</v>
      </c>
      <c r="H32" s="136" t="s">
        <v>122</v>
      </c>
    </row>
    <row r="33" spans="1:8" ht="21.75" customHeight="1" x14ac:dyDescent="0.25">
      <c r="A33" s="95">
        <v>40573</v>
      </c>
      <c r="B33" s="94">
        <v>19.5</v>
      </c>
      <c r="C33" s="94" t="s">
        <v>539</v>
      </c>
      <c r="D33" s="94" t="s">
        <v>122</v>
      </c>
      <c r="E33" s="94" t="s">
        <v>122</v>
      </c>
      <c r="F33" s="94" t="s">
        <v>122</v>
      </c>
      <c r="G33" s="94" t="s">
        <v>122</v>
      </c>
      <c r="H33" s="136" t="s">
        <v>122</v>
      </c>
    </row>
    <row r="34" spans="1:8" ht="21.75" customHeight="1" x14ac:dyDescent="0.25">
      <c r="A34" s="95">
        <v>40574</v>
      </c>
      <c r="B34" s="94">
        <v>19.829999999999998</v>
      </c>
      <c r="C34" s="94" t="s">
        <v>539</v>
      </c>
      <c r="D34" s="94" t="s">
        <v>122</v>
      </c>
      <c r="E34" s="94" t="s">
        <v>122</v>
      </c>
      <c r="F34" s="94" t="s">
        <v>122</v>
      </c>
      <c r="G34" s="94" t="s">
        <v>122</v>
      </c>
      <c r="H34" s="136" t="s">
        <v>122</v>
      </c>
    </row>
    <row r="35" spans="1:8" ht="21.75" customHeight="1" x14ac:dyDescent="0.25">
      <c r="A35" s="95">
        <v>40575</v>
      </c>
      <c r="B35" s="220">
        <v>20.25</v>
      </c>
      <c r="C35" s="220" t="s">
        <v>539</v>
      </c>
      <c r="D35" s="94" t="s">
        <v>122</v>
      </c>
      <c r="E35" s="94" t="s">
        <v>122</v>
      </c>
      <c r="F35" s="94" t="s">
        <v>122</v>
      </c>
      <c r="G35" s="94" t="s">
        <v>122</v>
      </c>
      <c r="H35" s="136" t="s">
        <v>122</v>
      </c>
    </row>
    <row r="36" spans="1:8" ht="21.75" customHeight="1" x14ac:dyDescent="0.25">
      <c r="A36" s="95">
        <v>40576</v>
      </c>
      <c r="B36" s="220">
        <v>19.920000000000002</v>
      </c>
      <c r="C36" s="220" t="s">
        <v>539</v>
      </c>
      <c r="D36" s="94" t="s">
        <v>122</v>
      </c>
      <c r="E36" s="94" t="s">
        <v>122</v>
      </c>
      <c r="F36" s="94" t="s">
        <v>122</v>
      </c>
      <c r="G36" s="94" t="s">
        <v>122</v>
      </c>
      <c r="H36" s="136" t="s">
        <v>122</v>
      </c>
    </row>
    <row r="37" spans="1:8" ht="21.75" customHeight="1" x14ac:dyDescent="0.25">
      <c r="A37" s="95">
        <v>40577</v>
      </c>
      <c r="B37" s="220">
        <v>20.5</v>
      </c>
      <c r="C37" s="220" t="s">
        <v>539</v>
      </c>
      <c r="D37" s="94" t="s">
        <v>122</v>
      </c>
      <c r="E37" s="94" t="s">
        <v>122</v>
      </c>
      <c r="F37" s="94" t="s">
        <v>122</v>
      </c>
      <c r="G37" s="94" t="s">
        <v>122</v>
      </c>
      <c r="H37" s="136" t="s">
        <v>122</v>
      </c>
    </row>
    <row r="38" spans="1:8" ht="21.75" customHeight="1" x14ac:dyDescent="0.25">
      <c r="A38" s="95">
        <v>40578</v>
      </c>
      <c r="B38" s="220">
        <v>21.33</v>
      </c>
      <c r="C38" s="220" t="s">
        <v>539</v>
      </c>
      <c r="D38" s="94" t="s">
        <v>122</v>
      </c>
      <c r="E38" s="94" t="s">
        <v>122</v>
      </c>
      <c r="F38" s="94" t="s">
        <v>122</v>
      </c>
      <c r="G38" s="94" t="s">
        <v>122</v>
      </c>
      <c r="H38" s="136" t="s">
        <v>122</v>
      </c>
    </row>
    <row r="39" spans="1:8" ht="21.75" customHeight="1" x14ac:dyDescent="0.25">
      <c r="A39" s="95">
        <v>40579</v>
      </c>
      <c r="B39" s="220">
        <v>26.5</v>
      </c>
      <c r="C39" s="220" t="s">
        <v>539</v>
      </c>
      <c r="D39" s="94" t="s">
        <v>122</v>
      </c>
      <c r="E39" s="94" t="s">
        <v>122</v>
      </c>
      <c r="F39" s="94" t="s">
        <v>122</v>
      </c>
      <c r="G39" s="94" t="s">
        <v>122</v>
      </c>
      <c r="H39" s="136" t="s">
        <v>122</v>
      </c>
    </row>
    <row r="40" spans="1:8" ht="21.75" customHeight="1" x14ac:dyDescent="0.25">
      <c r="A40" s="95">
        <v>40580</v>
      </c>
      <c r="B40" s="220">
        <v>19.75</v>
      </c>
      <c r="C40" s="220" t="s">
        <v>539</v>
      </c>
      <c r="D40" s="94" t="s">
        <v>122</v>
      </c>
      <c r="E40" s="94" t="s">
        <v>122</v>
      </c>
      <c r="F40" s="94" t="s">
        <v>122</v>
      </c>
      <c r="G40" s="94" t="s">
        <v>122</v>
      </c>
      <c r="H40" s="136" t="s">
        <v>122</v>
      </c>
    </row>
    <row r="41" spans="1:8" ht="21.75" customHeight="1" x14ac:dyDescent="0.25">
      <c r="A41" s="95">
        <v>40581</v>
      </c>
      <c r="B41" s="220">
        <v>19.170000000000002</v>
      </c>
      <c r="C41" s="220" t="s">
        <v>539</v>
      </c>
      <c r="D41" s="94" t="s">
        <v>122</v>
      </c>
      <c r="E41" s="94" t="s">
        <v>122</v>
      </c>
      <c r="F41" s="94" t="s">
        <v>122</v>
      </c>
      <c r="G41" s="94" t="s">
        <v>122</v>
      </c>
      <c r="H41" s="136" t="s">
        <v>122</v>
      </c>
    </row>
    <row r="42" spans="1:8" ht="21.75" customHeight="1" x14ac:dyDescent="0.25">
      <c r="A42" s="95">
        <v>40582</v>
      </c>
      <c r="B42" s="157">
        <v>20.170000000000002</v>
      </c>
      <c r="C42" s="157" t="s">
        <v>539</v>
      </c>
      <c r="D42" s="94" t="s">
        <v>122</v>
      </c>
      <c r="E42" s="94" t="s">
        <v>122</v>
      </c>
      <c r="F42" s="94" t="s">
        <v>122</v>
      </c>
      <c r="G42" s="94" t="s">
        <v>122</v>
      </c>
      <c r="H42" s="136" t="s">
        <v>122</v>
      </c>
    </row>
    <row r="43" spans="1:8" ht="21.75" customHeight="1" x14ac:dyDescent="0.25">
      <c r="A43" s="95">
        <v>40583</v>
      </c>
      <c r="B43" s="220">
        <v>19.670000000000002</v>
      </c>
      <c r="C43" s="220" t="s">
        <v>539</v>
      </c>
      <c r="D43" s="94" t="s">
        <v>122</v>
      </c>
      <c r="E43" s="94" t="s">
        <v>122</v>
      </c>
      <c r="F43" s="94" t="s">
        <v>122</v>
      </c>
      <c r="G43" s="94" t="s">
        <v>122</v>
      </c>
      <c r="H43" s="136" t="s">
        <v>122</v>
      </c>
    </row>
    <row r="44" spans="1:8" ht="21.75" customHeight="1" x14ac:dyDescent="0.25">
      <c r="A44" s="95">
        <v>40584</v>
      </c>
      <c r="B44" s="220">
        <v>18.920000000000002</v>
      </c>
      <c r="C44" s="220">
        <v>35750</v>
      </c>
      <c r="D44" s="94" t="s">
        <v>122</v>
      </c>
      <c r="E44" s="94" t="s">
        <v>122</v>
      </c>
      <c r="F44" s="94" t="s">
        <v>122</v>
      </c>
      <c r="G44" s="94" t="s">
        <v>122</v>
      </c>
      <c r="H44" s="136" t="s">
        <v>122</v>
      </c>
    </row>
    <row r="45" spans="1:8" ht="21.75" customHeight="1" x14ac:dyDescent="0.25">
      <c r="A45" s="95">
        <v>40585</v>
      </c>
      <c r="B45" s="220">
        <v>18.670000000000002</v>
      </c>
      <c r="C45" s="220">
        <v>34250</v>
      </c>
      <c r="D45" s="94">
        <v>4</v>
      </c>
      <c r="E45" s="94">
        <v>24.05</v>
      </c>
      <c r="F45" s="94">
        <v>6</v>
      </c>
      <c r="G45" s="94">
        <v>34.909999999999997</v>
      </c>
      <c r="H45" s="136" t="s">
        <v>122</v>
      </c>
    </row>
    <row r="46" spans="1:8" ht="21.75" customHeight="1" x14ac:dyDescent="0.25">
      <c r="A46" s="95">
        <v>40586</v>
      </c>
      <c r="B46" s="220">
        <v>18.75</v>
      </c>
      <c r="C46" s="94">
        <v>34750</v>
      </c>
      <c r="D46" s="94">
        <v>4</v>
      </c>
      <c r="E46" s="94">
        <v>24.11</v>
      </c>
      <c r="F46" s="94">
        <v>6</v>
      </c>
      <c r="G46" s="94">
        <v>35</v>
      </c>
      <c r="H46" s="136" t="s">
        <v>122</v>
      </c>
    </row>
    <row r="47" spans="1:8" ht="21.75" customHeight="1" x14ac:dyDescent="0.25">
      <c r="A47" s="95">
        <v>40587</v>
      </c>
      <c r="B47" s="94">
        <v>18.829999999999998</v>
      </c>
      <c r="C47" s="94">
        <v>35250</v>
      </c>
      <c r="D47" s="94">
        <v>6</v>
      </c>
      <c r="E47" s="94">
        <v>36.08</v>
      </c>
      <c r="F47" s="94">
        <v>14</v>
      </c>
      <c r="G47" s="94">
        <v>80.260000000000005</v>
      </c>
      <c r="H47" s="136" t="s">
        <v>122</v>
      </c>
    </row>
    <row r="48" spans="1:8" ht="21.75" customHeight="1" x14ac:dyDescent="0.25">
      <c r="A48" s="95">
        <v>40588</v>
      </c>
      <c r="B48" s="94">
        <v>18.75</v>
      </c>
      <c r="C48" s="94">
        <v>34750</v>
      </c>
      <c r="D48" s="94">
        <v>11</v>
      </c>
      <c r="E48" s="94">
        <v>65.239999999999995</v>
      </c>
      <c r="F48" s="94">
        <v>15</v>
      </c>
      <c r="G48" s="94">
        <v>85.57</v>
      </c>
      <c r="H48" s="136" t="s">
        <v>122</v>
      </c>
    </row>
    <row r="49" spans="1:8" ht="21.75" customHeight="1" x14ac:dyDescent="0.25">
      <c r="A49" s="95">
        <v>40589</v>
      </c>
      <c r="B49" s="94">
        <v>18.75</v>
      </c>
      <c r="C49" s="94">
        <v>34750</v>
      </c>
      <c r="D49" s="94">
        <v>11</v>
      </c>
      <c r="E49" s="94">
        <v>65.239999999999995</v>
      </c>
      <c r="F49" s="94">
        <v>16</v>
      </c>
      <c r="G49" s="94">
        <v>85.46</v>
      </c>
      <c r="H49" s="136" t="s">
        <v>122</v>
      </c>
    </row>
    <row r="50" spans="1:8" ht="21.75" customHeight="1" x14ac:dyDescent="0.25">
      <c r="A50" s="95">
        <v>40590</v>
      </c>
      <c r="B50" s="94">
        <v>18.670000000000002</v>
      </c>
      <c r="C50" s="94">
        <v>34250</v>
      </c>
      <c r="D50" s="94">
        <v>11</v>
      </c>
      <c r="E50" s="94">
        <v>65.09</v>
      </c>
      <c r="F50" s="94">
        <v>16</v>
      </c>
      <c r="G50" s="94">
        <v>90.8</v>
      </c>
      <c r="H50" s="136" t="s">
        <v>122</v>
      </c>
    </row>
    <row r="51" spans="1:8" ht="21.75" customHeight="1" x14ac:dyDescent="0.25">
      <c r="A51" s="95">
        <v>40591</v>
      </c>
      <c r="B51" s="94">
        <v>18.579999999999998</v>
      </c>
      <c r="C51" s="94">
        <v>33900</v>
      </c>
      <c r="D51" s="94">
        <v>11</v>
      </c>
      <c r="E51" s="94">
        <v>64.930000000000007</v>
      </c>
      <c r="F51" s="94">
        <v>16</v>
      </c>
      <c r="G51" s="94">
        <v>90.57</v>
      </c>
      <c r="H51" s="136" t="s">
        <v>122</v>
      </c>
    </row>
    <row r="52" spans="1:8" ht="21.75" customHeight="1" x14ac:dyDescent="0.25">
      <c r="A52" s="95">
        <v>40592</v>
      </c>
      <c r="B52" s="94">
        <v>18.5</v>
      </c>
      <c r="C52" s="94">
        <v>33800</v>
      </c>
      <c r="D52" s="94">
        <v>9</v>
      </c>
      <c r="E52" s="94">
        <v>53.25</v>
      </c>
      <c r="F52" s="94">
        <v>14</v>
      </c>
      <c r="G52" s="94">
        <v>79.459999999999994</v>
      </c>
      <c r="H52" s="136" t="s">
        <v>122</v>
      </c>
    </row>
    <row r="53" spans="1:8" ht="21.75" customHeight="1" x14ac:dyDescent="0.25">
      <c r="A53" s="95">
        <v>40593</v>
      </c>
      <c r="B53" s="94">
        <v>18.420000000000002</v>
      </c>
      <c r="C53" s="94">
        <v>33500</v>
      </c>
      <c r="D53" s="94">
        <v>9</v>
      </c>
      <c r="E53" s="94">
        <v>53.13</v>
      </c>
      <c r="F53" s="94">
        <v>14</v>
      </c>
      <c r="G53" s="94">
        <v>79.25</v>
      </c>
      <c r="H53" s="136" t="s">
        <v>122</v>
      </c>
    </row>
    <row r="54" spans="1:8" ht="21.75" customHeight="1" x14ac:dyDescent="0.25">
      <c r="A54" s="95">
        <v>40594</v>
      </c>
      <c r="B54" s="94">
        <v>18.329999999999998</v>
      </c>
      <c r="C54" s="94">
        <v>33000</v>
      </c>
      <c r="D54" s="94">
        <v>9</v>
      </c>
      <c r="E54" s="94">
        <v>53</v>
      </c>
      <c r="F54" s="94">
        <v>14</v>
      </c>
      <c r="G54" s="94">
        <v>79.05</v>
      </c>
      <c r="H54" s="136" t="s">
        <v>122</v>
      </c>
    </row>
    <row r="55" spans="1:8" ht="21.75" customHeight="1" x14ac:dyDescent="0.25">
      <c r="A55" s="95">
        <v>40595</v>
      </c>
      <c r="B55" s="94">
        <v>18.25</v>
      </c>
      <c r="C55" s="94">
        <v>32800</v>
      </c>
      <c r="D55" s="94">
        <v>9</v>
      </c>
      <c r="E55" s="94">
        <v>52.88</v>
      </c>
      <c r="F55" s="94" t="s">
        <v>122</v>
      </c>
      <c r="G55" s="94" t="s">
        <v>122</v>
      </c>
      <c r="H55" s="136" t="s">
        <v>122</v>
      </c>
    </row>
    <row r="56" spans="1:8" ht="21.75" customHeight="1" x14ac:dyDescent="0.25">
      <c r="A56" s="95">
        <v>40596</v>
      </c>
      <c r="B56" s="94">
        <v>18.170000000000002</v>
      </c>
      <c r="C56" s="94">
        <v>32600</v>
      </c>
      <c r="D56" s="94">
        <v>9</v>
      </c>
      <c r="E56" s="94">
        <v>52.75</v>
      </c>
      <c r="F56" s="94" t="s">
        <v>122</v>
      </c>
      <c r="G56" s="94" t="s">
        <v>122</v>
      </c>
      <c r="H56" s="136" t="s">
        <v>122</v>
      </c>
    </row>
    <row r="57" spans="1:8" ht="21.75" customHeight="1" x14ac:dyDescent="0.25">
      <c r="A57" s="95">
        <v>40597</v>
      </c>
      <c r="B57" s="94">
        <v>18.170000000000002</v>
      </c>
      <c r="C57" s="94">
        <v>32600</v>
      </c>
      <c r="D57" s="94">
        <v>9</v>
      </c>
      <c r="E57" s="94">
        <v>52.75</v>
      </c>
      <c r="F57" s="94" t="s">
        <v>122</v>
      </c>
      <c r="G57" s="94" t="s">
        <v>122</v>
      </c>
      <c r="H57" s="136" t="s">
        <v>122</v>
      </c>
    </row>
    <row r="58" spans="1:8" ht="21.75" customHeight="1" x14ac:dyDescent="0.25">
      <c r="A58" s="95">
        <v>40598</v>
      </c>
      <c r="B58" s="94">
        <v>18.170000000000002</v>
      </c>
      <c r="C58" s="94">
        <v>32600</v>
      </c>
      <c r="D58" s="94" t="s">
        <v>122</v>
      </c>
      <c r="E58" s="94" t="s">
        <v>122</v>
      </c>
      <c r="F58" s="94" t="s">
        <v>122</v>
      </c>
      <c r="G58" s="94" t="s">
        <v>122</v>
      </c>
      <c r="H58" s="136" t="s">
        <v>122</v>
      </c>
    </row>
    <row r="59" spans="1:8" ht="21.75" customHeight="1" x14ac:dyDescent="0.25">
      <c r="A59" s="95">
        <v>40599</v>
      </c>
      <c r="B59" s="94">
        <v>18.079999999999998</v>
      </c>
      <c r="C59" s="94">
        <v>32400</v>
      </c>
      <c r="D59" s="94" t="s">
        <v>122</v>
      </c>
      <c r="E59" s="94" t="s">
        <v>122</v>
      </c>
      <c r="F59" s="94">
        <v>14</v>
      </c>
      <c r="G59" s="94">
        <v>78.44</v>
      </c>
      <c r="H59" s="136" t="s">
        <v>122</v>
      </c>
    </row>
    <row r="60" spans="1:8" ht="21.75" customHeight="1" x14ac:dyDescent="0.25">
      <c r="A60" s="95">
        <v>40600</v>
      </c>
      <c r="B60" s="153">
        <v>18</v>
      </c>
      <c r="C60" s="94">
        <v>32100</v>
      </c>
      <c r="D60" s="94">
        <v>12</v>
      </c>
      <c r="E60" s="94">
        <v>69.48</v>
      </c>
      <c r="F60" s="94">
        <v>14</v>
      </c>
      <c r="G60" s="94">
        <v>78.23</v>
      </c>
      <c r="H60" s="136" t="s">
        <v>122</v>
      </c>
    </row>
    <row r="61" spans="1:8" ht="21.75" customHeight="1" x14ac:dyDescent="0.25">
      <c r="A61" s="95">
        <v>40601</v>
      </c>
      <c r="B61" s="94">
        <v>17.920000000000002</v>
      </c>
      <c r="C61" s="94">
        <v>32000</v>
      </c>
      <c r="D61" s="94">
        <v>12</v>
      </c>
      <c r="E61" s="94">
        <v>69.31</v>
      </c>
      <c r="F61" s="94">
        <v>15</v>
      </c>
      <c r="G61" s="94">
        <v>83.38</v>
      </c>
      <c r="H61" s="136" t="s">
        <v>122</v>
      </c>
    </row>
    <row r="62" spans="1:8" ht="21.75" customHeight="1" x14ac:dyDescent="0.25">
      <c r="A62" s="95">
        <v>40602</v>
      </c>
      <c r="B62" s="94">
        <v>17.829999999999998</v>
      </c>
      <c r="C62" s="94">
        <v>31500</v>
      </c>
      <c r="D62" s="94">
        <v>12</v>
      </c>
      <c r="E62" s="94">
        <v>69.14</v>
      </c>
      <c r="F62" s="94">
        <v>15</v>
      </c>
      <c r="G62" s="94">
        <v>83.15</v>
      </c>
      <c r="H62" s="136" t="s">
        <v>122</v>
      </c>
    </row>
    <row r="63" spans="1:8" ht="21.75" customHeight="1" x14ac:dyDescent="0.25">
      <c r="A63" s="95">
        <v>40603</v>
      </c>
      <c r="B63" s="94">
        <v>17.75</v>
      </c>
      <c r="C63" s="94">
        <v>31125</v>
      </c>
      <c r="D63" s="94">
        <v>12</v>
      </c>
      <c r="E63" s="94">
        <v>68.97</v>
      </c>
      <c r="F63" s="94">
        <v>15</v>
      </c>
      <c r="G63" s="94">
        <v>82.93</v>
      </c>
      <c r="H63" s="136" t="s">
        <v>122</v>
      </c>
    </row>
    <row r="64" spans="1:8" ht="21.75" customHeight="1" x14ac:dyDescent="0.25">
      <c r="A64" s="95">
        <v>40604</v>
      </c>
      <c r="B64" s="94">
        <v>17.920000000000002</v>
      </c>
      <c r="C64" s="94">
        <v>32000</v>
      </c>
      <c r="D64" s="94" t="s">
        <v>122</v>
      </c>
      <c r="E64" s="94" t="s">
        <v>122</v>
      </c>
      <c r="F64" s="94" t="s">
        <v>122</v>
      </c>
      <c r="G64" s="94" t="s">
        <v>122</v>
      </c>
      <c r="H64" s="136" t="s">
        <v>122</v>
      </c>
    </row>
    <row r="65" spans="1:8" ht="21.75" customHeight="1" x14ac:dyDescent="0.25">
      <c r="A65" s="95">
        <v>40605</v>
      </c>
      <c r="B65" s="153">
        <v>18</v>
      </c>
      <c r="C65" s="94">
        <v>32100</v>
      </c>
      <c r="D65" s="94" t="s">
        <v>122</v>
      </c>
      <c r="E65" s="94" t="s">
        <v>122</v>
      </c>
      <c r="F65" s="94" t="s">
        <v>122</v>
      </c>
      <c r="G65" s="94" t="s">
        <v>122</v>
      </c>
      <c r="H65" s="136" t="s">
        <v>122</v>
      </c>
    </row>
    <row r="66" spans="1:8" ht="21.75" customHeight="1" x14ac:dyDescent="0.25">
      <c r="A66" s="95">
        <v>40606</v>
      </c>
      <c r="B66" s="153">
        <v>18</v>
      </c>
      <c r="C66" s="94">
        <v>32100</v>
      </c>
      <c r="D66" s="94" t="s">
        <v>122</v>
      </c>
      <c r="E66" s="94" t="s">
        <v>122</v>
      </c>
      <c r="F66" s="94" t="s">
        <v>122</v>
      </c>
      <c r="G66" s="94" t="s">
        <v>122</v>
      </c>
      <c r="H66" s="136" t="s">
        <v>122</v>
      </c>
    </row>
    <row r="67" spans="1:8" ht="21.75" customHeight="1" x14ac:dyDescent="0.25">
      <c r="A67" s="95">
        <v>40607</v>
      </c>
      <c r="B67" s="153">
        <v>18</v>
      </c>
      <c r="C67" s="94">
        <v>32100</v>
      </c>
      <c r="D67" s="94" t="s">
        <v>122</v>
      </c>
      <c r="E67" s="94" t="s">
        <v>122</v>
      </c>
      <c r="F67" s="94" t="s">
        <v>122</v>
      </c>
      <c r="G67" s="94" t="s">
        <v>122</v>
      </c>
      <c r="H67" s="136" t="s">
        <v>122</v>
      </c>
    </row>
    <row r="68" spans="1:8" ht="21.75" customHeight="1" x14ac:dyDescent="0.25">
      <c r="A68" s="95">
        <v>40608</v>
      </c>
      <c r="B68" s="153">
        <v>18</v>
      </c>
      <c r="C68" s="94">
        <v>32100</v>
      </c>
      <c r="D68" s="94" t="s">
        <v>122</v>
      </c>
      <c r="E68" s="94" t="s">
        <v>122</v>
      </c>
      <c r="F68" s="94" t="s">
        <v>122</v>
      </c>
      <c r="G68" s="94" t="s">
        <v>122</v>
      </c>
      <c r="H68" s="136" t="s">
        <v>122</v>
      </c>
    </row>
    <row r="69" spans="1:8" ht="21.75" customHeight="1" x14ac:dyDescent="0.25">
      <c r="A69" s="95">
        <v>40609</v>
      </c>
      <c r="B69" s="153">
        <v>18</v>
      </c>
      <c r="C69" s="94">
        <v>32100</v>
      </c>
      <c r="D69" s="94">
        <v>12</v>
      </c>
      <c r="E69" s="94">
        <v>69.31</v>
      </c>
      <c r="F69" s="94">
        <v>14</v>
      </c>
      <c r="G69" s="94">
        <v>78.02</v>
      </c>
      <c r="H69" s="136" t="s">
        <v>122</v>
      </c>
    </row>
    <row r="70" spans="1:8" ht="21.75" customHeight="1" x14ac:dyDescent="0.25">
      <c r="A70" s="95">
        <v>40610</v>
      </c>
      <c r="B70" s="94">
        <v>17.920000000000002</v>
      </c>
      <c r="C70" s="94">
        <v>32000</v>
      </c>
      <c r="D70" s="94">
        <v>12</v>
      </c>
      <c r="E70" s="94">
        <v>69.14</v>
      </c>
      <c r="F70" s="94">
        <v>14</v>
      </c>
      <c r="G70" s="94">
        <v>77.819999999999993</v>
      </c>
      <c r="H70" s="136" t="s">
        <v>122</v>
      </c>
    </row>
    <row r="71" spans="1:8" ht="21.75" customHeight="1" x14ac:dyDescent="0.25">
      <c r="A71" s="95">
        <v>40611</v>
      </c>
      <c r="B71" s="94">
        <v>17.75</v>
      </c>
      <c r="C71" s="94">
        <v>31125</v>
      </c>
      <c r="D71" s="94">
        <v>12</v>
      </c>
      <c r="E71" s="94">
        <v>68.97</v>
      </c>
      <c r="F71" s="94">
        <v>14</v>
      </c>
      <c r="G71" s="94">
        <v>77.61</v>
      </c>
      <c r="H71" s="136" t="s">
        <v>122</v>
      </c>
    </row>
    <row r="72" spans="1:8" ht="21.75" customHeight="1" x14ac:dyDescent="0.25">
      <c r="A72" s="95">
        <v>40612</v>
      </c>
      <c r="B72" s="94">
        <v>17.670000000000002</v>
      </c>
      <c r="C72" s="94">
        <v>30750</v>
      </c>
      <c r="D72" s="94">
        <v>12</v>
      </c>
      <c r="E72" s="94">
        <v>68.8</v>
      </c>
      <c r="F72" s="94">
        <v>14</v>
      </c>
      <c r="G72" s="94">
        <v>77.400000000000006</v>
      </c>
      <c r="H72" s="136" t="s">
        <v>122</v>
      </c>
    </row>
    <row r="73" spans="1:8" ht="21.75" customHeight="1" x14ac:dyDescent="0.25">
      <c r="A73" s="95">
        <v>40613</v>
      </c>
      <c r="B73" s="94">
        <v>17.579999999999998</v>
      </c>
      <c r="C73" s="94">
        <v>30500</v>
      </c>
      <c r="D73" s="94">
        <v>12</v>
      </c>
      <c r="E73" s="94">
        <v>68.62</v>
      </c>
      <c r="F73" s="94">
        <v>14</v>
      </c>
      <c r="G73" s="94">
        <v>77.19</v>
      </c>
      <c r="H73" s="136" t="s">
        <v>122</v>
      </c>
    </row>
    <row r="74" spans="1:8" ht="21.75" customHeight="1" x14ac:dyDescent="0.25">
      <c r="A74" s="95">
        <v>40614</v>
      </c>
      <c r="B74" s="94">
        <v>17.5</v>
      </c>
      <c r="C74" s="94">
        <v>30300</v>
      </c>
      <c r="D74" s="94">
        <v>15</v>
      </c>
      <c r="E74" s="94">
        <v>84.91</v>
      </c>
      <c r="F74" s="94">
        <v>15</v>
      </c>
      <c r="G74" s="94">
        <v>82.26</v>
      </c>
      <c r="H74" s="136" t="s">
        <v>122</v>
      </c>
    </row>
    <row r="75" spans="1:8" ht="21.75" customHeight="1" x14ac:dyDescent="0.25">
      <c r="A75" s="95">
        <v>40615</v>
      </c>
      <c r="B75" s="94">
        <v>17.329999999999998</v>
      </c>
      <c r="C75" s="94">
        <v>30000</v>
      </c>
      <c r="D75" s="94">
        <v>15</v>
      </c>
      <c r="E75" s="94">
        <v>84.48</v>
      </c>
      <c r="F75" s="94">
        <v>15</v>
      </c>
      <c r="G75" s="94">
        <v>81.81</v>
      </c>
      <c r="H75" s="136" t="s">
        <v>122</v>
      </c>
    </row>
    <row r="76" spans="1:8" ht="21.75" customHeight="1" x14ac:dyDescent="0.25">
      <c r="A76" s="95">
        <v>40616</v>
      </c>
      <c r="B76" s="94">
        <v>17.170000000000002</v>
      </c>
      <c r="C76" s="94">
        <v>28750</v>
      </c>
      <c r="D76" s="94">
        <v>15</v>
      </c>
      <c r="E76" s="94">
        <v>84.04</v>
      </c>
      <c r="F76" s="94">
        <v>15</v>
      </c>
      <c r="G76" s="94">
        <v>81.36</v>
      </c>
      <c r="H76" s="136" t="s">
        <v>122</v>
      </c>
    </row>
    <row r="77" spans="1:8" ht="21.75" customHeight="1" x14ac:dyDescent="0.25">
      <c r="A77" s="95">
        <v>40617</v>
      </c>
      <c r="B77" s="94">
        <v>17.170000000000002</v>
      </c>
      <c r="C77" s="94">
        <v>28750</v>
      </c>
      <c r="D77" s="94">
        <v>9</v>
      </c>
      <c r="E77" s="94">
        <v>35.93</v>
      </c>
      <c r="F77" s="94">
        <v>12</v>
      </c>
      <c r="G77" s="94">
        <v>65.63</v>
      </c>
      <c r="H77" s="136" t="s">
        <v>122</v>
      </c>
    </row>
    <row r="78" spans="1:8" ht="21.75" customHeight="1" x14ac:dyDescent="0.25">
      <c r="A78" s="95">
        <v>40618</v>
      </c>
      <c r="B78" s="94">
        <v>17.079999999999998</v>
      </c>
      <c r="C78" s="94">
        <v>28600</v>
      </c>
      <c r="D78" s="94" t="s">
        <v>122</v>
      </c>
      <c r="E78" s="94" t="s">
        <v>122</v>
      </c>
      <c r="F78" s="94" t="s">
        <v>122</v>
      </c>
      <c r="G78" s="94" t="s">
        <v>122</v>
      </c>
      <c r="H78" s="136" t="s">
        <v>122</v>
      </c>
    </row>
    <row r="79" spans="1:8" ht="21.75" customHeight="1" x14ac:dyDescent="0.25">
      <c r="A79" s="95">
        <v>40619</v>
      </c>
      <c r="B79" s="94">
        <v>17.079999999999998</v>
      </c>
      <c r="C79" s="94">
        <v>28600</v>
      </c>
      <c r="D79" s="94" t="s">
        <v>122</v>
      </c>
      <c r="E79" s="94" t="s">
        <v>122</v>
      </c>
      <c r="F79" s="94" t="s">
        <v>122</v>
      </c>
      <c r="G79" s="94" t="s">
        <v>122</v>
      </c>
      <c r="H79" s="136" t="s">
        <v>122</v>
      </c>
    </row>
    <row r="80" spans="1:8" ht="21.75" customHeight="1" x14ac:dyDescent="0.25">
      <c r="A80" s="95">
        <v>40620</v>
      </c>
      <c r="B80" s="94">
        <v>17.079999999999998</v>
      </c>
      <c r="C80" s="94">
        <v>28600</v>
      </c>
      <c r="D80" s="94" t="s">
        <v>122</v>
      </c>
      <c r="E80" s="94" t="s">
        <v>122</v>
      </c>
      <c r="F80" s="94" t="s">
        <v>122</v>
      </c>
      <c r="G80" s="94" t="s">
        <v>122</v>
      </c>
      <c r="H80" s="136" t="s">
        <v>122</v>
      </c>
    </row>
    <row r="81" spans="1:8" ht="21.75" customHeight="1" x14ac:dyDescent="0.25">
      <c r="A81" s="95">
        <v>40621</v>
      </c>
      <c r="B81" s="153">
        <v>17</v>
      </c>
      <c r="C81" s="94">
        <v>28500</v>
      </c>
      <c r="D81" s="94" t="s">
        <v>122</v>
      </c>
      <c r="E81" s="94" t="s">
        <v>122</v>
      </c>
      <c r="F81" s="94" t="s">
        <v>122</v>
      </c>
      <c r="G81" s="94" t="s">
        <v>122</v>
      </c>
      <c r="H81" s="136" t="s">
        <v>122</v>
      </c>
    </row>
    <row r="82" spans="1:8" ht="21.75" customHeight="1" x14ac:dyDescent="0.25">
      <c r="A82" s="95">
        <v>40622</v>
      </c>
      <c r="B82" s="153">
        <v>17</v>
      </c>
      <c r="C82" s="94">
        <v>28500</v>
      </c>
      <c r="D82" s="94" t="s">
        <v>122</v>
      </c>
      <c r="E82" s="94" t="s">
        <v>122</v>
      </c>
      <c r="F82" s="94" t="s">
        <v>122</v>
      </c>
      <c r="G82" s="94" t="s">
        <v>122</v>
      </c>
      <c r="H82" s="136" t="s">
        <v>122</v>
      </c>
    </row>
    <row r="83" spans="1:8" ht="21.75" customHeight="1" x14ac:dyDescent="0.25">
      <c r="A83" s="95">
        <v>40623</v>
      </c>
      <c r="B83" s="153">
        <v>17</v>
      </c>
      <c r="C83" s="94">
        <v>28500</v>
      </c>
      <c r="D83" s="94" t="s">
        <v>122</v>
      </c>
      <c r="E83" s="94" t="s">
        <v>122</v>
      </c>
      <c r="F83" s="94" t="s">
        <v>122</v>
      </c>
      <c r="G83" s="94" t="s">
        <v>122</v>
      </c>
      <c r="H83" s="136" t="s">
        <v>122</v>
      </c>
    </row>
    <row r="84" spans="1:8" ht="21.75" customHeight="1" x14ac:dyDescent="0.25">
      <c r="A84" s="95">
        <v>40624</v>
      </c>
      <c r="B84" s="153">
        <v>17</v>
      </c>
      <c r="C84" s="94">
        <v>28500</v>
      </c>
      <c r="D84" s="94" t="s">
        <v>122</v>
      </c>
      <c r="E84" s="94" t="s">
        <v>122</v>
      </c>
      <c r="F84" s="94" t="s">
        <v>122</v>
      </c>
      <c r="G84" s="94" t="s">
        <v>122</v>
      </c>
      <c r="H84" s="136" t="s">
        <v>122</v>
      </c>
    </row>
    <row r="85" spans="1:8" ht="21.75" customHeight="1" x14ac:dyDescent="0.25">
      <c r="A85" s="95">
        <v>40625</v>
      </c>
      <c r="B85" s="153">
        <v>17</v>
      </c>
      <c r="C85" s="94">
        <v>28500</v>
      </c>
      <c r="D85" s="94" t="s">
        <v>122</v>
      </c>
      <c r="E85" s="94" t="s">
        <v>122</v>
      </c>
      <c r="F85" s="94" t="s">
        <v>122</v>
      </c>
      <c r="G85" s="94" t="s">
        <v>122</v>
      </c>
      <c r="H85" s="136" t="s">
        <v>122</v>
      </c>
    </row>
    <row r="86" spans="1:8" ht="21.75" customHeight="1" x14ac:dyDescent="0.25">
      <c r="A86" s="95">
        <v>40626</v>
      </c>
      <c r="B86" s="153">
        <v>17</v>
      </c>
      <c r="C86" s="94">
        <v>28500</v>
      </c>
      <c r="D86" s="94" t="s">
        <v>122</v>
      </c>
      <c r="E86" s="94" t="s">
        <v>122</v>
      </c>
      <c r="F86" s="94" t="s">
        <v>122</v>
      </c>
      <c r="G86" s="94" t="s">
        <v>122</v>
      </c>
      <c r="H86" s="136" t="s">
        <v>122</v>
      </c>
    </row>
    <row r="87" spans="1:8" ht="21.75" customHeight="1" x14ac:dyDescent="0.25">
      <c r="A87" s="95">
        <v>40627</v>
      </c>
      <c r="B87" s="153">
        <v>17</v>
      </c>
      <c r="C87" s="94">
        <v>28500</v>
      </c>
      <c r="D87" s="94" t="s">
        <v>122</v>
      </c>
      <c r="E87" s="94" t="s">
        <v>122</v>
      </c>
      <c r="F87" s="94" t="s">
        <v>122</v>
      </c>
      <c r="G87" s="94" t="s">
        <v>122</v>
      </c>
      <c r="H87" s="136" t="s">
        <v>122</v>
      </c>
    </row>
    <row r="88" spans="1:8" ht="21.75" customHeight="1" x14ac:dyDescent="0.25">
      <c r="A88" s="95">
        <v>40628</v>
      </c>
      <c r="B88" s="94">
        <v>16.920000000000002</v>
      </c>
      <c r="C88" s="94">
        <v>28400</v>
      </c>
      <c r="D88" s="94" t="s">
        <v>122</v>
      </c>
      <c r="E88" s="94" t="s">
        <v>122</v>
      </c>
      <c r="F88" s="94" t="s">
        <v>122</v>
      </c>
      <c r="G88" s="94" t="s">
        <v>122</v>
      </c>
      <c r="H88" s="136" t="s">
        <v>122</v>
      </c>
    </row>
    <row r="89" spans="1:8" ht="21.75" customHeight="1" x14ac:dyDescent="0.25">
      <c r="A89" s="95">
        <v>40629</v>
      </c>
      <c r="B89" s="94">
        <v>16.920000000000002</v>
      </c>
      <c r="C89" s="94">
        <v>28400</v>
      </c>
      <c r="D89" s="94" t="s">
        <v>122</v>
      </c>
      <c r="E89" s="94" t="s">
        <v>122</v>
      </c>
      <c r="F89" s="94" t="s">
        <v>122</v>
      </c>
      <c r="G89" s="94" t="s">
        <v>122</v>
      </c>
      <c r="H89" s="136" t="s">
        <v>122</v>
      </c>
    </row>
    <row r="90" spans="1:8" ht="21.75" customHeight="1" x14ac:dyDescent="0.25">
      <c r="A90" s="95">
        <v>40630</v>
      </c>
      <c r="B90" s="94">
        <v>16.920000000000002</v>
      </c>
      <c r="C90" s="94">
        <v>28400</v>
      </c>
      <c r="D90" s="94" t="s">
        <v>122</v>
      </c>
      <c r="E90" s="94" t="s">
        <v>122</v>
      </c>
      <c r="F90" s="94" t="s">
        <v>122</v>
      </c>
      <c r="G90" s="94" t="s">
        <v>122</v>
      </c>
      <c r="H90" s="136" t="s">
        <v>122</v>
      </c>
    </row>
    <row r="91" spans="1:8" ht="21.75" customHeight="1" x14ac:dyDescent="0.25">
      <c r="A91" s="95">
        <v>40631</v>
      </c>
      <c r="B91" s="94">
        <v>17.079999999999998</v>
      </c>
      <c r="C91" s="94">
        <v>28600</v>
      </c>
      <c r="D91" s="94" t="s">
        <v>122</v>
      </c>
      <c r="E91" s="94" t="s">
        <v>122</v>
      </c>
      <c r="F91" s="94" t="s">
        <v>122</v>
      </c>
      <c r="G91" s="94" t="s">
        <v>122</v>
      </c>
      <c r="H91" s="136" t="s">
        <v>122</v>
      </c>
    </row>
    <row r="92" spans="1:8" ht="21.75" customHeight="1" x14ac:dyDescent="0.25">
      <c r="A92" s="95">
        <v>40632</v>
      </c>
      <c r="B92" s="94">
        <v>17.079999999999998</v>
      </c>
      <c r="C92" s="94">
        <v>28600</v>
      </c>
      <c r="D92" s="94" t="s">
        <v>122</v>
      </c>
      <c r="E92" s="94" t="s">
        <v>122</v>
      </c>
      <c r="F92" s="94" t="s">
        <v>122</v>
      </c>
      <c r="G92" s="94" t="s">
        <v>122</v>
      </c>
      <c r="H92" s="136" t="s">
        <v>122</v>
      </c>
    </row>
    <row r="93" spans="1:8" ht="21.75" customHeight="1" x14ac:dyDescent="0.25">
      <c r="A93" s="95">
        <v>40633</v>
      </c>
      <c r="B93" s="94">
        <v>17.079999999999998</v>
      </c>
      <c r="C93" s="94">
        <v>28600</v>
      </c>
      <c r="D93" s="94" t="s">
        <v>122</v>
      </c>
      <c r="E93" s="94" t="s">
        <v>122</v>
      </c>
      <c r="F93" s="94" t="s">
        <v>122</v>
      </c>
      <c r="G93" s="94" t="s">
        <v>122</v>
      </c>
      <c r="H93" s="136" t="s">
        <v>122</v>
      </c>
    </row>
    <row r="94" spans="1:8" ht="21.75" customHeight="1" x14ac:dyDescent="0.25">
      <c r="A94" s="95">
        <v>40634</v>
      </c>
      <c r="B94" s="94">
        <v>17.079999999999998</v>
      </c>
      <c r="C94" s="94">
        <v>28600</v>
      </c>
      <c r="D94" s="94" t="s">
        <v>122</v>
      </c>
      <c r="E94" s="94" t="s">
        <v>122</v>
      </c>
      <c r="F94" s="94" t="s">
        <v>122</v>
      </c>
      <c r="G94" s="94" t="s">
        <v>122</v>
      </c>
      <c r="H94" s="136" t="s">
        <v>122</v>
      </c>
    </row>
    <row r="95" spans="1:8" ht="21.75" customHeight="1" x14ac:dyDescent="0.25">
      <c r="A95" s="95">
        <v>40635</v>
      </c>
      <c r="B95" s="94">
        <v>17.079999999999998</v>
      </c>
      <c r="C95" s="94">
        <v>28600</v>
      </c>
      <c r="D95" s="94" t="s">
        <v>122</v>
      </c>
      <c r="E95" s="94" t="s">
        <v>122</v>
      </c>
      <c r="F95" s="94" t="s">
        <v>122</v>
      </c>
      <c r="G95" s="94" t="s">
        <v>122</v>
      </c>
      <c r="H95" s="136" t="s">
        <v>122</v>
      </c>
    </row>
    <row r="96" spans="1:8" ht="21.75" customHeight="1" x14ac:dyDescent="0.25">
      <c r="A96" s="95">
        <v>40636</v>
      </c>
      <c r="B96" s="94">
        <v>17.079999999999998</v>
      </c>
      <c r="C96" s="94">
        <v>28600</v>
      </c>
      <c r="D96" s="94" t="s">
        <v>122</v>
      </c>
      <c r="E96" s="94" t="s">
        <v>122</v>
      </c>
      <c r="F96" s="94" t="s">
        <v>122</v>
      </c>
      <c r="G96" s="94" t="s">
        <v>122</v>
      </c>
      <c r="H96" s="136" t="s">
        <v>122</v>
      </c>
    </row>
    <row r="97" spans="1:8" ht="21.75" customHeight="1" x14ac:dyDescent="0.25">
      <c r="A97" s="95">
        <v>40637</v>
      </c>
      <c r="B97" s="153">
        <v>17</v>
      </c>
      <c r="C97" s="94">
        <v>28500</v>
      </c>
      <c r="D97" s="94" t="s">
        <v>122</v>
      </c>
      <c r="E97" s="94" t="s">
        <v>122</v>
      </c>
      <c r="F97" s="94" t="s">
        <v>122</v>
      </c>
      <c r="G97" s="94" t="s">
        <v>122</v>
      </c>
      <c r="H97" s="136" t="s">
        <v>122</v>
      </c>
    </row>
    <row r="98" spans="1:8" ht="21.75" customHeight="1" x14ac:dyDescent="0.25">
      <c r="A98" s="95">
        <v>40638</v>
      </c>
      <c r="B98" s="153">
        <v>17</v>
      </c>
      <c r="C98" s="94">
        <v>28500</v>
      </c>
      <c r="D98" s="94" t="s">
        <v>122</v>
      </c>
      <c r="E98" s="94" t="s">
        <v>122</v>
      </c>
      <c r="F98" s="94" t="s">
        <v>122</v>
      </c>
      <c r="G98" s="94" t="s">
        <v>122</v>
      </c>
      <c r="H98" s="136" t="s">
        <v>122</v>
      </c>
    </row>
    <row r="99" spans="1:8" ht="21.75" customHeight="1" x14ac:dyDescent="0.25">
      <c r="A99" s="95">
        <v>40639</v>
      </c>
      <c r="B99" s="153">
        <v>17</v>
      </c>
      <c r="C99" s="94">
        <v>28500</v>
      </c>
      <c r="D99" s="94" t="s">
        <v>122</v>
      </c>
      <c r="E99" s="94" t="s">
        <v>122</v>
      </c>
      <c r="F99" s="94" t="s">
        <v>122</v>
      </c>
      <c r="G99" s="94" t="s">
        <v>122</v>
      </c>
      <c r="H99" s="136" t="s">
        <v>122</v>
      </c>
    </row>
    <row r="100" spans="1:8" ht="21.75" customHeight="1" x14ac:dyDescent="0.25">
      <c r="A100" s="95">
        <v>40640</v>
      </c>
      <c r="B100" s="94">
        <v>16.920000000000002</v>
      </c>
      <c r="C100" s="94">
        <v>28400</v>
      </c>
      <c r="D100" s="94" t="s">
        <v>122</v>
      </c>
      <c r="E100" s="94" t="s">
        <v>122</v>
      </c>
      <c r="F100" s="94" t="s">
        <v>122</v>
      </c>
      <c r="G100" s="94" t="s">
        <v>122</v>
      </c>
      <c r="H100" s="136" t="s">
        <v>122</v>
      </c>
    </row>
    <row r="101" spans="1:8" ht="21.75" customHeight="1" x14ac:dyDescent="0.25">
      <c r="A101" s="95">
        <v>40641</v>
      </c>
      <c r="B101" s="94">
        <v>16.920000000000002</v>
      </c>
      <c r="C101" s="94">
        <v>28400</v>
      </c>
      <c r="D101" s="94" t="s">
        <v>122</v>
      </c>
      <c r="E101" s="94" t="s">
        <v>122</v>
      </c>
      <c r="F101" s="94" t="s">
        <v>122</v>
      </c>
      <c r="G101" s="94" t="s">
        <v>122</v>
      </c>
      <c r="H101" s="136" t="s">
        <v>122</v>
      </c>
    </row>
    <row r="102" spans="1:8" ht="21.75" customHeight="1" x14ac:dyDescent="0.25">
      <c r="A102" s="95">
        <v>40642</v>
      </c>
      <c r="B102" s="94">
        <v>16.920000000000002</v>
      </c>
      <c r="C102" s="94">
        <v>28400</v>
      </c>
      <c r="D102" s="94" t="s">
        <v>122</v>
      </c>
      <c r="E102" s="94" t="s">
        <v>122</v>
      </c>
      <c r="F102" s="94" t="s">
        <v>122</v>
      </c>
      <c r="G102" s="94" t="s">
        <v>122</v>
      </c>
      <c r="H102" s="136" t="s">
        <v>122</v>
      </c>
    </row>
    <row r="103" spans="1:8" ht="21.75" customHeight="1" x14ac:dyDescent="0.25">
      <c r="A103" s="95">
        <v>40643</v>
      </c>
      <c r="B103" s="94">
        <v>16.920000000000002</v>
      </c>
      <c r="C103" s="94">
        <v>28400</v>
      </c>
      <c r="D103" s="94" t="s">
        <v>122</v>
      </c>
      <c r="E103" s="94" t="s">
        <v>122</v>
      </c>
      <c r="F103" s="94" t="s">
        <v>122</v>
      </c>
      <c r="G103" s="94" t="s">
        <v>122</v>
      </c>
      <c r="H103" s="136" t="s">
        <v>122</v>
      </c>
    </row>
    <row r="104" spans="1:8" ht="21.75" customHeight="1" x14ac:dyDescent="0.25">
      <c r="A104" s="95">
        <v>40644</v>
      </c>
      <c r="B104" s="94">
        <v>16.829999999999998</v>
      </c>
      <c r="C104" s="94">
        <v>28200</v>
      </c>
      <c r="D104" s="94" t="s">
        <v>122</v>
      </c>
      <c r="E104" s="94" t="s">
        <v>122</v>
      </c>
      <c r="F104" s="94" t="s">
        <v>122</v>
      </c>
      <c r="G104" s="94" t="s">
        <v>122</v>
      </c>
      <c r="H104" s="136" t="s">
        <v>122</v>
      </c>
    </row>
    <row r="105" spans="1:8" ht="21.75" customHeight="1" x14ac:dyDescent="0.25">
      <c r="A105" s="95">
        <v>40645</v>
      </c>
      <c r="B105" s="94">
        <v>16.829999999999998</v>
      </c>
      <c r="C105" s="94">
        <v>28200</v>
      </c>
      <c r="D105" s="94" t="s">
        <v>122</v>
      </c>
      <c r="E105" s="94" t="s">
        <v>122</v>
      </c>
      <c r="F105" s="94" t="s">
        <v>122</v>
      </c>
      <c r="G105" s="94" t="s">
        <v>122</v>
      </c>
      <c r="H105" s="136" t="s">
        <v>122</v>
      </c>
    </row>
    <row r="106" spans="1:8" ht="21.75" customHeight="1" x14ac:dyDescent="0.25">
      <c r="A106" s="95">
        <v>40646</v>
      </c>
      <c r="B106" s="94">
        <v>16.829999999999998</v>
      </c>
      <c r="C106" s="94">
        <v>28200</v>
      </c>
      <c r="D106" s="94" t="s">
        <v>122</v>
      </c>
      <c r="E106" s="94" t="s">
        <v>122</v>
      </c>
      <c r="F106" s="94" t="s">
        <v>122</v>
      </c>
      <c r="G106" s="94" t="s">
        <v>122</v>
      </c>
      <c r="H106" s="136" t="s">
        <v>122</v>
      </c>
    </row>
    <row r="107" spans="1:8" ht="21.75" customHeight="1" x14ac:dyDescent="0.25">
      <c r="A107" s="95">
        <v>40647</v>
      </c>
      <c r="B107" s="94">
        <v>16.829999999999998</v>
      </c>
      <c r="C107" s="94">
        <v>28200</v>
      </c>
      <c r="D107" s="94" t="s">
        <v>122</v>
      </c>
      <c r="E107" s="94" t="s">
        <v>122</v>
      </c>
      <c r="F107" s="94" t="s">
        <v>122</v>
      </c>
      <c r="G107" s="94" t="s">
        <v>122</v>
      </c>
      <c r="H107" s="136" t="s">
        <v>122</v>
      </c>
    </row>
    <row r="108" spans="1:8" ht="21.75" customHeight="1" x14ac:dyDescent="0.25">
      <c r="A108" s="95">
        <v>40648</v>
      </c>
      <c r="B108" s="94">
        <v>16.829999999999998</v>
      </c>
      <c r="C108" s="94">
        <v>28200</v>
      </c>
      <c r="D108" s="94" t="s">
        <v>122</v>
      </c>
      <c r="E108" s="94" t="s">
        <v>122</v>
      </c>
      <c r="F108" s="94" t="s">
        <v>122</v>
      </c>
      <c r="G108" s="94" t="s">
        <v>122</v>
      </c>
      <c r="H108" s="136" t="s">
        <v>122</v>
      </c>
    </row>
    <row r="109" spans="1:8" ht="21.75" customHeight="1" x14ac:dyDescent="0.25">
      <c r="A109" s="95">
        <v>40649</v>
      </c>
      <c r="B109" s="94">
        <v>16.829999999999998</v>
      </c>
      <c r="C109" s="94">
        <v>28200</v>
      </c>
      <c r="D109" s="94" t="s">
        <v>122</v>
      </c>
      <c r="E109" s="94" t="s">
        <v>122</v>
      </c>
      <c r="F109" s="94" t="s">
        <v>122</v>
      </c>
      <c r="G109" s="94" t="s">
        <v>122</v>
      </c>
      <c r="H109" s="136" t="s">
        <v>122</v>
      </c>
    </row>
    <row r="110" spans="1:8" ht="21.75" customHeight="1" x14ac:dyDescent="0.25">
      <c r="A110" s="95">
        <v>40650</v>
      </c>
      <c r="B110" s="94">
        <v>16.829999999999998</v>
      </c>
      <c r="C110" s="94">
        <v>28200</v>
      </c>
      <c r="D110" s="94" t="s">
        <v>122</v>
      </c>
      <c r="E110" s="94" t="s">
        <v>122</v>
      </c>
      <c r="F110" s="94" t="s">
        <v>122</v>
      </c>
      <c r="G110" s="94" t="s">
        <v>122</v>
      </c>
      <c r="H110" s="136" t="s">
        <v>122</v>
      </c>
    </row>
    <row r="111" spans="1:8" ht="21.75" customHeight="1" x14ac:dyDescent="0.25">
      <c r="A111" s="95">
        <v>40651</v>
      </c>
      <c r="B111" s="94">
        <v>16.920000000000002</v>
      </c>
      <c r="C111" s="94">
        <v>28400</v>
      </c>
      <c r="D111" s="94">
        <v>12</v>
      </c>
      <c r="E111" s="94">
        <v>67.23</v>
      </c>
      <c r="F111" s="94">
        <v>15</v>
      </c>
      <c r="G111" s="94">
        <v>80.67</v>
      </c>
      <c r="H111" s="136" t="s">
        <v>122</v>
      </c>
    </row>
    <row r="112" spans="1:8" ht="21.75" customHeight="1" x14ac:dyDescent="0.25">
      <c r="A112" s="95">
        <v>40652</v>
      </c>
      <c r="B112" s="94">
        <v>16.920000000000002</v>
      </c>
      <c r="C112" s="94">
        <v>28400</v>
      </c>
      <c r="D112" s="94">
        <v>12</v>
      </c>
      <c r="E112" s="94">
        <v>67.23</v>
      </c>
      <c r="F112" s="94">
        <v>15</v>
      </c>
      <c r="G112" s="94">
        <v>80.67</v>
      </c>
      <c r="H112" s="136" t="s">
        <v>122</v>
      </c>
    </row>
    <row r="113" spans="1:8" ht="21.75" customHeight="1" x14ac:dyDescent="0.25">
      <c r="A113" s="95">
        <v>40653</v>
      </c>
      <c r="B113" s="94">
        <v>7.08</v>
      </c>
      <c r="C113" s="94">
        <v>28600</v>
      </c>
      <c r="D113" s="94">
        <v>12</v>
      </c>
      <c r="E113" s="94">
        <v>67.58</v>
      </c>
      <c r="F113" s="94">
        <v>10</v>
      </c>
      <c r="G113" s="94">
        <v>54.84</v>
      </c>
      <c r="H113" s="136" t="s">
        <v>122</v>
      </c>
    </row>
    <row r="114" spans="1:8" ht="21.75" customHeight="1" x14ac:dyDescent="0.25">
      <c r="A114" s="95">
        <v>40654</v>
      </c>
      <c r="B114" s="94">
        <v>17.79</v>
      </c>
      <c r="C114" s="94">
        <v>31312.5</v>
      </c>
      <c r="D114" s="94"/>
      <c r="E114" s="94"/>
      <c r="F114" s="94"/>
      <c r="G114" s="94"/>
      <c r="H114" s="136" t="s">
        <v>122</v>
      </c>
    </row>
    <row r="115" spans="1:8" ht="21.75" customHeight="1" x14ac:dyDescent="0.25">
      <c r="A115" s="95">
        <v>40655</v>
      </c>
      <c r="B115" s="94">
        <v>18.579999999999998</v>
      </c>
      <c r="C115" s="94">
        <v>33900</v>
      </c>
      <c r="D115" s="94"/>
      <c r="E115" s="94"/>
      <c r="F115" s="94"/>
      <c r="G115" s="94"/>
      <c r="H115" s="136" t="s">
        <v>122</v>
      </c>
    </row>
    <row r="116" spans="1:8" ht="21.75" customHeight="1" x14ac:dyDescent="0.25">
      <c r="A116" s="95">
        <v>40656</v>
      </c>
      <c r="B116" s="94">
        <v>18.579999999999998</v>
      </c>
      <c r="C116" s="94">
        <v>33900</v>
      </c>
      <c r="D116" s="94"/>
      <c r="E116" s="94"/>
      <c r="F116" s="94"/>
      <c r="G116" s="94"/>
      <c r="H116" s="136" t="s">
        <v>122</v>
      </c>
    </row>
    <row r="117" spans="1:8" ht="21.75" customHeight="1" x14ac:dyDescent="0.25">
      <c r="A117" s="95">
        <v>40657</v>
      </c>
      <c r="B117" s="153">
        <v>19</v>
      </c>
      <c r="C117" s="94">
        <v>36250</v>
      </c>
      <c r="D117" s="94">
        <v>7</v>
      </c>
      <c r="E117" s="94">
        <v>42.52</v>
      </c>
      <c r="F117" s="94">
        <v>12</v>
      </c>
      <c r="G117" s="94">
        <v>69.48</v>
      </c>
      <c r="H117" s="136" t="s">
        <v>122</v>
      </c>
    </row>
    <row r="118" spans="1:8" ht="21.75" customHeight="1" x14ac:dyDescent="0.25">
      <c r="A118" s="95">
        <v>40658</v>
      </c>
      <c r="B118" s="153">
        <v>19</v>
      </c>
      <c r="C118" s="94">
        <v>36250</v>
      </c>
      <c r="D118" s="94">
        <v>10</v>
      </c>
      <c r="E118" s="94">
        <v>71.66</v>
      </c>
      <c r="F118" s="94">
        <v>12</v>
      </c>
      <c r="G118" s="94">
        <v>69.48</v>
      </c>
      <c r="H118" s="136" t="s">
        <v>122</v>
      </c>
    </row>
    <row r="119" spans="1:8" ht="21.75" customHeight="1" x14ac:dyDescent="0.25">
      <c r="A119" s="95">
        <v>40659</v>
      </c>
      <c r="B119" s="153">
        <v>19</v>
      </c>
      <c r="C119" s="94">
        <v>36250</v>
      </c>
      <c r="D119" s="94">
        <v>10</v>
      </c>
      <c r="E119" s="94">
        <v>71.66</v>
      </c>
      <c r="F119" s="94">
        <v>12</v>
      </c>
      <c r="G119" s="94">
        <v>69.48</v>
      </c>
      <c r="H119" s="136" t="s">
        <v>122</v>
      </c>
    </row>
    <row r="120" spans="1:8" ht="21.75" customHeight="1" x14ac:dyDescent="0.25">
      <c r="A120" s="95">
        <v>40660</v>
      </c>
      <c r="B120" s="153">
        <v>19</v>
      </c>
      <c r="C120" s="94">
        <v>36250</v>
      </c>
      <c r="D120" s="94">
        <v>12</v>
      </c>
      <c r="E120" s="94">
        <v>71.5</v>
      </c>
      <c r="F120" s="94">
        <v>15</v>
      </c>
      <c r="G120" s="94">
        <v>86.21</v>
      </c>
      <c r="H120" s="136" t="s">
        <v>122</v>
      </c>
    </row>
    <row r="121" spans="1:8" ht="21.75" customHeight="1" x14ac:dyDescent="0.25">
      <c r="A121" s="95">
        <v>40661</v>
      </c>
      <c r="B121" s="94">
        <v>18.920000000000002</v>
      </c>
      <c r="C121" s="94">
        <v>35750</v>
      </c>
      <c r="D121" s="94">
        <v>12</v>
      </c>
      <c r="E121" s="94">
        <v>71.33</v>
      </c>
      <c r="F121" s="94">
        <v>15</v>
      </c>
      <c r="G121" s="94">
        <v>85.99</v>
      </c>
      <c r="H121" s="136" t="s">
        <v>122</v>
      </c>
    </row>
    <row r="122" spans="1:8" ht="21.75" customHeight="1" x14ac:dyDescent="0.25">
      <c r="A122" s="95">
        <v>40662</v>
      </c>
      <c r="B122" s="94">
        <v>18.829999999999998</v>
      </c>
      <c r="C122" s="94">
        <v>35250</v>
      </c>
      <c r="D122" s="94">
        <v>12</v>
      </c>
      <c r="E122" s="94">
        <v>71.16</v>
      </c>
      <c r="F122" s="94">
        <v>15</v>
      </c>
      <c r="G122" s="94">
        <v>85.78</v>
      </c>
      <c r="H122" s="136" t="s">
        <v>122</v>
      </c>
    </row>
    <row r="123" spans="1:8" ht="21.75" customHeight="1" x14ac:dyDescent="0.25">
      <c r="A123" s="95">
        <v>40663</v>
      </c>
      <c r="B123" s="94">
        <v>18.670000000000002</v>
      </c>
      <c r="C123" s="94">
        <v>34250</v>
      </c>
      <c r="D123" s="94">
        <v>12</v>
      </c>
      <c r="E123" s="94">
        <v>70.83</v>
      </c>
      <c r="F123" s="94">
        <v>12</v>
      </c>
      <c r="G123" s="94">
        <v>68.8</v>
      </c>
      <c r="H123" s="136" t="s">
        <v>122</v>
      </c>
    </row>
    <row r="124" spans="1:8" ht="21.75" customHeight="1" x14ac:dyDescent="0.25">
      <c r="A124" s="95">
        <v>40664</v>
      </c>
      <c r="B124" s="94">
        <v>18.579999999999998</v>
      </c>
      <c r="C124" s="94">
        <v>33900</v>
      </c>
      <c r="D124" s="94">
        <v>12</v>
      </c>
      <c r="E124" s="94">
        <v>70.66</v>
      </c>
      <c r="F124" s="94">
        <v>12</v>
      </c>
      <c r="G124" s="94">
        <v>68.62</v>
      </c>
      <c r="H124" s="136" t="s">
        <v>122</v>
      </c>
    </row>
    <row r="125" spans="1:8" ht="21.75" customHeight="1" x14ac:dyDescent="0.25">
      <c r="A125" s="95">
        <v>40665</v>
      </c>
      <c r="B125" s="153">
        <v>18.5</v>
      </c>
      <c r="C125" s="94">
        <v>33800</v>
      </c>
      <c r="D125" s="94">
        <v>12</v>
      </c>
      <c r="E125" s="94">
        <v>70.5</v>
      </c>
      <c r="F125" s="94">
        <v>12</v>
      </c>
      <c r="G125" s="94">
        <v>68.45</v>
      </c>
      <c r="H125" s="136" t="s">
        <v>122</v>
      </c>
    </row>
    <row r="126" spans="1:8" ht="21.75" customHeight="1" x14ac:dyDescent="0.25">
      <c r="A126" s="95">
        <v>40666</v>
      </c>
      <c r="B126" s="94">
        <v>15.42</v>
      </c>
      <c r="C126" s="94">
        <v>33500</v>
      </c>
      <c r="D126" s="94">
        <v>12</v>
      </c>
      <c r="E126" s="94">
        <v>70.33</v>
      </c>
      <c r="F126" s="94">
        <v>12</v>
      </c>
      <c r="G126" s="94">
        <v>68.28</v>
      </c>
      <c r="H126" s="136" t="s">
        <v>122</v>
      </c>
    </row>
    <row r="127" spans="1:8" ht="21.75" customHeight="1" x14ac:dyDescent="0.25">
      <c r="A127" s="95">
        <v>40667</v>
      </c>
      <c r="B127" s="94">
        <v>18.329999999999998</v>
      </c>
      <c r="C127" s="94">
        <v>33000</v>
      </c>
      <c r="D127" s="94">
        <v>10</v>
      </c>
      <c r="E127" s="94">
        <v>58.75</v>
      </c>
      <c r="F127" s="94">
        <v>12</v>
      </c>
      <c r="G127" s="94">
        <v>68.11</v>
      </c>
      <c r="H127" s="136" t="s">
        <v>122</v>
      </c>
    </row>
    <row r="128" spans="1:8" ht="21.75" customHeight="1" x14ac:dyDescent="0.25">
      <c r="A128" s="95">
        <v>40668</v>
      </c>
      <c r="B128" s="94">
        <v>18.25</v>
      </c>
      <c r="C128" s="94">
        <v>32800</v>
      </c>
      <c r="D128" s="94">
        <v>10</v>
      </c>
      <c r="E128" s="94">
        <v>58.61</v>
      </c>
      <c r="F128" s="94">
        <v>12</v>
      </c>
      <c r="G128" s="94">
        <v>66.88</v>
      </c>
      <c r="H128" s="136" t="s">
        <v>122</v>
      </c>
    </row>
    <row r="129" spans="1:8" ht="21.75" customHeight="1" x14ac:dyDescent="0.25">
      <c r="A129" s="95">
        <v>40669</v>
      </c>
      <c r="B129" s="94">
        <v>18.170000000000002</v>
      </c>
      <c r="C129" s="94">
        <v>32600</v>
      </c>
      <c r="D129" s="94">
        <v>7</v>
      </c>
      <c r="E129" s="94">
        <v>41.22</v>
      </c>
      <c r="F129" s="94">
        <v>10</v>
      </c>
      <c r="G129" s="94">
        <v>56.76</v>
      </c>
      <c r="H129" s="136" t="s">
        <v>122</v>
      </c>
    </row>
    <row r="130" spans="1:8" ht="21.75" customHeight="1" x14ac:dyDescent="0.25">
      <c r="A130" s="95">
        <v>40670</v>
      </c>
      <c r="B130" s="153">
        <v>18</v>
      </c>
      <c r="C130" s="94">
        <v>32100</v>
      </c>
      <c r="D130" s="94">
        <v>11</v>
      </c>
      <c r="E130" s="94">
        <v>63.85</v>
      </c>
      <c r="F130" s="94">
        <v>11</v>
      </c>
      <c r="G130" s="94">
        <v>61.95</v>
      </c>
      <c r="H130" s="136" t="s">
        <v>122</v>
      </c>
    </row>
    <row r="131" spans="1:8" ht="21.75" customHeight="1" x14ac:dyDescent="0.25">
      <c r="A131" s="95">
        <v>40671</v>
      </c>
      <c r="B131" s="94">
        <v>17.920000000000002</v>
      </c>
      <c r="C131" s="94">
        <v>32000</v>
      </c>
      <c r="D131" s="94">
        <v>10</v>
      </c>
      <c r="E131" s="94">
        <v>58.04</v>
      </c>
      <c r="F131" s="94">
        <v>10</v>
      </c>
      <c r="G131" s="94">
        <v>56.32</v>
      </c>
      <c r="H131" s="136" t="s">
        <v>122</v>
      </c>
    </row>
    <row r="132" spans="1:8" ht="21.75" customHeight="1" x14ac:dyDescent="0.25">
      <c r="A132" s="95">
        <v>40672</v>
      </c>
      <c r="B132" s="94">
        <v>17.75</v>
      </c>
      <c r="C132" s="94">
        <v>31125</v>
      </c>
      <c r="D132" s="94">
        <v>8</v>
      </c>
      <c r="E132" s="94">
        <v>46.44</v>
      </c>
      <c r="F132" s="94">
        <v>10</v>
      </c>
      <c r="G132" s="94">
        <v>56.03</v>
      </c>
      <c r="H132" s="136" t="s">
        <v>122</v>
      </c>
    </row>
    <row r="133" spans="1:8" ht="21.75" customHeight="1" x14ac:dyDescent="0.25">
      <c r="A133" s="95">
        <v>40673</v>
      </c>
      <c r="B133" s="94">
        <v>17.670000000000002</v>
      </c>
      <c r="C133" s="94">
        <v>30750</v>
      </c>
      <c r="D133" s="94">
        <v>8</v>
      </c>
      <c r="E133" s="94">
        <v>46.32</v>
      </c>
      <c r="F133" s="94">
        <v>10</v>
      </c>
      <c r="G133" s="94">
        <v>55.88</v>
      </c>
      <c r="H133" s="136" t="s">
        <v>122</v>
      </c>
    </row>
    <row r="134" spans="1:8" ht="21.75" customHeight="1" x14ac:dyDescent="0.25">
      <c r="A134" s="95">
        <v>40674</v>
      </c>
      <c r="B134" s="94">
        <v>17.670000000000002</v>
      </c>
      <c r="C134" s="94">
        <v>30750</v>
      </c>
      <c r="D134" s="94"/>
      <c r="E134" s="94"/>
      <c r="F134" s="94"/>
      <c r="G134" s="94"/>
      <c r="H134" s="136" t="s">
        <v>122</v>
      </c>
    </row>
    <row r="135" spans="1:8" ht="21.75" customHeight="1" x14ac:dyDescent="0.25">
      <c r="A135" s="95">
        <v>40675</v>
      </c>
      <c r="B135" s="94">
        <v>17.670000000000002</v>
      </c>
      <c r="C135" s="94">
        <v>30750</v>
      </c>
      <c r="D135" s="94"/>
      <c r="E135" s="94"/>
      <c r="F135" s="94"/>
      <c r="G135" s="94"/>
      <c r="H135" s="136" t="s">
        <v>122</v>
      </c>
    </row>
    <row r="136" spans="1:8" ht="21.75" customHeight="1" x14ac:dyDescent="0.25">
      <c r="A136" s="95">
        <v>40676</v>
      </c>
      <c r="B136" s="94">
        <v>17.670000000000002</v>
      </c>
      <c r="C136" s="94">
        <v>30750</v>
      </c>
      <c r="D136" s="94">
        <v>4</v>
      </c>
      <c r="E136" s="94">
        <v>23.33</v>
      </c>
      <c r="F136" s="94">
        <v>12</v>
      </c>
      <c r="G136" s="94">
        <v>66.52</v>
      </c>
      <c r="H136" s="136" t="s">
        <v>122</v>
      </c>
    </row>
    <row r="137" spans="1:8" ht="21.75" customHeight="1" x14ac:dyDescent="0.25">
      <c r="A137" s="95">
        <v>40677</v>
      </c>
      <c r="B137" s="94">
        <v>17.5</v>
      </c>
      <c r="C137" s="94">
        <v>30300</v>
      </c>
      <c r="D137" s="94">
        <v>12</v>
      </c>
      <c r="E137" s="94">
        <v>68.45</v>
      </c>
      <c r="F137" s="94">
        <v>12</v>
      </c>
      <c r="G137" s="94">
        <v>66.349999999999994</v>
      </c>
      <c r="H137" s="136" t="s">
        <v>122</v>
      </c>
    </row>
    <row r="138" spans="1:8" ht="21.75" customHeight="1" x14ac:dyDescent="0.25">
      <c r="A138" s="95">
        <v>40678</v>
      </c>
      <c r="B138" s="94">
        <v>17.329999999999998</v>
      </c>
      <c r="C138" s="94">
        <v>30000</v>
      </c>
      <c r="D138" s="94">
        <v>12</v>
      </c>
      <c r="E138" s="94">
        <v>68.11</v>
      </c>
      <c r="F138" s="94">
        <v>12</v>
      </c>
      <c r="G138" s="94">
        <v>65.989999999999995</v>
      </c>
      <c r="H138" s="136" t="s">
        <v>122</v>
      </c>
    </row>
    <row r="139" spans="1:8" ht="21.75" customHeight="1" x14ac:dyDescent="0.25">
      <c r="A139" s="95">
        <v>40679</v>
      </c>
      <c r="B139" s="94">
        <v>17.25</v>
      </c>
      <c r="C139" s="94">
        <v>28850</v>
      </c>
      <c r="D139" s="94">
        <v>12</v>
      </c>
      <c r="E139" s="94">
        <v>67.930000000000007</v>
      </c>
      <c r="F139" s="94">
        <v>12</v>
      </c>
      <c r="G139" s="94">
        <v>65.81</v>
      </c>
      <c r="H139" s="136" t="s">
        <v>122</v>
      </c>
    </row>
    <row r="140" spans="1:8" ht="21.75" customHeight="1" x14ac:dyDescent="0.25">
      <c r="A140" s="95">
        <v>40680</v>
      </c>
      <c r="B140" s="94">
        <v>17.079999999999998</v>
      </c>
      <c r="C140" s="94">
        <v>28600</v>
      </c>
      <c r="D140" s="94">
        <v>12</v>
      </c>
      <c r="E140" s="94">
        <v>67.58</v>
      </c>
      <c r="F140" s="94">
        <v>12</v>
      </c>
      <c r="G140" s="94">
        <v>65.45</v>
      </c>
      <c r="H140" s="136" t="s">
        <v>122</v>
      </c>
    </row>
    <row r="141" spans="1:8" ht="21.75" customHeight="1" x14ac:dyDescent="0.25">
      <c r="A141" s="95">
        <v>40681</v>
      </c>
      <c r="B141" s="94">
        <v>17.079999999999998</v>
      </c>
      <c r="C141" s="94">
        <v>28600</v>
      </c>
      <c r="D141" s="94" t="s">
        <v>122</v>
      </c>
      <c r="E141" s="94" t="s">
        <v>122</v>
      </c>
      <c r="F141" s="94" t="s">
        <v>122</v>
      </c>
      <c r="G141" s="94" t="s">
        <v>122</v>
      </c>
      <c r="H141" s="136" t="s">
        <v>122</v>
      </c>
    </row>
    <row r="142" spans="1:8" ht="21.75" customHeight="1" x14ac:dyDescent="0.25">
      <c r="A142" s="95">
        <v>40682</v>
      </c>
      <c r="B142" s="94">
        <v>17.079999999999998</v>
      </c>
      <c r="C142" s="94">
        <v>28600</v>
      </c>
      <c r="D142" s="94" t="s">
        <v>122</v>
      </c>
      <c r="E142" s="94" t="s">
        <v>122</v>
      </c>
      <c r="F142" s="94" t="s">
        <v>122</v>
      </c>
      <c r="G142" s="94" t="s">
        <v>122</v>
      </c>
      <c r="H142" s="136" t="s">
        <v>122</v>
      </c>
    </row>
    <row r="143" spans="1:8" ht="21.75" customHeight="1" x14ac:dyDescent="0.25">
      <c r="A143" s="95">
        <v>40683</v>
      </c>
      <c r="B143" s="94">
        <v>17.079999999999998</v>
      </c>
      <c r="C143" s="94">
        <v>28600</v>
      </c>
      <c r="D143" s="94" t="s">
        <v>122</v>
      </c>
      <c r="E143" s="94" t="s">
        <v>122</v>
      </c>
      <c r="F143" s="94" t="s">
        <v>122</v>
      </c>
      <c r="G143" s="94" t="s">
        <v>122</v>
      </c>
      <c r="H143" s="136" t="s">
        <v>122</v>
      </c>
    </row>
    <row r="144" spans="1:8" ht="21.75" customHeight="1" x14ac:dyDescent="0.25">
      <c r="A144" s="95">
        <v>40684</v>
      </c>
      <c r="B144" s="153">
        <v>17</v>
      </c>
      <c r="C144" s="94">
        <v>28500</v>
      </c>
      <c r="D144" s="94">
        <v>14</v>
      </c>
      <c r="E144" s="94">
        <v>78.23</v>
      </c>
      <c r="F144" s="94">
        <v>15</v>
      </c>
      <c r="G144" s="94">
        <v>82.37</v>
      </c>
      <c r="H144" s="136" t="s">
        <v>122</v>
      </c>
    </row>
    <row r="145" spans="1:8" ht="21.75" customHeight="1" x14ac:dyDescent="0.25">
      <c r="A145" s="95">
        <v>40685</v>
      </c>
      <c r="B145" s="94">
        <v>16.920000000000002</v>
      </c>
      <c r="C145" s="94">
        <v>28400</v>
      </c>
      <c r="D145" s="94">
        <v>14</v>
      </c>
      <c r="E145" s="94">
        <v>78.02</v>
      </c>
      <c r="F145" s="94">
        <v>15</v>
      </c>
      <c r="G145" s="94">
        <v>80.78</v>
      </c>
      <c r="H145" s="136" t="s">
        <v>122</v>
      </c>
    </row>
    <row r="146" spans="1:8" ht="21.75" customHeight="1" x14ac:dyDescent="0.25">
      <c r="A146" s="95">
        <v>40686</v>
      </c>
      <c r="B146" s="94">
        <v>16.75</v>
      </c>
      <c r="C146" s="94">
        <v>28000</v>
      </c>
      <c r="D146" s="94">
        <v>14</v>
      </c>
      <c r="E146" s="94">
        <v>77.61</v>
      </c>
      <c r="F146" s="94">
        <v>15</v>
      </c>
      <c r="G146" s="94">
        <v>80.319999999999993</v>
      </c>
      <c r="H146" s="136" t="s">
        <v>122</v>
      </c>
    </row>
    <row r="147" spans="1:8" ht="21.75" customHeight="1" x14ac:dyDescent="0.25">
      <c r="A147" s="95">
        <v>40687</v>
      </c>
      <c r="B147" s="94">
        <v>16.670000000000002</v>
      </c>
      <c r="C147" s="94">
        <v>27850</v>
      </c>
      <c r="D147" s="94">
        <v>14</v>
      </c>
      <c r="E147" s="94">
        <v>77.400000000000006</v>
      </c>
      <c r="F147" s="94">
        <v>15</v>
      </c>
      <c r="G147" s="94">
        <v>79.98</v>
      </c>
      <c r="H147" s="136" t="s">
        <v>122</v>
      </c>
    </row>
    <row r="148" spans="1:8" ht="21.75" customHeight="1" x14ac:dyDescent="0.25">
      <c r="A148" s="95">
        <v>40688</v>
      </c>
      <c r="B148" s="94">
        <v>16.5</v>
      </c>
      <c r="C148" s="94">
        <v>27000</v>
      </c>
      <c r="D148" s="94">
        <v>14</v>
      </c>
      <c r="E148" s="94">
        <v>76.98</v>
      </c>
      <c r="F148" s="94">
        <v>14</v>
      </c>
      <c r="G148" s="94">
        <v>74.430000000000007</v>
      </c>
      <c r="H148" s="136" t="s">
        <v>122</v>
      </c>
    </row>
    <row r="149" spans="1:8" ht="21.75" customHeight="1" x14ac:dyDescent="0.25">
      <c r="A149" s="95">
        <v>40689</v>
      </c>
      <c r="B149" s="94">
        <v>16.420000000000002</v>
      </c>
      <c r="C149" s="94">
        <v>26750</v>
      </c>
      <c r="D149" s="94" t="s">
        <v>122</v>
      </c>
      <c r="E149" s="94" t="s">
        <v>122</v>
      </c>
      <c r="F149" s="94" t="s">
        <v>122</v>
      </c>
      <c r="G149" s="94" t="s">
        <v>122</v>
      </c>
      <c r="H149" s="136" t="s">
        <v>122</v>
      </c>
    </row>
    <row r="150" spans="1:8" ht="21.75" customHeight="1" x14ac:dyDescent="0.25">
      <c r="A150" s="95">
        <v>40690</v>
      </c>
      <c r="B150" s="94">
        <v>16.420000000000002</v>
      </c>
      <c r="C150" s="94">
        <v>26750</v>
      </c>
      <c r="D150" s="94" t="s">
        <v>122</v>
      </c>
      <c r="E150" s="94" t="s">
        <v>122</v>
      </c>
      <c r="F150" s="94" t="s">
        <v>122</v>
      </c>
      <c r="G150" s="94" t="s">
        <v>122</v>
      </c>
      <c r="H150" s="136" t="s">
        <v>122</v>
      </c>
    </row>
    <row r="151" spans="1:8" ht="21.75" customHeight="1" x14ac:dyDescent="0.25">
      <c r="A151" s="95">
        <v>40691</v>
      </c>
      <c r="B151" s="94">
        <v>16.420000000000002</v>
      </c>
      <c r="C151" s="94">
        <v>26750</v>
      </c>
      <c r="D151" s="94" t="s">
        <v>122</v>
      </c>
      <c r="E151" s="94" t="s">
        <v>122</v>
      </c>
      <c r="F151" s="94" t="s">
        <v>122</v>
      </c>
      <c r="G151" s="94" t="s">
        <v>122</v>
      </c>
      <c r="H151" s="136" t="s">
        <v>122</v>
      </c>
    </row>
    <row r="152" spans="1:8" ht="21.75" customHeight="1" x14ac:dyDescent="0.25">
      <c r="A152" s="95">
        <v>40692</v>
      </c>
      <c r="B152" s="94">
        <v>16.25</v>
      </c>
      <c r="C152" s="94">
        <v>26000</v>
      </c>
      <c r="D152" s="94">
        <v>12</v>
      </c>
      <c r="E152" s="94">
        <v>65.81</v>
      </c>
      <c r="F152" s="94">
        <v>14</v>
      </c>
      <c r="G152" s="94">
        <v>73.78</v>
      </c>
      <c r="H152" s="136" t="s">
        <v>122</v>
      </c>
    </row>
    <row r="153" spans="1:8" ht="21.75" customHeight="1" x14ac:dyDescent="0.25">
      <c r="A153" s="95">
        <v>40693</v>
      </c>
      <c r="B153" s="94">
        <v>16.079999999999998</v>
      </c>
      <c r="C153" s="94">
        <v>25700</v>
      </c>
      <c r="D153" s="94">
        <v>14</v>
      </c>
      <c r="E153" s="94">
        <v>75.930000000000007</v>
      </c>
      <c r="F153" s="94">
        <v>15</v>
      </c>
      <c r="G153" s="94">
        <v>78.34</v>
      </c>
      <c r="H153" s="136" t="s">
        <v>122</v>
      </c>
    </row>
    <row r="154" spans="1:8" ht="21.75" customHeight="1" x14ac:dyDescent="0.25">
      <c r="A154" s="95">
        <v>40694</v>
      </c>
      <c r="B154" s="94">
        <v>15.92</v>
      </c>
      <c r="C154" s="94">
        <v>25400</v>
      </c>
      <c r="D154" s="94">
        <v>14</v>
      </c>
      <c r="E154" s="94">
        <v>75.510000000000005</v>
      </c>
      <c r="F154" s="94">
        <v>12</v>
      </c>
      <c r="G154" s="94">
        <v>62.86</v>
      </c>
      <c r="H154" s="136" t="s">
        <v>122</v>
      </c>
    </row>
    <row r="155" spans="1:8" ht="21.75" customHeight="1" x14ac:dyDescent="0.25">
      <c r="A155" s="95">
        <v>40695</v>
      </c>
      <c r="B155" s="153">
        <v>15.75</v>
      </c>
      <c r="C155" s="94">
        <v>25000</v>
      </c>
      <c r="D155" s="94">
        <v>12</v>
      </c>
      <c r="E155" s="94">
        <v>64.72</v>
      </c>
      <c r="F155" s="94">
        <v>14</v>
      </c>
      <c r="G155" s="94">
        <v>72.459999999999994</v>
      </c>
      <c r="H155" s="136" t="s">
        <v>122</v>
      </c>
    </row>
    <row r="156" spans="1:8" ht="21.75" customHeight="1" x14ac:dyDescent="0.25">
      <c r="A156" s="95">
        <v>40696</v>
      </c>
      <c r="B156" s="153">
        <v>15.58</v>
      </c>
      <c r="C156" s="94">
        <v>24000</v>
      </c>
      <c r="D156" s="94">
        <v>12</v>
      </c>
      <c r="E156" s="94">
        <v>64.349999999999994</v>
      </c>
      <c r="F156" s="94">
        <v>14</v>
      </c>
      <c r="G156" s="94">
        <v>72.010000000000005</v>
      </c>
      <c r="H156" s="136" t="s">
        <v>122</v>
      </c>
    </row>
    <row r="157" spans="1:8" ht="21.75" customHeight="1" x14ac:dyDescent="0.25">
      <c r="A157" s="95">
        <v>40697</v>
      </c>
      <c r="B157" s="153">
        <v>15.5</v>
      </c>
      <c r="C157" s="94">
        <v>23500</v>
      </c>
      <c r="D157" s="94" t="s">
        <v>122</v>
      </c>
      <c r="E157" s="94" t="s">
        <v>122</v>
      </c>
      <c r="F157" s="94" t="s">
        <v>122</v>
      </c>
      <c r="G157" s="94" t="s">
        <v>122</v>
      </c>
      <c r="H157" s="136" t="s">
        <v>122</v>
      </c>
    </row>
    <row r="158" spans="1:8" ht="21.75" customHeight="1" x14ac:dyDescent="0.25">
      <c r="A158" s="95">
        <v>40698</v>
      </c>
      <c r="B158" s="153">
        <v>15.5</v>
      </c>
      <c r="C158" s="94">
        <v>23500</v>
      </c>
      <c r="D158" s="94" t="s">
        <v>122</v>
      </c>
      <c r="E158" s="94" t="s">
        <v>122</v>
      </c>
      <c r="F158" s="94" t="s">
        <v>122</v>
      </c>
      <c r="G158" s="94" t="s">
        <v>122</v>
      </c>
      <c r="H158" s="136" t="s">
        <v>122</v>
      </c>
    </row>
    <row r="159" spans="1:8" ht="21.75" customHeight="1" x14ac:dyDescent="0.25">
      <c r="A159" s="95">
        <v>40699</v>
      </c>
      <c r="B159" s="153">
        <v>15.5</v>
      </c>
      <c r="C159" s="94">
        <v>23500</v>
      </c>
      <c r="D159" s="94" t="s">
        <v>122</v>
      </c>
      <c r="E159" s="94" t="s">
        <v>122</v>
      </c>
      <c r="F159" s="94" t="s">
        <v>122</v>
      </c>
      <c r="G159" s="94" t="s">
        <v>122</v>
      </c>
      <c r="H159" s="136" t="s">
        <v>122</v>
      </c>
    </row>
    <row r="160" spans="1:8" ht="21.75" customHeight="1" x14ac:dyDescent="0.25">
      <c r="A160" s="95">
        <v>40700</v>
      </c>
      <c r="B160" s="94">
        <v>15.42</v>
      </c>
      <c r="C160" s="94">
        <v>22450</v>
      </c>
      <c r="D160" s="94" t="s">
        <v>122</v>
      </c>
      <c r="E160" s="94" t="s">
        <v>122</v>
      </c>
      <c r="F160" s="94" t="s">
        <v>122</v>
      </c>
      <c r="G160" s="94" t="s">
        <v>122</v>
      </c>
      <c r="H160" s="136" t="s">
        <v>122</v>
      </c>
    </row>
    <row r="161" spans="1:8" ht="21.75" customHeight="1" x14ac:dyDescent="0.25">
      <c r="A161" s="95">
        <v>40701</v>
      </c>
      <c r="B161" s="94">
        <v>15.42</v>
      </c>
      <c r="C161" s="94">
        <v>22450</v>
      </c>
      <c r="D161" s="94">
        <v>14</v>
      </c>
      <c r="E161" s="94">
        <v>63.98</v>
      </c>
      <c r="F161" s="94">
        <v>15</v>
      </c>
      <c r="G161" s="94">
        <v>66.66</v>
      </c>
      <c r="H161" s="136" t="s">
        <v>122</v>
      </c>
    </row>
    <row r="162" spans="1:8" ht="21.75" customHeight="1" x14ac:dyDescent="0.25">
      <c r="A162" s="95">
        <v>40702</v>
      </c>
      <c r="B162" s="94">
        <v>15.25</v>
      </c>
      <c r="C162" s="94">
        <v>22350</v>
      </c>
      <c r="D162" s="94">
        <v>14</v>
      </c>
      <c r="E162" s="94">
        <v>63.61</v>
      </c>
      <c r="F162" s="94">
        <v>18</v>
      </c>
      <c r="G162" s="94">
        <v>80.75</v>
      </c>
      <c r="H162" s="136" t="s">
        <v>122</v>
      </c>
    </row>
    <row r="163" spans="1:8" ht="21.75" customHeight="1" x14ac:dyDescent="0.25">
      <c r="A163" s="95">
        <v>40703</v>
      </c>
      <c r="B163" s="153">
        <v>15.08</v>
      </c>
      <c r="C163" s="94">
        <v>22300</v>
      </c>
      <c r="D163" s="94">
        <v>14</v>
      </c>
      <c r="E163" s="94">
        <v>73.34</v>
      </c>
      <c r="F163" s="94">
        <v>15</v>
      </c>
      <c r="G163" s="94">
        <v>75.45</v>
      </c>
      <c r="H163" s="136" t="s">
        <v>122</v>
      </c>
    </row>
    <row r="164" spans="1:8" ht="21.75" customHeight="1" x14ac:dyDescent="0.25">
      <c r="A164" s="95">
        <v>40704</v>
      </c>
      <c r="B164" s="94">
        <v>14.92</v>
      </c>
      <c r="C164" s="94">
        <v>22000</v>
      </c>
      <c r="D164" s="94">
        <v>15</v>
      </c>
      <c r="E164" s="94">
        <v>77.87</v>
      </c>
      <c r="F164" s="94">
        <v>18</v>
      </c>
      <c r="G164" s="94">
        <v>89.06</v>
      </c>
      <c r="H164" s="136" t="s">
        <v>122</v>
      </c>
    </row>
    <row r="165" spans="1:8" ht="21.75" customHeight="1" x14ac:dyDescent="0.25">
      <c r="A165" s="95">
        <v>40705</v>
      </c>
      <c r="B165" s="94">
        <v>14.75</v>
      </c>
      <c r="C165" s="94">
        <v>21500</v>
      </c>
      <c r="D165" s="94">
        <v>15</v>
      </c>
      <c r="E165" s="94">
        <v>77.39</v>
      </c>
      <c r="F165" s="94">
        <v>18</v>
      </c>
      <c r="G165" s="94">
        <v>88.46</v>
      </c>
      <c r="H165" s="136" t="s">
        <v>122</v>
      </c>
    </row>
    <row r="166" spans="1:8" ht="21.75" customHeight="1" x14ac:dyDescent="0.25">
      <c r="A166" s="95">
        <v>40706</v>
      </c>
      <c r="B166" s="94">
        <v>14.58</v>
      </c>
      <c r="C166" s="94">
        <v>21200</v>
      </c>
      <c r="D166" s="94">
        <v>15</v>
      </c>
      <c r="E166" s="94">
        <v>76.91</v>
      </c>
      <c r="F166" s="94">
        <v>18</v>
      </c>
      <c r="G166" s="94">
        <v>87.86</v>
      </c>
      <c r="H166" s="136" t="s">
        <v>122</v>
      </c>
    </row>
    <row r="167" spans="1:8" ht="21.75" customHeight="1" x14ac:dyDescent="0.25">
      <c r="A167" s="95">
        <v>40707</v>
      </c>
      <c r="B167" s="94">
        <v>14.33</v>
      </c>
      <c r="C167" s="94">
        <v>20450</v>
      </c>
      <c r="D167" s="94">
        <v>15</v>
      </c>
      <c r="E167" s="94">
        <v>76.19</v>
      </c>
      <c r="F167" s="94" t="s">
        <v>122</v>
      </c>
      <c r="G167" s="94" t="s">
        <v>122</v>
      </c>
      <c r="H167" s="136" t="s">
        <v>122</v>
      </c>
    </row>
    <row r="168" spans="1:8" ht="21.75" customHeight="1" x14ac:dyDescent="0.25">
      <c r="A168" s="95">
        <v>40708</v>
      </c>
      <c r="B168" s="94">
        <v>14.25</v>
      </c>
      <c r="C168" s="94">
        <v>20000</v>
      </c>
      <c r="D168" s="94" t="s">
        <v>122</v>
      </c>
      <c r="E168" s="94" t="s">
        <v>122</v>
      </c>
      <c r="F168" s="94" t="s">
        <v>122</v>
      </c>
      <c r="G168" s="94" t="s">
        <v>122</v>
      </c>
      <c r="H168" s="136" t="s">
        <v>122</v>
      </c>
    </row>
    <row r="169" spans="1:8" ht="21.75" customHeight="1" x14ac:dyDescent="0.25">
      <c r="A169" s="95">
        <v>40709</v>
      </c>
      <c r="B169" s="94">
        <v>14.25</v>
      </c>
      <c r="C169" s="94">
        <v>20000</v>
      </c>
      <c r="D169" s="94" t="s">
        <v>122</v>
      </c>
      <c r="E169" s="94" t="s">
        <v>122</v>
      </c>
      <c r="F169" s="94" t="s">
        <v>122</v>
      </c>
      <c r="G169" s="94" t="s">
        <v>122</v>
      </c>
      <c r="H169" s="136" t="s">
        <v>122</v>
      </c>
    </row>
    <row r="170" spans="1:8" ht="21.75" customHeight="1" x14ac:dyDescent="0.25">
      <c r="A170" s="95">
        <v>40710</v>
      </c>
      <c r="B170" s="94">
        <v>14.25</v>
      </c>
      <c r="C170" s="94">
        <v>20000</v>
      </c>
      <c r="D170" s="94" t="s">
        <v>122</v>
      </c>
      <c r="E170" s="94" t="s">
        <v>122</v>
      </c>
      <c r="F170" s="94" t="s">
        <v>122</v>
      </c>
      <c r="G170" s="94" t="s">
        <v>122</v>
      </c>
      <c r="H170" s="136" t="s">
        <v>122</v>
      </c>
    </row>
    <row r="171" spans="1:8" ht="21.75" customHeight="1" x14ac:dyDescent="0.25">
      <c r="A171" s="95">
        <v>40711</v>
      </c>
      <c r="B171" s="94">
        <v>14.25</v>
      </c>
      <c r="C171" s="94">
        <v>20000</v>
      </c>
      <c r="D171" s="94" t="s">
        <v>122</v>
      </c>
      <c r="E171" s="94" t="s">
        <v>122</v>
      </c>
      <c r="F171" s="94" t="s">
        <v>122</v>
      </c>
      <c r="G171" s="94" t="s">
        <v>122</v>
      </c>
      <c r="H171" s="136" t="s">
        <v>122</v>
      </c>
    </row>
    <row r="172" spans="1:8" ht="21.75" customHeight="1" x14ac:dyDescent="0.25">
      <c r="A172" s="95">
        <v>40712</v>
      </c>
      <c r="B172" s="94">
        <v>14.25</v>
      </c>
      <c r="C172" s="94">
        <v>20000</v>
      </c>
      <c r="D172" s="94" t="s">
        <v>122</v>
      </c>
      <c r="E172" s="94" t="s">
        <v>122</v>
      </c>
      <c r="F172" s="94" t="s">
        <v>122</v>
      </c>
      <c r="G172" s="94" t="s">
        <v>122</v>
      </c>
      <c r="H172" s="136" t="s">
        <v>122</v>
      </c>
    </row>
    <row r="173" spans="1:8" ht="21.75" customHeight="1" x14ac:dyDescent="0.25">
      <c r="A173" s="95">
        <v>40713</v>
      </c>
      <c r="B173" s="94">
        <v>14.17</v>
      </c>
      <c r="C173" s="94">
        <v>19850</v>
      </c>
      <c r="D173" s="94">
        <v>18</v>
      </c>
      <c r="E173" s="94">
        <v>89.95</v>
      </c>
      <c r="F173" s="94">
        <v>21</v>
      </c>
      <c r="G173" s="94">
        <v>99.62</v>
      </c>
      <c r="H173" s="136" t="s">
        <v>122</v>
      </c>
    </row>
    <row r="174" spans="1:8" ht="21.75" customHeight="1" x14ac:dyDescent="0.25">
      <c r="A174" s="95">
        <v>40714</v>
      </c>
      <c r="B174" s="94">
        <v>14</v>
      </c>
      <c r="C174" s="94">
        <v>19500</v>
      </c>
      <c r="D174" s="94">
        <v>18</v>
      </c>
      <c r="E174" s="94">
        <v>89.36</v>
      </c>
      <c r="F174" s="94">
        <v>21</v>
      </c>
      <c r="G174" s="94">
        <v>98.89</v>
      </c>
      <c r="H174" s="136" t="s">
        <v>122</v>
      </c>
    </row>
    <row r="175" spans="1:8" ht="21.75" customHeight="1" x14ac:dyDescent="0.25">
      <c r="A175" s="95">
        <v>40715</v>
      </c>
      <c r="B175" s="94">
        <v>13.83</v>
      </c>
      <c r="C175" s="94">
        <v>19200</v>
      </c>
      <c r="D175" s="94">
        <v>18</v>
      </c>
      <c r="E175" s="94">
        <v>88.76</v>
      </c>
      <c r="F175" s="94">
        <v>21</v>
      </c>
      <c r="G175" s="94">
        <v>98.15</v>
      </c>
      <c r="H175" s="136" t="s">
        <v>122</v>
      </c>
    </row>
    <row r="176" spans="1:8" ht="21.75" customHeight="1" x14ac:dyDescent="0.25">
      <c r="A176" s="95">
        <v>40716</v>
      </c>
      <c r="B176" s="94">
        <v>13.58</v>
      </c>
      <c r="C176" s="94">
        <v>18250</v>
      </c>
      <c r="D176" s="94">
        <v>18</v>
      </c>
      <c r="E176" s="94">
        <v>87.86</v>
      </c>
      <c r="F176" s="94">
        <v>21</v>
      </c>
      <c r="G176" s="94">
        <v>97.04</v>
      </c>
      <c r="H176" s="136" t="s">
        <v>122</v>
      </c>
    </row>
    <row r="177" spans="1:8" ht="21.75" customHeight="1" x14ac:dyDescent="0.25">
      <c r="A177" s="95">
        <v>40717</v>
      </c>
      <c r="B177" s="94">
        <v>13.42</v>
      </c>
      <c r="C177" s="94">
        <v>17800</v>
      </c>
      <c r="D177" s="94">
        <v>18</v>
      </c>
      <c r="E177" s="94">
        <v>87.25</v>
      </c>
      <c r="F177" s="94">
        <v>21</v>
      </c>
      <c r="G177" s="94">
        <v>96.29</v>
      </c>
      <c r="H177" s="136" t="s">
        <v>122</v>
      </c>
    </row>
    <row r="178" spans="1:8" ht="21.75" customHeight="1" x14ac:dyDescent="0.25">
      <c r="A178" s="95">
        <v>40718</v>
      </c>
      <c r="B178" s="94">
        <v>13.25</v>
      </c>
      <c r="C178" s="94">
        <v>17500</v>
      </c>
      <c r="D178" s="94">
        <v>18</v>
      </c>
      <c r="E178" s="94">
        <v>86.64</v>
      </c>
      <c r="F178" s="94">
        <v>18</v>
      </c>
      <c r="G178" s="94">
        <v>82.86</v>
      </c>
      <c r="H178" s="136" t="s">
        <v>122</v>
      </c>
    </row>
    <row r="179" spans="1:8" ht="21.75" customHeight="1" x14ac:dyDescent="0.25">
      <c r="A179" s="95">
        <v>40719</v>
      </c>
      <c r="B179" s="94">
        <v>13.08</v>
      </c>
      <c r="C179" s="94">
        <v>17250</v>
      </c>
      <c r="D179" s="94">
        <v>18</v>
      </c>
      <c r="E179" s="94">
        <v>86.02</v>
      </c>
      <c r="F179" s="94">
        <v>18</v>
      </c>
      <c r="G179" s="94">
        <v>82.22</v>
      </c>
      <c r="H179" s="136" t="s">
        <v>122</v>
      </c>
    </row>
    <row r="180" spans="1:8" ht="21.75" customHeight="1" x14ac:dyDescent="0.25">
      <c r="A180" s="95">
        <v>40720</v>
      </c>
      <c r="B180" s="94">
        <v>12.92</v>
      </c>
      <c r="C180" s="94">
        <v>16900</v>
      </c>
      <c r="D180" s="94">
        <v>15</v>
      </c>
      <c r="E180" s="94">
        <v>71.95</v>
      </c>
      <c r="F180" s="94">
        <v>18</v>
      </c>
      <c r="G180" s="94">
        <v>81.569999999999993</v>
      </c>
      <c r="H180" s="136" t="s">
        <v>122</v>
      </c>
    </row>
    <row r="181" spans="1:8" ht="21.75" customHeight="1" x14ac:dyDescent="0.25">
      <c r="A181" s="95">
        <v>40721</v>
      </c>
      <c r="B181" s="155">
        <v>12.75</v>
      </c>
      <c r="C181" s="94">
        <v>16700</v>
      </c>
      <c r="D181" s="94">
        <v>12</v>
      </c>
      <c r="E181" s="94">
        <v>57.76</v>
      </c>
      <c r="F181" s="94">
        <v>12</v>
      </c>
      <c r="G181" s="94">
        <v>55.25</v>
      </c>
      <c r="H181" s="136" t="s">
        <v>122</v>
      </c>
    </row>
    <row r="182" spans="1:8" ht="21.75" customHeight="1" x14ac:dyDescent="0.25">
      <c r="A182" s="95">
        <v>40722</v>
      </c>
      <c r="B182" s="155">
        <v>12.67</v>
      </c>
      <c r="C182" s="94">
        <v>16600</v>
      </c>
      <c r="D182" s="94">
        <v>12</v>
      </c>
      <c r="E182" s="94">
        <v>57.56</v>
      </c>
      <c r="F182" s="94">
        <v>12</v>
      </c>
      <c r="G182" s="94">
        <v>55.03</v>
      </c>
      <c r="H182" s="136" t="s">
        <v>122</v>
      </c>
    </row>
    <row r="183" spans="1:8" ht="21.75" customHeight="1" x14ac:dyDescent="0.25">
      <c r="A183" s="95">
        <v>40723</v>
      </c>
      <c r="B183" s="155">
        <v>12.58</v>
      </c>
      <c r="C183" s="94">
        <v>16500</v>
      </c>
      <c r="D183" s="94">
        <v>18</v>
      </c>
      <c r="E183" s="94">
        <v>83.51</v>
      </c>
      <c r="F183" s="94">
        <v>21</v>
      </c>
      <c r="G183" s="94">
        <v>92.45</v>
      </c>
      <c r="H183" s="136" t="s">
        <v>122</v>
      </c>
    </row>
    <row r="184" spans="1:8" ht="21.75" customHeight="1" x14ac:dyDescent="0.25">
      <c r="A184" s="95">
        <v>40724</v>
      </c>
      <c r="B184" s="155">
        <v>12.42</v>
      </c>
      <c r="C184" s="94">
        <v>16200</v>
      </c>
      <c r="D184" s="94">
        <v>5</v>
      </c>
      <c r="E184" s="94">
        <v>24.33</v>
      </c>
      <c r="F184" s="94">
        <v>25</v>
      </c>
      <c r="G184" s="94">
        <v>107.2</v>
      </c>
      <c r="H184" s="136" t="s">
        <v>122</v>
      </c>
    </row>
    <row r="185" spans="1:8" ht="21.75" customHeight="1" x14ac:dyDescent="0.25">
      <c r="A185" s="95">
        <v>40725</v>
      </c>
      <c r="B185" s="153">
        <v>12.08</v>
      </c>
      <c r="C185" s="94">
        <v>15500</v>
      </c>
      <c r="D185" s="94">
        <v>15</v>
      </c>
      <c r="E185" s="94">
        <v>69.459999999999994</v>
      </c>
      <c r="F185" s="94">
        <v>18</v>
      </c>
      <c r="G185" s="94">
        <v>78.23</v>
      </c>
      <c r="H185" s="136" t="s">
        <v>122</v>
      </c>
    </row>
    <row r="186" spans="1:8" ht="21.75" customHeight="1" x14ac:dyDescent="0.25">
      <c r="A186" s="95">
        <v>40726</v>
      </c>
      <c r="B186" s="153">
        <v>12</v>
      </c>
      <c r="C186" s="94">
        <v>15400</v>
      </c>
      <c r="D186" s="94">
        <v>15</v>
      </c>
      <c r="E186" s="94">
        <v>69.19</v>
      </c>
      <c r="F186" s="94">
        <v>18</v>
      </c>
      <c r="G186" s="94">
        <v>77.89</v>
      </c>
      <c r="H186" s="136" t="s">
        <v>122</v>
      </c>
    </row>
    <row r="187" spans="1:8" ht="21.75" customHeight="1" x14ac:dyDescent="0.25">
      <c r="A187" s="95">
        <v>40727</v>
      </c>
      <c r="B187" s="153">
        <v>11.92</v>
      </c>
      <c r="C187" s="94">
        <v>15200</v>
      </c>
      <c r="D187" s="94">
        <v>15</v>
      </c>
      <c r="E187" s="94">
        <v>68.92</v>
      </c>
      <c r="F187" s="94">
        <v>12</v>
      </c>
      <c r="G187" s="94">
        <v>53.06</v>
      </c>
      <c r="H187" s="136" t="s">
        <v>122</v>
      </c>
    </row>
    <row r="188" spans="1:8" ht="21.75" customHeight="1" x14ac:dyDescent="0.25">
      <c r="A188" s="95">
        <v>40728</v>
      </c>
      <c r="B188" s="153">
        <v>11.75</v>
      </c>
      <c r="C188" s="94">
        <v>14900</v>
      </c>
      <c r="D188" s="94">
        <v>15</v>
      </c>
      <c r="E188" s="94">
        <v>68.39</v>
      </c>
      <c r="F188" s="94">
        <v>12</v>
      </c>
      <c r="G188" s="94">
        <v>52.62</v>
      </c>
      <c r="H188" s="136" t="s">
        <v>122</v>
      </c>
    </row>
    <row r="189" spans="1:8" ht="21.75" customHeight="1" x14ac:dyDescent="0.25">
      <c r="A189" s="95">
        <v>40729</v>
      </c>
      <c r="B189" s="153">
        <v>11.58</v>
      </c>
      <c r="C189" s="94">
        <v>14600</v>
      </c>
      <c r="D189" s="94">
        <v>15</v>
      </c>
      <c r="E189" s="94">
        <v>67.84</v>
      </c>
      <c r="F189" s="94">
        <v>15</v>
      </c>
      <c r="G189" s="94">
        <v>64.77</v>
      </c>
      <c r="H189" s="136" t="s">
        <v>122</v>
      </c>
    </row>
    <row r="190" spans="1:8" ht="21.75" customHeight="1" x14ac:dyDescent="0.25">
      <c r="A190" s="95">
        <v>40730</v>
      </c>
      <c r="B190" s="153">
        <v>11.42</v>
      </c>
      <c r="C190" s="94">
        <v>14200</v>
      </c>
      <c r="D190" s="94" t="s">
        <v>122</v>
      </c>
      <c r="E190" s="94" t="s">
        <v>122</v>
      </c>
      <c r="F190" s="94">
        <v>9</v>
      </c>
      <c r="G190" s="94">
        <v>39.380000000000003</v>
      </c>
      <c r="H190" s="136" t="s">
        <v>122</v>
      </c>
    </row>
    <row r="191" spans="1:8" ht="21.75" customHeight="1" x14ac:dyDescent="0.25">
      <c r="A191" s="95">
        <v>40731</v>
      </c>
      <c r="B191" s="155">
        <v>11.33</v>
      </c>
      <c r="C191" s="94">
        <v>14000</v>
      </c>
      <c r="D191" s="94" t="s">
        <v>122</v>
      </c>
      <c r="E191" s="94" t="s">
        <v>122</v>
      </c>
      <c r="F191" s="94" t="s">
        <v>122</v>
      </c>
      <c r="G191" s="94" t="s">
        <v>122</v>
      </c>
      <c r="H191" s="136" t="s">
        <v>122</v>
      </c>
    </row>
    <row r="192" spans="1:8" ht="21.75" customHeight="1" x14ac:dyDescent="0.25">
      <c r="A192" s="95">
        <v>40732</v>
      </c>
      <c r="B192" s="155">
        <v>11.33</v>
      </c>
      <c r="C192" s="94">
        <v>14000</v>
      </c>
      <c r="D192" s="94" t="s">
        <v>122</v>
      </c>
      <c r="E192" s="94" t="s">
        <v>122</v>
      </c>
      <c r="F192" s="94" t="s">
        <v>122</v>
      </c>
      <c r="G192" s="94" t="s">
        <v>122</v>
      </c>
      <c r="H192" s="136" t="s">
        <v>122</v>
      </c>
    </row>
    <row r="193" spans="1:8" ht="21.75" customHeight="1" x14ac:dyDescent="0.25">
      <c r="A193" s="95">
        <v>40733</v>
      </c>
      <c r="B193" s="155">
        <v>11.33</v>
      </c>
      <c r="C193" s="94">
        <v>14000</v>
      </c>
      <c r="D193" s="94" t="s">
        <v>122</v>
      </c>
      <c r="E193" s="94" t="s">
        <v>122</v>
      </c>
      <c r="F193" s="94" t="s">
        <v>122</v>
      </c>
      <c r="G193" s="94" t="s">
        <v>122</v>
      </c>
      <c r="H193" s="136" t="s">
        <v>122</v>
      </c>
    </row>
    <row r="194" spans="1:8" ht="21.75" customHeight="1" x14ac:dyDescent="0.25">
      <c r="A194" s="95">
        <v>40734</v>
      </c>
      <c r="B194" s="155">
        <v>11.25</v>
      </c>
      <c r="C194" s="94">
        <v>13800</v>
      </c>
      <c r="D194" s="94" t="s">
        <v>122</v>
      </c>
      <c r="E194" s="94" t="s">
        <v>122</v>
      </c>
      <c r="F194" s="94">
        <v>12</v>
      </c>
      <c r="G194" s="94">
        <v>51.25</v>
      </c>
      <c r="H194" s="136" t="s">
        <v>122</v>
      </c>
    </row>
    <row r="195" spans="1:8" ht="21.75" customHeight="1" x14ac:dyDescent="0.25">
      <c r="A195" s="95">
        <v>40735</v>
      </c>
      <c r="B195" s="155">
        <v>11.08</v>
      </c>
      <c r="C195" s="94">
        <v>13600</v>
      </c>
      <c r="D195" s="94">
        <v>15</v>
      </c>
      <c r="E195" s="94">
        <v>66.05</v>
      </c>
      <c r="F195" s="94">
        <v>18</v>
      </c>
      <c r="G195" s="94">
        <v>74.040000000000006</v>
      </c>
      <c r="H195" s="136" t="s">
        <v>122</v>
      </c>
    </row>
    <row r="196" spans="1:8" ht="21.75" customHeight="1" x14ac:dyDescent="0.25">
      <c r="A196" s="95">
        <v>40736</v>
      </c>
      <c r="B196" s="155">
        <v>10.92</v>
      </c>
      <c r="C196" s="94">
        <v>13250</v>
      </c>
      <c r="D196" s="94">
        <v>15</v>
      </c>
      <c r="E196" s="94">
        <v>65.489999999999995</v>
      </c>
      <c r="F196" s="94">
        <v>18</v>
      </c>
      <c r="G196" s="94">
        <v>73.31</v>
      </c>
      <c r="H196" s="136" t="s">
        <v>122</v>
      </c>
    </row>
    <row r="197" spans="1:8" ht="21.75" customHeight="1" x14ac:dyDescent="0.25">
      <c r="A197" s="95">
        <v>40737</v>
      </c>
      <c r="B197" s="155">
        <v>10.67</v>
      </c>
      <c r="C197" s="94">
        <v>12800</v>
      </c>
      <c r="D197" s="94">
        <v>18</v>
      </c>
      <c r="E197" s="94">
        <v>76.510000000000005</v>
      </c>
      <c r="F197" s="94">
        <v>21</v>
      </c>
      <c r="G197" s="94">
        <v>82.94</v>
      </c>
      <c r="H197" s="136" t="s">
        <v>122</v>
      </c>
    </row>
    <row r="198" spans="1:8" ht="21.75" customHeight="1" x14ac:dyDescent="0.25">
      <c r="A198" s="95">
        <v>40738</v>
      </c>
      <c r="B198" s="155">
        <v>10.42</v>
      </c>
      <c r="C198" s="94">
        <v>12400</v>
      </c>
      <c r="D198" s="94">
        <v>18</v>
      </c>
      <c r="E198" s="94">
        <v>75.459999999999994</v>
      </c>
      <c r="F198" s="94">
        <v>21</v>
      </c>
      <c r="G198" s="94">
        <v>81.62</v>
      </c>
      <c r="H198" s="136" t="s">
        <v>122</v>
      </c>
    </row>
    <row r="199" spans="1:8" ht="21.75" customHeight="1" x14ac:dyDescent="0.25">
      <c r="A199" s="95">
        <v>40739</v>
      </c>
      <c r="B199" s="155">
        <v>10.17</v>
      </c>
      <c r="C199" s="94">
        <v>12000</v>
      </c>
      <c r="D199" s="94">
        <v>15</v>
      </c>
      <c r="E199" s="94">
        <v>62.89</v>
      </c>
      <c r="F199" s="94">
        <v>18</v>
      </c>
      <c r="G199" s="94">
        <v>69.97</v>
      </c>
      <c r="H199" s="136" t="s">
        <v>122</v>
      </c>
    </row>
    <row r="200" spans="1:8" ht="21.75" customHeight="1" x14ac:dyDescent="0.25">
      <c r="A200" s="95">
        <v>40740</v>
      </c>
      <c r="B200" s="155">
        <v>9.83</v>
      </c>
      <c r="C200" s="94">
        <v>11400</v>
      </c>
      <c r="D200" s="94">
        <v>15</v>
      </c>
      <c r="E200" s="94">
        <v>61.7</v>
      </c>
      <c r="F200" s="94">
        <v>18</v>
      </c>
      <c r="G200" s="94">
        <v>68.42</v>
      </c>
      <c r="H200" s="136" t="s">
        <v>122</v>
      </c>
    </row>
    <row r="201" spans="1:8" ht="21.75" customHeight="1" x14ac:dyDescent="0.25">
      <c r="A201" s="95">
        <v>40741</v>
      </c>
      <c r="B201" s="155">
        <v>9.68</v>
      </c>
      <c r="C201" s="94">
        <v>11200</v>
      </c>
      <c r="D201" s="94">
        <v>15</v>
      </c>
      <c r="E201" s="94">
        <v>61.1</v>
      </c>
      <c r="F201" s="94">
        <v>18</v>
      </c>
      <c r="G201" s="94">
        <v>67.64</v>
      </c>
      <c r="H201" s="136" t="s">
        <v>122</v>
      </c>
    </row>
    <row r="202" spans="1:8" ht="21.75" customHeight="1" x14ac:dyDescent="0.25">
      <c r="A202" s="95">
        <v>40742</v>
      </c>
      <c r="B202" s="155">
        <v>9.68</v>
      </c>
      <c r="C202" s="94">
        <v>11200</v>
      </c>
      <c r="D202" s="94" t="s">
        <v>122</v>
      </c>
      <c r="E202" s="94" t="s">
        <v>122</v>
      </c>
      <c r="F202" s="94" t="s">
        <v>122</v>
      </c>
      <c r="G202" s="94" t="s">
        <v>122</v>
      </c>
      <c r="H202" s="136" t="s">
        <v>122</v>
      </c>
    </row>
    <row r="203" spans="1:8" ht="21.75" customHeight="1" x14ac:dyDescent="0.25">
      <c r="A203" s="95">
        <v>40743</v>
      </c>
      <c r="B203" s="155">
        <v>9.68</v>
      </c>
      <c r="C203" s="94">
        <v>11200</v>
      </c>
      <c r="D203" s="94" t="s">
        <v>122</v>
      </c>
      <c r="E203" s="94" t="s">
        <v>122</v>
      </c>
      <c r="F203" s="94" t="s">
        <v>122</v>
      </c>
      <c r="G203" s="94" t="s">
        <v>122</v>
      </c>
      <c r="H203" s="136" t="s">
        <v>122</v>
      </c>
    </row>
    <row r="204" spans="1:8" ht="21.75" customHeight="1" x14ac:dyDescent="0.25">
      <c r="A204" s="95">
        <v>40744</v>
      </c>
      <c r="B204" s="155">
        <v>9.68</v>
      </c>
      <c r="C204" s="94">
        <v>11200</v>
      </c>
      <c r="D204" s="94">
        <v>18</v>
      </c>
      <c r="E204" s="94">
        <v>72.209999999999994</v>
      </c>
      <c r="F204" s="94">
        <v>21</v>
      </c>
      <c r="G204" s="94">
        <v>77.510000000000005</v>
      </c>
      <c r="H204" s="136" t="s">
        <v>122</v>
      </c>
    </row>
    <row r="205" spans="1:8" ht="21.75" customHeight="1" x14ac:dyDescent="0.25">
      <c r="A205" s="95">
        <v>40745</v>
      </c>
      <c r="B205" s="155">
        <v>9.42</v>
      </c>
      <c r="C205" s="94">
        <v>10700</v>
      </c>
      <c r="D205" s="94">
        <v>18</v>
      </c>
      <c r="E205" s="94">
        <v>71.099999999999994</v>
      </c>
      <c r="F205" s="94">
        <v>21</v>
      </c>
      <c r="G205" s="94">
        <v>76.09</v>
      </c>
      <c r="H205" s="136" t="s">
        <v>122</v>
      </c>
    </row>
    <row r="206" spans="1:8" ht="21.75" customHeight="1" x14ac:dyDescent="0.25">
      <c r="A206" s="95">
        <v>40746</v>
      </c>
      <c r="B206" s="155">
        <v>9.17</v>
      </c>
      <c r="C206" s="94">
        <v>10400</v>
      </c>
      <c r="D206" s="94">
        <v>21</v>
      </c>
      <c r="E206" s="94">
        <v>80.5</v>
      </c>
      <c r="F206" s="94">
        <v>24</v>
      </c>
      <c r="G206" s="94">
        <v>83.61</v>
      </c>
      <c r="H206" s="136" t="s">
        <v>122</v>
      </c>
    </row>
    <row r="207" spans="1:8" ht="21.75" customHeight="1" x14ac:dyDescent="0.25">
      <c r="A207" s="95">
        <v>40747</v>
      </c>
      <c r="B207" s="155">
        <v>9</v>
      </c>
      <c r="C207" s="94">
        <v>10200</v>
      </c>
      <c r="D207" s="94">
        <v>21</v>
      </c>
      <c r="E207" s="94">
        <v>79.36</v>
      </c>
      <c r="F207" s="94">
        <v>24</v>
      </c>
      <c r="G207" s="94">
        <v>82.46</v>
      </c>
      <c r="H207" s="136" t="s">
        <v>122</v>
      </c>
    </row>
    <row r="208" spans="1:8" ht="21.75" customHeight="1" x14ac:dyDescent="0.25">
      <c r="A208" s="95">
        <v>40748</v>
      </c>
      <c r="B208" s="155">
        <v>8.75</v>
      </c>
      <c r="C208" s="94">
        <v>9900</v>
      </c>
      <c r="D208" s="94">
        <v>21</v>
      </c>
      <c r="E208" s="94">
        <v>77.98</v>
      </c>
      <c r="F208" s="94">
        <v>24</v>
      </c>
      <c r="G208" s="94">
        <v>80.72</v>
      </c>
      <c r="H208" s="136" t="s">
        <v>122</v>
      </c>
    </row>
    <row r="209" spans="1:8" ht="21.75" customHeight="1" x14ac:dyDescent="0.25">
      <c r="A209" s="95">
        <v>40749</v>
      </c>
      <c r="B209" s="155">
        <v>8.5</v>
      </c>
      <c r="C209" s="94">
        <v>9600</v>
      </c>
      <c r="D209" s="94">
        <v>21</v>
      </c>
      <c r="E209" s="94">
        <v>76.569999999999993</v>
      </c>
      <c r="F209" s="94">
        <v>24</v>
      </c>
      <c r="G209" s="94">
        <v>78.94</v>
      </c>
      <c r="H209" s="136" t="s">
        <v>122</v>
      </c>
    </row>
    <row r="210" spans="1:8" ht="21.75" customHeight="1" x14ac:dyDescent="0.25">
      <c r="A210" s="95">
        <v>40750</v>
      </c>
      <c r="B210" s="155">
        <v>8.25</v>
      </c>
      <c r="C210" s="94">
        <v>9300</v>
      </c>
      <c r="D210" s="94">
        <v>18</v>
      </c>
      <c r="E210" s="94">
        <v>65.64</v>
      </c>
      <c r="F210" s="94">
        <v>21</v>
      </c>
      <c r="G210" s="94">
        <v>68.83</v>
      </c>
      <c r="H210" s="136" t="s">
        <v>122</v>
      </c>
    </row>
    <row r="211" spans="1:8" ht="21.75" customHeight="1" x14ac:dyDescent="0.25">
      <c r="A211" s="95">
        <v>40751</v>
      </c>
      <c r="B211" s="155">
        <v>8</v>
      </c>
      <c r="C211" s="94">
        <v>9000</v>
      </c>
      <c r="D211" s="94">
        <v>18</v>
      </c>
      <c r="E211" s="94">
        <v>64.41</v>
      </c>
      <c r="F211" s="94">
        <v>21</v>
      </c>
      <c r="G211" s="94">
        <v>67.760000000000005</v>
      </c>
      <c r="H211" s="136" t="s">
        <v>122</v>
      </c>
    </row>
    <row r="212" spans="1:8" ht="21.75" customHeight="1" x14ac:dyDescent="0.25">
      <c r="A212" s="95">
        <v>40752</v>
      </c>
      <c r="B212" s="155">
        <v>7.83</v>
      </c>
      <c r="C212" s="94">
        <v>8800</v>
      </c>
      <c r="D212" s="94" t="s">
        <v>122</v>
      </c>
      <c r="E212" s="94" t="s">
        <v>122</v>
      </c>
      <c r="F212" s="94">
        <v>12</v>
      </c>
      <c r="G212" s="94">
        <v>40.69</v>
      </c>
      <c r="H212" s="136" t="s">
        <v>122</v>
      </c>
    </row>
    <row r="213" spans="1:8" ht="21.75" customHeight="1" x14ac:dyDescent="0.25">
      <c r="A213" s="95">
        <v>40753</v>
      </c>
      <c r="B213" s="155">
        <v>7.75</v>
      </c>
      <c r="C213" s="94">
        <v>8700</v>
      </c>
      <c r="D213" s="94" t="s">
        <v>122</v>
      </c>
      <c r="E213" s="94" t="s">
        <v>122</v>
      </c>
      <c r="F213" s="94">
        <v>12</v>
      </c>
      <c r="G213" s="94">
        <v>40.4</v>
      </c>
      <c r="H213" s="136" t="s">
        <v>122</v>
      </c>
    </row>
    <row r="214" spans="1:8" ht="21.75" customHeight="1" x14ac:dyDescent="0.25">
      <c r="A214" s="95">
        <v>40754</v>
      </c>
      <c r="B214" s="155">
        <v>7.67</v>
      </c>
      <c r="C214" s="94">
        <v>8600</v>
      </c>
      <c r="D214" s="94">
        <v>18</v>
      </c>
      <c r="E214" s="94">
        <v>62.74</v>
      </c>
      <c r="F214" s="94">
        <v>12</v>
      </c>
      <c r="G214" s="94">
        <v>40.1</v>
      </c>
      <c r="H214" s="136" t="s">
        <v>122</v>
      </c>
    </row>
    <row r="215" spans="1:8" ht="21.75" customHeight="1" x14ac:dyDescent="0.25">
      <c r="A215" s="95">
        <v>40755</v>
      </c>
      <c r="B215" s="155">
        <v>7.42</v>
      </c>
      <c r="C215" s="94">
        <v>8300</v>
      </c>
      <c r="D215" s="94">
        <v>18</v>
      </c>
      <c r="E215" s="94">
        <v>61.45</v>
      </c>
      <c r="F215" s="94">
        <v>18</v>
      </c>
      <c r="G215" s="94">
        <v>56</v>
      </c>
      <c r="H215" s="136" t="s">
        <v>122</v>
      </c>
    </row>
    <row r="216" spans="1:8" ht="21.75" customHeight="1" x14ac:dyDescent="0.25">
      <c r="A216" s="95">
        <v>40756</v>
      </c>
      <c r="B216" s="153">
        <v>7.17</v>
      </c>
      <c r="C216" s="94">
        <v>8100</v>
      </c>
      <c r="D216" s="94">
        <v>18</v>
      </c>
      <c r="E216" s="94">
        <v>60.13</v>
      </c>
      <c r="F216" s="94">
        <v>18</v>
      </c>
      <c r="G216" s="94">
        <v>54.55</v>
      </c>
      <c r="H216" s="136" t="s">
        <v>122</v>
      </c>
    </row>
    <row r="217" spans="1:8" ht="21.75" customHeight="1" x14ac:dyDescent="0.25">
      <c r="A217" s="95">
        <v>40757</v>
      </c>
      <c r="B217" s="153">
        <v>6.92</v>
      </c>
      <c r="C217" s="94">
        <v>7800</v>
      </c>
      <c r="D217" s="94">
        <v>21</v>
      </c>
      <c r="E217" s="94">
        <v>67.23</v>
      </c>
      <c r="F217" s="94">
        <v>21</v>
      </c>
      <c r="G217" s="94">
        <v>60.39</v>
      </c>
      <c r="H217" s="136" t="s">
        <v>122</v>
      </c>
    </row>
    <row r="218" spans="1:8" ht="21.75" customHeight="1" x14ac:dyDescent="0.25">
      <c r="A218" s="95">
        <v>40758</v>
      </c>
      <c r="B218" s="153">
        <v>6.67</v>
      </c>
      <c r="C218" s="94">
        <v>7500</v>
      </c>
      <c r="D218" s="94">
        <v>21</v>
      </c>
      <c r="E218" s="94">
        <v>65.58</v>
      </c>
      <c r="F218" s="94">
        <v>21</v>
      </c>
      <c r="G218" s="94">
        <v>58.55</v>
      </c>
      <c r="H218" s="136" t="s">
        <v>122</v>
      </c>
    </row>
    <row r="219" spans="1:8" ht="21.75" customHeight="1" x14ac:dyDescent="0.25">
      <c r="A219" s="95">
        <v>40759</v>
      </c>
      <c r="B219" s="153">
        <v>6.42</v>
      </c>
      <c r="C219" s="94">
        <v>7300</v>
      </c>
      <c r="D219" s="94">
        <v>21</v>
      </c>
      <c r="E219" s="94">
        <v>63.9</v>
      </c>
      <c r="F219" s="94">
        <v>21</v>
      </c>
      <c r="G219" s="94">
        <v>56.66</v>
      </c>
      <c r="H219" s="136" t="s">
        <v>122</v>
      </c>
    </row>
    <row r="220" spans="1:8" ht="21.75" customHeight="1" x14ac:dyDescent="0.25">
      <c r="A220" s="95">
        <v>40760</v>
      </c>
      <c r="B220" s="94">
        <v>6.17</v>
      </c>
      <c r="C220" s="94">
        <v>7000</v>
      </c>
      <c r="D220" s="94">
        <v>21</v>
      </c>
      <c r="E220" s="94">
        <v>62.17</v>
      </c>
      <c r="F220" s="94">
        <v>21</v>
      </c>
      <c r="G220" s="94">
        <v>54.7</v>
      </c>
      <c r="H220" s="136" t="s">
        <v>122</v>
      </c>
    </row>
    <row r="221" spans="1:8" ht="21.75" customHeight="1" x14ac:dyDescent="0.25">
      <c r="A221" s="95">
        <v>40761</v>
      </c>
      <c r="B221" s="153">
        <v>5.92</v>
      </c>
      <c r="C221" s="94">
        <v>6800</v>
      </c>
      <c r="D221" s="94">
        <v>21</v>
      </c>
      <c r="E221" s="94">
        <v>59.78</v>
      </c>
      <c r="F221" s="94">
        <v>21</v>
      </c>
      <c r="G221" s="94">
        <v>52.66</v>
      </c>
      <c r="H221" s="136" t="s">
        <v>122</v>
      </c>
    </row>
    <row r="222" spans="1:8" ht="21.75" customHeight="1" x14ac:dyDescent="0.25">
      <c r="A222" s="95">
        <v>40762</v>
      </c>
      <c r="B222" s="94">
        <v>5.67</v>
      </c>
      <c r="C222" s="94">
        <v>6500</v>
      </c>
      <c r="D222" s="94">
        <v>21</v>
      </c>
      <c r="E222" s="94">
        <v>58.55</v>
      </c>
      <c r="F222" s="94">
        <v>21</v>
      </c>
      <c r="G222" s="94">
        <v>50.54</v>
      </c>
      <c r="H222" s="136" t="s">
        <v>122</v>
      </c>
    </row>
    <row r="223" spans="1:8" ht="21.75" customHeight="1" x14ac:dyDescent="0.25">
      <c r="A223" s="95">
        <v>40763</v>
      </c>
      <c r="B223" s="94">
        <v>5.42</v>
      </c>
      <c r="C223" s="94">
        <v>6300</v>
      </c>
      <c r="D223" s="94">
        <v>21</v>
      </c>
      <c r="E223" s="94">
        <v>56.66</v>
      </c>
      <c r="F223" s="94">
        <v>21</v>
      </c>
      <c r="G223" s="94">
        <v>48.32</v>
      </c>
      <c r="H223" s="136" t="s">
        <v>122</v>
      </c>
    </row>
    <row r="224" spans="1:8" ht="21.75" customHeight="1" x14ac:dyDescent="0.25">
      <c r="A224" s="95">
        <v>40764</v>
      </c>
      <c r="B224" s="153">
        <v>5.17</v>
      </c>
      <c r="C224" s="94">
        <v>6150</v>
      </c>
      <c r="D224" s="94">
        <v>15</v>
      </c>
      <c r="E224" s="94">
        <v>41.87</v>
      </c>
      <c r="F224" s="94">
        <v>21</v>
      </c>
      <c r="G224" s="94">
        <v>45.99</v>
      </c>
      <c r="H224" s="136" t="s">
        <v>122</v>
      </c>
    </row>
    <row r="225" spans="1:8" ht="21.75" customHeight="1" x14ac:dyDescent="0.25">
      <c r="A225" s="95">
        <v>40765</v>
      </c>
      <c r="B225" s="94">
        <v>5.08</v>
      </c>
      <c r="C225" s="94">
        <v>6100</v>
      </c>
      <c r="D225" s="94">
        <v>12</v>
      </c>
      <c r="E225" s="94">
        <v>34.04</v>
      </c>
      <c r="F225" s="94">
        <v>12</v>
      </c>
      <c r="G225" s="94">
        <v>29.56</v>
      </c>
      <c r="H225" s="136" t="s">
        <v>122</v>
      </c>
    </row>
    <row r="226" spans="1:8" ht="21.75" customHeight="1" x14ac:dyDescent="0.25">
      <c r="A226" s="95">
        <v>40766</v>
      </c>
      <c r="B226" s="153">
        <v>5</v>
      </c>
      <c r="C226" s="94">
        <v>6000</v>
      </c>
      <c r="D226" s="94">
        <v>12</v>
      </c>
      <c r="E226" s="94">
        <v>9.82</v>
      </c>
      <c r="F226" s="94" t="s">
        <v>122</v>
      </c>
      <c r="G226" s="94" t="s">
        <v>122</v>
      </c>
      <c r="H226" s="136" t="s">
        <v>122</v>
      </c>
    </row>
    <row r="227" spans="1:8" ht="21.75" customHeight="1" x14ac:dyDescent="0.25">
      <c r="A227" s="95">
        <v>40767</v>
      </c>
      <c r="B227" s="153">
        <v>5</v>
      </c>
      <c r="C227" s="94">
        <v>6000</v>
      </c>
      <c r="D227" s="94" t="s">
        <v>122</v>
      </c>
      <c r="E227" s="94" t="s">
        <v>122</v>
      </c>
      <c r="F227" s="94" t="s">
        <v>122</v>
      </c>
      <c r="G227" s="94" t="s">
        <v>122</v>
      </c>
      <c r="H227" s="136" t="s">
        <v>122</v>
      </c>
    </row>
    <row r="228" spans="1:8" ht="21.75" customHeight="1" x14ac:dyDescent="0.25">
      <c r="A228" s="95">
        <v>40768</v>
      </c>
      <c r="B228" s="153">
        <v>5</v>
      </c>
      <c r="C228" s="94">
        <v>6000</v>
      </c>
      <c r="D228" s="94" t="s">
        <v>122</v>
      </c>
      <c r="E228" s="94" t="s">
        <v>122</v>
      </c>
      <c r="F228" s="94" t="s">
        <v>122</v>
      </c>
      <c r="G228" s="94" t="s">
        <v>122</v>
      </c>
      <c r="H228" s="136" t="s">
        <v>122</v>
      </c>
    </row>
    <row r="229" spans="1:8" ht="21.75" customHeight="1" x14ac:dyDescent="0.25">
      <c r="A229" s="95">
        <v>40769</v>
      </c>
      <c r="B229" s="153">
        <v>5</v>
      </c>
      <c r="C229" s="94">
        <v>6000</v>
      </c>
      <c r="D229" s="94" t="s">
        <v>122</v>
      </c>
      <c r="E229" s="94" t="s">
        <v>122</v>
      </c>
      <c r="F229" s="94" t="s">
        <v>122</v>
      </c>
      <c r="G229" s="94" t="s">
        <v>122</v>
      </c>
      <c r="H229" s="136" t="s">
        <v>122</v>
      </c>
    </row>
    <row r="230" spans="1:8" ht="21.75" customHeight="1" x14ac:dyDescent="0.25">
      <c r="A230" s="95">
        <v>40770</v>
      </c>
      <c r="B230" s="153">
        <v>5</v>
      </c>
      <c r="C230" s="94">
        <v>6000</v>
      </c>
      <c r="D230" s="94" t="s">
        <v>122</v>
      </c>
      <c r="E230" s="94" t="s">
        <v>122</v>
      </c>
      <c r="F230" s="94" t="s">
        <v>122</v>
      </c>
      <c r="G230" s="94" t="s">
        <v>122</v>
      </c>
      <c r="H230" s="136" t="s">
        <v>122</v>
      </c>
    </row>
    <row r="231" spans="1:8" ht="21.75" customHeight="1" x14ac:dyDescent="0.25">
      <c r="A231" s="95">
        <v>40771</v>
      </c>
      <c r="B231" s="153">
        <v>5</v>
      </c>
      <c r="C231" s="94">
        <v>6000</v>
      </c>
      <c r="D231" s="94" t="s">
        <v>122</v>
      </c>
      <c r="E231" s="94" t="s">
        <v>122</v>
      </c>
      <c r="F231" s="94" t="s">
        <v>122</v>
      </c>
      <c r="G231" s="94" t="s">
        <v>122</v>
      </c>
      <c r="H231" s="136" t="s">
        <v>122</v>
      </c>
    </row>
    <row r="232" spans="1:8" ht="21.75" customHeight="1" x14ac:dyDescent="0.25">
      <c r="A232" s="95">
        <v>40772</v>
      </c>
      <c r="B232" s="94">
        <v>4.92</v>
      </c>
      <c r="C232" s="94">
        <v>5900</v>
      </c>
      <c r="D232" s="94" t="s">
        <v>122</v>
      </c>
      <c r="E232" s="94" t="s">
        <v>122</v>
      </c>
      <c r="F232" s="94" t="s">
        <v>122</v>
      </c>
      <c r="G232" s="94" t="s">
        <v>122</v>
      </c>
      <c r="H232" s="136" t="s">
        <v>122</v>
      </c>
    </row>
    <row r="233" spans="1:8" ht="21.75" customHeight="1" x14ac:dyDescent="0.25">
      <c r="A233" s="95">
        <v>40773</v>
      </c>
      <c r="B233" s="94">
        <v>4.92</v>
      </c>
      <c r="C233" s="94">
        <v>5900</v>
      </c>
      <c r="D233" s="94" t="s">
        <v>122</v>
      </c>
      <c r="E233" s="94" t="s">
        <v>122</v>
      </c>
      <c r="F233" s="94" t="s">
        <v>122</v>
      </c>
      <c r="G233" s="94" t="s">
        <v>122</v>
      </c>
      <c r="H233" s="136" t="s">
        <v>122</v>
      </c>
    </row>
    <row r="234" spans="1:8" ht="21.75" customHeight="1" x14ac:dyDescent="0.25">
      <c r="A234" s="95">
        <v>40774</v>
      </c>
      <c r="B234" s="94">
        <v>4.92</v>
      </c>
      <c r="C234" s="94">
        <v>5900</v>
      </c>
      <c r="D234" s="94" t="s">
        <v>122</v>
      </c>
      <c r="E234" s="94" t="s">
        <v>122</v>
      </c>
      <c r="F234" s="94" t="s">
        <v>122</v>
      </c>
      <c r="G234" s="94" t="s">
        <v>122</v>
      </c>
      <c r="H234" s="136" t="s">
        <v>122</v>
      </c>
    </row>
    <row r="235" spans="1:8" ht="21.75" customHeight="1" x14ac:dyDescent="0.25">
      <c r="A235" s="95">
        <v>40775</v>
      </c>
      <c r="B235" s="94">
        <v>4.83</v>
      </c>
      <c r="C235" s="94">
        <v>5850</v>
      </c>
      <c r="D235" s="94" t="s">
        <v>122</v>
      </c>
      <c r="E235" s="94" t="s">
        <v>122</v>
      </c>
      <c r="F235" s="94" t="s">
        <v>122</v>
      </c>
      <c r="G235" s="94" t="s">
        <v>122</v>
      </c>
      <c r="H235" s="136" t="s">
        <v>122</v>
      </c>
    </row>
    <row r="236" spans="1:8" ht="21.75" customHeight="1" x14ac:dyDescent="0.25">
      <c r="A236" s="95">
        <v>40776</v>
      </c>
      <c r="B236" s="94">
        <v>4.83</v>
      </c>
      <c r="C236" s="94">
        <v>5850</v>
      </c>
      <c r="D236" s="94" t="s">
        <v>122</v>
      </c>
      <c r="E236" s="94" t="s">
        <v>122</v>
      </c>
      <c r="F236" s="94" t="s">
        <v>122</v>
      </c>
      <c r="G236" s="94" t="s">
        <v>122</v>
      </c>
      <c r="H236" s="136" t="s">
        <v>122</v>
      </c>
    </row>
    <row r="237" spans="1:8" ht="21.75" customHeight="1" x14ac:dyDescent="0.25">
      <c r="A237" s="95">
        <v>40777</v>
      </c>
      <c r="B237" s="94">
        <v>4.83</v>
      </c>
      <c r="C237" s="94">
        <v>5850</v>
      </c>
      <c r="D237" s="94" t="s">
        <v>122</v>
      </c>
      <c r="E237" s="94" t="s">
        <v>122</v>
      </c>
      <c r="F237" s="94" t="s">
        <v>122</v>
      </c>
      <c r="G237" s="94" t="s">
        <v>122</v>
      </c>
      <c r="H237" s="136" t="s">
        <v>122</v>
      </c>
    </row>
    <row r="238" spans="1:8" ht="21.75" customHeight="1" x14ac:dyDescent="0.25">
      <c r="A238" s="95">
        <v>40778</v>
      </c>
      <c r="B238" s="94">
        <v>4.83</v>
      </c>
      <c r="C238" s="94">
        <v>5850</v>
      </c>
      <c r="D238" s="94" t="s">
        <v>122</v>
      </c>
      <c r="E238" s="94" t="s">
        <v>122</v>
      </c>
      <c r="F238" s="94" t="s">
        <v>122</v>
      </c>
      <c r="G238" s="94" t="s">
        <v>122</v>
      </c>
      <c r="H238" s="136" t="s">
        <v>122</v>
      </c>
    </row>
    <row r="239" spans="1:8" ht="21.75" customHeight="1" x14ac:dyDescent="0.25">
      <c r="A239" s="95">
        <v>40779</v>
      </c>
      <c r="B239" s="94">
        <v>4.75</v>
      </c>
      <c r="C239" s="94">
        <v>5800</v>
      </c>
      <c r="D239" s="94" t="s">
        <v>122</v>
      </c>
      <c r="E239" s="94" t="s">
        <v>122</v>
      </c>
      <c r="F239" s="94" t="s">
        <v>122</v>
      </c>
      <c r="G239" s="94" t="s">
        <v>122</v>
      </c>
      <c r="H239" s="136" t="s">
        <v>122</v>
      </c>
    </row>
    <row r="240" spans="1:8" ht="21.75" customHeight="1" x14ac:dyDescent="0.25">
      <c r="A240" s="95">
        <v>40780</v>
      </c>
      <c r="B240" s="94">
        <v>4.75</v>
      </c>
      <c r="C240" s="94">
        <v>5800</v>
      </c>
      <c r="D240" s="94" t="s">
        <v>122</v>
      </c>
      <c r="E240" s="94" t="s">
        <v>122</v>
      </c>
      <c r="F240" s="94" t="s">
        <v>122</v>
      </c>
      <c r="G240" s="94" t="s">
        <v>122</v>
      </c>
      <c r="H240" s="136" t="s">
        <v>122</v>
      </c>
    </row>
    <row r="241" spans="1:8" ht="21.75" customHeight="1" x14ac:dyDescent="0.25">
      <c r="A241" s="95">
        <v>40781</v>
      </c>
      <c r="B241" s="94">
        <v>4.75</v>
      </c>
      <c r="C241" s="94">
        <v>5800</v>
      </c>
      <c r="D241" s="94" t="s">
        <v>122</v>
      </c>
      <c r="E241" s="94" t="s">
        <v>122</v>
      </c>
      <c r="F241" s="94" t="s">
        <v>122</v>
      </c>
      <c r="G241" s="94" t="s">
        <v>122</v>
      </c>
      <c r="H241" s="136" t="s">
        <v>122</v>
      </c>
    </row>
    <row r="242" spans="1:8" ht="21.75" customHeight="1" x14ac:dyDescent="0.25">
      <c r="A242" s="95">
        <v>40782</v>
      </c>
      <c r="B242" s="94">
        <v>4.75</v>
      </c>
      <c r="C242" s="94">
        <v>5800</v>
      </c>
      <c r="D242" s="94" t="s">
        <v>122</v>
      </c>
      <c r="E242" s="94" t="s">
        <v>122</v>
      </c>
      <c r="F242" s="94" t="s">
        <v>122</v>
      </c>
      <c r="G242" s="94" t="s">
        <v>122</v>
      </c>
      <c r="H242" s="136" t="s">
        <v>122</v>
      </c>
    </row>
    <row r="243" spans="1:8" ht="21.75" customHeight="1" x14ac:dyDescent="0.25">
      <c r="A243" s="95">
        <v>40783</v>
      </c>
      <c r="B243" s="94">
        <v>4.67</v>
      </c>
      <c r="C243" s="94">
        <v>5700</v>
      </c>
      <c r="D243" s="94" t="s">
        <v>122</v>
      </c>
      <c r="E243" s="94" t="s">
        <v>122</v>
      </c>
      <c r="F243" s="94" t="s">
        <v>122</v>
      </c>
      <c r="G243" s="94" t="s">
        <v>122</v>
      </c>
      <c r="H243" s="136" t="s">
        <v>122</v>
      </c>
    </row>
    <row r="244" spans="1:8" ht="21.75" customHeight="1" x14ac:dyDescent="0.25">
      <c r="A244" s="95">
        <v>40784</v>
      </c>
      <c r="B244" s="94">
        <v>4.67</v>
      </c>
      <c r="C244" s="94">
        <v>5700</v>
      </c>
      <c r="D244" s="94" t="s">
        <v>122</v>
      </c>
      <c r="E244" s="94" t="s">
        <v>122</v>
      </c>
      <c r="F244" s="94" t="s">
        <v>122</v>
      </c>
      <c r="G244" s="94" t="s">
        <v>122</v>
      </c>
      <c r="H244" s="136" t="s">
        <v>122</v>
      </c>
    </row>
    <row r="245" spans="1:8" ht="21.75" customHeight="1" x14ac:dyDescent="0.25">
      <c r="A245" s="95">
        <v>40785</v>
      </c>
      <c r="B245" s="94">
        <v>4.67</v>
      </c>
      <c r="C245" s="94">
        <v>5700</v>
      </c>
      <c r="D245" s="94" t="s">
        <v>122</v>
      </c>
      <c r="E245" s="94" t="s">
        <v>122</v>
      </c>
      <c r="F245" s="94" t="s">
        <v>122</v>
      </c>
      <c r="G245" s="94" t="s">
        <v>122</v>
      </c>
      <c r="H245" s="136" t="s">
        <v>122</v>
      </c>
    </row>
    <row r="246" spans="1:8" ht="21.75" customHeight="1" x14ac:dyDescent="0.25">
      <c r="A246" s="95">
        <v>40786</v>
      </c>
      <c r="B246" s="94">
        <v>4.67</v>
      </c>
      <c r="C246" s="94">
        <v>5700</v>
      </c>
      <c r="D246" s="94" t="s">
        <v>122</v>
      </c>
      <c r="E246" s="94" t="s">
        <v>122</v>
      </c>
      <c r="F246" s="94" t="s">
        <v>122</v>
      </c>
      <c r="G246" s="94" t="s">
        <v>122</v>
      </c>
      <c r="H246" s="136" t="s">
        <v>122</v>
      </c>
    </row>
    <row r="247" spans="1:8" ht="21.75" customHeight="1" x14ac:dyDescent="0.25">
      <c r="A247" s="95">
        <v>40787</v>
      </c>
      <c r="B247" s="153">
        <v>4.58</v>
      </c>
      <c r="C247" s="94">
        <v>5600</v>
      </c>
      <c r="D247" s="94" t="s">
        <v>122</v>
      </c>
      <c r="E247" s="94" t="s">
        <v>122</v>
      </c>
      <c r="F247" s="94" t="s">
        <v>122</v>
      </c>
      <c r="G247" s="94" t="s">
        <v>122</v>
      </c>
      <c r="H247" s="136" t="s">
        <v>122</v>
      </c>
    </row>
    <row r="248" spans="1:8" ht="21.75" customHeight="1" x14ac:dyDescent="0.25">
      <c r="A248" s="95">
        <v>40788</v>
      </c>
      <c r="B248" s="153">
        <v>4.58</v>
      </c>
      <c r="C248" s="94">
        <v>5600</v>
      </c>
      <c r="D248" s="94" t="s">
        <v>122</v>
      </c>
      <c r="E248" s="94" t="s">
        <v>122</v>
      </c>
      <c r="F248" s="94" t="s">
        <v>122</v>
      </c>
      <c r="G248" s="94" t="s">
        <v>122</v>
      </c>
      <c r="H248" s="136" t="s">
        <v>122</v>
      </c>
    </row>
    <row r="249" spans="1:8" ht="21.75" customHeight="1" x14ac:dyDescent="0.25">
      <c r="A249" s="95">
        <v>40789</v>
      </c>
      <c r="B249" s="153">
        <v>4.58</v>
      </c>
      <c r="C249" s="94">
        <v>5600</v>
      </c>
      <c r="D249" s="94" t="s">
        <v>122</v>
      </c>
      <c r="E249" s="94" t="s">
        <v>122</v>
      </c>
      <c r="F249" s="94" t="s">
        <v>122</v>
      </c>
      <c r="G249" s="94" t="s">
        <v>122</v>
      </c>
      <c r="H249" s="136" t="s">
        <v>122</v>
      </c>
    </row>
    <row r="250" spans="1:8" ht="21.75" customHeight="1" x14ac:dyDescent="0.25">
      <c r="A250" s="95">
        <v>40790</v>
      </c>
      <c r="B250" s="153">
        <v>4.58</v>
      </c>
      <c r="C250" s="94">
        <v>5600</v>
      </c>
      <c r="D250" s="94" t="s">
        <v>122</v>
      </c>
      <c r="E250" s="94" t="s">
        <v>122</v>
      </c>
      <c r="F250" s="94" t="s">
        <v>122</v>
      </c>
      <c r="G250" s="94" t="s">
        <v>122</v>
      </c>
      <c r="H250" s="136" t="s">
        <v>122</v>
      </c>
    </row>
    <row r="251" spans="1:8" ht="21.75" customHeight="1" x14ac:dyDescent="0.25">
      <c r="A251" s="95">
        <v>40791</v>
      </c>
      <c r="B251" s="153">
        <v>4.58</v>
      </c>
      <c r="C251" s="94">
        <v>5600</v>
      </c>
      <c r="D251" s="94" t="s">
        <v>122</v>
      </c>
      <c r="E251" s="94" t="s">
        <v>122</v>
      </c>
      <c r="F251" s="94" t="s">
        <v>122</v>
      </c>
      <c r="G251" s="94" t="s">
        <v>122</v>
      </c>
      <c r="H251" s="136" t="s">
        <v>122</v>
      </c>
    </row>
    <row r="252" spans="1:8" ht="21.75" customHeight="1" x14ac:dyDescent="0.25">
      <c r="A252" s="95">
        <v>40792</v>
      </c>
      <c r="B252" s="153">
        <v>4.5</v>
      </c>
      <c r="C252" s="94">
        <v>5500</v>
      </c>
      <c r="D252" s="94" t="s">
        <v>122</v>
      </c>
      <c r="E252" s="94" t="s">
        <v>122</v>
      </c>
      <c r="F252" s="94" t="s">
        <v>122</v>
      </c>
      <c r="G252" s="94" t="s">
        <v>122</v>
      </c>
      <c r="H252" s="136" t="s">
        <v>122</v>
      </c>
    </row>
    <row r="253" spans="1:8" ht="21.75" customHeight="1" x14ac:dyDescent="0.25">
      <c r="A253" s="95">
        <v>40793</v>
      </c>
      <c r="B253" s="153">
        <v>4.5</v>
      </c>
      <c r="C253" s="94">
        <v>5500</v>
      </c>
      <c r="D253" s="94" t="s">
        <v>122</v>
      </c>
      <c r="E253" s="94" t="s">
        <v>122</v>
      </c>
      <c r="F253" s="94" t="s">
        <v>122</v>
      </c>
      <c r="G253" s="94" t="s">
        <v>122</v>
      </c>
      <c r="H253" s="136" t="s">
        <v>122</v>
      </c>
    </row>
    <row r="254" spans="1:8" ht="21.75" customHeight="1" x14ac:dyDescent="0.25">
      <c r="A254" s="95">
        <v>40794</v>
      </c>
      <c r="B254" s="153">
        <v>4.5</v>
      </c>
      <c r="C254" s="94">
        <v>5500</v>
      </c>
      <c r="D254" s="94" t="s">
        <v>122</v>
      </c>
      <c r="E254" s="94" t="s">
        <v>122</v>
      </c>
      <c r="F254" s="94" t="s">
        <v>122</v>
      </c>
      <c r="G254" s="94" t="s">
        <v>122</v>
      </c>
      <c r="H254" s="136" t="s">
        <v>122</v>
      </c>
    </row>
    <row r="255" spans="1:8" ht="21.75" customHeight="1" x14ac:dyDescent="0.25">
      <c r="A255" s="95">
        <v>40795</v>
      </c>
      <c r="B255" s="153">
        <v>4.42</v>
      </c>
      <c r="C255" s="94">
        <v>5400</v>
      </c>
      <c r="D255" s="94" t="s">
        <v>122</v>
      </c>
      <c r="E255" s="94" t="s">
        <v>122</v>
      </c>
      <c r="F255" s="94" t="s">
        <v>122</v>
      </c>
      <c r="G255" s="94" t="s">
        <v>122</v>
      </c>
      <c r="H255" s="136" t="s">
        <v>122</v>
      </c>
    </row>
    <row r="256" spans="1:8" ht="21.75" customHeight="1" x14ac:dyDescent="0.25">
      <c r="A256" s="95">
        <v>40796</v>
      </c>
      <c r="B256" s="153">
        <v>4.42</v>
      </c>
      <c r="C256" s="94">
        <v>5400</v>
      </c>
      <c r="D256" s="94" t="s">
        <v>122</v>
      </c>
      <c r="E256" s="94" t="s">
        <v>122</v>
      </c>
      <c r="F256" s="94" t="s">
        <v>122</v>
      </c>
      <c r="G256" s="94" t="s">
        <v>122</v>
      </c>
      <c r="H256" s="136" t="s">
        <v>122</v>
      </c>
    </row>
    <row r="257" spans="1:8" ht="21.75" customHeight="1" x14ac:dyDescent="0.25">
      <c r="A257" s="95">
        <v>40797</v>
      </c>
      <c r="B257" s="153">
        <v>4.42</v>
      </c>
      <c r="C257" s="94">
        <v>5400</v>
      </c>
      <c r="D257" s="94" t="s">
        <v>122</v>
      </c>
      <c r="E257" s="94" t="s">
        <v>122</v>
      </c>
      <c r="F257" s="94" t="s">
        <v>122</v>
      </c>
      <c r="G257" s="94" t="s">
        <v>122</v>
      </c>
      <c r="H257" s="136" t="s">
        <v>122</v>
      </c>
    </row>
    <row r="258" spans="1:8" ht="21.75" customHeight="1" x14ac:dyDescent="0.25">
      <c r="A258" s="95">
        <v>40798</v>
      </c>
      <c r="B258" s="153">
        <v>4.42</v>
      </c>
      <c r="C258" s="94">
        <v>5400</v>
      </c>
      <c r="D258" s="94" t="s">
        <v>122</v>
      </c>
      <c r="E258" s="94" t="s">
        <v>122</v>
      </c>
      <c r="F258" s="94" t="s">
        <v>122</v>
      </c>
      <c r="G258" s="94" t="s">
        <v>122</v>
      </c>
      <c r="H258" s="136" t="s">
        <v>122</v>
      </c>
    </row>
    <row r="259" spans="1:8" ht="21.75" customHeight="1" x14ac:dyDescent="0.25">
      <c r="A259" s="95">
        <v>40799</v>
      </c>
      <c r="B259" s="153">
        <v>4.42</v>
      </c>
      <c r="C259" s="94">
        <v>5400</v>
      </c>
      <c r="D259" s="94" t="s">
        <v>122</v>
      </c>
      <c r="E259" s="94" t="s">
        <v>122</v>
      </c>
      <c r="F259" s="94" t="s">
        <v>122</v>
      </c>
      <c r="G259" s="94" t="s">
        <v>122</v>
      </c>
      <c r="H259" s="136" t="s">
        <v>122</v>
      </c>
    </row>
    <row r="260" spans="1:8" ht="21.75" customHeight="1" x14ac:dyDescent="0.25">
      <c r="A260" s="95">
        <v>40800</v>
      </c>
      <c r="B260" s="94">
        <v>4.33</v>
      </c>
      <c r="C260" s="94">
        <v>5350</v>
      </c>
      <c r="D260" s="94" t="s">
        <v>122</v>
      </c>
      <c r="E260" s="94" t="s">
        <v>122</v>
      </c>
      <c r="F260" s="94" t="s">
        <v>122</v>
      </c>
      <c r="G260" s="94" t="s">
        <v>122</v>
      </c>
      <c r="H260" s="136" t="s">
        <v>122</v>
      </c>
    </row>
    <row r="261" spans="1:8" ht="21.75" customHeight="1" x14ac:dyDescent="0.25">
      <c r="A261" s="95">
        <v>40801</v>
      </c>
      <c r="B261" s="94">
        <v>4.33</v>
      </c>
      <c r="C261" s="94">
        <v>5350</v>
      </c>
      <c r="D261" s="94" t="s">
        <v>122</v>
      </c>
      <c r="E261" s="94" t="s">
        <v>122</v>
      </c>
      <c r="F261" s="94" t="s">
        <v>122</v>
      </c>
      <c r="G261" s="94" t="s">
        <v>122</v>
      </c>
      <c r="H261" s="136" t="s">
        <v>122</v>
      </c>
    </row>
    <row r="262" spans="1:8" ht="21.75" customHeight="1" x14ac:dyDescent="0.25">
      <c r="A262" s="95">
        <v>40802</v>
      </c>
      <c r="B262" s="94">
        <v>4.33</v>
      </c>
      <c r="C262" s="94">
        <v>5350</v>
      </c>
      <c r="D262" s="94" t="s">
        <v>122</v>
      </c>
      <c r="E262" s="94" t="s">
        <v>122</v>
      </c>
      <c r="F262" s="94" t="s">
        <v>122</v>
      </c>
      <c r="G262" s="94" t="s">
        <v>122</v>
      </c>
      <c r="H262" s="136" t="s">
        <v>122</v>
      </c>
    </row>
    <row r="263" spans="1:8" ht="21.75" customHeight="1" x14ac:dyDescent="0.25">
      <c r="A263" s="95">
        <v>40803</v>
      </c>
      <c r="B263" s="94">
        <v>4.33</v>
      </c>
      <c r="C263" s="94">
        <v>5350</v>
      </c>
      <c r="D263" s="94" t="s">
        <v>122</v>
      </c>
      <c r="E263" s="94" t="s">
        <v>122</v>
      </c>
      <c r="F263" s="94" t="s">
        <v>122</v>
      </c>
      <c r="G263" s="94" t="s">
        <v>122</v>
      </c>
      <c r="H263" s="136" t="s">
        <v>122</v>
      </c>
    </row>
    <row r="264" spans="1:8" ht="21.75" customHeight="1" x14ac:dyDescent="0.25">
      <c r="A264" s="95">
        <v>40804</v>
      </c>
      <c r="B264" s="94">
        <v>4.33</v>
      </c>
      <c r="C264" s="94">
        <v>5350</v>
      </c>
      <c r="D264" s="94" t="s">
        <v>122</v>
      </c>
      <c r="E264" s="94" t="s">
        <v>122</v>
      </c>
      <c r="F264" s="94" t="s">
        <v>122</v>
      </c>
      <c r="G264" s="94" t="s">
        <v>122</v>
      </c>
      <c r="H264" s="136" t="s">
        <v>122</v>
      </c>
    </row>
    <row r="265" spans="1:8" ht="21.75" customHeight="1" x14ac:dyDescent="0.25">
      <c r="A265" s="95">
        <v>40805</v>
      </c>
      <c r="B265" s="94">
        <v>4.25</v>
      </c>
      <c r="C265" s="94">
        <v>5300</v>
      </c>
      <c r="D265" s="94" t="s">
        <v>122</v>
      </c>
      <c r="E265" s="94" t="s">
        <v>122</v>
      </c>
      <c r="F265" s="94" t="s">
        <v>122</v>
      </c>
      <c r="G265" s="94" t="s">
        <v>122</v>
      </c>
      <c r="H265" s="136" t="s">
        <v>122</v>
      </c>
    </row>
    <row r="266" spans="1:8" ht="21.75" customHeight="1" x14ac:dyDescent="0.25">
      <c r="A266" s="95">
        <v>40806</v>
      </c>
      <c r="B266" s="94">
        <v>4.25</v>
      </c>
      <c r="C266" s="94">
        <v>5300</v>
      </c>
      <c r="D266" s="94" t="s">
        <v>122</v>
      </c>
      <c r="E266" s="94" t="s">
        <v>122</v>
      </c>
      <c r="F266" s="94" t="s">
        <v>122</v>
      </c>
      <c r="G266" s="94" t="s">
        <v>122</v>
      </c>
      <c r="H266" s="136" t="s">
        <v>122</v>
      </c>
    </row>
    <row r="267" spans="1:8" ht="21.75" customHeight="1" x14ac:dyDescent="0.25">
      <c r="A267" s="95">
        <v>40807</v>
      </c>
      <c r="B267" s="94">
        <v>4.25</v>
      </c>
      <c r="C267" s="94">
        <v>5300</v>
      </c>
      <c r="D267" s="94" t="s">
        <v>122</v>
      </c>
      <c r="E267" s="94" t="s">
        <v>122</v>
      </c>
      <c r="F267" s="94" t="s">
        <v>122</v>
      </c>
      <c r="G267" s="94" t="s">
        <v>122</v>
      </c>
      <c r="H267" s="136" t="s">
        <v>122</v>
      </c>
    </row>
    <row r="268" spans="1:8" ht="21.75" customHeight="1" x14ac:dyDescent="0.25">
      <c r="A268" s="95">
        <v>40808</v>
      </c>
      <c r="B268" s="94">
        <v>4.25</v>
      </c>
      <c r="C268" s="94">
        <v>5300</v>
      </c>
      <c r="D268" s="94" t="s">
        <v>122</v>
      </c>
      <c r="E268" s="94" t="s">
        <v>122</v>
      </c>
      <c r="F268" s="94" t="s">
        <v>122</v>
      </c>
      <c r="G268" s="94" t="s">
        <v>122</v>
      </c>
      <c r="H268" s="136" t="s">
        <v>122</v>
      </c>
    </row>
    <row r="269" spans="1:8" ht="21.75" customHeight="1" x14ac:dyDescent="0.25">
      <c r="A269" s="95">
        <v>40809</v>
      </c>
      <c r="B269" s="94">
        <v>4.17</v>
      </c>
      <c r="C269" s="94">
        <v>5250</v>
      </c>
      <c r="D269" s="94" t="s">
        <v>122</v>
      </c>
      <c r="E269" s="94" t="s">
        <v>122</v>
      </c>
      <c r="F269" s="94" t="s">
        <v>122</v>
      </c>
      <c r="G269" s="94" t="s">
        <v>122</v>
      </c>
      <c r="H269" s="136" t="s">
        <v>122</v>
      </c>
    </row>
    <row r="270" spans="1:8" ht="21.75" customHeight="1" x14ac:dyDescent="0.25">
      <c r="A270" s="95">
        <v>40810</v>
      </c>
      <c r="B270" s="94">
        <v>4.17</v>
      </c>
      <c r="C270" s="94">
        <v>5250</v>
      </c>
      <c r="D270" s="94" t="s">
        <v>122</v>
      </c>
      <c r="E270" s="94" t="s">
        <v>122</v>
      </c>
      <c r="F270" s="94" t="s">
        <v>122</v>
      </c>
      <c r="G270" s="94" t="s">
        <v>122</v>
      </c>
      <c r="H270" s="136" t="s">
        <v>122</v>
      </c>
    </row>
    <row r="271" spans="1:8" ht="21.75" customHeight="1" x14ac:dyDescent="0.25">
      <c r="A271" s="95">
        <v>40811</v>
      </c>
      <c r="B271" s="94">
        <v>4.17</v>
      </c>
      <c r="C271" s="94">
        <v>5250</v>
      </c>
      <c r="D271" s="94" t="s">
        <v>122</v>
      </c>
      <c r="E271" s="94" t="s">
        <v>122</v>
      </c>
      <c r="F271" s="94" t="s">
        <v>122</v>
      </c>
      <c r="G271" s="94" t="s">
        <v>122</v>
      </c>
      <c r="H271" s="136" t="s">
        <v>122</v>
      </c>
    </row>
    <row r="272" spans="1:8" ht="21.75" customHeight="1" x14ac:dyDescent="0.25">
      <c r="A272" s="95">
        <v>40812</v>
      </c>
      <c r="B272" s="94">
        <v>4.17</v>
      </c>
      <c r="C272" s="94">
        <v>5250</v>
      </c>
      <c r="D272" s="94" t="s">
        <v>122</v>
      </c>
      <c r="E272" s="94" t="s">
        <v>122</v>
      </c>
      <c r="F272" s="94" t="s">
        <v>122</v>
      </c>
      <c r="G272" s="94" t="s">
        <v>122</v>
      </c>
      <c r="H272" s="136" t="s">
        <v>122</v>
      </c>
    </row>
    <row r="273" spans="1:8" ht="21.75" customHeight="1" x14ac:dyDescent="0.25">
      <c r="A273" s="95">
        <v>40813</v>
      </c>
      <c r="B273" s="94">
        <v>4.08</v>
      </c>
      <c r="C273" s="94">
        <v>5200</v>
      </c>
      <c r="D273" s="94" t="s">
        <v>122</v>
      </c>
      <c r="E273" s="94" t="s">
        <v>122</v>
      </c>
      <c r="F273" s="94" t="s">
        <v>122</v>
      </c>
      <c r="G273" s="94" t="s">
        <v>122</v>
      </c>
      <c r="H273" s="136" t="s">
        <v>122</v>
      </c>
    </row>
    <row r="274" spans="1:8" ht="21.75" customHeight="1" x14ac:dyDescent="0.25">
      <c r="A274" s="95">
        <v>40814</v>
      </c>
      <c r="B274" s="94">
        <v>4.08</v>
      </c>
      <c r="C274" s="94">
        <v>5200</v>
      </c>
      <c r="D274" s="94" t="s">
        <v>122</v>
      </c>
      <c r="E274" s="94" t="s">
        <v>122</v>
      </c>
      <c r="F274" s="94" t="s">
        <v>122</v>
      </c>
      <c r="G274" s="94" t="s">
        <v>122</v>
      </c>
      <c r="H274" s="136" t="s">
        <v>122</v>
      </c>
    </row>
    <row r="275" spans="1:8" ht="21.75" customHeight="1" x14ac:dyDescent="0.25">
      <c r="A275" s="95">
        <v>40815</v>
      </c>
      <c r="B275" s="94">
        <v>4.08</v>
      </c>
      <c r="C275" s="94">
        <v>5200</v>
      </c>
      <c r="D275" s="94" t="s">
        <v>122</v>
      </c>
      <c r="E275" s="94" t="s">
        <v>122</v>
      </c>
      <c r="F275" s="94" t="s">
        <v>122</v>
      </c>
      <c r="G275" s="94" t="s">
        <v>122</v>
      </c>
      <c r="H275" s="136" t="s">
        <v>122</v>
      </c>
    </row>
    <row r="276" spans="1:8" ht="21.75" customHeight="1" x14ac:dyDescent="0.25">
      <c r="A276" s="95">
        <v>40816</v>
      </c>
      <c r="B276" s="94">
        <v>4.08</v>
      </c>
      <c r="C276" s="94">
        <v>5200</v>
      </c>
      <c r="D276" s="94" t="s">
        <v>122</v>
      </c>
      <c r="E276" s="94" t="s">
        <v>122</v>
      </c>
      <c r="F276" s="94" t="s">
        <v>122</v>
      </c>
      <c r="G276" s="94" t="s">
        <v>122</v>
      </c>
      <c r="H276" s="136" t="s">
        <v>122</v>
      </c>
    </row>
    <row r="277" spans="1:8" ht="21.75" customHeight="1" x14ac:dyDescent="0.25">
      <c r="A277" s="95">
        <v>40817</v>
      </c>
      <c r="B277" s="153">
        <v>4.58</v>
      </c>
      <c r="C277" s="94">
        <v>5600</v>
      </c>
      <c r="D277" s="94" t="s">
        <v>122</v>
      </c>
      <c r="E277" s="94" t="s">
        <v>122</v>
      </c>
      <c r="F277" s="94" t="s">
        <v>122</v>
      </c>
      <c r="G277" s="94" t="s">
        <v>122</v>
      </c>
      <c r="H277" s="136" t="s">
        <v>122</v>
      </c>
    </row>
    <row r="278" spans="1:8" ht="21.75" customHeight="1" x14ac:dyDescent="0.25">
      <c r="A278" s="95">
        <v>40818</v>
      </c>
      <c r="B278" s="153">
        <v>4.58</v>
      </c>
      <c r="C278" s="94">
        <v>5600</v>
      </c>
      <c r="D278" s="94" t="s">
        <v>122</v>
      </c>
      <c r="E278" s="94" t="s">
        <v>122</v>
      </c>
      <c r="F278" s="94" t="s">
        <v>122</v>
      </c>
      <c r="G278" s="94" t="s">
        <v>122</v>
      </c>
      <c r="H278" s="136" t="s">
        <v>122</v>
      </c>
    </row>
    <row r="279" spans="1:8" ht="21.75" customHeight="1" x14ac:dyDescent="0.25">
      <c r="A279" s="95">
        <v>40819</v>
      </c>
      <c r="B279" s="153">
        <v>4.58</v>
      </c>
      <c r="C279" s="94">
        <v>5600</v>
      </c>
      <c r="D279" s="94" t="s">
        <v>122</v>
      </c>
      <c r="E279" s="94" t="s">
        <v>122</v>
      </c>
      <c r="F279" s="94" t="s">
        <v>122</v>
      </c>
      <c r="G279" s="94" t="s">
        <v>122</v>
      </c>
      <c r="H279" s="136" t="s">
        <v>122</v>
      </c>
    </row>
    <row r="280" spans="1:8" ht="21.75" customHeight="1" x14ac:dyDescent="0.25">
      <c r="A280" s="95">
        <v>40820</v>
      </c>
      <c r="B280" s="153">
        <v>4.58</v>
      </c>
      <c r="C280" s="94">
        <v>5600</v>
      </c>
      <c r="D280" s="94" t="s">
        <v>122</v>
      </c>
      <c r="E280" s="94" t="s">
        <v>122</v>
      </c>
      <c r="F280" s="94" t="s">
        <v>122</v>
      </c>
      <c r="G280" s="94" t="s">
        <v>122</v>
      </c>
      <c r="H280" s="136" t="s">
        <v>122</v>
      </c>
    </row>
    <row r="281" spans="1:8" ht="21.75" customHeight="1" x14ac:dyDescent="0.25">
      <c r="A281" s="95">
        <v>40821</v>
      </c>
      <c r="B281" s="153">
        <v>4.58</v>
      </c>
      <c r="C281" s="94">
        <v>5600</v>
      </c>
      <c r="D281" s="94" t="s">
        <v>122</v>
      </c>
      <c r="E281" s="94" t="s">
        <v>122</v>
      </c>
      <c r="F281" s="94" t="s">
        <v>122</v>
      </c>
      <c r="G281" s="94" t="s">
        <v>122</v>
      </c>
      <c r="H281" s="136" t="s">
        <v>122</v>
      </c>
    </row>
    <row r="282" spans="1:8" ht="21.75" customHeight="1" x14ac:dyDescent="0.25">
      <c r="A282" s="95">
        <v>40822</v>
      </c>
      <c r="B282" s="153">
        <v>4.5</v>
      </c>
      <c r="C282" s="94">
        <v>5500</v>
      </c>
      <c r="D282" s="94" t="s">
        <v>122</v>
      </c>
      <c r="E282" s="94" t="s">
        <v>122</v>
      </c>
      <c r="F282" s="94" t="s">
        <v>122</v>
      </c>
      <c r="G282" s="94" t="s">
        <v>122</v>
      </c>
      <c r="H282" s="136" t="s">
        <v>122</v>
      </c>
    </row>
    <row r="283" spans="1:8" ht="21.75" customHeight="1" x14ac:dyDescent="0.25">
      <c r="A283" s="95">
        <v>40823</v>
      </c>
      <c r="B283" s="153">
        <v>4.5</v>
      </c>
      <c r="C283" s="94">
        <v>5500</v>
      </c>
      <c r="D283" s="94" t="s">
        <v>122</v>
      </c>
      <c r="E283" s="94" t="s">
        <v>122</v>
      </c>
      <c r="F283" s="94" t="s">
        <v>122</v>
      </c>
      <c r="G283" s="94" t="s">
        <v>122</v>
      </c>
      <c r="H283" s="136" t="s">
        <v>122</v>
      </c>
    </row>
    <row r="284" spans="1:8" ht="21.75" customHeight="1" x14ac:dyDescent="0.25">
      <c r="A284" s="95">
        <v>40824</v>
      </c>
      <c r="B284" s="153">
        <v>4.5</v>
      </c>
      <c r="C284" s="94">
        <v>5500</v>
      </c>
      <c r="D284" s="94" t="s">
        <v>122</v>
      </c>
      <c r="E284" s="94" t="s">
        <v>122</v>
      </c>
      <c r="F284" s="94" t="s">
        <v>122</v>
      </c>
      <c r="G284" s="94" t="s">
        <v>122</v>
      </c>
      <c r="H284" s="136" t="s">
        <v>122</v>
      </c>
    </row>
    <row r="285" spans="1:8" ht="21.75" customHeight="1" x14ac:dyDescent="0.25">
      <c r="A285" s="95">
        <v>40825</v>
      </c>
      <c r="B285" s="153">
        <v>4.42</v>
      </c>
      <c r="C285" s="94">
        <v>5400</v>
      </c>
      <c r="D285" s="94" t="s">
        <v>122</v>
      </c>
      <c r="E285" s="94" t="s">
        <v>122</v>
      </c>
      <c r="F285" s="94" t="s">
        <v>122</v>
      </c>
      <c r="G285" s="94" t="s">
        <v>122</v>
      </c>
      <c r="H285" s="136" t="s">
        <v>122</v>
      </c>
    </row>
    <row r="286" spans="1:8" ht="21.75" customHeight="1" x14ac:dyDescent="0.25">
      <c r="A286" s="95">
        <v>40826</v>
      </c>
      <c r="B286" s="153">
        <v>4.42</v>
      </c>
      <c r="C286" s="94">
        <v>5400</v>
      </c>
      <c r="D286" s="94" t="s">
        <v>122</v>
      </c>
      <c r="E286" s="94" t="s">
        <v>122</v>
      </c>
      <c r="F286" s="94" t="s">
        <v>122</v>
      </c>
      <c r="G286" s="94" t="s">
        <v>122</v>
      </c>
      <c r="H286" s="136" t="s">
        <v>122</v>
      </c>
    </row>
    <row r="287" spans="1:8" ht="21.75" customHeight="1" x14ac:dyDescent="0.25">
      <c r="A287" s="95">
        <v>40827</v>
      </c>
      <c r="B287" s="153">
        <v>4.42</v>
      </c>
      <c r="C287" s="94">
        <v>5400</v>
      </c>
      <c r="D287" s="94" t="s">
        <v>122</v>
      </c>
      <c r="E287" s="94" t="s">
        <v>122</v>
      </c>
      <c r="F287" s="94" t="s">
        <v>122</v>
      </c>
      <c r="G287" s="94" t="s">
        <v>122</v>
      </c>
      <c r="H287" s="136" t="s">
        <v>122</v>
      </c>
    </row>
    <row r="288" spans="1:8" ht="21.75" customHeight="1" x14ac:dyDescent="0.25">
      <c r="A288" s="95">
        <v>40828</v>
      </c>
      <c r="B288" s="153">
        <v>4.42</v>
      </c>
      <c r="C288" s="94">
        <v>5400</v>
      </c>
      <c r="D288" s="94" t="s">
        <v>122</v>
      </c>
      <c r="E288" s="94" t="s">
        <v>122</v>
      </c>
      <c r="F288" s="94" t="s">
        <v>122</v>
      </c>
      <c r="G288" s="94" t="s">
        <v>122</v>
      </c>
      <c r="H288" s="136" t="s">
        <v>122</v>
      </c>
    </row>
    <row r="289" spans="1:8" ht="21.75" customHeight="1" x14ac:dyDescent="0.25">
      <c r="A289" s="95">
        <v>40829</v>
      </c>
      <c r="B289" s="153">
        <v>4.42</v>
      </c>
      <c r="C289" s="94">
        <v>5400</v>
      </c>
      <c r="D289" s="94" t="s">
        <v>122</v>
      </c>
      <c r="E289" s="94" t="s">
        <v>122</v>
      </c>
      <c r="F289" s="94" t="s">
        <v>122</v>
      </c>
      <c r="G289" s="94" t="s">
        <v>122</v>
      </c>
      <c r="H289" s="136" t="s">
        <v>122</v>
      </c>
    </row>
    <row r="290" spans="1:8" ht="21.75" customHeight="1" x14ac:dyDescent="0.25">
      <c r="A290" s="95">
        <v>40830</v>
      </c>
      <c r="B290" s="94">
        <v>4.33</v>
      </c>
      <c r="C290" s="94">
        <v>5350</v>
      </c>
      <c r="D290" s="94" t="s">
        <v>122</v>
      </c>
      <c r="E290" s="94" t="s">
        <v>122</v>
      </c>
      <c r="F290" s="94" t="s">
        <v>122</v>
      </c>
      <c r="G290" s="94" t="s">
        <v>122</v>
      </c>
      <c r="H290" s="136" t="s">
        <v>122</v>
      </c>
    </row>
    <row r="291" spans="1:8" ht="21.75" customHeight="1" x14ac:dyDescent="0.25">
      <c r="A291" s="95">
        <v>40831</v>
      </c>
      <c r="B291" s="94">
        <v>4.33</v>
      </c>
      <c r="C291" s="94">
        <v>5350</v>
      </c>
      <c r="D291" s="94">
        <v>4</v>
      </c>
      <c r="E291" s="94">
        <v>11.23</v>
      </c>
      <c r="F291" s="94" t="s">
        <v>122</v>
      </c>
      <c r="G291" s="94" t="s">
        <v>122</v>
      </c>
      <c r="H291" s="136" t="s">
        <v>122</v>
      </c>
    </row>
    <row r="292" spans="1:8" ht="21.75" customHeight="1" x14ac:dyDescent="0.25">
      <c r="A292" s="95">
        <v>40832</v>
      </c>
      <c r="B292" s="94">
        <v>4.33</v>
      </c>
      <c r="C292" s="94">
        <v>5350</v>
      </c>
      <c r="D292" s="94">
        <v>4</v>
      </c>
      <c r="E292" s="94">
        <v>11.12</v>
      </c>
      <c r="F292" s="94">
        <v>3</v>
      </c>
      <c r="G292" s="94">
        <v>7.3</v>
      </c>
      <c r="H292" s="136" t="s">
        <v>122</v>
      </c>
    </row>
    <row r="293" spans="1:8" ht="21.75" customHeight="1" x14ac:dyDescent="0.25">
      <c r="A293" s="95">
        <v>40833</v>
      </c>
      <c r="B293" s="94">
        <v>4.33</v>
      </c>
      <c r="C293" s="94">
        <v>5350</v>
      </c>
      <c r="D293" s="94">
        <v>4</v>
      </c>
      <c r="E293" s="94">
        <v>11.8</v>
      </c>
      <c r="F293" s="94">
        <v>9</v>
      </c>
      <c r="G293" s="94">
        <v>21.87</v>
      </c>
      <c r="H293" s="136" t="s">
        <v>122</v>
      </c>
    </row>
    <row r="294" spans="1:8" ht="21.75" customHeight="1" x14ac:dyDescent="0.25">
      <c r="A294" s="95">
        <v>40834</v>
      </c>
      <c r="B294" s="94">
        <v>4.33</v>
      </c>
      <c r="C294" s="94">
        <v>5350</v>
      </c>
      <c r="D294" s="94" t="s">
        <v>122</v>
      </c>
      <c r="E294" s="94" t="s">
        <v>122</v>
      </c>
      <c r="F294" s="94" t="s">
        <v>122</v>
      </c>
      <c r="G294" s="94" t="s">
        <v>122</v>
      </c>
      <c r="H294" s="136" t="s">
        <v>122</v>
      </c>
    </row>
    <row r="295" spans="1:8" ht="21.75" customHeight="1" x14ac:dyDescent="0.25">
      <c r="A295" s="95">
        <v>40835</v>
      </c>
      <c r="B295" s="94">
        <v>4.25</v>
      </c>
      <c r="C295" s="94">
        <v>5300</v>
      </c>
      <c r="D295" s="94" t="s">
        <v>122</v>
      </c>
      <c r="E295" s="94" t="s">
        <v>122</v>
      </c>
      <c r="F295" s="94" t="s">
        <v>122</v>
      </c>
      <c r="G295" s="94" t="s">
        <v>122</v>
      </c>
      <c r="H295" s="136" t="s">
        <v>122</v>
      </c>
    </row>
    <row r="296" spans="1:8" ht="21.75" customHeight="1" x14ac:dyDescent="0.25">
      <c r="A296" s="95">
        <v>40836</v>
      </c>
      <c r="B296" s="94">
        <v>4.25</v>
      </c>
      <c r="C296" s="94">
        <v>5300</v>
      </c>
      <c r="D296" s="94" t="s">
        <v>122</v>
      </c>
      <c r="E296" s="94" t="s">
        <v>122</v>
      </c>
      <c r="F296" s="94" t="s">
        <v>122</v>
      </c>
      <c r="G296" s="94" t="s">
        <v>122</v>
      </c>
      <c r="H296" s="136" t="s">
        <v>122</v>
      </c>
    </row>
    <row r="297" spans="1:8" ht="21.75" customHeight="1" x14ac:dyDescent="0.25">
      <c r="A297" s="95">
        <v>40837</v>
      </c>
      <c r="B297" s="94">
        <v>4.25</v>
      </c>
      <c r="C297" s="94">
        <v>5300</v>
      </c>
      <c r="D297" s="94" t="s">
        <v>122</v>
      </c>
      <c r="E297" s="94" t="s">
        <v>122</v>
      </c>
      <c r="F297" s="94" t="s">
        <v>122</v>
      </c>
      <c r="G297" s="94" t="s">
        <v>122</v>
      </c>
      <c r="H297" s="136" t="s">
        <v>122</v>
      </c>
    </row>
    <row r="298" spans="1:8" ht="21.75" customHeight="1" x14ac:dyDescent="0.25">
      <c r="A298" s="95">
        <v>40838</v>
      </c>
      <c r="B298" s="94">
        <v>4.25</v>
      </c>
      <c r="C298" s="94">
        <v>5300</v>
      </c>
      <c r="D298" s="94" t="s">
        <v>122</v>
      </c>
      <c r="E298" s="94" t="s">
        <v>122</v>
      </c>
      <c r="F298" s="94" t="s">
        <v>122</v>
      </c>
      <c r="G298" s="94" t="s">
        <v>122</v>
      </c>
      <c r="H298" s="136" t="s">
        <v>122</v>
      </c>
    </row>
    <row r="299" spans="1:8" ht="21.75" customHeight="1" x14ac:dyDescent="0.25">
      <c r="A299" s="95">
        <v>40839</v>
      </c>
      <c r="B299" s="94">
        <v>4.17</v>
      </c>
      <c r="C299" s="94">
        <v>5250</v>
      </c>
      <c r="D299" s="94" t="s">
        <v>122</v>
      </c>
      <c r="E299" s="94" t="s">
        <v>122</v>
      </c>
      <c r="F299" s="94" t="s">
        <v>122</v>
      </c>
      <c r="G299" s="94" t="s">
        <v>122</v>
      </c>
      <c r="H299" s="136" t="s">
        <v>122</v>
      </c>
    </row>
    <row r="300" spans="1:8" ht="21.75" customHeight="1" x14ac:dyDescent="0.25">
      <c r="A300" s="95">
        <v>40840</v>
      </c>
      <c r="B300" s="94">
        <v>4.17</v>
      </c>
      <c r="C300" s="94">
        <v>5250</v>
      </c>
      <c r="D300" s="94" t="s">
        <v>122</v>
      </c>
      <c r="E300" s="94" t="s">
        <v>122</v>
      </c>
      <c r="F300" s="94" t="s">
        <v>122</v>
      </c>
      <c r="G300" s="94" t="s">
        <v>122</v>
      </c>
      <c r="H300" s="136" t="s">
        <v>122</v>
      </c>
    </row>
    <row r="301" spans="1:8" ht="21.75" customHeight="1" x14ac:dyDescent="0.25">
      <c r="A301" s="95">
        <v>40841</v>
      </c>
      <c r="B301" s="94">
        <v>4.17</v>
      </c>
      <c r="C301" s="94">
        <v>5250</v>
      </c>
      <c r="D301" s="94" t="s">
        <v>122</v>
      </c>
      <c r="E301" s="94" t="s">
        <v>122</v>
      </c>
      <c r="F301" s="94" t="s">
        <v>122</v>
      </c>
      <c r="G301" s="94" t="s">
        <v>122</v>
      </c>
      <c r="H301" s="136" t="s">
        <v>122</v>
      </c>
    </row>
    <row r="302" spans="1:8" ht="21.75" customHeight="1" x14ac:dyDescent="0.25">
      <c r="A302" s="95">
        <v>40842</v>
      </c>
      <c r="B302" s="94">
        <v>4.17</v>
      </c>
      <c r="C302" s="94">
        <v>5250</v>
      </c>
      <c r="D302" s="94" t="s">
        <v>122</v>
      </c>
      <c r="E302" s="94" t="s">
        <v>122</v>
      </c>
      <c r="F302" s="94" t="s">
        <v>122</v>
      </c>
      <c r="G302" s="94" t="s">
        <v>122</v>
      </c>
      <c r="H302" s="136" t="s">
        <v>122</v>
      </c>
    </row>
    <row r="303" spans="1:8" ht="21.75" customHeight="1" x14ac:dyDescent="0.25">
      <c r="A303" s="95">
        <v>40843</v>
      </c>
      <c r="B303" s="94">
        <v>4.08</v>
      </c>
      <c r="C303" s="94">
        <v>5200</v>
      </c>
      <c r="D303" s="94" t="s">
        <v>122</v>
      </c>
      <c r="E303" s="94" t="s">
        <v>122</v>
      </c>
      <c r="F303" s="94" t="s">
        <v>122</v>
      </c>
      <c r="G303" s="94" t="s">
        <v>122</v>
      </c>
      <c r="H303" s="136" t="s">
        <v>122</v>
      </c>
    </row>
    <row r="304" spans="1:8" ht="21.75" customHeight="1" x14ac:dyDescent="0.25">
      <c r="A304" s="95">
        <v>40844</v>
      </c>
      <c r="B304" s="94">
        <v>4.08</v>
      </c>
      <c r="C304" s="94">
        <v>5200</v>
      </c>
      <c r="D304" s="94" t="s">
        <v>122</v>
      </c>
      <c r="E304" s="94" t="s">
        <v>122</v>
      </c>
      <c r="F304" s="94" t="s">
        <v>122</v>
      </c>
      <c r="G304" s="94" t="s">
        <v>122</v>
      </c>
      <c r="H304" s="136" t="s">
        <v>122</v>
      </c>
    </row>
    <row r="305" spans="1:8" ht="21.75" customHeight="1" x14ac:dyDescent="0.25">
      <c r="A305" s="95">
        <v>40845</v>
      </c>
      <c r="B305" s="94">
        <v>4.08</v>
      </c>
      <c r="C305" s="94">
        <v>5200</v>
      </c>
      <c r="D305" s="94" t="s">
        <v>122</v>
      </c>
      <c r="E305" s="94" t="s">
        <v>122</v>
      </c>
      <c r="F305" s="94" t="s">
        <v>122</v>
      </c>
      <c r="G305" s="94" t="s">
        <v>122</v>
      </c>
      <c r="H305" s="136" t="s">
        <v>122</v>
      </c>
    </row>
    <row r="306" spans="1:8" ht="21.75" customHeight="1" x14ac:dyDescent="0.25">
      <c r="A306" s="95">
        <v>40846</v>
      </c>
      <c r="B306" s="94">
        <v>4.08</v>
      </c>
      <c r="C306" s="94">
        <v>5200</v>
      </c>
      <c r="D306" s="94" t="s">
        <v>122</v>
      </c>
      <c r="E306" s="94" t="s">
        <v>122</v>
      </c>
      <c r="F306" s="94" t="s">
        <v>122</v>
      </c>
      <c r="G306" s="94" t="s">
        <v>122</v>
      </c>
      <c r="H306" s="136" t="s">
        <v>122</v>
      </c>
    </row>
    <row r="307" spans="1:8" ht="21.75" customHeight="1" x14ac:dyDescent="0.25">
      <c r="A307" s="95">
        <v>40847</v>
      </c>
      <c r="B307" s="94">
        <v>9.83</v>
      </c>
      <c r="C307" s="94">
        <v>11400</v>
      </c>
      <c r="D307" s="94" t="s">
        <v>122</v>
      </c>
      <c r="E307" s="94" t="s">
        <v>122</v>
      </c>
      <c r="F307" s="94" t="s">
        <v>122</v>
      </c>
      <c r="G307" s="94" t="s">
        <v>122</v>
      </c>
      <c r="H307" s="136" t="s">
        <v>122</v>
      </c>
    </row>
    <row r="308" spans="1:8" ht="21.75" customHeight="1" x14ac:dyDescent="0.25">
      <c r="A308" s="95">
        <v>40848</v>
      </c>
      <c r="B308" s="153">
        <v>10</v>
      </c>
      <c r="C308" s="94">
        <v>12000</v>
      </c>
      <c r="D308" s="94" t="s">
        <v>122</v>
      </c>
      <c r="E308" s="94" t="s">
        <v>122</v>
      </c>
      <c r="F308" s="94" t="s">
        <v>122</v>
      </c>
      <c r="G308" s="94" t="s">
        <v>122</v>
      </c>
      <c r="H308" s="136" t="s">
        <v>122</v>
      </c>
    </row>
    <row r="309" spans="1:8" ht="21.75" customHeight="1" x14ac:dyDescent="0.25">
      <c r="A309" s="95">
        <v>40849</v>
      </c>
      <c r="B309" s="153">
        <v>10.42</v>
      </c>
      <c r="C309" s="94">
        <v>12400</v>
      </c>
      <c r="D309" s="94" t="s">
        <v>122</v>
      </c>
      <c r="E309" s="94" t="s">
        <v>122</v>
      </c>
      <c r="F309" s="94" t="s">
        <v>122</v>
      </c>
      <c r="G309" s="94" t="s">
        <v>122</v>
      </c>
      <c r="H309" s="136" t="s">
        <v>122</v>
      </c>
    </row>
    <row r="310" spans="1:8" ht="21.75" customHeight="1" x14ac:dyDescent="0.25">
      <c r="A310" s="95">
        <v>40850</v>
      </c>
      <c r="B310" s="153">
        <v>10.58</v>
      </c>
      <c r="C310" s="94">
        <v>12600</v>
      </c>
      <c r="D310" s="94" t="s">
        <v>122</v>
      </c>
      <c r="E310" s="94" t="s">
        <v>122</v>
      </c>
      <c r="F310" s="94" t="s">
        <v>122</v>
      </c>
      <c r="G310" s="94" t="s">
        <v>122</v>
      </c>
      <c r="H310" s="136" t="s">
        <v>122</v>
      </c>
    </row>
    <row r="311" spans="1:8" ht="21.75" customHeight="1" x14ac:dyDescent="0.25">
      <c r="A311" s="95">
        <v>40851</v>
      </c>
      <c r="B311" s="153">
        <v>10.75</v>
      </c>
      <c r="C311" s="94">
        <v>12900</v>
      </c>
      <c r="D311" s="94">
        <v>6</v>
      </c>
      <c r="E311" s="94">
        <v>26.98</v>
      </c>
      <c r="F311" s="94">
        <v>9</v>
      </c>
      <c r="G311" s="94">
        <v>38.1</v>
      </c>
      <c r="H311" s="136" t="s">
        <v>122</v>
      </c>
    </row>
    <row r="312" spans="1:8" ht="21.75" customHeight="1" x14ac:dyDescent="0.25">
      <c r="A312" s="95">
        <v>40852</v>
      </c>
      <c r="B312" s="153">
        <v>10.83</v>
      </c>
      <c r="C312" s="94">
        <v>13000</v>
      </c>
      <c r="D312" s="94">
        <v>6</v>
      </c>
      <c r="E312" s="94">
        <v>27.09</v>
      </c>
      <c r="F312" s="94">
        <v>9</v>
      </c>
      <c r="G312" s="94">
        <v>38.18</v>
      </c>
      <c r="H312" s="136" t="s">
        <v>122</v>
      </c>
    </row>
    <row r="313" spans="1:8" ht="21.75" customHeight="1" x14ac:dyDescent="0.25">
      <c r="A313" s="95">
        <v>40853</v>
      </c>
      <c r="B313" s="153">
        <v>10.83</v>
      </c>
      <c r="C313" s="94">
        <v>13000</v>
      </c>
      <c r="D313" s="94">
        <v>6</v>
      </c>
      <c r="E313" s="94">
        <v>27.09</v>
      </c>
      <c r="F313" s="94">
        <v>9</v>
      </c>
      <c r="G313" s="94">
        <v>38.18</v>
      </c>
      <c r="H313" s="136" t="s">
        <v>122</v>
      </c>
    </row>
    <row r="314" spans="1:8" ht="21.75" customHeight="1" x14ac:dyDescent="0.25">
      <c r="A314" s="95">
        <v>40854</v>
      </c>
      <c r="B314" s="153">
        <v>10.83</v>
      </c>
      <c r="C314" s="94">
        <v>13000</v>
      </c>
      <c r="D314" s="94">
        <v>6</v>
      </c>
      <c r="E314" s="94">
        <v>27.09</v>
      </c>
      <c r="F314" s="94">
        <v>9</v>
      </c>
      <c r="G314" s="94">
        <v>38.18</v>
      </c>
      <c r="H314" s="136" t="s">
        <v>122</v>
      </c>
    </row>
    <row r="315" spans="1:8" ht="21.75" customHeight="1" x14ac:dyDescent="0.25">
      <c r="A315" s="95">
        <v>40855</v>
      </c>
      <c r="B315" s="153">
        <v>10.83</v>
      </c>
      <c r="C315" s="94">
        <v>13000</v>
      </c>
      <c r="D315" s="94" t="s">
        <v>122</v>
      </c>
      <c r="E315" s="94" t="s">
        <v>122</v>
      </c>
      <c r="F315" s="94" t="s">
        <v>122</v>
      </c>
      <c r="G315" s="94" t="s">
        <v>122</v>
      </c>
      <c r="H315" s="136" t="s">
        <v>122</v>
      </c>
    </row>
    <row r="316" spans="1:8" ht="21.75" customHeight="1" x14ac:dyDescent="0.25">
      <c r="A316" s="95">
        <v>40856</v>
      </c>
      <c r="B316" s="153">
        <v>10.75</v>
      </c>
      <c r="C316" s="94">
        <v>12900</v>
      </c>
      <c r="D316" s="94" t="s">
        <v>122</v>
      </c>
      <c r="E316" s="94" t="s">
        <v>122</v>
      </c>
      <c r="F316" s="94" t="s">
        <v>122</v>
      </c>
      <c r="G316" s="94" t="s">
        <v>122</v>
      </c>
      <c r="H316" s="136" t="s">
        <v>122</v>
      </c>
    </row>
    <row r="317" spans="1:8" ht="21.75" customHeight="1" x14ac:dyDescent="0.25">
      <c r="A317" s="95">
        <v>40857</v>
      </c>
      <c r="B317" s="153">
        <v>10.75</v>
      </c>
      <c r="C317" s="94">
        <v>12900</v>
      </c>
      <c r="D317" s="94" t="s">
        <v>122</v>
      </c>
      <c r="E317" s="94" t="s">
        <v>122</v>
      </c>
      <c r="F317" s="94" t="s">
        <v>122</v>
      </c>
      <c r="G317" s="94" t="s">
        <v>122</v>
      </c>
      <c r="H317" s="136" t="s">
        <v>122</v>
      </c>
    </row>
    <row r="318" spans="1:8" ht="21.75" customHeight="1" x14ac:dyDescent="0.25">
      <c r="A318" s="95">
        <v>40858</v>
      </c>
      <c r="B318" s="153">
        <v>10.75</v>
      </c>
      <c r="C318" s="94">
        <v>12900</v>
      </c>
      <c r="D318" s="94" t="s">
        <v>122</v>
      </c>
      <c r="E318" s="94" t="s">
        <v>122</v>
      </c>
      <c r="F318" s="94" t="s">
        <v>122</v>
      </c>
      <c r="G318" s="94" t="s">
        <v>122</v>
      </c>
      <c r="H318" s="136" t="s">
        <v>122</v>
      </c>
    </row>
    <row r="319" spans="1:8" ht="21.75" customHeight="1" x14ac:dyDescent="0.25">
      <c r="A319" s="95">
        <v>40859</v>
      </c>
      <c r="B319" s="153">
        <v>10.75</v>
      </c>
      <c r="C319" s="94">
        <v>12900</v>
      </c>
      <c r="D319" s="94" t="s">
        <v>122</v>
      </c>
      <c r="E319" s="94" t="s">
        <v>122</v>
      </c>
      <c r="F319" s="94" t="s">
        <v>122</v>
      </c>
      <c r="G319" s="94" t="s">
        <v>122</v>
      </c>
      <c r="H319" s="136" t="s">
        <v>122</v>
      </c>
    </row>
    <row r="320" spans="1:8" ht="21.75" customHeight="1" x14ac:dyDescent="0.25">
      <c r="A320" s="95">
        <v>40860</v>
      </c>
      <c r="B320" s="153">
        <v>10.75</v>
      </c>
      <c r="C320" s="94">
        <v>12900</v>
      </c>
      <c r="D320" s="94" t="s">
        <v>122</v>
      </c>
      <c r="E320" s="94" t="s">
        <v>122</v>
      </c>
      <c r="F320" s="94" t="s">
        <v>122</v>
      </c>
      <c r="G320" s="94" t="s">
        <v>122</v>
      </c>
      <c r="H320" s="136" t="s">
        <v>122</v>
      </c>
    </row>
    <row r="321" spans="1:8" ht="21.75" customHeight="1" x14ac:dyDescent="0.25">
      <c r="A321" s="95">
        <v>40861</v>
      </c>
      <c r="B321" s="153">
        <v>10.75</v>
      </c>
      <c r="C321" s="94">
        <v>12900</v>
      </c>
      <c r="D321" s="94" t="s">
        <v>122</v>
      </c>
      <c r="E321" s="94" t="s">
        <v>122</v>
      </c>
      <c r="F321" s="94" t="s">
        <v>122</v>
      </c>
      <c r="G321" s="94" t="s">
        <v>122</v>
      </c>
      <c r="H321" s="136" t="s">
        <v>122</v>
      </c>
    </row>
    <row r="322" spans="1:8" ht="21.75" customHeight="1" x14ac:dyDescent="0.25">
      <c r="A322" s="95">
        <v>40862</v>
      </c>
      <c r="B322" s="153">
        <v>10.67</v>
      </c>
      <c r="C322" s="94">
        <v>12800</v>
      </c>
      <c r="D322" s="94">
        <v>1.5</v>
      </c>
      <c r="E322" s="94">
        <v>6.86</v>
      </c>
      <c r="F322" s="94">
        <v>15</v>
      </c>
      <c r="G322" s="94">
        <v>61.25</v>
      </c>
      <c r="H322" s="136" t="s">
        <v>122</v>
      </c>
    </row>
    <row r="323" spans="1:8" ht="21.75" customHeight="1" x14ac:dyDescent="0.25">
      <c r="A323" s="95">
        <v>40863</v>
      </c>
      <c r="B323" s="153">
        <v>10.5</v>
      </c>
      <c r="C323" s="94">
        <v>12500</v>
      </c>
      <c r="D323" s="94">
        <v>1</v>
      </c>
      <c r="E323" s="94">
        <v>4.53</v>
      </c>
      <c r="F323" s="94">
        <v>6</v>
      </c>
      <c r="G323" s="94">
        <v>25.28</v>
      </c>
      <c r="H323" s="136" t="s">
        <v>122</v>
      </c>
    </row>
    <row r="324" spans="1:8" ht="21.75" customHeight="1" x14ac:dyDescent="0.25">
      <c r="A324" s="95">
        <v>40864</v>
      </c>
      <c r="B324" s="94">
        <v>10.33</v>
      </c>
      <c r="C324" s="94">
        <v>12300</v>
      </c>
      <c r="D324" s="94">
        <v>1</v>
      </c>
      <c r="E324" s="94">
        <v>4.5</v>
      </c>
      <c r="F324" s="94">
        <v>6</v>
      </c>
      <c r="G324" s="94">
        <v>25.04</v>
      </c>
      <c r="H324" s="136" t="s">
        <v>122</v>
      </c>
    </row>
    <row r="325" spans="1:8" ht="21.75" customHeight="1" x14ac:dyDescent="0.25">
      <c r="A325" s="95">
        <v>40865</v>
      </c>
      <c r="B325" s="94">
        <v>10.17</v>
      </c>
      <c r="C325" s="94">
        <v>12000</v>
      </c>
      <c r="D325" s="94">
        <v>1</v>
      </c>
      <c r="E325" s="94">
        <v>4.68</v>
      </c>
      <c r="F325" s="94">
        <v>6</v>
      </c>
      <c r="G325" s="94">
        <v>24.92</v>
      </c>
      <c r="H325" s="136" t="s">
        <v>122</v>
      </c>
    </row>
    <row r="326" spans="1:8" ht="21.75" customHeight="1" x14ac:dyDescent="0.25">
      <c r="A326" s="95">
        <v>40866</v>
      </c>
      <c r="B326" s="153">
        <v>10</v>
      </c>
      <c r="C326" s="94">
        <v>12600</v>
      </c>
      <c r="D326" s="94">
        <v>18</v>
      </c>
      <c r="E326" s="94">
        <v>73.686999999999998</v>
      </c>
      <c r="F326" s="94">
        <v>18</v>
      </c>
      <c r="G326" s="94">
        <v>69.2</v>
      </c>
      <c r="H326" s="136" t="s">
        <v>122</v>
      </c>
    </row>
    <row r="327" spans="1:8" ht="21.75" customHeight="1" x14ac:dyDescent="0.25">
      <c r="A327" s="95">
        <v>40867</v>
      </c>
      <c r="B327" s="153">
        <v>10</v>
      </c>
      <c r="C327" s="94">
        <v>12600</v>
      </c>
      <c r="D327" s="94">
        <v>6</v>
      </c>
      <c r="E327" s="94">
        <v>25.97</v>
      </c>
      <c r="F327" s="94">
        <v>8</v>
      </c>
      <c r="G327" s="94">
        <v>32.43</v>
      </c>
      <c r="H327" s="136" t="s">
        <v>122</v>
      </c>
    </row>
    <row r="328" spans="1:8" ht="21.75" customHeight="1" x14ac:dyDescent="0.25">
      <c r="A328" s="95">
        <v>40868</v>
      </c>
      <c r="B328" s="153">
        <v>10.5</v>
      </c>
      <c r="C328" s="94">
        <v>12500</v>
      </c>
      <c r="D328" s="94" t="s">
        <v>122</v>
      </c>
      <c r="E328" s="94" t="s">
        <v>122</v>
      </c>
      <c r="F328" s="94" t="s">
        <v>122</v>
      </c>
      <c r="G328" s="94" t="s">
        <v>122</v>
      </c>
      <c r="H328" s="136" t="s">
        <v>122</v>
      </c>
    </row>
    <row r="329" spans="1:8" ht="21.75" customHeight="1" x14ac:dyDescent="0.25">
      <c r="A329" s="95">
        <v>40869</v>
      </c>
      <c r="B329" s="94">
        <v>11.25</v>
      </c>
      <c r="C329" s="94">
        <v>13800</v>
      </c>
      <c r="D329" s="94" t="s">
        <v>122</v>
      </c>
      <c r="E329" s="94" t="s">
        <v>122</v>
      </c>
      <c r="F329" s="94" t="s">
        <v>122</v>
      </c>
      <c r="G329" s="94" t="s">
        <v>122</v>
      </c>
      <c r="H329" s="136" t="s">
        <v>122</v>
      </c>
    </row>
    <row r="330" spans="1:8" ht="21.75" customHeight="1" x14ac:dyDescent="0.25">
      <c r="A330" s="95">
        <v>40870</v>
      </c>
      <c r="B330" s="94">
        <v>11.92</v>
      </c>
      <c r="C330" s="94">
        <v>15200</v>
      </c>
      <c r="D330" s="94" t="s">
        <v>122</v>
      </c>
      <c r="E330" s="94" t="s">
        <v>122</v>
      </c>
      <c r="F330" s="94" t="s">
        <v>122</v>
      </c>
      <c r="G330" s="94" t="s">
        <v>122</v>
      </c>
      <c r="H330" s="136" t="s">
        <v>122</v>
      </c>
    </row>
    <row r="331" spans="1:8" ht="21.75" customHeight="1" x14ac:dyDescent="0.25">
      <c r="A331" s="95">
        <v>40871</v>
      </c>
      <c r="B331" s="153">
        <v>12.5</v>
      </c>
      <c r="C331" s="94">
        <v>16400</v>
      </c>
      <c r="D331" s="94" t="s">
        <v>122</v>
      </c>
      <c r="E331" s="94" t="s">
        <v>122</v>
      </c>
      <c r="F331" s="94" t="s">
        <v>122</v>
      </c>
      <c r="G331" s="94" t="s">
        <v>122</v>
      </c>
      <c r="H331" s="136" t="s">
        <v>122</v>
      </c>
    </row>
    <row r="332" spans="1:8" ht="21.75" customHeight="1" x14ac:dyDescent="0.25">
      <c r="A332" s="95">
        <v>40872</v>
      </c>
      <c r="B332" s="94">
        <v>14.08</v>
      </c>
      <c r="C332" s="94">
        <v>19700</v>
      </c>
      <c r="D332" s="94" t="s">
        <v>122</v>
      </c>
      <c r="E332" s="94" t="s">
        <v>122</v>
      </c>
      <c r="F332" s="94" t="s">
        <v>122</v>
      </c>
      <c r="G332" s="94" t="s">
        <v>122</v>
      </c>
      <c r="H332" s="136" t="s">
        <v>122</v>
      </c>
    </row>
    <row r="333" spans="1:8" ht="21.75" customHeight="1" x14ac:dyDescent="0.25">
      <c r="A333" s="95">
        <v>40873</v>
      </c>
      <c r="B333" s="94">
        <v>17.25</v>
      </c>
      <c r="C333" s="94">
        <v>28850</v>
      </c>
      <c r="D333" s="94" t="s">
        <v>122</v>
      </c>
      <c r="E333" s="94" t="s">
        <v>122</v>
      </c>
      <c r="F333" s="94" t="s">
        <v>122</v>
      </c>
      <c r="G333" s="94" t="s">
        <v>122</v>
      </c>
      <c r="H333" s="136" t="s">
        <v>122</v>
      </c>
    </row>
    <row r="334" spans="1:8" ht="21.75" customHeight="1" x14ac:dyDescent="0.25">
      <c r="A334" s="95">
        <v>40874</v>
      </c>
      <c r="B334" s="94">
        <v>18.75</v>
      </c>
      <c r="C334" s="94">
        <v>34750</v>
      </c>
      <c r="D334" s="94" t="s">
        <v>122</v>
      </c>
      <c r="E334" s="94" t="s">
        <v>122</v>
      </c>
      <c r="F334" s="94" t="s">
        <v>122</v>
      </c>
      <c r="G334" s="94" t="s">
        <v>122</v>
      </c>
      <c r="H334" s="136" t="s">
        <v>122</v>
      </c>
    </row>
    <row r="335" spans="1:8" ht="21.75" customHeight="1" x14ac:dyDescent="0.25">
      <c r="A335" s="95">
        <v>40875</v>
      </c>
      <c r="B335" s="94">
        <v>19.420000000000002</v>
      </c>
      <c r="C335" s="94" t="s">
        <v>539</v>
      </c>
      <c r="D335" s="94" t="s">
        <v>122</v>
      </c>
      <c r="E335" s="94" t="s">
        <v>122</v>
      </c>
      <c r="F335" s="94" t="s">
        <v>122</v>
      </c>
      <c r="G335" s="94" t="s">
        <v>122</v>
      </c>
      <c r="H335" s="136" t="s">
        <v>122</v>
      </c>
    </row>
    <row r="336" spans="1:8" ht="21.75" customHeight="1" x14ac:dyDescent="0.25">
      <c r="A336" s="95">
        <v>40876</v>
      </c>
      <c r="B336" s="94">
        <v>19.329999999999998</v>
      </c>
      <c r="C336" s="94" t="s">
        <v>539</v>
      </c>
      <c r="D336" s="94" t="s">
        <v>122</v>
      </c>
      <c r="E336" s="94" t="s">
        <v>122</v>
      </c>
      <c r="F336" s="94" t="s">
        <v>122</v>
      </c>
      <c r="G336" s="94" t="s">
        <v>122</v>
      </c>
      <c r="H336" s="136" t="s">
        <v>122</v>
      </c>
    </row>
    <row r="337" spans="1:8" ht="21.75" customHeight="1" x14ac:dyDescent="0.25">
      <c r="A337" s="95">
        <v>40877</v>
      </c>
      <c r="B337" s="94">
        <v>18.670000000000002</v>
      </c>
      <c r="C337" s="94">
        <v>34250</v>
      </c>
      <c r="D337" s="94">
        <v>3</v>
      </c>
      <c r="E337" s="94">
        <v>18.04</v>
      </c>
      <c r="F337" s="94">
        <v>2</v>
      </c>
      <c r="G337" s="94">
        <v>11.72</v>
      </c>
      <c r="H337" s="136" t="s">
        <v>122</v>
      </c>
    </row>
    <row r="338" spans="1:8" ht="21.75" customHeight="1" x14ac:dyDescent="0.25">
      <c r="A338" s="95">
        <v>40878</v>
      </c>
      <c r="B338" s="153">
        <v>18.579999999999998</v>
      </c>
      <c r="C338" s="94">
        <v>33900</v>
      </c>
      <c r="D338" s="94">
        <v>3</v>
      </c>
      <c r="E338" s="94">
        <v>17.940000000000001</v>
      </c>
      <c r="F338" s="94">
        <v>2</v>
      </c>
      <c r="G338" s="94">
        <v>11.65</v>
      </c>
      <c r="H338" s="136" t="s">
        <v>122</v>
      </c>
    </row>
    <row r="339" spans="1:8" ht="21.75" customHeight="1" x14ac:dyDescent="0.25">
      <c r="A339" s="95">
        <v>40879</v>
      </c>
      <c r="B339" s="153">
        <v>18.37</v>
      </c>
      <c r="C339" s="94">
        <v>33250</v>
      </c>
      <c r="D339" s="94">
        <v>9</v>
      </c>
      <c r="E339" s="94">
        <v>52.87</v>
      </c>
      <c r="F339" s="94">
        <v>6</v>
      </c>
      <c r="G339" s="94">
        <v>34.49</v>
      </c>
      <c r="H339" s="136" t="s">
        <v>122</v>
      </c>
    </row>
    <row r="340" spans="1:8" ht="21.75" customHeight="1" x14ac:dyDescent="0.25">
      <c r="A340" s="95">
        <v>40880</v>
      </c>
      <c r="B340" s="153">
        <v>18.25</v>
      </c>
      <c r="C340" s="94">
        <v>32800</v>
      </c>
      <c r="D340" s="94" t="s">
        <v>122</v>
      </c>
      <c r="E340" s="94" t="s">
        <v>122</v>
      </c>
      <c r="F340" s="94" t="s">
        <v>122</v>
      </c>
      <c r="G340" s="94" t="s">
        <v>122</v>
      </c>
      <c r="H340" s="136" t="s">
        <v>122</v>
      </c>
    </row>
    <row r="341" spans="1:8" ht="21.75" customHeight="1" x14ac:dyDescent="0.25">
      <c r="A341" s="95">
        <v>40881</v>
      </c>
      <c r="B341" s="153">
        <v>18.25</v>
      </c>
      <c r="C341" s="94">
        <v>32800</v>
      </c>
      <c r="D341" s="94" t="s">
        <v>122</v>
      </c>
      <c r="E341" s="94" t="s">
        <v>122</v>
      </c>
      <c r="F341" s="94" t="s">
        <v>122</v>
      </c>
      <c r="G341" s="94" t="s">
        <v>122</v>
      </c>
      <c r="H341" s="136" t="s">
        <v>122</v>
      </c>
    </row>
    <row r="342" spans="1:8" ht="21.75" customHeight="1" x14ac:dyDescent="0.25">
      <c r="A342" s="95">
        <v>40882</v>
      </c>
      <c r="B342" s="94">
        <v>18.170000000000002</v>
      </c>
      <c r="C342" s="94">
        <v>32600</v>
      </c>
      <c r="D342" s="94">
        <v>10</v>
      </c>
      <c r="E342" s="94">
        <v>58.33</v>
      </c>
      <c r="F342" s="94">
        <v>10</v>
      </c>
      <c r="G342" s="94">
        <v>56.61</v>
      </c>
      <c r="H342" s="136" t="s">
        <v>122</v>
      </c>
    </row>
    <row r="343" spans="1:8" ht="21.75" customHeight="1" x14ac:dyDescent="0.25">
      <c r="A343" s="95">
        <v>40883</v>
      </c>
      <c r="B343" s="153">
        <v>18.079999999999998</v>
      </c>
      <c r="C343" s="94">
        <v>32400</v>
      </c>
      <c r="D343" s="94">
        <v>9</v>
      </c>
      <c r="E343" s="94">
        <v>52.49</v>
      </c>
      <c r="F343" s="94">
        <v>9</v>
      </c>
      <c r="G343" s="94">
        <v>50.94</v>
      </c>
      <c r="H343" s="136" t="s">
        <v>122</v>
      </c>
    </row>
    <row r="344" spans="1:8" ht="21.75" customHeight="1" x14ac:dyDescent="0.25">
      <c r="A344" s="95">
        <v>40884</v>
      </c>
      <c r="B344" s="153">
        <v>18</v>
      </c>
      <c r="C344" s="94">
        <v>32100</v>
      </c>
      <c r="D344" s="94">
        <v>9</v>
      </c>
      <c r="E344" s="94">
        <v>52.36</v>
      </c>
      <c r="F344" s="94">
        <v>9</v>
      </c>
      <c r="G344" s="94">
        <v>49.22</v>
      </c>
      <c r="H344" s="136" t="s">
        <v>122</v>
      </c>
    </row>
    <row r="345" spans="1:8" ht="21.75" customHeight="1" x14ac:dyDescent="0.25">
      <c r="A345" s="95">
        <v>40885</v>
      </c>
      <c r="B345" s="94">
        <v>17.920000000000002</v>
      </c>
      <c r="C345" s="94">
        <v>32000</v>
      </c>
      <c r="D345" s="94">
        <v>9</v>
      </c>
      <c r="E345" s="94">
        <v>52.24</v>
      </c>
      <c r="F345" s="94">
        <v>9</v>
      </c>
      <c r="G345" s="94">
        <v>50.68</v>
      </c>
      <c r="H345" s="136" t="s">
        <v>122</v>
      </c>
    </row>
    <row r="346" spans="1:8" ht="21.75" customHeight="1" x14ac:dyDescent="0.25">
      <c r="A346" s="95">
        <v>40886</v>
      </c>
      <c r="B346" s="153">
        <v>17.829999999999998</v>
      </c>
      <c r="C346" s="94">
        <v>31500</v>
      </c>
      <c r="D346" s="94">
        <v>6</v>
      </c>
      <c r="E346" s="94">
        <v>35</v>
      </c>
      <c r="F346" s="94">
        <v>9</v>
      </c>
      <c r="G346" s="94">
        <v>50.55</v>
      </c>
      <c r="H346" s="136" t="s">
        <v>122</v>
      </c>
    </row>
    <row r="347" spans="1:8" ht="21.75" customHeight="1" x14ac:dyDescent="0.25">
      <c r="A347" s="95">
        <v>40887</v>
      </c>
      <c r="B347" s="156">
        <v>17.75</v>
      </c>
      <c r="C347" s="93">
        <v>31125</v>
      </c>
      <c r="D347" s="94">
        <v>6</v>
      </c>
      <c r="E347" s="94">
        <v>34.909999999999997</v>
      </c>
      <c r="F347" s="94">
        <v>10</v>
      </c>
      <c r="G347" s="94">
        <v>55.88</v>
      </c>
      <c r="H347" s="136" t="s">
        <v>122</v>
      </c>
    </row>
    <row r="348" spans="1:8" ht="21.75" customHeight="1" x14ac:dyDescent="0.25">
      <c r="A348" s="95">
        <v>40888</v>
      </c>
      <c r="B348" s="156">
        <v>17.670000000000002</v>
      </c>
      <c r="C348" s="93">
        <v>30750</v>
      </c>
      <c r="D348" s="94" t="s">
        <v>122</v>
      </c>
      <c r="E348" s="94" t="s">
        <v>122</v>
      </c>
      <c r="F348" s="94" t="s">
        <v>122</v>
      </c>
      <c r="G348" s="94" t="s">
        <v>122</v>
      </c>
      <c r="H348" s="136" t="s">
        <v>122</v>
      </c>
    </row>
    <row r="349" spans="1:8" ht="21.75" customHeight="1" x14ac:dyDescent="0.25">
      <c r="A349" s="95">
        <v>40889</v>
      </c>
      <c r="B349" s="156">
        <v>17.75</v>
      </c>
      <c r="C349" s="93">
        <v>31125</v>
      </c>
      <c r="D349" s="94" t="s">
        <v>122</v>
      </c>
      <c r="E349" s="94" t="s">
        <v>122</v>
      </c>
      <c r="F349" s="94" t="s">
        <v>122</v>
      </c>
      <c r="G349" s="94" t="s">
        <v>122</v>
      </c>
      <c r="H349" s="136" t="s">
        <v>122</v>
      </c>
    </row>
    <row r="350" spans="1:8" ht="21.75" customHeight="1" x14ac:dyDescent="0.25">
      <c r="A350" s="95">
        <v>40890</v>
      </c>
      <c r="B350" s="156">
        <v>18.670000000000002</v>
      </c>
      <c r="C350" s="93">
        <v>34250</v>
      </c>
      <c r="D350" s="94" t="s">
        <v>122</v>
      </c>
      <c r="E350" s="94" t="s">
        <v>122</v>
      </c>
      <c r="F350" s="94" t="s">
        <v>122</v>
      </c>
      <c r="G350" s="94" t="s">
        <v>122</v>
      </c>
      <c r="H350" s="136" t="s">
        <v>122</v>
      </c>
    </row>
    <row r="351" spans="1:8" ht="21.75" customHeight="1" x14ac:dyDescent="0.25">
      <c r="A351" s="95">
        <v>40891</v>
      </c>
      <c r="B351" s="156">
        <v>19.420000000000002</v>
      </c>
      <c r="C351" s="157" t="s">
        <v>539</v>
      </c>
      <c r="D351" s="94" t="s">
        <v>122</v>
      </c>
      <c r="E351" s="94" t="s">
        <v>122</v>
      </c>
      <c r="F351" s="94" t="s">
        <v>122</v>
      </c>
      <c r="G351" s="94" t="s">
        <v>122</v>
      </c>
      <c r="H351" s="136" t="s">
        <v>122</v>
      </c>
    </row>
    <row r="352" spans="1:8" ht="21.75" customHeight="1" x14ac:dyDescent="0.25">
      <c r="A352" s="95">
        <v>40892</v>
      </c>
      <c r="B352" s="156">
        <v>19.329999999999998</v>
      </c>
      <c r="C352" s="157" t="s">
        <v>539</v>
      </c>
      <c r="D352" s="94" t="s">
        <v>122</v>
      </c>
      <c r="E352" s="94" t="s">
        <v>122</v>
      </c>
      <c r="F352" s="94" t="s">
        <v>122</v>
      </c>
      <c r="G352" s="94" t="s">
        <v>122</v>
      </c>
      <c r="H352" s="136" t="s">
        <v>122</v>
      </c>
    </row>
    <row r="353" spans="1:8" ht="21.75" customHeight="1" x14ac:dyDescent="0.25">
      <c r="A353" s="95">
        <v>40893</v>
      </c>
      <c r="B353" s="93">
        <v>19.25</v>
      </c>
      <c r="C353" s="157" t="s">
        <v>539</v>
      </c>
      <c r="D353" s="94" t="s">
        <v>122</v>
      </c>
      <c r="E353" s="94" t="s">
        <v>122</v>
      </c>
      <c r="F353" s="94" t="s">
        <v>122</v>
      </c>
      <c r="G353" s="94" t="s">
        <v>122</v>
      </c>
      <c r="H353" s="136" t="s">
        <v>122</v>
      </c>
    </row>
    <row r="354" spans="1:8" ht="21.75" customHeight="1" x14ac:dyDescent="0.25">
      <c r="A354" s="95">
        <v>40894</v>
      </c>
      <c r="B354" s="93">
        <v>19.170000000000002</v>
      </c>
      <c r="C354" s="157" t="s">
        <v>539</v>
      </c>
      <c r="D354" s="94" t="s">
        <v>122</v>
      </c>
      <c r="E354" s="94" t="s">
        <v>122</v>
      </c>
      <c r="F354" s="94" t="s">
        <v>122</v>
      </c>
      <c r="G354" s="94" t="s">
        <v>122</v>
      </c>
      <c r="H354" s="136" t="s">
        <v>122</v>
      </c>
    </row>
    <row r="355" spans="1:8" ht="21.75" customHeight="1" x14ac:dyDescent="0.25">
      <c r="A355" s="95">
        <v>40895</v>
      </c>
      <c r="B355" s="156">
        <v>19</v>
      </c>
      <c r="C355" s="157">
        <v>36250</v>
      </c>
      <c r="D355" s="94" t="s">
        <v>122</v>
      </c>
      <c r="E355" s="94" t="s">
        <v>122</v>
      </c>
      <c r="F355" s="94" t="s">
        <v>122</v>
      </c>
      <c r="G355" s="94" t="s">
        <v>122</v>
      </c>
      <c r="H355" s="136" t="s">
        <v>122</v>
      </c>
    </row>
    <row r="356" spans="1:8" ht="21.75" customHeight="1" x14ac:dyDescent="0.25">
      <c r="A356" s="95">
        <v>40896</v>
      </c>
      <c r="B356" s="156">
        <v>19.25</v>
      </c>
      <c r="C356" s="157" t="s">
        <v>539</v>
      </c>
      <c r="D356" s="94">
        <v>2</v>
      </c>
      <c r="E356" s="94">
        <v>12.22</v>
      </c>
      <c r="F356" s="94">
        <v>4</v>
      </c>
      <c r="G356" s="94">
        <v>23.78</v>
      </c>
      <c r="H356" s="136" t="s">
        <v>122</v>
      </c>
    </row>
    <row r="357" spans="1:8" ht="21.75" customHeight="1" x14ac:dyDescent="0.25">
      <c r="A357" s="95">
        <v>40897</v>
      </c>
      <c r="B357" s="156">
        <v>19.46</v>
      </c>
      <c r="C357" s="157" t="s">
        <v>539</v>
      </c>
      <c r="D357" s="94">
        <v>2</v>
      </c>
      <c r="E357" s="94">
        <v>12.22</v>
      </c>
      <c r="F357" s="94">
        <v>2</v>
      </c>
      <c r="G357" s="94">
        <v>12.01</v>
      </c>
      <c r="H357" s="136" t="s">
        <v>122</v>
      </c>
    </row>
    <row r="358" spans="1:8" ht="21.75" customHeight="1" x14ac:dyDescent="0.25">
      <c r="A358" s="95">
        <v>40898</v>
      </c>
      <c r="B358" s="156">
        <v>19.46</v>
      </c>
      <c r="C358" s="157" t="s">
        <v>539</v>
      </c>
      <c r="D358" s="94">
        <v>2</v>
      </c>
      <c r="E358" s="94">
        <v>12.22</v>
      </c>
      <c r="F358" s="94">
        <v>2</v>
      </c>
      <c r="G358" s="94">
        <v>12</v>
      </c>
      <c r="H358" s="136" t="s">
        <v>122</v>
      </c>
    </row>
    <row r="359" spans="1:8" ht="21.75" customHeight="1" x14ac:dyDescent="0.25">
      <c r="A359" s="95">
        <v>40899</v>
      </c>
      <c r="B359" s="94">
        <v>19.25</v>
      </c>
      <c r="C359" s="157" t="s">
        <v>539</v>
      </c>
      <c r="D359" s="94">
        <v>2</v>
      </c>
      <c r="E359" s="94">
        <v>12.22</v>
      </c>
      <c r="F359" s="94">
        <v>2</v>
      </c>
      <c r="G359" s="94">
        <v>11.94</v>
      </c>
      <c r="H359" s="136" t="s">
        <v>122</v>
      </c>
    </row>
    <row r="360" spans="1:8" ht="21.75" customHeight="1" x14ac:dyDescent="0.25">
      <c r="A360" s="95">
        <v>40900</v>
      </c>
      <c r="B360" s="94">
        <v>19.079999999999998</v>
      </c>
      <c r="C360" s="157" t="s">
        <v>539</v>
      </c>
      <c r="D360" s="94" t="s">
        <v>122</v>
      </c>
      <c r="E360" s="94" t="s">
        <v>122</v>
      </c>
      <c r="F360" s="94" t="s">
        <v>122</v>
      </c>
      <c r="G360" s="94" t="s">
        <v>122</v>
      </c>
      <c r="H360" s="136" t="s">
        <v>122</v>
      </c>
    </row>
    <row r="361" spans="1:8" ht="21.75" customHeight="1" x14ac:dyDescent="0.25">
      <c r="A361" s="95">
        <v>40901</v>
      </c>
      <c r="B361" s="153">
        <v>19</v>
      </c>
      <c r="C361" s="94">
        <v>36250</v>
      </c>
      <c r="D361" s="94" t="s">
        <v>122</v>
      </c>
      <c r="E361" s="94" t="s">
        <v>122</v>
      </c>
      <c r="F361" s="94" t="s">
        <v>122</v>
      </c>
      <c r="G361" s="94" t="s">
        <v>122</v>
      </c>
      <c r="H361" s="136" t="s">
        <v>122</v>
      </c>
    </row>
    <row r="362" spans="1:8" ht="21.75" customHeight="1" x14ac:dyDescent="0.25">
      <c r="A362" s="95">
        <v>40902</v>
      </c>
      <c r="B362" s="94">
        <v>18.670000000000002</v>
      </c>
      <c r="C362" s="94">
        <v>34250</v>
      </c>
      <c r="D362" s="94">
        <v>2</v>
      </c>
      <c r="E362" s="94">
        <v>12.08</v>
      </c>
      <c r="F362" s="94">
        <v>2</v>
      </c>
      <c r="G362" s="94">
        <v>11.75</v>
      </c>
      <c r="H362" s="136" t="s">
        <v>122</v>
      </c>
    </row>
    <row r="363" spans="1:8" ht="21.75" customHeight="1" x14ac:dyDescent="0.25">
      <c r="A363" s="95">
        <v>40903</v>
      </c>
      <c r="B363" s="94">
        <v>18.670000000000002</v>
      </c>
      <c r="C363" s="94">
        <v>34250</v>
      </c>
      <c r="D363" s="94">
        <v>8</v>
      </c>
      <c r="E363" s="94">
        <v>18.079999999999998</v>
      </c>
      <c r="F363" s="94">
        <v>3</v>
      </c>
      <c r="G363" s="94">
        <v>17.579999999999998</v>
      </c>
      <c r="H363" s="136" t="s">
        <v>122</v>
      </c>
    </row>
    <row r="364" spans="1:8" ht="21.75" customHeight="1" x14ac:dyDescent="0.25">
      <c r="A364" s="95">
        <v>40904</v>
      </c>
      <c r="B364" s="94">
        <v>18.670000000000002</v>
      </c>
      <c r="C364" s="94">
        <v>34250</v>
      </c>
      <c r="D364" s="94">
        <v>3</v>
      </c>
      <c r="E364" s="94">
        <v>18.079999999999998</v>
      </c>
      <c r="F364" s="94">
        <v>3</v>
      </c>
      <c r="G364" s="94">
        <v>17.579999999999998</v>
      </c>
      <c r="H364" s="136" t="s">
        <v>122</v>
      </c>
    </row>
    <row r="365" spans="1:8" ht="21.75" customHeight="1" x14ac:dyDescent="0.25">
      <c r="A365" s="95">
        <v>40905</v>
      </c>
      <c r="B365" s="94">
        <v>18.670000000000002</v>
      </c>
      <c r="C365" s="94">
        <v>34250</v>
      </c>
      <c r="D365" s="94">
        <v>3</v>
      </c>
      <c r="E365" s="94">
        <v>18.079999999999998</v>
      </c>
      <c r="F365" s="94">
        <v>3</v>
      </c>
      <c r="G365" s="94">
        <v>17.579999999999998</v>
      </c>
      <c r="H365" s="136" t="s">
        <v>122</v>
      </c>
    </row>
    <row r="366" spans="1:8" ht="21.75" customHeight="1" x14ac:dyDescent="0.25">
      <c r="A366" s="95">
        <v>40906</v>
      </c>
      <c r="B366" s="94">
        <v>18.670000000000002</v>
      </c>
      <c r="C366" s="94">
        <v>34250</v>
      </c>
      <c r="D366" s="94" t="s">
        <v>122</v>
      </c>
      <c r="E366" s="94" t="s">
        <v>122</v>
      </c>
      <c r="F366" s="94" t="s">
        <v>122</v>
      </c>
      <c r="G366" s="94" t="s">
        <v>122</v>
      </c>
      <c r="H366" s="136" t="s">
        <v>122</v>
      </c>
    </row>
    <row r="367" spans="1:8" ht="21.75" customHeight="1" x14ac:dyDescent="0.25">
      <c r="A367" s="95">
        <v>40907</v>
      </c>
      <c r="B367" s="94">
        <v>18.670000000000002</v>
      </c>
      <c r="C367" s="94">
        <v>34250</v>
      </c>
      <c r="D367" s="94" t="s">
        <v>122</v>
      </c>
      <c r="E367" s="94" t="s">
        <v>122</v>
      </c>
      <c r="F367" s="94" t="s">
        <v>122</v>
      </c>
      <c r="G367" s="94" t="s">
        <v>122</v>
      </c>
      <c r="H367" s="136" t="s">
        <v>122</v>
      </c>
    </row>
    <row r="368" spans="1:8" ht="21.75" customHeight="1" thickBot="1" x14ac:dyDescent="0.3">
      <c r="A368" s="97">
        <v>40908</v>
      </c>
      <c r="B368" s="117">
        <v>18.670000000000002</v>
      </c>
      <c r="C368" s="117">
        <v>34250</v>
      </c>
      <c r="D368" s="117">
        <v>10</v>
      </c>
      <c r="E368" s="117">
        <v>17.940000000000001</v>
      </c>
      <c r="F368" s="117">
        <v>10</v>
      </c>
      <c r="G368" s="117">
        <v>57.62</v>
      </c>
      <c r="H368" s="118" t="s">
        <v>122</v>
      </c>
    </row>
    <row r="369" spans="1:7" x14ac:dyDescent="0.25">
      <c r="A369" s="410"/>
      <c r="B369" s="410"/>
      <c r="C369" s="410"/>
      <c r="D369" s="410"/>
      <c r="E369" s="410"/>
      <c r="F369" s="410"/>
      <c r="G369" s="410"/>
    </row>
  </sheetData>
  <mergeCells count="7">
    <mergeCell ref="A1:H1"/>
    <mergeCell ref="H2:H3"/>
    <mergeCell ref="A369:G369"/>
    <mergeCell ref="A2:A3"/>
    <mergeCell ref="B2:B3"/>
    <mergeCell ref="C2:C3"/>
    <mergeCell ref="D2:G2"/>
  </mergeCells>
  <printOptions horizontalCentered="1"/>
  <pageMargins left="1" right="0.75" top="0.75" bottom="0.2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370"/>
  <sheetViews>
    <sheetView workbookViewId="0">
      <selection activeCell="A2" sqref="A2:G3"/>
    </sheetView>
  </sheetViews>
  <sheetFormatPr defaultColWidth="7.5703125" defaultRowHeight="15" x14ac:dyDescent="0.25"/>
  <cols>
    <col min="1" max="1" width="13.140625" style="27" customWidth="1"/>
    <col min="2" max="2" width="9.140625" style="27" customWidth="1"/>
    <col min="3" max="3" width="10" style="80" customWidth="1"/>
    <col min="4" max="4" width="7.42578125" style="27" customWidth="1"/>
    <col min="5" max="5" width="9.140625" style="27" customWidth="1"/>
    <col min="6" max="6" width="8.5703125" style="27" customWidth="1"/>
    <col min="7" max="7" width="9" style="27" customWidth="1"/>
    <col min="8" max="8" width="10.5703125" style="14" customWidth="1"/>
    <col min="9" max="9" width="7.5703125" style="14"/>
    <col min="10" max="10" width="8.5703125" style="14" bestFit="1" customWidth="1"/>
    <col min="11" max="16384" width="7.5703125" style="14"/>
  </cols>
  <sheetData>
    <row r="1" spans="1:9" ht="32.25" customHeight="1" thickBot="1" x14ac:dyDescent="0.3">
      <c r="A1" s="456" t="s">
        <v>2681</v>
      </c>
      <c r="B1" s="456"/>
      <c r="C1" s="456"/>
      <c r="D1" s="456"/>
      <c r="E1" s="456"/>
      <c r="F1" s="456"/>
      <c r="G1" s="456"/>
      <c r="H1" s="456"/>
      <c r="I1" s="222"/>
    </row>
    <row r="2" spans="1:9" ht="30" customHeight="1" x14ac:dyDescent="0.25">
      <c r="A2" s="425" t="s">
        <v>0</v>
      </c>
      <c r="B2" s="423" t="s">
        <v>2684</v>
      </c>
      <c r="C2" s="449" t="s">
        <v>2689</v>
      </c>
      <c r="D2" s="451" t="s">
        <v>2698</v>
      </c>
      <c r="E2" s="452"/>
      <c r="F2" s="452"/>
      <c r="G2" s="452"/>
      <c r="H2" s="454" t="s">
        <v>2670</v>
      </c>
    </row>
    <row r="3" spans="1:9" ht="46.5" customHeight="1" thickBot="1" x14ac:dyDescent="0.3">
      <c r="A3" s="426"/>
      <c r="B3" s="424"/>
      <c r="C3" s="450"/>
      <c r="D3" s="181" t="s">
        <v>2687</v>
      </c>
      <c r="E3" s="184" t="s">
        <v>735</v>
      </c>
      <c r="F3" s="181" t="s">
        <v>2688</v>
      </c>
      <c r="G3" s="219" t="s">
        <v>735</v>
      </c>
      <c r="H3" s="455"/>
    </row>
    <row r="4" spans="1:9" ht="21" customHeight="1" x14ac:dyDescent="0.25">
      <c r="A4" s="120">
        <v>40909</v>
      </c>
      <c r="B4" s="126">
        <v>18.579999999999998</v>
      </c>
      <c r="C4" s="139">
        <v>33900</v>
      </c>
      <c r="D4" s="126">
        <v>10</v>
      </c>
      <c r="E4" s="126">
        <v>57.47</v>
      </c>
      <c r="F4" s="126">
        <v>10</v>
      </c>
      <c r="G4" s="126">
        <v>57.47</v>
      </c>
      <c r="H4" s="114" t="s">
        <v>122</v>
      </c>
    </row>
    <row r="5" spans="1:9" ht="21" customHeight="1" x14ac:dyDescent="0.25">
      <c r="A5" s="95">
        <v>40910</v>
      </c>
      <c r="B5" s="129">
        <v>18.5</v>
      </c>
      <c r="C5" s="130">
        <v>33800</v>
      </c>
      <c r="D5" s="127">
        <v>10</v>
      </c>
      <c r="E5" s="127">
        <v>57.33</v>
      </c>
      <c r="F5" s="127">
        <v>10</v>
      </c>
      <c r="G5" s="127">
        <v>57.33</v>
      </c>
      <c r="H5" s="115" t="s">
        <v>122</v>
      </c>
    </row>
    <row r="6" spans="1:9" ht="21" customHeight="1" x14ac:dyDescent="0.25">
      <c r="A6" s="95">
        <v>40911</v>
      </c>
      <c r="B6" s="127">
        <v>18.420000000000002</v>
      </c>
      <c r="C6" s="130">
        <v>33500</v>
      </c>
      <c r="D6" s="127">
        <v>10</v>
      </c>
      <c r="E6" s="127">
        <v>57.19</v>
      </c>
      <c r="F6" s="127">
        <v>10</v>
      </c>
      <c r="G6" s="127">
        <v>57.19</v>
      </c>
      <c r="H6" s="115" t="s">
        <v>122</v>
      </c>
    </row>
    <row r="7" spans="1:9" ht="21" customHeight="1" x14ac:dyDescent="0.25">
      <c r="A7" s="95">
        <v>40912</v>
      </c>
      <c r="B7" s="127">
        <v>18.25</v>
      </c>
      <c r="C7" s="130">
        <v>32800</v>
      </c>
      <c r="D7" s="127">
        <v>12</v>
      </c>
      <c r="E7" s="127">
        <v>69.989999999999995</v>
      </c>
      <c r="F7" s="127">
        <v>12</v>
      </c>
      <c r="G7" s="127">
        <v>67.930000000000007</v>
      </c>
      <c r="H7" s="115" t="s">
        <v>122</v>
      </c>
    </row>
    <row r="8" spans="1:9" ht="21" customHeight="1" x14ac:dyDescent="0.25">
      <c r="A8" s="95">
        <v>40913</v>
      </c>
      <c r="B8" s="127">
        <v>18.170000000000002</v>
      </c>
      <c r="C8" s="130">
        <v>32600</v>
      </c>
      <c r="D8" s="127">
        <v>12</v>
      </c>
      <c r="E8" s="127">
        <v>67.760000000000005</v>
      </c>
      <c r="F8" s="127">
        <v>12</v>
      </c>
      <c r="G8" s="127">
        <v>67.760000000000005</v>
      </c>
      <c r="H8" s="115" t="s">
        <v>122</v>
      </c>
    </row>
    <row r="9" spans="1:9" ht="21" customHeight="1" x14ac:dyDescent="0.25">
      <c r="A9" s="95">
        <v>40914</v>
      </c>
      <c r="B9" s="127">
        <v>18.170000000000002</v>
      </c>
      <c r="C9" s="130">
        <v>32600</v>
      </c>
      <c r="D9" s="127">
        <v>12</v>
      </c>
      <c r="E9" s="127">
        <v>67.760000000000005</v>
      </c>
      <c r="F9" s="127">
        <v>12</v>
      </c>
      <c r="G9" s="127">
        <v>67.760000000000005</v>
      </c>
      <c r="H9" s="115" t="s">
        <v>122</v>
      </c>
    </row>
    <row r="10" spans="1:9" ht="21" customHeight="1" x14ac:dyDescent="0.25">
      <c r="A10" s="95">
        <v>40915</v>
      </c>
      <c r="B10" s="127">
        <v>18.079999999999998</v>
      </c>
      <c r="C10" s="130">
        <v>32400</v>
      </c>
      <c r="D10" s="127"/>
      <c r="E10" s="127"/>
      <c r="F10" s="127"/>
      <c r="G10" s="127"/>
      <c r="H10" s="115" t="s">
        <v>122</v>
      </c>
    </row>
    <row r="11" spans="1:9" ht="21" customHeight="1" x14ac:dyDescent="0.25">
      <c r="A11" s="95">
        <v>40916</v>
      </c>
      <c r="B11" s="127">
        <v>18.079999999999998</v>
      </c>
      <c r="C11" s="130">
        <v>32400</v>
      </c>
      <c r="D11" s="127"/>
      <c r="E11" s="127"/>
      <c r="F11" s="127"/>
      <c r="G11" s="127"/>
      <c r="H11" s="115" t="s">
        <v>122</v>
      </c>
    </row>
    <row r="12" spans="1:9" ht="21" customHeight="1" x14ac:dyDescent="0.25">
      <c r="A12" s="95">
        <v>40917</v>
      </c>
      <c r="B12" s="127">
        <v>18.170000000000002</v>
      </c>
      <c r="C12" s="130">
        <v>32600</v>
      </c>
      <c r="D12" s="127"/>
      <c r="E12" s="127"/>
      <c r="F12" s="127"/>
      <c r="G12" s="127"/>
      <c r="H12" s="115" t="s">
        <v>122</v>
      </c>
    </row>
    <row r="13" spans="1:9" ht="21" customHeight="1" x14ac:dyDescent="0.25">
      <c r="A13" s="95">
        <v>40918</v>
      </c>
      <c r="B13" s="127">
        <v>18.25</v>
      </c>
      <c r="C13" s="130">
        <v>32800</v>
      </c>
      <c r="D13" s="127"/>
      <c r="E13" s="127"/>
      <c r="F13" s="127"/>
      <c r="G13" s="127"/>
      <c r="H13" s="115" t="s">
        <v>122</v>
      </c>
    </row>
    <row r="14" spans="1:9" ht="21" customHeight="1" x14ac:dyDescent="0.25">
      <c r="A14" s="95">
        <v>40919</v>
      </c>
      <c r="B14" s="127">
        <v>18.25</v>
      </c>
      <c r="C14" s="130">
        <v>32800</v>
      </c>
      <c r="D14" s="127"/>
      <c r="E14" s="127"/>
      <c r="F14" s="127"/>
      <c r="G14" s="127"/>
      <c r="H14" s="115" t="s">
        <v>122</v>
      </c>
    </row>
    <row r="15" spans="1:9" ht="21" customHeight="1" x14ac:dyDescent="0.25">
      <c r="A15" s="95">
        <v>40920</v>
      </c>
      <c r="B15" s="127">
        <v>18.25</v>
      </c>
      <c r="C15" s="130">
        <v>32800</v>
      </c>
      <c r="D15" s="127">
        <v>9</v>
      </c>
      <c r="E15" s="127">
        <v>51.34</v>
      </c>
      <c r="F15" s="127">
        <v>9</v>
      </c>
      <c r="G15" s="127">
        <v>51.34</v>
      </c>
      <c r="H15" s="115" t="s">
        <v>122</v>
      </c>
    </row>
    <row r="16" spans="1:9" ht="21" customHeight="1" x14ac:dyDescent="0.25">
      <c r="A16" s="95">
        <v>40921</v>
      </c>
      <c r="B16" s="127">
        <v>18.170000000000002</v>
      </c>
      <c r="C16" s="130">
        <v>32600</v>
      </c>
      <c r="D16" s="127">
        <v>9</v>
      </c>
      <c r="E16" s="127">
        <v>51.21</v>
      </c>
      <c r="F16" s="127">
        <v>9</v>
      </c>
      <c r="G16" s="127">
        <v>51.21</v>
      </c>
      <c r="H16" s="115" t="s">
        <v>122</v>
      </c>
    </row>
    <row r="17" spans="1:8" ht="21" customHeight="1" x14ac:dyDescent="0.25">
      <c r="A17" s="95">
        <v>40922</v>
      </c>
      <c r="B17" s="129">
        <v>18</v>
      </c>
      <c r="C17" s="130">
        <v>32100</v>
      </c>
      <c r="D17" s="127">
        <v>12</v>
      </c>
      <c r="E17" s="127">
        <v>67.41</v>
      </c>
      <c r="F17" s="127">
        <v>12</v>
      </c>
      <c r="G17" s="127">
        <v>67.41</v>
      </c>
      <c r="H17" s="115" t="s">
        <v>122</v>
      </c>
    </row>
    <row r="18" spans="1:8" ht="21" customHeight="1" x14ac:dyDescent="0.25">
      <c r="A18" s="95">
        <v>40923</v>
      </c>
      <c r="B18" s="127">
        <v>17.920000000000002</v>
      </c>
      <c r="C18" s="130">
        <v>32000</v>
      </c>
      <c r="D18" s="127">
        <v>14</v>
      </c>
      <c r="E18" s="127">
        <v>78.02</v>
      </c>
      <c r="F18" s="127">
        <v>12</v>
      </c>
      <c r="G18" s="127">
        <v>67.23</v>
      </c>
      <c r="H18" s="115" t="s">
        <v>122</v>
      </c>
    </row>
    <row r="19" spans="1:8" ht="21" customHeight="1" x14ac:dyDescent="0.25">
      <c r="A19" s="95">
        <v>40924</v>
      </c>
      <c r="B19" s="127">
        <v>17.829999999999998</v>
      </c>
      <c r="C19" s="130">
        <v>31500</v>
      </c>
      <c r="D19" s="127">
        <v>15</v>
      </c>
      <c r="E19" s="127">
        <v>83.15</v>
      </c>
      <c r="F19" s="127">
        <v>12</v>
      </c>
      <c r="G19" s="127">
        <v>67.05</v>
      </c>
      <c r="H19" s="115" t="s">
        <v>122</v>
      </c>
    </row>
    <row r="20" spans="1:8" ht="21" customHeight="1" x14ac:dyDescent="0.25">
      <c r="A20" s="95">
        <v>40925</v>
      </c>
      <c r="B20" s="127">
        <v>17.75</v>
      </c>
      <c r="C20" s="130">
        <v>31125</v>
      </c>
      <c r="D20" s="127">
        <v>15</v>
      </c>
      <c r="E20" s="127">
        <v>82.93</v>
      </c>
      <c r="F20" s="127">
        <v>14</v>
      </c>
      <c r="G20" s="127">
        <v>77.61</v>
      </c>
      <c r="H20" s="115" t="s">
        <v>122</v>
      </c>
    </row>
    <row r="21" spans="1:8" ht="21" customHeight="1" x14ac:dyDescent="0.25">
      <c r="A21" s="95">
        <v>40926</v>
      </c>
      <c r="B21" s="127">
        <v>17.670000000000002</v>
      </c>
      <c r="C21" s="130">
        <v>30750</v>
      </c>
      <c r="D21" s="127">
        <v>12</v>
      </c>
      <c r="E21" s="127">
        <v>77.61</v>
      </c>
      <c r="F21" s="127">
        <v>12</v>
      </c>
      <c r="G21" s="127">
        <v>77.61</v>
      </c>
      <c r="H21" s="115" t="s">
        <v>122</v>
      </c>
    </row>
    <row r="22" spans="1:8" ht="21" customHeight="1" x14ac:dyDescent="0.25">
      <c r="A22" s="95">
        <v>40927</v>
      </c>
      <c r="B22" s="127">
        <v>17.579999999999998</v>
      </c>
      <c r="C22" s="130">
        <v>30500</v>
      </c>
      <c r="D22" s="127">
        <v>14</v>
      </c>
      <c r="E22" s="127">
        <v>77.19</v>
      </c>
      <c r="F22" s="127">
        <v>15</v>
      </c>
      <c r="G22" s="127">
        <v>82.48</v>
      </c>
      <c r="H22" s="115" t="s">
        <v>122</v>
      </c>
    </row>
    <row r="23" spans="1:8" ht="21" customHeight="1" x14ac:dyDescent="0.25">
      <c r="A23" s="95">
        <v>40928</v>
      </c>
      <c r="B23" s="127">
        <v>17.420000000000002</v>
      </c>
      <c r="C23" s="130">
        <v>30200</v>
      </c>
      <c r="D23" s="127"/>
      <c r="E23" s="127"/>
      <c r="F23" s="127"/>
      <c r="G23" s="127"/>
      <c r="H23" s="115" t="s">
        <v>122</v>
      </c>
    </row>
    <row r="24" spans="1:8" ht="21" customHeight="1" x14ac:dyDescent="0.25">
      <c r="A24" s="95">
        <v>40929</v>
      </c>
      <c r="B24" s="127">
        <v>17.420000000000002</v>
      </c>
      <c r="C24" s="130">
        <v>30200</v>
      </c>
      <c r="D24" s="127"/>
      <c r="E24" s="127"/>
      <c r="F24" s="127"/>
      <c r="G24" s="127"/>
      <c r="H24" s="115" t="s">
        <v>122</v>
      </c>
    </row>
    <row r="25" spans="1:8" ht="21" customHeight="1" x14ac:dyDescent="0.25">
      <c r="A25" s="95">
        <v>40930</v>
      </c>
      <c r="B25" s="127">
        <v>17.420000000000002</v>
      </c>
      <c r="C25" s="130">
        <v>30200</v>
      </c>
      <c r="D25" s="127"/>
      <c r="E25" s="127"/>
      <c r="F25" s="127"/>
      <c r="G25" s="127"/>
      <c r="H25" s="115" t="s">
        <v>122</v>
      </c>
    </row>
    <row r="26" spans="1:8" ht="21" customHeight="1" x14ac:dyDescent="0.25">
      <c r="A26" s="95">
        <v>40931</v>
      </c>
      <c r="B26" s="127">
        <v>17.420000000000002</v>
      </c>
      <c r="C26" s="130">
        <v>30200</v>
      </c>
      <c r="D26" s="127">
        <v>12</v>
      </c>
      <c r="E26" s="127">
        <v>66.17</v>
      </c>
      <c r="F26" s="127">
        <v>12</v>
      </c>
      <c r="G26" s="127">
        <v>66.17</v>
      </c>
      <c r="H26" s="115" t="s">
        <v>122</v>
      </c>
    </row>
    <row r="27" spans="1:8" ht="21" customHeight="1" x14ac:dyDescent="0.25">
      <c r="A27" s="95">
        <v>40932</v>
      </c>
      <c r="B27" s="127">
        <v>17.329999999999998</v>
      </c>
      <c r="C27" s="130">
        <v>30000</v>
      </c>
      <c r="D27" s="127">
        <v>12</v>
      </c>
      <c r="E27" s="127">
        <v>65.989999999999995</v>
      </c>
      <c r="F27" s="127">
        <v>12</v>
      </c>
      <c r="G27" s="127">
        <v>65.989999999999995</v>
      </c>
      <c r="H27" s="115" t="s">
        <v>122</v>
      </c>
    </row>
    <row r="28" spans="1:8" ht="21" customHeight="1" x14ac:dyDescent="0.25">
      <c r="A28" s="95">
        <v>40933</v>
      </c>
      <c r="B28" s="127">
        <v>17.25</v>
      </c>
      <c r="C28" s="130">
        <v>28850</v>
      </c>
      <c r="D28" s="127">
        <v>14</v>
      </c>
      <c r="E28" s="127">
        <v>76.349999999999994</v>
      </c>
      <c r="F28" s="127">
        <v>14</v>
      </c>
      <c r="G28" s="127">
        <v>76.349999999999994</v>
      </c>
      <c r="H28" s="115" t="s">
        <v>122</v>
      </c>
    </row>
    <row r="29" spans="1:8" ht="21" customHeight="1" x14ac:dyDescent="0.25">
      <c r="A29" s="95">
        <v>40934</v>
      </c>
      <c r="B29" s="127">
        <v>17.12</v>
      </c>
      <c r="C29" s="130">
        <v>28675</v>
      </c>
      <c r="D29" s="127">
        <v>14</v>
      </c>
      <c r="E29" s="127">
        <v>76.03</v>
      </c>
      <c r="F29" s="127">
        <v>14</v>
      </c>
      <c r="G29" s="127">
        <v>76.03</v>
      </c>
      <c r="H29" s="115" t="s">
        <v>122</v>
      </c>
    </row>
    <row r="30" spans="1:8" ht="21" customHeight="1" x14ac:dyDescent="0.25">
      <c r="A30" s="95">
        <v>40935</v>
      </c>
      <c r="B30" s="129">
        <v>17</v>
      </c>
      <c r="C30" s="130">
        <v>28500</v>
      </c>
      <c r="D30" s="127">
        <v>15</v>
      </c>
      <c r="E30" s="127">
        <v>80.89</v>
      </c>
      <c r="F30" s="127">
        <v>14</v>
      </c>
      <c r="G30" s="127">
        <v>75.72</v>
      </c>
      <c r="H30" s="115" t="s">
        <v>122</v>
      </c>
    </row>
    <row r="31" spans="1:8" ht="21" customHeight="1" x14ac:dyDescent="0.25">
      <c r="A31" s="95">
        <v>40936</v>
      </c>
      <c r="B31" s="127">
        <v>16.920000000000002</v>
      </c>
      <c r="C31" s="130">
        <v>28400</v>
      </c>
      <c r="D31" s="127">
        <v>12</v>
      </c>
      <c r="E31" s="127">
        <v>65.08</v>
      </c>
      <c r="F31" s="127">
        <v>15</v>
      </c>
      <c r="G31" s="127">
        <v>81.010000000000005</v>
      </c>
      <c r="H31" s="115" t="s">
        <v>122</v>
      </c>
    </row>
    <row r="32" spans="1:8" ht="21" customHeight="1" x14ac:dyDescent="0.25">
      <c r="A32" s="95">
        <v>40937</v>
      </c>
      <c r="B32" s="127">
        <v>16.829999999999998</v>
      </c>
      <c r="C32" s="130">
        <v>28200</v>
      </c>
      <c r="D32" s="127">
        <v>10</v>
      </c>
      <c r="E32" s="127">
        <v>54.39</v>
      </c>
      <c r="F32" s="127">
        <v>14</v>
      </c>
      <c r="G32" s="127">
        <v>75.290000000000006</v>
      </c>
      <c r="H32" s="115" t="s">
        <v>122</v>
      </c>
    </row>
    <row r="33" spans="1:8" ht="21" customHeight="1" x14ac:dyDescent="0.25">
      <c r="A33" s="95">
        <v>40938</v>
      </c>
      <c r="B33" s="127">
        <v>16.75</v>
      </c>
      <c r="C33" s="130">
        <v>28000</v>
      </c>
      <c r="D33" s="127">
        <v>10</v>
      </c>
      <c r="E33" s="127">
        <v>54.24</v>
      </c>
      <c r="F33" s="127">
        <v>14</v>
      </c>
      <c r="G33" s="127">
        <v>75.08</v>
      </c>
      <c r="H33" s="115" t="s">
        <v>122</v>
      </c>
    </row>
    <row r="34" spans="1:8" ht="21" customHeight="1" x14ac:dyDescent="0.25">
      <c r="A34" s="95">
        <v>40939</v>
      </c>
      <c r="B34" s="127">
        <v>16.670000000000002</v>
      </c>
      <c r="C34" s="130">
        <v>27850</v>
      </c>
      <c r="D34" s="127"/>
      <c r="E34" s="127"/>
      <c r="F34" s="127"/>
      <c r="G34" s="127"/>
      <c r="H34" s="115" t="s">
        <v>122</v>
      </c>
    </row>
    <row r="35" spans="1:8" ht="21" customHeight="1" x14ac:dyDescent="0.25">
      <c r="A35" s="95">
        <v>40940</v>
      </c>
      <c r="B35" s="128">
        <v>16.670000000000002</v>
      </c>
      <c r="C35" s="140">
        <v>27850</v>
      </c>
      <c r="D35" s="127"/>
      <c r="E35" s="127"/>
      <c r="F35" s="127"/>
      <c r="G35" s="127"/>
      <c r="H35" s="115" t="s">
        <v>122</v>
      </c>
    </row>
    <row r="36" spans="1:8" ht="21" customHeight="1" x14ac:dyDescent="0.25">
      <c r="A36" s="95">
        <v>40941</v>
      </c>
      <c r="B36" s="128">
        <v>16.670000000000002</v>
      </c>
      <c r="C36" s="140">
        <v>27850</v>
      </c>
      <c r="D36" s="127"/>
      <c r="E36" s="127"/>
      <c r="F36" s="127"/>
      <c r="G36" s="127"/>
      <c r="H36" s="115" t="s">
        <v>122</v>
      </c>
    </row>
    <row r="37" spans="1:8" ht="21" customHeight="1" x14ac:dyDescent="0.25">
      <c r="A37" s="95">
        <v>40942</v>
      </c>
      <c r="B37" s="128">
        <v>16.670000000000002</v>
      </c>
      <c r="C37" s="140">
        <v>27850</v>
      </c>
      <c r="D37" s="128">
        <v>14</v>
      </c>
      <c r="E37" s="128">
        <v>77.19</v>
      </c>
      <c r="F37" s="128">
        <v>14</v>
      </c>
      <c r="G37" s="128">
        <v>74.650000000000006</v>
      </c>
      <c r="H37" s="115" t="s">
        <v>122</v>
      </c>
    </row>
    <row r="38" spans="1:8" ht="21" customHeight="1" x14ac:dyDescent="0.25">
      <c r="A38" s="95">
        <v>40943</v>
      </c>
      <c r="B38" s="128">
        <v>16.579999999999998</v>
      </c>
      <c r="C38" s="140">
        <v>27500</v>
      </c>
      <c r="D38" s="128">
        <v>15</v>
      </c>
      <c r="E38" s="128">
        <v>84.69</v>
      </c>
      <c r="F38" s="128">
        <v>15</v>
      </c>
      <c r="G38" s="128">
        <v>79.28</v>
      </c>
      <c r="H38" s="115" t="s">
        <v>122</v>
      </c>
    </row>
    <row r="39" spans="1:8" ht="21" customHeight="1" x14ac:dyDescent="0.25">
      <c r="A39" s="95">
        <v>40944</v>
      </c>
      <c r="B39" s="128">
        <v>16.420000000000002</v>
      </c>
      <c r="C39" s="140">
        <v>26750</v>
      </c>
      <c r="D39" s="128">
        <v>15</v>
      </c>
      <c r="E39" s="128">
        <v>81.8</v>
      </c>
      <c r="F39" s="128">
        <v>15</v>
      </c>
      <c r="G39" s="128">
        <v>79.040000000000006</v>
      </c>
      <c r="H39" s="115" t="s">
        <v>122</v>
      </c>
    </row>
    <row r="40" spans="1:8" ht="21" customHeight="1" x14ac:dyDescent="0.25">
      <c r="A40" s="95">
        <v>40945</v>
      </c>
      <c r="B40" s="128">
        <v>16.329999999999998</v>
      </c>
      <c r="C40" s="140">
        <v>26500</v>
      </c>
      <c r="D40" s="128">
        <v>14</v>
      </c>
      <c r="E40" s="128">
        <v>76.349999999999994</v>
      </c>
      <c r="F40" s="128">
        <v>14</v>
      </c>
      <c r="G40" s="128">
        <v>73.78</v>
      </c>
      <c r="H40" s="115" t="s">
        <v>122</v>
      </c>
    </row>
    <row r="41" spans="1:8" ht="21" customHeight="1" x14ac:dyDescent="0.25">
      <c r="A41" s="95">
        <v>40946</v>
      </c>
      <c r="B41" s="128">
        <v>16.25</v>
      </c>
      <c r="C41" s="140">
        <v>26000</v>
      </c>
      <c r="D41" s="127"/>
      <c r="E41" s="127"/>
      <c r="F41" s="127"/>
      <c r="G41" s="127"/>
      <c r="H41" s="115" t="s">
        <v>122</v>
      </c>
    </row>
    <row r="42" spans="1:8" ht="21" customHeight="1" x14ac:dyDescent="0.25">
      <c r="A42" s="95">
        <v>40947</v>
      </c>
      <c r="B42" s="141">
        <v>16.25</v>
      </c>
      <c r="C42" s="142">
        <v>26000</v>
      </c>
      <c r="D42" s="127"/>
      <c r="E42" s="127"/>
      <c r="F42" s="127"/>
      <c r="G42" s="127"/>
      <c r="H42" s="115" t="s">
        <v>122</v>
      </c>
    </row>
    <row r="43" spans="1:8" ht="21" customHeight="1" x14ac:dyDescent="0.25">
      <c r="A43" s="95">
        <v>40948</v>
      </c>
      <c r="B43" s="134">
        <v>16.5</v>
      </c>
      <c r="C43" s="140">
        <v>27000</v>
      </c>
      <c r="D43" s="127"/>
      <c r="E43" s="127"/>
      <c r="F43" s="127"/>
      <c r="G43" s="127"/>
      <c r="H43" s="115" t="s">
        <v>122</v>
      </c>
    </row>
    <row r="44" spans="1:8" ht="21" customHeight="1" x14ac:dyDescent="0.25">
      <c r="A44" s="95">
        <v>40949</v>
      </c>
      <c r="B44" s="134">
        <v>16.5</v>
      </c>
      <c r="C44" s="140">
        <v>27000</v>
      </c>
      <c r="D44" s="127"/>
      <c r="E44" s="127"/>
      <c r="F44" s="127"/>
      <c r="G44" s="127"/>
      <c r="H44" s="115" t="s">
        <v>122</v>
      </c>
    </row>
    <row r="45" spans="1:8" ht="21" customHeight="1" x14ac:dyDescent="0.25">
      <c r="A45" s="95">
        <v>40950</v>
      </c>
      <c r="B45" s="128">
        <v>16.579999999999998</v>
      </c>
      <c r="C45" s="140">
        <v>27500</v>
      </c>
      <c r="D45" s="127"/>
      <c r="E45" s="127"/>
      <c r="F45" s="127"/>
      <c r="G45" s="127"/>
      <c r="H45" s="115" t="s">
        <v>122</v>
      </c>
    </row>
    <row r="46" spans="1:8" ht="21" customHeight="1" x14ac:dyDescent="0.25">
      <c r="A46" s="95">
        <v>40951</v>
      </c>
      <c r="B46" s="128">
        <v>16.579999999999998</v>
      </c>
      <c r="C46" s="140">
        <v>27500</v>
      </c>
      <c r="D46" s="127"/>
      <c r="E46" s="127"/>
      <c r="F46" s="127"/>
      <c r="G46" s="127"/>
      <c r="H46" s="115" t="s">
        <v>122</v>
      </c>
    </row>
    <row r="47" spans="1:8" ht="21" customHeight="1" x14ac:dyDescent="0.25">
      <c r="A47" s="95">
        <v>40952</v>
      </c>
      <c r="B47" s="128">
        <v>16.579999999999998</v>
      </c>
      <c r="C47" s="140">
        <v>27500</v>
      </c>
      <c r="D47" s="127"/>
      <c r="E47" s="127"/>
      <c r="F47" s="127"/>
      <c r="G47" s="127"/>
      <c r="H47" s="115" t="s">
        <v>122</v>
      </c>
    </row>
    <row r="48" spans="1:8" ht="21" customHeight="1" x14ac:dyDescent="0.25">
      <c r="A48" s="95">
        <v>40953</v>
      </c>
      <c r="B48" s="128">
        <v>16.579999999999998</v>
      </c>
      <c r="C48" s="140">
        <v>27500</v>
      </c>
      <c r="D48" s="127"/>
      <c r="E48" s="127"/>
      <c r="F48" s="127"/>
      <c r="G48" s="127"/>
      <c r="H48" s="115" t="s">
        <v>122</v>
      </c>
    </row>
    <row r="49" spans="1:8" ht="21" customHeight="1" x14ac:dyDescent="0.25">
      <c r="A49" s="95">
        <v>40954</v>
      </c>
      <c r="B49" s="129">
        <v>16.5</v>
      </c>
      <c r="C49" s="130">
        <v>27000</v>
      </c>
      <c r="D49" s="127">
        <v>10</v>
      </c>
      <c r="E49" s="127">
        <v>55.58</v>
      </c>
      <c r="F49" s="127">
        <v>14</v>
      </c>
      <c r="G49" s="127">
        <v>74.430000000000007</v>
      </c>
      <c r="H49" s="115" t="s">
        <v>122</v>
      </c>
    </row>
    <row r="50" spans="1:8" ht="21" customHeight="1" x14ac:dyDescent="0.25">
      <c r="A50" s="95">
        <v>40955</v>
      </c>
      <c r="B50" s="127">
        <v>16.420000000000002</v>
      </c>
      <c r="C50" s="130">
        <v>26750</v>
      </c>
      <c r="D50" s="127">
        <v>14</v>
      </c>
      <c r="E50" s="127">
        <v>76.77</v>
      </c>
      <c r="F50" s="127">
        <v>15</v>
      </c>
      <c r="G50" s="127">
        <v>79.28</v>
      </c>
      <c r="H50" s="115" t="s">
        <v>122</v>
      </c>
    </row>
    <row r="51" spans="1:8" ht="21" customHeight="1" x14ac:dyDescent="0.25">
      <c r="A51" s="95">
        <v>40956</v>
      </c>
      <c r="B51" s="127">
        <v>16.329999999999998</v>
      </c>
      <c r="C51" s="130">
        <v>26500</v>
      </c>
      <c r="D51" s="127">
        <v>14</v>
      </c>
      <c r="E51" s="127">
        <v>76.56</v>
      </c>
      <c r="F51" s="127">
        <v>15</v>
      </c>
      <c r="G51" s="127">
        <v>79.040000000000006</v>
      </c>
      <c r="H51" s="115" t="s">
        <v>122</v>
      </c>
    </row>
    <row r="52" spans="1:8" ht="21" customHeight="1" x14ac:dyDescent="0.25">
      <c r="A52" s="95">
        <v>40957</v>
      </c>
      <c r="B52" s="127">
        <v>16.25</v>
      </c>
      <c r="C52" s="130">
        <v>26000</v>
      </c>
      <c r="D52" s="127">
        <v>14</v>
      </c>
      <c r="E52" s="127">
        <v>76.349999999999994</v>
      </c>
      <c r="F52" s="127">
        <v>15</v>
      </c>
      <c r="G52" s="127">
        <v>78.81</v>
      </c>
      <c r="H52" s="115" t="s">
        <v>122</v>
      </c>
    </row>
    <row r="53" spans="1:8" ht="21" customHeight="1" x14ac:dyDescent="0.25">
      <c r="A53" s="95">
        <v>40958</v>
      </c>
      <c r="B53" s="127">
        <v>16.079999999999998</v>
      </c>
      <c r="C53" s="130">
        <v>25700</v>
      </c>
      <c r="D53" s="127">
        <v>14</v>
      </c>
      <c r="E53" s="127">
        <v>75.930000000000007</v>
      </c>
      <c r="F53" s="127">
        <v>15</v>
      </c>
      <c r="G53" s="127">
        <v>78.34</v>
      </c>
      <c r="H53" s="115" t="s">
        <v>122</v>
      </c>
    </row>
    <row r="54" spans="1:8" ht="21" customHeight="1" x14ac:dyDescent="0.25">
      <c r="A54" s="95">
        <v>40959</v>
      </c>
      <c r="B54" s="129">
        <v>16</v>
      </c>
      <c r="C54" s="130">
        <v>25500</v>
      </c>
      <c r="D54" s="127">
        <v>7</v>
      </c>
      <c r="E54" s="127">
        <v>38.6</v>
      </c>
      <c r="F54" s="127">
        <v>8</v>
      </c>
      <c r="G54" s="127">
        <v>42.53</v>
      </c>
      <c r="H54" s="115" t="s">
        <v>122</v>
      </c>
    </row>
    <row r="55" spans="1:8" ht="21" customHeight="1" x14ac:dyDescent="0.25">
      <c r="A55" s="95">
        <v>40960</v>
      </c>
      <c r="B55" s="127">
        <v>15.92</v>
      </c>
      <c r="C55" s="130">
        <v>25400</v>
      </c>
      <c r="D55" s="127">
        <v>7</v>
      </c>
      <c r="E55" s="127">
        <v>38.49</v>
      </c>
      <c r="F55" s="127">
        <v>8</v>
      </c>
      <c r="G55" s="127">
        <v>42.41</v>
      </c>
      <c r="H55" s="115" t="s">
        <v>122</v>
      </c>
    </row>
    <row r="56" spans="1:8" ht="21" customHeight="1" x14ac:dyDescent="0.25">
      <c r="A56" s="95">
        <v>40961</v>
      </c>
      <c r="B56" s="127">
        <v>15.83</v>
      </c>
      <c r="C56" s="130">
        <v>25200</v>
      </c>
      <c r="D56" s="127">
        <v>7</v>
      </c>
      <c r="E56" s="127">
        <v>38.39</v>
      </c>
      <c r="F56" s="127">
        <v>8</v>
      </c>
      <c r="G56" s="127">
        <v>42.29</v>
      </c>
      <c r="H56" s="115" t="s">
        <v>122</v>
      </c>
    </row>
    <row r="57" spans="1:8" ht="21" customHeight="1" x14ac:dyDescent="0.25">
      <c r="A57" s="95">
        <v>40962</v>
      </c>
      <c r="B57" s="127">
        <v>15.75</v>
      </c>
      <c r="C57" s="130">
        <v>25000</v>
      </c>
      <c r="D57" s="127">
        <v>7</v>
      </c>
      <c r="E57" s="127">
        <v>38.28</v>
      </c>
      <c r="F57" s="127">
        <v>8</v>
      </c>
      <c r="G57" s="127">
        <v>42.16</v>
      </c>
      <c r="H57" s="115" t="s">
        <v>122</v>
      </c>
    </row>
    <row r="58" spans="1:8" ht="21" customHeight="1" x14ac:dyDescent="0.25">
      <c r="A58" s="95">
        <v>40963</v>
      </c>
      <c r="B58" s="127">
        <v>15.67</v>
      </c>
      <c r="C58" s="130">
        <v>24500</v>
      </c>
      <c r="D58" s="127">
        <v>4</v>
      </c>
      <c r="E58" s="127">
        <v>22</v>
      </c>
      <c r="F58" s="127">
        <v>8</v>
      </c>
      <c r="G58" s="127">
        <v>42.04</v>
      </c>
      <c r="H58" s="115" t="s">
        <v>122</v>
      </c>
    </row>
    <row r="59" spans="1:8" ht="21" customHeight="1" x14ac:dyDescent="0.25">
      <c r="A59" s="95">
        <v>40964</v>
      </c>
      <c r="B59" s="127">
        <v>15.58</v>
      </c>
      <c r="C59" s="130">
        <v>24000</v>
      </c>
      <c r="D59" s="127"/>
      <c r="E59" s="127"/>
      <c r="F59" s="127"/>
      <c r="G59" s="127"/>
      <c r="H59" s="115" t="s">
        <v>122</v>
      </c>
    </row>
    <row r="60" spans="1:8" ht="21" customHeight="1" x14ac:dyDescent="0.25">
      <c r="A60" s="95">
        <v>40965</v>
      </c>
      <c r="B60" s="127">
        <v>15.58</v>
      </c>
      <c r="C60" s="130">
        <v>24000</v>
      </c>
      <c r="D60" s="127"/>
      <c r="E60" s="127"/>
      <c r="F60" s="127"/>
      <c r="G60" s="127"/>
      <c r="H60" s="115" t="s">
        <v>122</v>
      </c>
    </row>
    <row r="61" spans="1:8" ht="21" customHeight="1" x14ac:dyDescent="0.25">
      <c r="A61" s="95">
        <v>40966</v>
      </c>
      <c r="B61" s="127">
        <v>15.58</v>
      </c>
      <c r="C61" s="130">
        <v>24000</v>
      </c>
      <c r="D61" s="127"/>
      <c r="E61" s="127"/>
      <c r="F61" s="127"/>
      <c r="G61" s="127"/>
      <c r="H61" s="115" t="s">
        <v>122</v>
      </c>
    </row>
    <row r="62" spans="1:8" ht="21" customHeight="1" x14ac:dyDescent="0.25">
      <c r="A62" s="95">
        <v>40967</v>
      </c>
      <c r="B62" s="127">
        <v>15.58</v>
      </c>
      <c r="C62" s="130">
        <v>24000</v>
      </c>
      <c r="D62" s="127"/>
      <c r="E62" s="127"/>
      <c r="F62" s="127"/>
      <c r="G62" s="127"/>
      <c r="H62" s="115" t="s">
        <v>122</v>
      </c>
    </row>
    <row r="63" spans="1:8" ht="21" customHeight="1" x14ac:dyDescent="0.25">
      <c r="A63" s="95">
        <v>40968</v>
      </c>
      <c r="B63" s="127">
        <v>15.67</v>
      </c>
      <c r="C63" s="130">
        <v>24500</v>
      </c>
      <c r="D63" s="127"/>
      <c r="E63" s="127"/>
      <c r="F63" s="127"/>
      <c r="G63" s="127"/>
      <c r="H63" s="115" t="s">
        <v>122</v>
      </c>
    </row>
    <row r="64" spans="1:8" ht="21" customHeight="1" x14ac:dyDescent="0.25">
      <c r="A64" s="95">
        <v>40969</v>
      </c>
      <c r="B64" s="129">
        <v>15.67</v>
      </c>
      <c r="C64" s="143">
        <v>24500</v>
      </c>
      <c r="D64" s="127"/>
      <c r="E64" s="127"/>
      <c r="F64" s="127"/>
      <c r="G64" s="127"/>
      <c r="H64" s="115" t="s">
        <v>122</v>
      </c>
    </row>
    <row r="65" spans="1:8" ht="21" customHeight="1" x14ac:dyDescent="0.25">
      <c r="A65" s="95">
        <v>40970</v>
      </c>
      <c r="B65" s="129">
        <v>15.67</v>
      </c>
      <c r="C65" s="143">
        <v>24500</v>
      </c>
      <c r="D65" s="127"/>
      <c r="E65" s="127"/>
      <c r="F65" s="127"/>
      <c r="G65" s="127"/>
      <c r="H65" s="115" t="s">
        <v>122</v>
      </c>
    </row>
    <row r="66" spans="1:8" ht="21" customHeight="1" x14ac:dyDescent="0.25">
      <c r="A66" s="95">
        <v>40971</v>
      </c>
      <c r="B66" s="129">
        <v>15.67</v>
      </c>
      <c r="C66" s="143">
        <v>24500</v>
      </c>
      <c r="D66" s="127"/>
      <c r="E66" s="127"/>
      <c r="F66" s="127"/>
      <c r="G66" s="127"/>
      <c r="H66" s="115" t="s">
        <v>122</v>
      </c>
    </row>
    <row r="67" spans="1:8" ht="21" customHeight="1" x14ac:dyDescent="0.25">
      <c r="A67" s="95">
        <v>40972</v>
      </c>
      <c r="B67" s="129">
        <v>15.67</v>
      </c>
      <c r="C67" s="143">
        <v>24500</v>
      </c>
      <c r="D67" s="127"/>
      <c r="E67" s="127"/>
      <c r="F67" s="127"/>
      <c r="G67" s="127"/>
      <c r="H67" s="115" t="s">
        <v>122</v>
      </c>
    </row>
    <row r="68" spans="1:8" ht="21" customHeight="1" x14ac:dyDescent="0.25">
      <c r="A68" s="95">
        <v>40973</v>
      </c>
      <c r="B68" s="129">
        <v>15.67</v>
      </c>
      <c r="C68" s="143">
        <v>24500</v>
      </c>
      <c r="D68" s="127"/>
      <c r="E68" s="127"/>
      <c r="F68" s="127"/>
      <c r="G68" s="127"/>
      <c r="H68" s="115" t="s">
        <v>122</v>
      </c>
    </row>
    <row r="69" spans="1:8" ht="21" customHeight="1" x14ac:dyDescent="0.25">
      <c r="A69" s="95">
        <v>40974</v>
      </c>
      <c r="B69" s="129">
        <v>15.67</v>
      </c>
      <c r="C69" s="143">
        <v>24500</v>
      </c>
      <c r="D69" s="127"/>
      <c r="E69" s="127"/>
      <c r="F69" s="127"/>
      <c r="G69" s="127"/>
      <c r="H69" s="115" t="s">
        <v>122</v>
      </c>
    </row>
    <row r="70" spans="1:8" ht="21" customHeight="1" x14ac:dyDescent="0.25">
      <c r="A70" s="95">
        <v>40975</v>
      </c>
      <c r="B70" s="129">
        <v>15.58</v>
      </c>
      <c r="C70" s="144">
        <v>24000</v>
      </c>
      <c r="D70" s="127"/>
      <c r="E70" s="127"/>
      <c r="F70" s="127"/>
      <c r="G70" s="127"/>
      <c r="H70" s="115" t="s">
        <v>122</v>
      </c>
    </row>
    <row r="71" spans="1:8" ht="21" customHeight="1" x14ac:dyDescent="0.25">
      <c r="A71" s="95">
        <v>40976</v>
      </c>
      <c r="B71" s="129">
        <v>15.58</v>
      </c>
      <c r="C71" s="144">
        <v>24000</v>
      </c>
      <c r="D71" s="127"/>
      <c r="E71" s="127"/>
      <c r="F71" s="127"/>
      <c r="G71" s="127"/>
      <c r="H71" s="115" t="s">
        <v>122</v>
      </c>
    </row>
    <row r="72" spans="1:8" ht="21" customHeight="1" x14ac:dyDescent="0.25">
      <c r="A72" s="95">
        <v>40977</v>
      </c>
      <c r="B72" s="129">
        <v>15.58</v>
      </c>
      <c r="C72" s="144">
        <v>24000</v>
      </c>
      <c r="D72" s="127"/>
      <c r="E72" s="127"/>
      <c r="F72" s="127"/>
      <c r="G72" s="127"/>
      <c r="H72" s="115" t="s">
        <v>122</v>
      </c>
    </row>
    <row r="73" spans="1:8" ht="21" customHeight="1" x14ac:dyDescent="0.25">
      <c r="A73" s="95">
        <v>40978</v>
      </c>
      <c r="B73" s="129">
        <v>15.58</v>
      </c>
      <c r="C73" s="144">
        <v>24000</v>
      </c>
      <c r="D73" s="127"/>
      <c r="E73" s="127"/>
      <c r="F73" s="127"/>
      <c r="G73" s="127"/>
      <c r="H73" s="115" t="s">
        <v>122</v>
      </c>
    </row>
    <row r="74" spans="1:8" ht="21" customHeight="1" x14ac:dyDescent="0.25">
      <c r="A74" s="95">
        <v>40979</v>
      </c>
      <c r="B74" s="129">
        <v>15.58</v>
      </c>
      <c r="C74" s="144">
        <v>24000</v>
      </c>
      <c r="D74" s="127"/>
      <c r="E74" s="127"/>
      <c r="F74" s="127"/>
      <c r="G74" s="127"/>
      <c r="H74" s="115" t="s">
        <v>122</v>
      </c>
    </row>
    <row r="75" spans="1:8" ht="21" customHeight="1" x14ac:dyDescent="0.25">
      <c r="A75" s="95">
        <v>40980</v>
      </c>
      <c r="B75" s="129">
        <v>15.58</v>
      </c>
      <c r="C75" s="144">
        <v>24000</v>
      </c>
      <c r="D75" s="127"/>
      <c r="E75" s="127"/>
      <c r="F75" s="127"/>
      <c r="G75" s="127"/>
      <c r="H75" s="115" t="s">
        <v>122</v>
      </c>
    </row>
    <row r="76" spans="1:8" ht="21" customHeight="1" x14ac:dyDescent="0.25">
      <c r="A76" s="95">
        <v>40981</v>
      </c>
      <c r="B76" s="129">
        <v>15.58</v>
      </c>
      <c r="C76" s="144">
        <v>24000</v>
      </c>
      <c r="D76" s="127"/>
      <c r="E76" s="127"/>
      <c r="F76" s="127"/>
      <c r="G76" s="127"/>
      <c r="H76" s="115" t="s">
        <v>122</v>
      </c>
    </row>
    <row r="77" spans="1:8" ht="21" customHeight="1" x14ac:dyDescent="0.25">
      <c r="A77" s="95">
        <v>40982</v>
      </c>
      <c r="B77" s="129">
        <v>15.58</v>
      </c>
      <c r="C77" s="144">
        <v>24000</v>
      </c>
      <c r="D77" s="127"/>
      <c r="E77" s="127"/>
      <c r="F77" s="127"/>
      <c r="G77" s="127"/>
      <c r="H77" s="115" t="s">
        <v>122</v>
      </c>
    </row>
    <row r="78" spans="1:8" ht="21" customHeight="1" x14ac:dyDescent="0.25">
      <c r="A78" s="95">
        <v>40983</v>
      </c>
      <c r="B78" s="129">
        <v>15.58</v>
      </c>
      <c r="C78" s="144">
        <v>24000</v>
      </c>
      <c r="D78" s="127"/>
      <c r="E78" s="127"/>
      <c r="F78" s="127"/>
      <c r="G78" s="127"/>
      <c r="H78" s="115" t="s">
        <v>122</v>
      </c>
    </row>
    <row r="79" spans="1:8" ht="21" customHeight="1" x14ac:dyDescent="0.25">
      <c r="A79" s="95">
        <v>40984</v>
      </c>
      <c r="B79" s="129">
        <v>15.58</v>
      </c>
      <c r="C79" s="144">
        <v>24000</v>
      </c>
      <c r="D79" s="127"/>
      <c r="E79" s="127"/>
      <c r="F79" s="127"/>
      <c r="G79" s="127"/>
      <c r="H79" s="115" t="s">
        <v>122</v>
      </c>
    </row>
    <row r="80" spans="1:8" ht="21" customHeight="1" x14ac:dyDescent="0.25">
      <c r="A80" s="95">
        <v>40985</v>
      </c>
      <c r="B80" s="129">
        <v>15.58</v>
      </c>
      <c r="C80" s="144">
        <v>24000</v>
      </c>
      <c r="D80" s="127"/>
      <c r="E80" s="127"/>
      <c r="F80" s="127"/>
      <c r="G80" s="127"/>
      <c r="H80" s="115" t="s">
        <v>122</v>
      </c>
    </row>
    <row r="81" spans="1:8" ht="21" customHeight="1" x14ac:dyDescent="0.25">
      <c r="A81" s="95">
        <v>40986</v>
      </c>
      <c r="B81" s="129">
        <v>15.58</v>
      </c>
      <c r="C81" s="144">
        <v>24000</v>
      </c>
      <c r="D81" s="127"/>
      <c r="E81" s="127"/>
      <c r="F81" s="127"/>
      <c r="G81" s="127"/>
      <c r="H81" s="115" t="s">
        <v>122</v>
      </c>
    </row>
    <row r="82" spans="1:8" ht="21" customHeight="1" x14ac:dyDescent="0.25">
      <c r="A82" s="95">
        <v>40987</v>
      </c>
      <c r="B82" s="129">
        <v>15.58</v>
      </c>
      <c r="C82" s="144">
        <v>24000</v>
      </c>
      <c r="D82" s="127"/>
      <c r="E82" s="127"/>
      <c r="F82" s="127"/>
      <c r="G82" s="127"/>
      <c r="H82" s="115" t="s">
        <v>122</v>
      </c>
    </row>
    <row r="83" spans="1:8" ht="21" customHeight="1" x14ac:dyDescent="0.25">
      <c r="A83" s="95">
        <v>40988</v>
      </c>
      <c r="B83" s="129">
        <v>15.58</v>
      </c>
      <c r="C83" s="144">
        <v>24000</v>
      </c>
      <c r="D83" s="127"/>
      <c r="E83" s="127"/>
      <c r="F83" s="127"/>
      <c r="G83" s="127"/>
      <c r="H83" s="115" t="s">
        <v>122</v>
      </c>
    </row>
    <row r="84" spans="1:8" ht="21" customHeight="1" x14ac:dyDescent="0.25">
      <c r="A84" s="95">
        <v>40989</v>
      </c>
      <c r="B84" s="129">
        <v>15.58</v>
      </c>
      <c r="C84" s="144">
        <v>24000</v>
      </c>
      <c r="D84" s="127"/>
      <c r="E84" s="127"/>
      <c r="F84" s="127"/>
      <c r="G84" s="127"/>
      <c r="H84" s="115" t="s">
        <v>122</v>
      </c>
    </row>
    <row r="85" spans="1:8" ht="21" customHeight="1" x14ac:dyDescent="0.25">
      <c r="A85" s="95">
        <v>40990</v>
      </c>
      <c r="B85" s="129">
        <v>15.5</v>
      </c>
      <c r="C85" s="144">
        <v>23500</v>
      </c>
      <c r="D85" s="127"/>
      <c r="E85" s="127"/>
      <c r="F85" s="127"/>
      <c r="G85" s="127"/>
      <c r="H85" s="115" t="s">
        <v>122</v>
      </c>
    </row>
    <row r="86" spans="1:8" ht="21" customHeight="1" x14ac:dyDescent="0.25">
      <c r="A86" s="95">
        <v>40991</v>
      </c>
      <c r="B86" s="129">
        <v>15.5</v>
      </c>
      <c r="C86" s="144">
        <v>23500</v>
      </c>
      <c r="D86" s="127"/>
      <c r="E86" s="127"/>
      <c r="F86" s="127"/>
      <c r="G86" s="127"/>
      <c r="H86" s="115" t="s">
        <v>122</v>
      </c>
    </row>
    <row r="87" spans="1:8" ht="21" customHeight="1" x14ac:dyDescent="0.25">
      <c r="A87" s="95">
        <v>40992</v>
      </c>
      <c r="B87" s="129">
        <v>15.5</v>
      </c>
      <c r="C87" s="144">
        <v>23500</v>
      </c>
      <c r="D87" s="127"/>
      <c r="E87" s="127"/>
      <c r="F87" s="127"/>
      <c r="G87" s="127"/>
      <c r="H87" s="115" t="s">
        <v>122</v>
      </c>
    </row>
    <row r="88" spans="1:8" ht="21" customHeight="1" x14ac:dyDescent="0.25">
      <c r="A88" s="95">
        <v>40993</v>
      </c>
      <c r="B88" s="129">
        <v>15.5</v>
      </c>
      <c r="C88" s="144">
        <v>23500</v>
      </c>
      <c r="D88" s="127"/>
      <c r="E88" s="127"/>
      <c r="F88" s="127"/>
      <c r="G88" s="127"/>
      <c r="H88" s="115" t="s">
        <v>122</v>
      </c>
    </row>
    <row r="89" spans="1:8" ht="21" customHeight="1" x14ac:dyDescent="0.25">
      <c r="A89" s="95">
        <v>40994</v>
      </c>
      <c r="B89" s="129">
        <v>15.5</v>
      </c>
      <c r="C89" s="144">
        <v>23500</v>
      </c>
      <c r="D89" s="127"/>
      <c r="E89" s="127"/>
      <c r="F89" s="127"/>
      <c r="G89" s="127"/>
      <c r="H89" s="115" t="s">
        <v>122</v>
      </c>
    </row>
    <row r="90" spans="1:8" ht="21" customHeight="1" x14ac:dyDescent="0.25">
      <c r="A90" s="95">
        <v>40995</v>
      </c>
      <c r="B90" s="129">
        <v>15.5</v>
      </c>
      <c r="C90" s="144">
        <v>23500</v>
      </c>
      <c r="D90" s="127"/>
      <c r="E90" s="127"/>
      <c r="F90" s="127"/>
      <c r="G90" s="127"/>
      <c r="H90" s="115" t="s">
        <v>122</v>
      </c>
    </row>
    <row r="91" spans="1:8" ht="21" customHeight="1" x14ac:dyDescent="0.25">
      <c r="A91" s="95">
        <v>40996</v>
      </c>
      <c r="B91" s="129">
        <v>15.5</v>
      </c>
      <c r="C91" s="144">
        <v>23500</v>
      </c>
      <c r="D91" s="127"/>
      <c r="E91" s="127"/>
      <c r="F91" s="127"/>
      <c r="G91" s="127"/>
      <c r="H91" s="115" t="s">
        <v>122</v>
      </c>
    </row>
    <row r="92" spans="1:8" ht="21" customHeight="1" x14ac:dyDescent="0.25">
      <c r="A92" s="95">
        <v>40997</v>
      </c>
      <c r="B92" s="129">
        <v>15.5</v>
      </c>
      <c r="C92" s="144">
        <v>23500</v>
      </c>
      <c r="D92" s="127"/>
      <c r="E92" s="127"/>
      <c r="F92" s="127"/>
      <c r="G92" s="127"/>
      <c r="H92" s="115" t="s">
        <v>122</v>
      </c>
    </row>
    <row r="93" spans="1:8" ht="21" customHeight="1" x14ac:dyDescent="0.25">
      <c r="A93" s="95">
        <v>40998</v>
      </c>
      <c r="B93" s="129">
        <v>15.5</v>
      </c>
      <c r="C93" s="144">
        <v>23500</v>
      </c>
      <c r="D93" s="127"/>
      <c r="E93" s="127"/>
      <c r="F93" s="127"/>
      <c r="G93" s="127"/>
      <c r="H93" s="115" t="s">
        <v>122</v>
      </c>
    </row>
    <row r="94" spans="1:8" ht="21" customHeight="1" x14ac:dyDescent="0.25">
      <c r="A94" s="95">
        <v>40999</v>
      </c>
      <c r="B94" s="129">
        <v>15.5</v>
      </c>
      <c r="C94" s="144">
        <v>23500</v>
      </c>
      <c r="D94" s="127"/>
      <c r="E94" s="127"/>
      <c r="F94" s="127"/>
      <c r="G94" s="127"/>
      <c r="H94" s="115" t="s">
        <v>122</v>
      </c>
    </row>
    <row r="95" spans="1:8" ht="21" customHeight="1" x14ac:dyDescent="0.25">
      <c r="A95" s="95">
        <v>41000</v>
      </c>
      <c r="B95" s="127">
        <v>15.5</v>
      </c>
      <c r="C95" s="130">
        <v>23500</v>
      </c>
      <c r="D95" s="127"/>
      <c r="E95" s="127"/>
      <c r="F95" s="127"/>
      <c r="G95" s="127"/>
      <c r="H95" s="115" t="s">
        <v>122</v>
      </c>
    </row>
    <row r="96" spans="1:8" ht="21" customHeight="1" x14ac:dyDescent="0.25">
      <c r="A96" s="95">
        <v>41001</v>
      </c>
      <c r="B96" s="127">
        <v>15.5</v>
      </c>
      <c r="C96" s="130">
        <v>23500</v>
      </c>
      <c r="D96" s="127"/>
      <c r="E96" s="127"/>
      <c r="F96" s="127"/>
      <c r="G96" s="127"/>
      <c r="H96" s="115" t="s">
        <v>122</v>
      </c>
    </row>
    <row r="97" spans="1:8" ht="21" customHeight="1" x14ac:dyDescent="0.25">
      <c r="A97" s="95">
        <v>41002</v>
      </c>
      <c r="B97" s="127">
        <v>15.5</v>
      </c>
      <c r="C97" s="130">
        <v>23500</v>
      </c>
      <c r="D97" s="127"/>
      <c r="E97" s="127"/>
      <c r="F97" s="127"/>
      <c r="G97" s="127"/>
      <c r="H97" s="115" t="s">
        <v>122</v>
      </c>
    </row>
    <row r="98" spans="1:8" ht="21" customHeight="1" x14ac:dyDescent="0.25">
      <c r="A98" s="95">
        <v>41003</v>
      </c>
      <c r="B98" s="129">
        <v>15.42</v>
      </c>
      <c r="C98" s="130">
        <v>22450</v>
      </c>
      <c r="D98" s="127"/>
      <c r="E98" s="127"/>
      <c r="F98" s="127"/>
      <c r="G98" s="127"/>
      <c r="H98" s="115" t="s">
        <v>122</v>
      </c>
    </row>
    <row r="99" spans="1:8" ht="21" customHeight="1" x14ac:dyDescent="0.25">
      <c r="A99" s="95">
        <v>41004</v>
      </c>
      <c r="B99" s="129">
        <v>15.42</v>
      </c>
      <c r="C99" s="130">
        <v>22450</v>
      </c>
      <c r="D99" s="127"/>
      <c r="E99" s="127"/>
      <c r="F99" s="127"/>
      <c r="G99" s="127"/>
      <c r="H99" s="115" t="s">
        <v>122</v>
      </c>
    </row>
    <row r="100" spans="1:8" ht="21" customHeight="1" x14ac:dyDescent="0.25">
      <c r="A100" s="95">
        <v>41005</v>
      </c>
      <c r="B100" s="129">
        <v>15.42</v>
      </c>
      <c r="C100" s="130">
        <v>22450</v>
      </c>
      <c r="D100" s="127"/>
      <c r="E100" s="127"/>
      <c r="F100" s="127"/>
      <c r="G100" s="127"/>
      <c r="H100" s="115" t="s">
        <v>122</v>
      </c>
    </row>
    <row r="101" spans="1:8" ht="21" customHeight="1" x14ac:dyDescent="0.25">
      <c r="A101" s="95">
        <v>41006</v>
      </c>
      <c r="B101" s="129">
        <v>15.42</v>
      </c>
      <c r="C101" s="130">
        <v>22450</v>
      </c>
      <c r="D101" s="127"/>
      <c r="E101" s="127"/>
      <c r="F101" s="127"/>
      <c r="G101" s="127"/>
      <c r="H101" s="115" t="s">
        <v>122</v>
      </c>
    </row>
    <row r="102" spans="1:8" ht="21" customHeight="1" x14ac:dyDescent="0.25">
      <c r="A102" s="95">
        <v>41007</v>
      </c>
      <c r="B102" s="129">
        <v>15.42</v>
      </c>
      <c r="C102" s="130">
        <v>22450</v>
      </c>
      <c r="D102" s="127"/>
      <c r="E102" s="127"/>
      <c r="F102" s="127"/>
      <c r="G102" s="127"/>
      <c r="H102" s="115" t="s">
        <v>122</v>
      </c>
    </row>
    <row r="103" spans="1:8" ht="21" customHeight="1" x14ac:dyDescent="0.25">
      <c r="A103" s="95">
        <v>41008</v>
      </c>
      <c r="B103" s="129">
        <v>15.5</v>
      </c>
      <c r="C103" s="130">
        <v>23500</v>
      </c>
      <c r="D103" s="127"/>
      <c r="E103" s="127"/>
      <c r="F103" s="127"/>
      <c r="G103" s="127"/>
      <c r="H103" s="115" t="s">
        <v>122</v>
      </c>
    </row>
    <row r="104" spans="1:8" ht="21" customHeight="1" x14ac:dyDescent="0.25">
      <c r="A104" s="95">
        <v>41009</v>
      </c>
      <c r="B104" s="129">
        <v>15.5</v>
      </c>
      <c r="C104" s="130">
        <v>23500</v>
      </c>
      <c r="D104" s="127"/>
      <c r="E104" s="127"/>
      <c r="F104" s="127"/>
      <c r="G104" s="127"/>
      <c r="H104" s="115" t="s">
        <v>122</v>
      </c>
    </row>
    <row r="105" spans="1:8" ht="21" customHeight="1" x14ac:dyDescent="0.25">
      <c r="A105" s="95">
        <v>41010</v>
      </c>
      <c r="B105" s="129">
        <v>15.5</v>
      </c>
      <c r="C105" s="130">
        <v>23500</v>
      </c>
      <c r="D105" s="127"/>
      <c r="E105" s="127"/>
      <c r="F105" s="127"/>
      <c r="G105" s="127"/>
      <c r="H105" s="115" t="s">
        <v>122</v>
      </c>
    </row>
    <row r="106" spans="1:8" ht="21" customHeight="1" x14ac:dyDescent="0.25">
      <c r="A106" s="95">
        <v>41011</v>
      </c>
      <c r="B106" s="129">
        <v>15.5</v>
      </c>
      <c r="C106" s="130">
        <v>23500</v>
      </c>
      <c r="D106" s="127"/>
      <c r="E106" s="127"/>
      <c r="F106" s="127"/>
      <c r="G106" s="127"/>
      <c r="H106" s="115" t="s">
        <v>122</v>
      </c>
    </row>
    <row r="107" spans="1:8" ht="21" customHeight="1" x14ac:dyDescent="0.25">
      <c r="A107" s="95">
        <v>41012</v>
      </c>
      <c r="B107" s="129">
        <v>15.5</v>
      </c>
      <c r="C107" s="130">
        <v>23500</v>
      </c>
      <c r="D107" s="127"/>
      <c r="E107" s="127"/>
      <c r="F107" s="127"/>
      <c r="G107" s="127"/>
      <c r="H107" s="115" t="s">
        <v>122</v>
      </c>
    </row>
    <row r="108" spans="1:8" ht="21" customHeight="1" x14ac:dyDescent="0.25">
      <c r="A108" s="95">
        <v>41013</v>
      </c>
      <c r="B108" s="129">
        <v>15.5</v>
      </c>
      <c r="C108" s="130">
        <v>23500</v>
      </c>
      <c r="D108" s="127"/>
      <c r="E108" s="127"/>
      <c r="F108" s="127"/>
      <c r="G108" s="127"/>
      <c r="H108" s="115" t="s">
        <v>122</v>
      </c>
    </row>
    <row r="109" spans="1:8" ht="21" customHeight="1" x14ac:dyDescent="0.25">
      <c r="A109" s="95">
        <v>41014</v>
      </c>
      <c r="B109" s="127">
        <v>15.58</v>
      </c>
      <c r="C109" s="130">
        <v>24000</v>
      </c>
      <c r="D109" s="127"/>
      <c r="E109" s="127"/>
      <c r="F109" s="127"/>
      <c r="G109" s="127"/>
      <c r="H109" s="115" t="s">
        <v>122</v>
      </c>
    </row>
    <row r="110" spans="1:8" ht="21" customHeight="1" x14ac:dyDescent="0.25">
      <c r="A110" s="95">
        <v>41015</v>
      </c>
      <c r="B110" s="127">
        <v>15.58</v>
      </c>
      <c r="C110" s="130">
        <v>24000</v>
      </c>
      <c r="D110" s="127"/>
      <c r="E110" s="127"/>
      <c r="F110" s="127"/>
      <c r="G110" s="127"/>
      <c r="H110" s="115" t="s">
        <v>122</v>
      </c>
    </row>
    <row r="111" spans="1:8" ht="21" customHeight="1" x14ac:dyDescent="0.25">
      <c r="A111" s="95">
        <v>41016</v>
      </c>
      <c r="B111" s="127">
        <v>15.58</v>
      </c>
      <c r="C111" s="130">
        <v>24000</v>
      </c>
      <c r="D111" s="127"/>
      <c r="E111" s="127"/>
      <c r="F111" s="127"/>
      <c r="G111" s="127"/>
      <c r="H111" s="115" t="s">
        <v>122</v>
      </c>
    </row>
    <row r="112" spans="1:8" ht="21" customHeight="1" x14ac:dyDescent="0.25">
      <c r="A112" s="95">
        <v>41017</v>
      </c>
      <c r="B112" s="127">
        <v>15.58</v>
      </c>
      <c r="C112" s="130">
        <v>24000</v>
      </c>
      <c r="D112" s="127"/>
      <c r="E112" s="127"/>
      <c r="F112" s="127"/>
      <c r="G112" s="127"/>
      <c r="H112" s="115" t="s">
        <v>122</v>
      </c>
    </row>
    <row r="113" spans="1:8" ht="21" customHeight="1" x14ac:dyDescent="0.25">
      <c r="A113" s="95">
        <v>41018</v>
      </c>
      <c r="B113" s="127">
        <v>15.58</v>
      </c>
      <c r="C113" s="130">
        <v>24000</v>
      </c>
      <c r="D113" s="127"/>
      <c r="E113" s="127"/>
      <c r="F113" s="127"/>
      <c r="G113" s="127"/>
      <c r="H113" s="115" t="s">
        <v>122</v>
      </c>
    </row>
    <row r="114" spans="1:8" ht="21" customHeight="1" x14ac:dyDescent="0.25">
      <c r="A114" s="95">
        <v>41019</v>
      </c>
      <c r="B114" s="127">
        <v>15.58</v>
      </c>
      <c r="C114" s="130">
        <v>24000</v>
      </c>
      <c r="D114" s="127"/>
      <c r="E114" s="127"/>
      <c r="F114" s="127"/>
      <c r="G114" s="127"/>
      <c r="H114" s="115" t="s">
        <v>122</v>
      </c>
    </row>
    <row r="115" spans="1:8" ht="21" customHeight="1" x14ac:dyDescent="0.25">
      <c r="A115" s="95">
        <v>41020</v>
      </c>
      <c r="B115" s="127">
        <v>15.54</v>
      </c>
      <c r="C115" s="130">
        <v>23750</v>
      </c>
      <c r="D115" s="127"/>
      <c r="E115" s="127"/>
      <c r="F115" s="127">
        <v>9</v>
      </c>
      <c r="G115" s="127">
        <v>46.94</v>
      </c>
      <c r="H115" s="115" t="s">
        <v>122</v>
      </c>
    </row>
    <row r="116" spans="1:8" ht="21" customHeight="1" x14ac:dyDescent="0.25">
      <c r="A116" s="95">
        <v>41021</v>
      </c>
      <c r="B116" s="129">
        <v>15.5</v>
      </c>
      <c r="C116" s="130">
        <v>23500</v>
      </c>
      <c r="D116" s="127"/>
      <c r="E116" s="127"/>
      <c r="F116" s="127">
        <v>9</v>
      </c>
      <c r="G116" s="127">
        <v>46.87</v>
      </c>
      <c r="H116" s="115" t="s">
        <v>122</v>
      </c>
    </row>
    <row r="117" spans="1:8" ht="21" customHeight="1" x14ac:dyDescent="0.25">
      <c r="A117" s="95">
        <v>41022</v>
      </c>
      <c r="B117" s="127">
        <v>15.46</v>
      </c>
      <c r="C117" s="130">
        <v>22975</v>
      </c>
      <c r="D117" s="127"/>
      <c r="E117" s="127"/>
      <c r="F117" s="127">
        <v>9</v>
      </c>
      <c r="G117" s="127">
        <v>46.8</v>
      </c>
      <c r="H117" s="115" t="s">
        <v>122</v>
      </c>
    </row>
    <row r="118" spans="1:8" ht="21" customHeight="1" x14ac:dyDescent="0.25">
      <c r="A118" s="95">
        <v>41023</v>
      </c>
      <c r="B118" s="129">
        <v>15.54</v>
      </c>
      <c r="C118" s="130">
        <v>23750</v>
      </c>
      <c r="D118" s="127"/>
      <c r="E118" s="127"/>
      <c r="F118" s="127">
        <v>4</v>
      </c>
      <c r="G118" s="127">
        <v>21.17</v>
      </c>
      <c r="H118" s="115" t="s">
        <v>122</v>
      </c>
    </row>
    <row r="119" spans="1:8" ht="21" customHeight="1" x14ac:dyDescent="0.25">
      <c r="A119" s="95">
        <v>41024</v>
      </c>
      <c r="B119" s="129">
        <v>15.58</v>
      </c>
      <c r="C119" s="130">
        <v>24000</v>
      </c>
      <c r="D119" s="127"/>
      <c r="E119" s="127"/>
      <c r="F119" s="127">
        <v>8</v>
      </c>
      <c r="G119" s="127">
        <v>41.91</v>
      </c>
      <c r="H119" s="115" t="s">
        <v>122</v>
      </c>
    </row>
    <row r="120" spans="1:8" ht="21" customHeight="1" x14ac:dyDescent="0.25">
      <c r="A120" s="95">
        <v>41025</v>
      </c>
      <c r="B120" s="129">
        <v>15.5</v>
      </c>
      <c r="C120" s="130">
        <v>23500</v>
      </c>
      <c r="D120" s="127"/>
      <c r="E120" s="127"/>
      <c r="F120" s="127">
        <v>12</v>
      </c>
      <c r="G120" s="127">
        <v>63.05</v>
      </c>
      <c r="H120" s="115" t="s">
        <v>122</v>
      </c>
    </row>
    <row r="121" spans="1:8" ht="21" customHeight="1" x14ac:dyDescent="0.25">
      <c r="A121" s="95">
        <v>41026</v>
      </c>
      <c r="B121" s="129">
        <v>15.42</v>
      </c>
      <c r="C121" s="130">
        <v>22450</v>
      </c>
      <c r="D121" s="127"/>
      <c r="E121" s="127"/>
      <c r="F121" s="127">
        <v>14</v>
      </c>
      <c r="G121" s="127">
        <v>71.56</v>
      </c>
      <c r="H121" s="115" t="s">
        <v>122</v>
      </c>
    </row>
    <row r="122" spans="1:8" ht="21" customHeight="1" x14ac:dyDescent="0.25">
      <c r="A122" s="95">
        <v>41027</v>
      </c>
      <c r="B122" s="127">
        <v>15.33</v>
      </c>
      <c r="C122" s="130">
        <v>22400</v>
      </c>
      <c r="D122" s="127"/>
      <c r="E122" s="127"/>
      <c r="F122" s="127">
        <v>14</v>
      </c>
      <c r="G122" s="127">
        <v>71.34</v>
      </c>
      <c r="H122" s="115" t="s">
        <v>122</v>
      </c>
    </row>
    <row r="123" spans="1:8" ht="21" customHeight="1" x14ac:dyDescent="0.25">
      <c r="A123" s="95">
        <v>41028</v>
      </c>
      <c r="B123" s="127">
        <v>15.25</v>
      </c>
      <c r="C123" s="130">
        <v>22350</v>
      </c>
      <c r="D123" s="127"/>
      <c r="E123" s="127"/>
      <c r="F123" s="127">
        <v>15</v>
      </c>
      <c r="G123" s="127">
        <v>75.94</v>
      </c>
      <c r="H123" s="115" t="s">
        <v>122</v>
      </c>
    </row>
    <row r="124" spans="1:8" ht="21" customHeight="1" x14ac:dyDescent="0.25">
      <c r="A124" s="95">
        <v>41029</v>
      </c>
      <c r="B124" s="127">
        <v>15.17</v>
      </c>
      <c r="C124" s="130">
        <v>22325</v>
      </c>
      <c r="D124" s="127"/>
      <c r="E124" s="127"/>
      <c r="F124" s="127">
        <v>15</v>
      </c>
      <c r="G124" s="127">
        <v>75.7</v>
      </c>
      <c r="H124" s="115" t="s">
        <v>122</v>
      </c>
    </row>
    <row r="125" spans="1:8" ht="21" customHeight="1" x14ac:dyDescent="0.25">
      <c r="A125" s="95">
        <v>41030</v>
      </c>
      <c r="B125" s="127">
        <v>15.08</v>
      </c>
      <c r="C125" s="130">
        <v>22300</v>
      </c>
      <c r="D125" s="127"/>
      <c r="E125" s="127"/>
      <c r="F125" s="127">
        <v>14</v>
      </c>
      <c r="G125" s="127">
        <v>70.66</v>
      </c>
      <c r="H125" s="115" t="s">
        <v>122</v>
      </c>
    </row>
    <row r="126" spans="1:8" ht="21" customHeight="1" x14ac:dyDescent="0.25">
      <c r="A126" s="95">
        <v>41031</v>
      </c>
      <c r="B126" s="129">
        <v>15</v>
      </c>
      <c r="C126" s="130">
        <v>22250</v>
      </c>
      <c r="D126" s="127"/>
      <c r="E126" s="127"/>
      <c r="F126" s="127">
        <v>14</v>
      </c>
      <c r="G126" s="127">
        <v>70.430000000000007</v>
      </c>
      <c r="H126" s="115" t="s">
        <v>122</v>
      </c>
    </row>
    <row r="127" spans="1:8" ht="21" customHeight="1" x14ac:dyDescent="0.25">
      <c r="A127" s="95">
        <v>41032</v>
      </c>
      <c r="B127" s="127">
        <v>14.92</v>
      </c>
      <c r="C127" s="130">
        <v>22000</v>
      </c>
      <c r="D127" s="127"/>
      <c r="E127" s="127"/>
      <c r="F127" s="127">
        <v>14</v>
      </c>
      <c r="G127" s="127">
        <v>70.2</v>
      </c>
      <c r="H127" s="115" t="s">
        <v>122</v>
      </c>
    </row>
    <row r="128" spans="1:8" ht="21" customHeight="1" x14ac:dyDescent="0.25">
      <c r="A128" s="95">
        <v>41033</v>
      </c>
      <c r="B128" s="127">
        <v>14.83</v>
      </c>
      <c r="C128" s="130">
        <v>21750</v>
      </c>
      <c r="D128" s="127"/>
      <c r="E128" s="127"/>
      <c r="F128" s="127">
        <v>14</v>
      </c>
      <c r="G128" s="127">
        <v>69.97</v>
      </c>
      <c r="H128" s="115" t="s">
        <v>122</v>
      </c>
    </row>
    <row r="129" spans="1:8" ht="21" customHeight="1" x14ac:dyDescent="0.25">
      <c r="A129" s="95">
        <v>41034</v>
      </c>
      <c r="B129" s="127">
        <v>14.75</v>
      </c>
      <c r="C129" s="130">
        <v>21500</v>
      </c>
      <c r="D129" s="127"/>
      <c r="E129" s="127"/>
      <c r="F129" s="127">
        <v>14</v>
      </c>
      <c r="G129" s="127">
        <v>69.739999999999995</v>
      </c>
      <c r="H129" s="115" t="s">
        <v>122</v>
      </c>
    </row>
    <row r="130" spans="1:8" ht="21" customHeight="1" x14ac:dyDescent="0.25">
      <c r="A130" s="95">
        <v>41035</v>
      </c>
      <c r="B130" s="127">
        <v>14.67</v>
      </c>
      <c r="C130" s="130">
        <v>21400</v>
      </c>
      <c r="D130" s="127"/>
      <c r="E130" s="127"/>
      <c r="F130" s="127">
        <v>14</v>
      </c>
      <c r="G130" s="127">
        <v>69.510000000000005</v>
      </c>
      <c r="H130" s="115" t="s">
        <v>122</v>
      </c>
    </row>
    <row r="131" spans="1:8" ht="21" customHeight="1" x14ac:dyDescent="0.25">
      <c r="A131" s="95">
        <v>41036</v>
      </c>
      <c r="B131" s="129">
        <v>14.5</v>
      </c>
      <c r="C131" s="130">
        <v>21000</v>
      </c>
      <c r="D131" s="127"/>
      <c r="E131" s="127"/>
      <c r="F131" s="127">
        <v>14</v>
      </c>
      <c r="G131" s="127">
        <v>69.040000000000006</v>
      </c>
      <c r="H131" s="115" t="s">
        <v>122</v>
      </c>
    </row>
    <row r="132" spans="1:8" ht="21" customHeight="1" x14ac:dyDescent="0.25">
      <c r="A132" s="95">
        <v>41037</v>
      </c>
      <c r="B132" s="127">
        <v>14.42</v>
      </c>
      <c r="C132" s="130">
        <v>20050</v>
      </c>
      <c r="D132" s="127"/>
      <c r="E132" s="127"/>
      <c r="F132" s="127">
        <v>12</v>
      </c>
      <c r="G132" s="127">
        <v>59.38</v>
      </c>
      <c r="H132" s="115" t="s">
        <v>122</v>
      </c>
    </row>
    <row r="133" spans="1:8" ht="21" customHeight="1" x14ac:dyDescent="0.25">
      <c r="A133" s="95">
        <v>41038</v>
      </c>
      <c r="B133" s="127">
        <v>14.33</v>
      </c>
      <c r="C133" s="130">
        <v>20450</v>
      </c>
      <c r="D133" s="127"/>
      <c r="E133" s="127"/>
      <c r="F133" s="127">
        <v>12</v>
      </c>
      <c r="G133" s="127">
        <v>59.18</v>
      </c>
      <c r="H133" s="115" t="s">
        <v>122</v>
      </c>
    </row>
    <row r="134" spans="1:8" ht="21" customHeight="1" x14ac:dyDescent="0.25">
      <c r="A134" s="95">
        <v>41039</v>
      </c>
      <c r="B134" s="127">
        <v>14.25</v>
      </c>
      <c r="C134" s="130">
        <v>20000</v>
      </c>
      <c r="D134" s="127"/>
      <c r="E134" s="127"/>
      <c r="F134" s="127">
        <v>12</v>
      </c>
      <c r="G134" s="127">
        <v>58.98</v>
      </c>
      <c r="H134" s="115" t="s">
        <v>122</v>
      </c>
    </row>
    <row r="135" spans="1:8" ht="21" customHeight="1" x14ac:dyDescent="0.25">
      <c r="A135" s="95">
        <v>41040</v>
      </c>
      <c r="B135" s="127">
        <v>14.17</v>
      </c>
      <c r="C135" s="130">
        <v>19850</v>
      </c>
      <c r="D135" s="127"/>
      <c r="E135" s="127"/>
      <c r="F135" s="127">
        <v>10</v>
      </c>
      <c r="G135" s="127">
        <v>49.32</v>
      </c>
      <c r="H135" s="115" t="s">
        <v>122</v>
      </c>
    </row>
    <row r="136" spans="1:8" ht="21" customHeight="1" x14ac:dyDescent="0.25">
      <c r="A136" s="95">
        <v>41041</v>
      </c>
      <c r="B136" s="127">
        <v>14.08</v>
      </c>
      <c r="C136" s="130">
        <v>19700</v>
      </c>
      <c r="D136" s="127"/>
      <c r="E136" s="127"/>
      <c r="F136" s="127">
        <v>10</v>
      </c>
      <c r="G136" s="127">
        <v>49.15</v>
      </c>
      <c r="H136" s="115" t="s">
        <v>122</v>
      </c>
    </row>
    <row r="137" spans="1:8" ht="21" customHeight="1" x14ac:dyDescent="0.25">
      <c r="A137" s="95">
        <v>41042</v>
      </c>
      <c r="B137" s="127">
        <v>14.08</v>
      </c>
      <c r="C137" s="130">
        <v>19700</v>
      </c>
      <c r="D137" s="127"/>
      <c r="E137" s="127"/>
      <c r="F137" s="127">
        <v>10</v>
      </c>
      <c r="G137" s="127">
        <v>49.15</v>
      </c>
      <c r="H137" s="115" t="s">
        <v>122</v>
      </c>
    </row>
    <row r="138" spans="1:8" ht="21" customHeight="1" x14ac:dyDescent="0.25">
      <c r="A138" s="95">
        <v>41043</v>
      </c>
      <c r="B138" s="127">
        <v>14.04</v>
      </c>
      <c r="C138" s="130">
        <v>19600</v>
      </c>
      <c r="D138" s="127"/>
      <c r="E138" s="127"/>
      <c r="F138" s="127">
        <v>10</v>
      </c>
      <c r="G138" s="127">
        <v>49.06</v>
      </c>
      <c r="H138" s="115" t="s">
        <v>122</v>
      </c>
    </row>
    <row r="139" spans="1:8" ht="21" customHeight="1" x14ac:dyDescent="0.25">
      <c r="A139" s="95">
        <v>41044</v>
      </c>
      <c r="B139" s="127">
        <v>13.92</v>
      </c>
      <c r="C139" s="130">
        <v>19300</v>
      </c>
      <c r="D139" s="127"/>
      <c r="E139" s="127"/>
      <c r="F139" s="127">
        <v>10</v>
      </c>
      <c r="G139" s="127">
        <v>48.81</v>
      </c>
      <c r="H139" s="115" t="s">
        <v>122</v>
      </c>
    </row>
    <row r="140" spans="1:8" ht="21" customHeight="1" x14ac:dyDescent="0.25">
      <c r="A140" s="95">
        <v>41045</v>
      </c>
      <c r="B140" s="127">
        <v>13.83</v>
      </c>
      <c r="C140" s="130">
        <v>19210</v>
      </c>
      <c r="D140" s="127"/>
      <c r="E140" s="127"/>
      <c r="F140" s="127"/>
      <c r="G140" s="127"/>
      <c r="H140" s="115" t="s">
        <v>122</v>
      </c>
    </row>
    <row r="141" spans="1:8" ht="21" customHeight="1" x14ac:dyDescent="0.25">
      <c r="A141" s="95">
        <v>41046</v>
      </c>
      <c r="B141" s="127">
        <v>13.83</v>
      </c>
      <c r="C141" s="130">
        <v>19210</v>
      </c>
      <c r="D141" s="127"/>
      <c r="E141" s="127"/>
      <c r="F141" s="127"/>
      <c r="G141" s="127"/>
      <c r="H141" s="115" t="s">
        <v>122</v>
      </c>
    </row>
    <row r="142" spans="1:8" ht="21" customHeight="1" x14ac:dyDescent="0.25">
      <c r="A142" s="95">
        <v>41047</v>
      </c>
      <c r="B142" s="127">
        <v>13.83</v>
      </c>
      <c r="C142" s="130">
        <v>19210</v>
      </c>
      <c r="D142" s="127"/>
      <c r="E142" s="127"/>
      <c r="F142" s="127"/>
      <c r="G142" s="127"/>
      <c r="H142" s="115" t="s">
        <v>122</v>
      </c>
    </row>
    <row r="143" spans="1:8" ht="21" customHeight="1" x14ac:dyDescent="0.25">
      <c r="A143" s="95">
        <v>41048</v>
      </c>
      <c r="B143" s="127">
        <v>13.75</v>
      </c>
      <c r="C143" s="130">
        <v>19000</v>
      </c>
      <c r="D143" s="127"/>
      <c r="E143" s="127"/>
      <c r="F143" s="127"/>
      <c r="G143" s="127"/>
      <c r="H143" s="115" t="s">
        <v>122</v>
      </c>
    </row>
    <row r="144" spans="1:8" ht="21" customHeight="1" x14ac:dyDescent="0.25">
      <c r="A144" s="95">
        <v>41049</v>
      </c>
      <c r="B144" s="127">
        <v>13.62</v>
      </c>
      <c r="C144" s="130">
        <v>18425</v>
      </c>
      <c r="D144" s="127"/>
      <c r="E144" s="127"/>
      <c r="F144" s="127">
        <v>15</v>
      </c>
      <c r="G144" s="127">
        <v>71.040000000000006</v>
      </c>
      <c r="H144" s="115" t="s">
        <v>122</v>
      </c>
    </row>
    <row r="145" spans="1:8" ht="21" customHeight="1" x14ac:dyDescent="0.25">
      <c r="A145" s="95">
        <v>41050</v>
      </c>
      <c r="B145" s="129">
        <v>13.5</v>
      </c>
      <c r="C145" s="130">
        <v>18000</v>
      </c>
      <c r="D145" s="127"/>
      <c r="E145" s="127"/>
      <c r="F145" s="127">
        <v>18</v>
      </c>
      <c r="G145" s="127">
        <v>83.82</v>
      </c>
      <c r="H145" s="115" t="s">
        <v>122</v>
      </c>
    </row>
    <row r="146" spans="1:8" ht="21" customHeight="1" x14ac:dyDescent="0.25">
      <c r="A146" s="95">
        <v>41051</v>
      </c>
      <c r="B146" s="127">
        <v>13.37</v>
      </c>
      <c r="C146" s="130">
        <v>17700</v>
      </c>
      <c r="D146" s="127"/>
      <c r="E146" s="127"/>
      <c r="F146" s="127">
        <v>18</v>
      </c>
      <c r="G146" s="127">
        <v>82.35</v>
      </c>
      <c r="H146" s="115" t="s">
        <v>122</v>
      </c>
    </row>
    <row r="147" spans="1:8" ht="21" customHeight="1" x14ac:dyDescent="0.25">
      <c r="A147" s="95">
        <v>41052</v>
      </c>
      <c r="B147" s="127">
        <v>13.25</v>
      </c>
      <c r="C147" s="130">
        <v>17500</v>
      </c>
      <c r="D147" s="127"/>
      <c r="E147" s="127"/>
      <c r="F147" s="127">
        <v>15</v>
      </c>
      <c r="G147" s="127">
        <v>69.86</v>
      </c>
      <c r="H147" s="115" t="s">
        <v>122</v>
      </c>
    </row>
    <row r="148" spans="1:8" ht="21" customHeight="1" x14ac:dyDescent="0.25">
      <c r="A148" s="95">
        <v>41053</v>
      </c>
      <c r="B148" s="127">
        <v>13.12</v>
      </c>
      <c r="C148" s="130">
        <v>17325</v>
      </c>
      <c r="D148" s="127"/>
      <c r="E148" s="127"/>
      <c r="F148" s="127">
        <v>15</v>
      </c>
      <c r="G148" s="127">
        <v>69.459999999999994</v>
      </c>
      <c r="H148" s="115" t="s">
        <v>122</v>
      </c>
    </row>
    <row r="149" spans="1:8" ht="21" customHeight="1" x14ac:dyDescent="0.25">
      <c r="A149" s="95">
        <v>41054</v>
      </c>
      <c r="B149" s="129">
        <v>13</v>
      </c>
      <c r="C149" s="130">
        <v>17000</v>
      </c>
      <c r="D149" s="127"/>
      <c r="E149" s="127"/>
      <c r="F149" s="127">
        <v>15</v>
      </c>
      <c r="G149" s="127">
        <v>69.06</v>
      </c>
      <c r="H149" s="115" t="s">
        <v>122</v>
      </c>
    </row>
    <row r="150" spans="1:8" ht="21" customHeight="1" x14ac:dyDescent="0.25">
      <c r="A150" s="95">
        <v>41055</v>
      </c>
      <c r="B150" s="129">
        <v>13</v>
      </c>
      <c r="C150" s="130">
        <v>17000</v>
      </c>
      <c r="D150" s="127"/>
      <c r="E150" s="127"/>
      <c r="F150" s="127">
        <v>10</v>
      </c>
      <c r="G150" s="127">
        <v>46.93</v>
      </c>
      <c r="H150" s="115" t="s">
        <v>122</v>
      </c>
    </row>
    <row r="151" spans="1:8" ht="21" customHeight="1" x14ac:dyDescent="0.25">
      <c r="A151" s="95">
        <v>41056</v>
      </c>
      <c r="B151" s="127">
        <v>12.92</v>
      </c>
      <c r="C151" s="130">
        <v>16900</v>
      </c>
      <c r="D151" s="127"/>
      <c r="E151" s="127"/>
      <c r="F151" s="127">
        <v>10</v>
      </c>
      <c r="G151" s="127">
        <v>46.75</v>
      </c>
      <c r="H151" s="115" t="s">
        <v>122</v>
      </c>
    </row>
    <row r="152" spans="1:8" ht="21" customHeight="1" x14ac:dyDescent="0.25">
      <c r="A152" s="95">
        <v>41057</v>
      </c>
      <c r="B152" s="127">
        <v>12.83</v>
      </c>
      <c r="C152" s="130">
        <v>16800</v>
      </c>
      <c r="D152" s="127"/>
      <c r="E152" s="127"/>
      <c r="F152" s="127"/>
      <c r="G152" s="127"/>
      <c r="H152" s="115" t="s">
        <v>122</v>
      </c>
    </row>
    <row r="153" spans="1:8" ht="21" customHeight="1" x14ac:dyDescent="0.25">
      <c r="A153" s="95">
        <v>41058</v>
      </c>
      <c r="B153" s="127">
        <v>12.83</v>
      </c>
      <c r="C153" s="130">
        <v>16800</v>
      </c>
      <c r="D153" s="127"/>
      <c r="E153" s="127"/>
      <c r="F153" s="127"/>
      <c r="G153" s="127"/>
      <c r="H153" s="115" t="s">
        <v>122</v>
      </c>
    </row>
    <row r="154" spans="1:8" ht="21" customHeight="1" x14ac:dyDescent="0.25">
      <c r="A154" s="95">
        <v>41059</v>
      </c>
      <c r="B154" s="127">
        <v>12.83</v>
      </c>
      <c r="C154" s="130">
        <v>16800</v>
      </c>
      <c r="D154" s="127"/>
      <c r="E154" s="127"/>
      <c r="F154" s="127"/>
      <c r="G154" s="127"/>
      <c r="H154" s="115" t="s">
        <v>122</v>
      </c>
    </row>
    <row r="155" spans="1:8" ht="21" customHeight="1" x14ac:dyDescent="0.25">
      <c r="A155" s="95">
        <v>41060</v>
      </c>
      <c r="B155" s="127">
        <v>12.83</v>
      </c>
      <c r="C155" s="130">
        <v>16800</v>
      </c>
      <c r="D155" s="127"/>
      <c r="E155" s="127"/>
      <c r="F155" s="127"/>
      <c r="G155" s="127"/>
      <c r="H155" s="115" t="s">
        <v>122</v>
      </c>
    </row>
    <row r="156" spans="1:8" ht="21" customHeight="1" x14ac:dyDescent="0.25">
      <c r="A156" s="95">
        <v>41061</v>
      </c>
      <c r="B156" s="129">
        <v>12.75</v>
      </c>
      <c r="C156" s="130">
        <v>16700</v>
      </c>
      <c r="D156" s="127"/>
      <c r="E156" s="127"/>
      <c r="F156" s="127">
        <v>15</v>
      </c>
      <c r="G156" s="127">
        <v>68.25</v>
      </c>
      <c r="H156" s="115" t="s">
        <v>122</v>
      </c>
    </row>
    <row r="157" spans="1:8" ht="21" customHeight="1" x14ac:dyDescent="0.25">
      <c r="A157" s="95">
        <v>41062</v>
      </c>
      <c r="B157" s="129">
        <v>12.62</v>
      </c>
      <c r="C157" s="130">
        <v>16550</v>
      </c>
      <c r="D157" s="127"/>
      <c r="E157" s="127"/>
      <c r="F157" s="127">
        <v>15</v>
      </c>
      <c r="G157" s="127">
        <v>67.84</v>
      </c>
      <c r="H157" s="115" t="s">
        <v>122</v>
      </c>
    </row>
    <row r="158" spans="1:8" ht="21" customHeight="1" x14ac:dyDescent="0.25">
      <c r="A158" s="95">
        <v>41063</v>
      </c>
      <c r="B158" s="129">
        <v>12.5</v>
      </c>
      <c r="C158" s="130">
        <v>16400</v>
      </c>
      <c r="D158" s="127"/>
      <c r="E158" s="127"/>
      <c r="F158" s="127">
        <v>18</v>
      </c>
      <c r="G158" s="127">
        <v>79.92</v>
      </c>
      <c r="H158" s="115" t="s">
        <v>122</v>
      </c>
    </row>
    <row r="159" spans="1:8" ht="21" customHeight="1" x14ac:dyDescent="0.25">
      <c r="A159" s="95">
        <v>41064</v>
      </c>
      <c r="B159" s="129">
        <v>12.37</v>
      </c>
      <c r="C159" s="130">
        <v>16100</v>
      </c>
      <c r="D159" s="127"/>
      <c r="E159" s="127"/>
      <c r="F159" s="127">
        <v>18</v>
      </c>
      <c r="G159" s="127">
        <v>79.42</v>
      </c>
      <c r="H159" s="115" t="s">
        <v>122</v>
      </c>
    </row>
    <row r="160" spans="1:8" ht="21" customHeight="1" x14ac:dyDescent="0.25">
      <c r="A160" s="95">
        <v>41065</v>
      </c>
      <c r="B160" s="129">
        <v>12.25</v>
      </c>
      <c r="C160" s="130">
        <v>15750</v>
      </c>
      <c r="D160" s="127"/>
      <c r="E160" s="127"/>
      <c r="F160" s="127">
        <v>18</v>
      </c>
      <c r="G160" s="127">
        <v>78.91</v>
      </c>
      <c r="H160" s="115" t="s">
        <v>122</v>
      </c>
    </row>
    <row r="161" spans="1:8" ht="21" customHeight="1" x14ac:dyDescent="0.25">
      <c r="A161" s="95">
        <v>41066</v>
      </c>
      <c r="B161" s="127">
        <v>12.12</v>
      </c>
      <c r="C161" s="130">
        <v>15550</v>
      </c>
      <c r="D161" s="127"/>
      <c r="E161" s="127"/>
      <c r="F161" s="127">
        <v>18</v>
      </c>
      <c r="G161" s="127">
        <v>78.400000000000006</v>
      </c>
      <c r="H161" s="115" t="s">
        <v>122</v>
      </c>
    </row>
    <row r="162" spans="1:8" ht="21" customHeight="1" x14ac:dyDescent="0.25">
      <c r="A162" s="95">
        <v>41067</v>
      </c>
      <c r="B162" s="129">
        <v>12</v>
      </c>
      <c r="C162" s="130">
        <v>15400</v>
      </c>
      <c r="D162" s="127"/>
      <c r="E162" s="127"/>
      <c r="F162" s="127">
        <v>18</v>
      </c>
      <c r="G162" s="127">
        <v>77.89</v>
      </c>
      <c r="H162" s="115" t="s">
        <v>122</v>
      </c>
    </row>
    <row r="163" spans="1:8" ht="21" customHeight="1" x14ac:dyDescent="0.25">
      <c r="A163" s="95">
        <v>41068</v>
      </c>
      <c r="B163" s="127">
        <v>11.87</v>
      </c>
      <c r="C163" s="130">
        <v>15100</v>
      </c>
      <c r="D163" s="127"/>
      <c r="E163" s="127"/>
      <c r="F163" s="127">
        <v>18</v>
      </c>
      <c r="G163" s="127">
        <v>77.38</v>
      </c>
      <c r="H163" s="115" t="s">
        <v>122</v>
      </c>
    </row>
    <row r="164" spans="1:8" ht="21" customHeight="1" x14ac:dyDescent="0.25">
      <c r="A164" s="95">
        <v>41069</v>
      </c>
      <c r="B164" s="129">
        <v>11.83</v>
      </c>
      <c r="C164" s="130">
        <v>15000</v>
      </c>
      <c r="D164" s="127"/>
      <c r="E164" s="127"/>
      <c r="F164" s="127"/>
      <c r="G164" s="127"/>
      <c r="H164" s="115" t="s">
        <v>122</v>
      </c>
    </row>
    <row r="165" spans="1:8" ht="21" customHeight="1" x14ac:dyDescent="0.25">
      <c r="A165" s="95">
        <v>41070</v>
      </c>
      <c r="B165" s="129">
        <v>11.83</v>
      </c>
      <c r="C165" s="130">
        <v>15000</v>
      </c>
      <c r="D165" s="127"/>
      <c r="E165" s="127"/>
      <c r="F165" s="127"/>
      <c r="G165" s="127"/>
      <c r="H165" s="115" t="s">
        <v>122</v>
      </c>
    </row>
    <row r="166" spans="1:8" ht="21" customHeight="1" x14ac:dyDescent="0.25">
      <c r="A166" s="95">
        <v>41071</v>
      </c>
      <c r="B166" s="129">
        <v>11.83</v>
      </c>
      <c r="C166" s="130">
        <v>15000</v>
      </c>
      <c r="D166" s="127"/>
      <c r="E166" s="127"/>
      <c r="F166" s="127"/>
      <c r="G166" s="127"/>
      <c r="H166" s="115" t="s">
        <v>122</v>
      </c>
    </row>
    <row r="167" spans="1:8" ht="21" customHeight="1" x14ac:dyDescent="0.25">
      <c r="A167" s="95">
        <v>41072</v>
      </c>
      <c r="B167" s="129">
        <v>11.83</v>
      </c>
      <c r="C167" s="130">
        <v>15000</v>
      </c>
      <c r="D167" s="127"/>
      <c r="E167" s="127"/>
      <c r="F167" s="127">
        <v>15</v>
      </c>
      <c r="G167" s="127">
        <v>65.2</v>
      </c>
      <c r="H167" s="115" t="s">
        <v>122</v>
      </c>
    </row>
    <row r="168" spans="1:8" ht="21" customHeight="1" x14ac:dyDescent="0.25">
      <c r="A168" s="95">
        <v>41073</v>
      </c>
      <c r="B168" s="127">
        <v>11.72</v>
      </c>
      <c r="C168" s="130">
        <v>14800</v>
      </c>
      <c r="D168" s="127"/>
      <c r="E168" s="127"/>
      <c r="F168" s="127">
        <v>15</v>
      </c>
      <c r="G168" s="127">
        <v>64.77</v>
      </c>
      <c r="H168" s="115" t="s">
        <v>122</v>
      </c>
    </row>
    <row r="169" spans="1:8" ht="21" customHeight="1" x14ac:dyDescent="0.25">
      <c r="A169" s="95">
        <v>41074</v>
      </c>
      <c r="B169" s="127">
        <v>11.58</v>
      </c>
      <c r="C169" s="130">
        <v>14600</v>
      </c>
      <c r="D169" s="127"/>
      <c r="E169" s="127"/>
      <c r="F169" s="127">
        <v>18</v>
      </c>
      <c r="G169" s="127">
        <v>76.16</v>
      </c>
      <c r="H169" s="115" t="s">
        <v>122</v>
      </c>
    </row>
    <row r="170" spans="1:8" ht="21" customHeight="1" x14ac:dyDescent="0.25">
      <c r="A170" s="95">
        <v>41075</v>
      </c>
      <c r="B170" s="127">
        <v>11.46</v>
      </c>
      <c r="C170" s="130">
        <v>14300</v>
      </c>
      <c r="D170" s="127"/>
      <c r="E170" s="127"/>
      <c r="F170" s="127">
        <v>18</v>
      </c>
      <c r="G170" s="127">
        <v>75.64</v>
      </c>
      <c r="H170" s="115" t="s">
        <v>122</v>
      </c>
    </row>
    <row r="171" spans="1:8" ht="21" customHeight="1" x14ac:dyDescent="0.25">
      <c r="A171" s="95">
        <v>41076</v>
      </c>
      <c r="B171" s="127">
        <v>11.33</v>
      </c>
      <c r="C171" s="130">
        <v>14000</v>
      </c>
      <c r="D171" s="127"/>
      <c r="E171" s="127"/>
      <c r="F171" s="127">
        <v>18</v>
      </c>
      <c r="G171" s="127">
        <v>75.11</v>
      </c>
      <c r="H171" s="115" t="s">
        <v>122</v>
      </c>
    </row>
    <row r="172" spans="1:8" ht="21" customHeight="1" x14ac:dyDescent="0.25">
      <c r="A172" s="95">
        <v>41077</v>
      </c>
      <c r="B172" s="127">
        <v>11.21</v>
      </c>
      <c r="C172" s="130">
        <v>13750</v>
      </c>
      <c r="D172" s="127"/>
      <c r="E172" s="127"/>
      <c r="F172" s="127">
        <v>18</v>
      </c>
      <c r="G172" s="127">
        <v>74.58</v>
      </c>
      <c r="H172" s="115" t="s">
        <v>122</v>
      </c>
    </row>
    <row r="173" spans="1:8" ht="21" customHeight="1" x14ac:dyDescent="0.25">
      <c r="A173" s="95">
        <v>41078</v>
      </c>
      <c r="B173" s="127">
        <v>11.08</v>
      </c>
      <c r="C173" s="130">
        <v>13600</v>
      </c>
      <c r="D173" s="127"/>
      <c r="E173" s="127"/>
      <c r="F173" s="127">
        <v>18</v>
      </c>
      <c r="G173" s="127">
        <v>74.040000000000006</v>
      </c>
      <c r="H173" s="115" t="s">
        <v>122</v>
      </c>
    </row>
    <row r="174" spans="1:8" ht="21" customHeight="1" x14ac:dyDescent="0.25">
      <c r="A174" s="95">
        <v>41079</v>
      </c>
      <c r="B174" s="129">
        <v>11</v>
      </c>
      <c r="C174" s="130">
        <v>13500</v>
      </c>
      <c r="D174" s="127"/>
      <c r="E174" s="127"/>
      <c r="F174" s="127"/>
      <c r="G174" s="127"/>
      <c r="H174" s="115" t="s">
        <v>122</v>
      </c>
    </row>
    <row r="175" spans="1:8" ht="21" customHeight="1" x14ac:dyDescent="0.25">
      <c r="A175" s="95">
        <v>41080</v>
      </c>
      <c r="B175" s="129">
        <v>11</v>
      </c>
      <c r="C175" s="130">
        <v>13500</v>
      </c>
      <c r="D175" s="127"/>
      <c r="E175" s="127"/>
      <c r="F175" s="127"/>
      <c r="G175" s="127"/>
      <c r="H175" s="115" t="s">
        <v>122</v>
      </c>
    </row>
    <row r="176" spans="1:8" ht="21" customHeight="1" x14ac:dyDescent="0.25">
      <c r="A176" s="95">
        <v>41081</v>
      </c>
      <c r="B176" s="129">
        <v>11</v>
      </c>
      <c r="C176" s="130">
        <v>13500</v>
      </c>
      <c r="D176" s="127"/>
      <c r="E176" s="127"/>
      <c r="F176" s="127"/>
      <c r="G176" s="127"/>
      <c r="H176" s="115" t="s">
        <v>122</v>
      </c>
    </row>
    <row r="177" spans="1:8" ht="21" customHeight="1" x14ac:dyDescent="0.25">
      <c r="A177" s="95">
        <v>41082</v>
      </c>
      <c r="B177" s="129">
        <v>11</v>
      </c>
      <c r="C177" s="130">
        <v>13500</v>
      </c>
      <c r="D177" s="127"/>
      <c r="E177" s="127"/>
      <c r="F177" s="127"/>
      <c r="G177" s="127"/>
      <c r="H177" s="115" t="s">
        <v>122</v>
      </c>
    </row>
    <row r="178" spans="1:8" ht="21" customHeight="1" x14ac:dyDescent="0.25">
      <c r="A178" s="95">
        <v>41083</v>
      </c>
      <c r="B178" s="127">
        <v>10.92</v>
      </c>
      <c r="C178" s="130">
        <v>13250</v>
      </c>
      <c r="D178" s="127"/>
      <c r="E178" s="127"/>
      <c r="F178" s="127">
        <v>15</v>
      </c>
      <c r="G178" s="127">
        <v>62</v>
      </c>
      <c r="H178" s="115" t="s">
        <v>122</v>
      </c>
    </row>
    <row r="179" spans="1:8" ht="21" customHeight="1" x14ac:dyDescent="0.25">
      <c r="A179" s="95">
        <v>41084</v>
      </c>
      <c r="B179" s="127">
        <v>10.79</v>
      </c>
      <c r="C179" s="130">
        <v>12950</v>
      </c>
      <c r="D179" s="127"/>
      <c r="E179" s="127"/>
      <c r="F179" s="127">
        <v>15</v>
      </c>
      <c r="G179" s="127">
        <v>61.55</v>
      </c>
      <c r="H179" s="115" t="s">
        <v>122</v>
      </c>
    </row>
    <row r="180" spans="1:8" ht="21" customHeight="1" x14ac:dyDescent="0.25">
      <c r="A180" s="95">
        <v>41085</v>
      </c>
      <c r="B180" s="127">
        <v>10.67</v>
      </c>
      <c r="C180" s="130">
        <v>12800</v>
      </c>
      <c r="D180" s="127"/>
      <c r="E180" s="127"/>
      <c r="F180" s="127">
        <v>20</v>
      </c>
      <c r="G180" s="127">
        <v>79.41</v>
      </c>
      <c r="H180" s="115" t="s">
        <v>122</v>
      </c>
    </row>
    <row r="181" spans="1:8" ht="21" customHeight="1" x14ac:dyDescent="0.25">
      <c r="A181" s="95">
        <v>41086</v>
      </c>
      <c r="B181" s="127">
        <v>10.54</v>
      </c>
      <c r="C181" s="130">
        <v>12500</v>
      </c>
      <c r="D181" s="127"/>
      <c r="E181" s="127"/>
      <c r="F181" s="127">
        <v>20</v>
      </c>
      <c r="G181" s="127">
        <v>78.78</v>
      </c>
      <c r="H181" s="115" t="s">
        <v>122</v>
      </c>
    </row>
    <row r="182" spans="1:8" ht="21" customHeight="1" x14ac:dyDescent="0.25">
      <c r="A182" s="95">
        <v>41087</v>
      </c>
      <c r="B182" s="145">
        <v>10.42</v>
      </c>
      <c r="C182" s="130">
        <v>12400</v>
      </c>
      <c r="D182" s="127"/>
      <c r="E182" s="127"/>
      <c r="F182" s="127">
        <v>20</v>
      </c>
      <c r="G182" s="127">
        <v>78.150000000000006</v>
      </c>
      <c r="H182" s="115" t="s">
        <v>122</v>
      </c>
    </row>
    <row r="183" spans="1:8" ht="21" customHeight="1" x14ac:dyDescent="0.25">
      <c r="A183" s="95">
        <v>41088</v>
      </c>
      <c r="B183" s="145">
        <v>10.25</v>
      </c>
      <c r="C183" s="130">
        <v>12200</v>
      </c>
      <c r="D183" s="127"/>
      <c r="E183" s="127"/>
      <c r="F183" s="127">
        <v>20</v>
      </c>
      <c r="G183" s="127">
        <v>77.31</v>
      </c>
      <c r="H183" s="115" t="s">
        <v>122</v>
      </c>
    </row>
    <row r="184" spans="1:8" ht="21" customHeight="1" x14ac:dyDescent="0.25">
      <c r="A184" s="95">
        <v>41089</v>
      </c>
      <c r="B184" s="145">
        <v>10.119999999999999</v>
      </c>
      <c r="C184" s="130">
        <v>11900</v>
      </c>
      <c r="D184" s="127"/>
      <c r="E184" s="127"/>
      <c r="F184" s="127">
        <v>15</v>
      </c>
      <c r="G184" s="127">
        <v>59.1</v>
      </c>
      <c r="H184" s="115" t="s">
        <v>122</v>
      </c>
    </row>
    <row r="185" spans="1:8" ht="21" customHeight="1" x14ac:dyDescent="0.25">
      <c r="A185" s="95">
        <v>41090</v>
      </c>
      <c r="B185" s="145">
        <v>10.039999999999999</v>
      </c>
      <c r="C185" s="130">
        <v>11700</v>
      </c>
      <c r="D185" s="127"/>
      <c r="E185" s="127"/>
      <c r="F185" s="127"/>
      <c r="G185" s="127"/>
      <c r="H185" s="115" t="s">
        <v>122</v>
      </c>
    </row>
    <row r="186" spans="1:8" ht="21" customHeight="1" x14ac:dyDescent="0.25">
      <c r="A186" s="95">
        <v>41091</v>
      </c>
      <c r="B186" s="129">
        <v>10.039999999999999</v>
      </c>
      <c r="C186" s="130">
        <v>11700</v>
      </c>
      <c r="D186" s="127"/>
      <c r="E186" s="127"/>
      <c r="F186" s="127"/>
      <c r="G186" s="127"/>
      <c r="H186" s="115" t="s">
        <v>122</v>
      </c>
    </row>
    <row r="187" spans="1:8" ht="21" customHeight="1" x14ac:dyDescent="0.25">
      <c r="A187" s="95">
        <v>41092</v>
      </c>
      <c r="B187" s="129">
        <v>10.039999999999999</v>
      </c>
      <c r="C187" s="130">
        <v>11700</v>
      </c>
      <c r="D187" s="127"/>
      <c r="E187" s="127"/>
      <c r="F187" s="127"/>
      <c r="G187" s="127"/>
      <c r="H187" s="115" t="s">
        <v>122</v>
      </c>
    </row>
    <row r="188" spans="1:8" ht="21" customHeight="1" x14ac:dyDescent="0.25">
      <c r="A188" s="95">
        <v>41093</v>
      </c>
      <c r="B188" s="129">
        <v>10</v>
      </c>
      <c r="C188" s="130">
        <v>11900</v>
      </c>
      <c r="D188" s="127"/>
      <c r="E188" s="127"/>
      <c r="F188" s="127">
        <v>15</v>
      </c>
      <c r="G188" s="127">
        <v>58.33</v>
      </c>
      <c r="H188" s="115" t="s">
        <v>122</v>
      </c>
    </row>
    <row r="189" spans="1:8" ht="21" customHeight="1" x14ac:dyDescent="0.25">
      <c r="A189" s="95">
        <v>41094</v>
      </c>
      <c r="B189" s="129">
        <v>9.92</v>
      </c>
      <c r="C189" s="130">
        <v>11500</v>
      </c>
      <c r="D189" s="127"/>
      <c r="E189" s="127"/>
      <c r="F189" s="127">
        <v>15</v>
      </c>
      <c r="G189" s="127">
        <v>58.31</v>
      </c>
      <c r="H189" s="115" t="s">
        <v>122</v>
      </c>
    </row>
    <row r="190" spans="1:8" ht="21" customHeight="1" x14ac:dyDescent="0.25">
      <c r="A190" s="95">
        <v>41095</v>
      </c>
      <c r="B190" s="129">
        <v>9.7899999999999991</v>
      </c>
      <c r="C190" s="130">
        <v>11350</v>
      </c>
      <c r="D190" s="127"/>
      <c r="E190" s="127"/>
      <c r="F190" s="127">
        <v>18</v>
      </c>
      <c r="G190" s="127">
        <v>68.22</v>
      </c>
      <c r="H190" s="115" t="s">
        <v>122</v>
      </c>
    </row>
    <row r="191" spans="1:8" ht="21" customHeight="1" x14ac:dyDescent="0.25">
      <c r="A191" s="95">
        <v>41096</v>
      </c>
      <c r="B191" s="129">
        <v>9.67</v>
      </c>
      <c r="C191" s="130">
        <v>11200</v>
      </c>
      <c r="D191" s="127"/>
      <c r="E191" s="127"/>
      <c r="F191" s="127">
        <v>18</v>
      </c>
      <c r="G191" s="127">
        <v>67.25</v>
      </c>
      <c r="H191" s="115" t="s">
        <v>122</v>
      </c>
    </row>
    <row r="192" spans="1:8" ht="21" customHeight="1" x14ac:dyDescent="0.25">
      <c r="A192" s="95">
        <v>41097</v>
      </c>
      <c r="B192" s="129">
        <v>9.5399999999999991</v>
      </c>
      <c r="C192" s="130">
        <v>10950</v>
      </c>
      <c r="D192" s="127"/>
      <c r="E192" s="127"/>
      <c r="F192" s="127">
        <v>15</v>
      </c>
      <c r="G192" s="127">
        <v>56.87</v>
      </c>
      <c r="H192" s="115" t="s">
        <v>122</v>
      </c>
    </row>
    <row r="193" spans="1:8" ht="21" customHeight="1" x14ac:dyDescent="0.25">
      <c r="A193" s="95">
        <v>41098</v>
      </c>
      <c r="B193" s="129">
        <v>9.42</v>
      </c>
      <c r="C193" s="130">
        <v>10700</v>
      </c>
      <c r="D193" s="127"/>
      <c r="E193" s="127"/>
      <c r="F193" s="127">
        <v>15</v>
      </c>
      <c r="G193" s="127">
        <v>56.38</v>
      </c>
      <c r="H193" s="115" t="s">
        <v>122</v>
      </c>
    </row>
    <row r="194" spans="1:8" ht="21" customHeight="1" x14ac:dyDescent="0.25">
      <c r="A194" s="95">
        <v>41099</v>
      </c>
      <c r="B194" s="145">
        <v>9.2899999999999991</v>
      </c>
      <c r="C194" s="130">
        <v>10500</v>
      </c>
      <c r="D194" s="127"/>
      <c r="E194" s="127"/>
      <c r="F194" s="127">
        <v>15</v>
      </c>
      <c r="G194" s="127">
        <v>55.88</v>
      </c>
      <c r="H194" s="115" t="s">
        <v>122</v>
      </c>
    </row>
    <row r="195" spans="1:8" ht="21" customHeight="1" x14ac:dyDescent="0.25">
      <c r="A195" s="95">
        <v>41100</v>
      </c>
      <c r="B195" s="129">
        <v>9.17</v>
      </c>
      <c r="C195" s="130">
        <v>10400</v>
      </c>
      <c r="D195" s="127"/>
      <c r="E195" s="127"/>
      <c r="F195" s="127">
        <v>15</v>
      </c>
      <c r="G195" s="127">
        <v>55.39</v>
      </c>
      <c r="H195" s="115" t="s">
        <v>122</v>
      </c>
    </row>
    <row r="196" spans="1:8" ht="21" customHeight="1" x14ac:dyDescent="0.25">
      <c r="A196" s="95">
        <v>41101</v>
      </c>
      <c r="B196" s="145">
        <v>9.0399999999999991</v>
      </c>
      <c r="C196" s="130">
        <v>10250</v>
      </c>
      <c r="D196" s="127"/>
      <c r="E196" s="127"/>
      <c r="F196" s="127">
        <v>15</v>
      </c>
      <c r="G196" s="127">
        <v>54.88</v>
      </c>
      <c r="H196" s="115" t="s">
        <v>122</v>
      </c>
    </row>
    <row r="197" spans="1:8" ht="21" customHeight="1" x14ac:dyDescent="0.25">
      <c r="A197" s="95">
        <v>41102</v>
      </c>
      <c r="B197" s="145">
        <v>9</v>
      </c>
      <c r="C197" s="130">
        <v>10200</v>
      </c>
      <c r="D197" s="127"/>
      <c r="E197" s="127"/>
      <c r="F197" s="127"/>
      <c r="G197" s="127"/>
      <c r="H197" s="115" t="s">
        <v>122</v>
      </c>
    </row>
    <row r="198" spans="1:8" ht="21" customHeight="1" x14ac:dyDescent="0.25">
      <c r="A198" s="95">
        <v>41103</v>
      </c>
      <c r="B198" s="145">
        <v>9</v>
      </c>
      <c r="C198" s="130">
        <v>10200</v>
      </c>
      <c r="D198" s="127"/>
      <c r="E198" s="127"/>
      <c r="F198" s="127"/>
      <c r="G198" s="127"/>
      <c r="H198" s="115" t="s">
        <v>122</v>
      </c>
    </row>
    <row r="199" spans="1:8" ht="21" customHeight="1" x14ac:dyDescent="0.25">
      <c r="A199" s="95">
        <v>41104</v>
      </c>
      <c r="B199" s="145">
        <v>9</v>
      </c>
      <c r="C199" s="130">
        <v>10200</v>
      </c>
      <c r="D199" s="127"/>
      <c r="E199" s="127"/>
      <c r="F199" s="127"/>
      <c r="G199" s="127"/>
      <c r="H199" s="115" t="s">
        <v>122</v>
      </c>
    </row>
    <row r="200" spans="1:8" ht="21" customHeight="1" x14ac:dyDescent="0.25">
      <c r="A200" s="95">
        <v>41105</v>
      </c>
      <c r="B200" s="145">
        <v>9</v>
      </c>
      <c r="C200" s="130">
        <v>10200</v>
      </c>
      <c r="D200" s="127"/>
      <c r="E200" s="127"/>
      <c r="F200" s="127"/>
      <c r="G200" s="127"/>
      <c r="H200" s="115" t="s">
        <v>122</v>
      </c>
    </row>
    <row r="201" spans="1:8" ht="21" customHeight="1" x14ac:dyDescent="0.25">
      <c r="A201" s="95">
        <v>41106</v>
      </c>
      <c r="B201" s="145">
        <v>9</v>
      </c>
      <c r="C201" s="130">
        <v>10200</v>
      </c>
      <c r="D201" s="127"/>
      <c r="E201" s="127"/>
      <c r="F201" s="127"/>
      <c r="G201" s="127"/>
      <c r="H201" s="115" t="s">
        <v>122</v>
      </c>
    </row>
    <row r="202" spans="1:8" ht="21" customHeight="1" x14ac:dyDescent="0.25">
      <c r="A202" s="95">
        <v>41107</v>
      </c>
      <c r="B202" s="145">
        <v>9</v>
      </c>
      <c r="C202" s="130">
        <v>10200</v>
      </c>
      <c r="D202" s="127"/>
      <c r="E202" s="127"/>
      <c r="F202" s="127"/>
      <c r="G202" s="127"/>
      <c r="H202" s="115" t="s">
        <v>122</v>
      </c>
    </row>
    <row r="203" spans="1:8" ht="21" customHeight="1" x14ac:dyDescent="0.25">
      <c r="A203" s="95">
        <v>41108</v>
      </c>
      <c r="B203" s="145">
        <v>9</v>
      </c>
      <c r="C203" s="130">
        <v>10200</v>
      </c>
      <c r="D203" s="127"/>
      <c r="E203" s="127"/>
      <c r="F203" s="127">
        <v>18</v>
      </c>
      <c r="G203" s="127">
        <v>64.41</v>
      </c>
      <c r="H203" s="115" t="s">
        <v>122</v>
      </c>
    </row>
    <row r="204" spans="1:8" ht="21" customHeight="1" x14ac:dyDescent="0.25">
      <c r="A204" s="95">
        <v>41109</v>
      </c>
      <c r="B204" s="145">
        <v>8.8699999999999992</v>
      </c>
      <c r="C204" s="130">
        <v>10050</v>
      </c>
      <c r="D204" s="127"/>
      <c r="E204" s="127"/>
      <c r="F204" s="127">
        <v>18</v>
      </c>
      <c r="G204" s="127">
        <v>63.79</v>
      </c>
      <c r="H204" s="115" t="s">
        <v>122</v>
      </c>
    </row>
    <row r="205" spans="1:8" ht="21" customHeight="1" x14ac:dyDescent="0.25">
      <c r="A205" s="95">
        <v>41110</v>
      </c>
      <c r="B205" s="145">
        <v>8.75</v>
      </c>
      <c r="C205" s="130">
        <v>9900</v>
      </c>
      <c r="D205" s="127"/>
      <c r="E205" s="127"/>
      <c r="F205" s="127">
        <v>20</v>
      </c>
      <c r="G205" s="127">
        <v>69.22</v>
      </c>
      <c r="H205" s="115" t="s">
        <v>122</v>
      </c>
    </row>
    <row r="206" spans="1:8" ht="21" customHeight="1" x14ac:dyDescent="0.25">
      <c r="A206" s="95">
        <v>41111</v>
      </c>
      <c r="B206" s="145">
        <v>8.6199999999999992</v>
      </c>
      <c r="C206" s="130">
        <v>9750</v>
      </c>
      <c r="D206" s="127"/>
      <c r="E206" s="127"/>
      <c r="F206" s="127">
        <v>20</v>
      </c>
      <c r="G206" s="127">
        <v>68.5</v>
      </c>
      <c r="H206" s="115" t="s">
        <v>122</v>
      </c>
    </row>
    <row r="207" spans="1:8" ht="21" customHeight="1" x14ac:dyDescent="0.25">
      <c r="A207" s="95">
        <v>41112</v>
      </c>
      <c r="B207" s="145">
        <v>8.5</v>
      </c>
      <c r="C207" s="130">
        <v>9600</v>
      </c>
      <c r="D207" s="127"/>
      <c r="E207" s="127"/>
      <c r="F207" s="127">
        <v>20</v>
      </c>
      <c r="G207" s="127">
        <v>67.290000000000006</v>
      </c>
      <c r="H207" s="115" t="s">
        <v>122</v>
      </c>
    </row>
    <row r="208" spans="1:8" ht="21" customHeight="1" x14ac:dyDescent="0.25">
      <c r="A208" s="95">
        <v>41113</v>
      </c>
      <c r="B208" s="145">
        <v>8.3699999999999992</v>
      </c>
      <c r="C208" s="130">
        <v>9450</v>
      </c>
      <c r="D208" s="127"/>
      <c r="E208" s="127"/>
      <c r="F208" s="127">
        <v>20</v>
      </c>
      <c r="G208" s="127">
        <v>66.8</v>
      </c>
      <c r="H208" s="115" t="s">
        <v>122</v>
      </c>
    </row>
    <row r="209" spans="1:8" ht="21" customHeight="1" x14ac:dyDescent="0.25">
      <c r="A209" s="95">
        <v>41114</v>
      </c>
      <c r="B209" s="145">
        <v>8.25</v>
      </c>
      <c r="C209" s="130">
        <v>9300</v>
      </c>
      <c r="D209" s="127"/>
      <c r="E209" s="127"/>
      <c r="F209" s="127">
        <v>20</v>
      </c>
      <c r="G209" s="127">
        <v>66.31</v>
      </c>
      <c r="H209" s="115" t="s">
        <v>122</v>
      </c>
    </row>
    <row r="210" spans="1:8" ht="21" customHeight="1" x14ac:dyDescent="0.25">
      <c r="A210" s="95">
        <v>41115</v>
      </c>
      <c r="B210" s="145">
        <v>8.1199999999999992</v>
      </c>
      <c r="C210" s="130">
        <v>9150</v>
      </c>
      <c r="D210" s="127"/>
      <c r="E210" s="127"/>
      <c r="F210" s="127">
        <v>20</v>
      </c>
      <c r="G210" s="127">
        <v>65.56</v>
      </c>
      <c r="H210" s="115" t="s">
        <v>122</v>
      </c>
    </row>
    <row r="211" spans="1:8" ht="21" customHeight="1" x14ac:dyDescent="0.25">
      <c r="A211" s="95">
        <v>41116</v>
      </c>
      <c r="B211" s="145">
        <v>8</v>
      </c>
      <c r="C211" s="130">
        <v>9000</v>
      </c>
      <c r="D211" s="127"/>
      <c r="E211" s="127"/>
      <c r="F211" s="127">
        <v>20</v>
      </c>
      <c r="G211" s="127">
        <v>64.8</v>
      </c>
      <c r="H211" s="115" t="s">
        <v>122</v>
      </c>
    </row>
    <row r="212" spans="1:8" ht="21" customHeight="1" x14ac:dyDescent="0.25">
      <c r="A212" s="95">
        <v>41117</v>
      </c>
      <c r="B212" s="145">
        <v>7.87</v>
      </c>
      <c r="C212" s="130">
        <v>8850</v>
      </c>
      <c r="D212" s="127"/>
      <c r="E212" s="127"/>
      <c r="F212" s="127"/>
      <c r="G212" s="127"/>
      <c r="H212" s="115" t="s">
        <v>122</v>
      </c>
    </row>
    <row r="213" spans="1:8" ht="21" customHeight="1" x14ac:dyDescent="0.25">
      <c r="A213" s="95">
        <v>41118</v>
      </c>
      <c r="B213" s="145">
        <v>7.87</v>
      </c>
      <c r="C213" s="130">
        <v>8850</v>
      </c>
      <c r="D213" s="127"/>
      <c r="E213" s="127"/>
      <c r="F213" s="127">
        <v>24</v>
      </c>
      <c r="G213" s="127">
        <v>74.290000000000006</v>
      </c>
      <c r="H213" s="115" t="s">
        <v>122</v>
      </c>
    </row>
    <row r="214" spans="1:8" ht="21" customHeight="1" x14ac:dyDescent="0.25">
      <c r="A214" s="95">
        <v>41119</v>
      </c>
      <c r="B214" s="145">
        <v>7.75</v>
      </c>
      <c r="C214" s="130">
        <v>8700</v>
      </c>
      <c r="D214" s="127"/>
      <c r="E214" s="127"/>
      <c r="F214" s="127">
        <v>24</v>
      </c>
      <c r="G214" s="127">
        <v>73.319999999999993</v>
      </c>
      <c r="H214" s="115" t="s">
        <v>122</v>
      </c>
    </row>
    <row r="215" spans="1:8" ht="21" customHeight="1" x14ac:dyDescent="0.25">
      <c r="A215" s="95">
        <v>41120</v>
      </c>
      <c r="B215" s="145">
        <v>7.79</v>
      </c>
      <c r="C215" s="130">
        <v>8750</v>
      </c>
      <c r="D215" s="127"/>
      <c r="E215" s="127"/>
      <c r="F215" s="127">
        <v>24</v>
      </c>
      <c r="G215" s="127">
        <v>72.34</v>
      </c>
      <c r="H215" s="115" t="s">
        <v>122</v>
      </c>
    </row>
    <row r="216" spans="1:8" ht="21" customHeight="1" x14ac:dyDescent="0.25">
      <c r="A216" s="95">
        <v>41121</v>
      </c>
      <c r="B216" s="145">
        <v>7.5</v>
      </c>
      <c r="C216" s="130">
        <v>8400</v>
      </c>
      <c r="D216" s="127"/>
      <c r="E216" s="127"/>
      <c r="F216" s="127">
        <v>24</v>
      </c>
      <c r="G216" s="127">
        <v>71.349999999999994</v>
      </c>
      <c r="H216" s="115" t="s">
        <v>122</v>
      </c>
    </row>
    <row r="217" spans="1:8" ht="21" customHeight="1" x14ac:dyDescent="0.25">
      <c r="A217" s="95">
        <v>41122</v>
      </c>
      <c r="B217" s="129">
        <v>7.33</v>
      </c>
      <c r="C217" s="130">
        <v>8250</v>
      </c>
      <c r="D217" s="127"/>
      <c r="E217" s="127"/>
      <c r="F217" s="127">
        <v>24</v>
      </c>
      <c r="G217" s="127">
        <v>70</v>
      </c>
      <c r="H217" s="115" t="s">
        <v>122</v>
      </c>
    </row>
    <row r="218" spans="1:8" ht="21" customHeight="1" x14ac:dyDescent="0.25">
      <c r="A218" s="95">
        <v>41123</v>
      </c>
      <c r="B218" s="129">
        <v>7.12</v>
      </c>
      <c r="C218" s="130">
        <v>8100</v>
      </c>
      <c r="D218" s="127"/>
      <c r="E218" s="127"/>
      <c r="F218" s="127">
        <v>24</v>
      </c>
      <c r="G218" s="127">
        <v>68.63</v>
      </c>
      <c r="H218" s="115" t="s">
        <v>122</v>
      </c>
    </row>
    <row r="219" spans="1:8" ht="21" customHeight="1" x14ac:dyDescent="0.25">
      <c r="A219" s="95">
        <v>41124</v>
      </c>
      <c r="B219" s="129">
        <v>7</v>
      </c>
      <c r="C219" s="130">
        <v>7900</v>
      </c>
      <c r="D219" s="127"/>
      <c r="E219" s="127"/>
      <c r="F219" s="127">
        <v>24</v>
      </c>
      <c r="G219" s="127">
        <v>67.23</v>
      </c>
      <c r="H219" s="115" t="s">
        <v>122</v>
      </c>
    </row>
    <row r="220" spans="1:8" ht="21" customHeight="1" x14ac:dyDescent="0.25">
      <c r="A220" s="95">
        <v>41125</v>
      </c>
      <c r="B220" s="129">
        <v>6.83</v>
      </c>
      <c r="C220" s="130">
        <v>7700</v>
      </c>
      <c r="D220" s="127"/>
      <c r="E220" s="127"/>
      <c r="F220" s="127">
        <v>24</v>
      </c>
      <c r="G220" s="127">
        <v>65.8</v>
      </c>
      <c r="H220" s="115" t="s">
        <v>122</v>
      </c>
    </row>
    <row r="221" spans="1:8" ht="21" customHeight="1" x14ac:dyDescent="0.25">
      <c r="A221" s="95">
        <v>41126</v>
      </c>
      <c r="B221" s="127">
        <v>6.67</v>
      </c>
      <c r="C221" s="130">
        <v>7500</v>
      </c>
      <c r="D221" s="127"/>
      <c r="E221" s="127"/>
      <c r="F221" s="127">
        <v>20</v>
      </c>
      <c r="G221" s="127">
        <v>56.43</v>
      </c>
      <c r="H221" s="115" t="s">
        <v>122</v>
      </c>
    </row>
    <row r="222" spans="1:8" ht="21" customHeight="1" x14ac:dyDescent="0.25">
      <c r="A222" s="95">
        <v>41127</v>
      </c>
      <c r="B222" s="129">
        <v>6.58</v>
      </c>
      <c r="C222" s="130">
        <v>7450</v>
      </c>
      <c r="D222" s="127"/>
      <c r="E222" s="127"/>
      <c r="F222" s="127">
        <v>20</v>
      </c>
      <c r="G222" s="127">
        <v>65.069999999999993</v>
      </c>
      <c r="H222" s="115" t="s">
        <v>122</v>
      </c>
    </row>
    <row r="223" spans="1:8" ht="21" customHeight="1" x14ac:dyDescent="0.25">
      <c r="A223" s="95">
        <v>41128</v>
      </c>
      <c r="B223" s="127">
        <v>6.42</v>
      </c>
      <c r="C223" s="130">
        <v>7300</v>
      </c>
      <c r="D223" s="127"/>
      <c r="E223" s="127"/>
      <c r="F223" s="127">
        <v>20</v>
      </c>
      <c r="G223" s="127">
        <v>62.07</v>
      </c>
      <c r="H223" s="115" t="s">
        <v>122</v>
      </c>
    </row>
    <row r="224" spans="1:8" ht="21" customHeight="1" x14ac:dyDescent="0.25">
      <c r="A224" s="95">
        <v>41129</v>
      </c>
      <c r="B224" s="127">
        <v>6.33</v>
      </c>
      <c r="C224" s="130">
        <v>7200</v>
      </c>
      <c r="D224" s="127"/>
      <c r="E224" s="127"/>
      <c r="F224" s="127">
        <v>20</v>
      </c>
      <c r="G224" s="127">
        <v>62.84</v>
      </c>
      <c r="H224" s="115" t="s">
        <v>122</v>
      </c>
    </row>
    <row r="225" spans="1:8" ht="21" customHeight="1" x14ac:dyDescent="0.25">
      <c r="A225" s="95">
        <v>41130</v>
      </c>
      <c r="B225" s="129">
        <v>6.21</v>
      </c>
      <c r="C225" s="130">
        <v>7050</v>
      </c>
      <c r="D225" s="127"/>
      <c r="E225" s="127"/>
      <c r="F225" s="127">
        <v>20</v>
      </c>
      <c r="G225" s="127">
        <v>52.73</v>
      </c>
      <c r="H225" s="115" t="s">
        <v>122</v>
      </c>
    </row>
    <row r="226" spans="1:8" ht="21" customHeight="1" x14ac:dyDescent="0.25">
      <c r="A226" s="95">
        <v>41131</v>
      </c>
      <c r="B226" s="127">
        <v>6.08</v>
      </c>
      <c r="C226" s="130">
        <v>6950</v>
      </c>
      <c r="D226" s="127"/>
      <c r="E226" s="127"/>
      <c r="F226" s="127">
        <v>20</v>
      </c>
      <c r="G226" s="127">
        <v>51.79</v>
      </c>
      <c r="H226" s="115" t="s">
        <v>122</v>
      </c>
    </row>
    <row r="227" spans="1:8" ht="21" customHeight="1" x14ac:dyDescent="0.25">
      <c r="A227" s="95">
        <v>41132</v>
      </c>
      <c r="B227" s="129">
        <v>5.96</v>
      </c>
      <c r="C227" s="130">
        <v>6850</v>
      </c>
      <c r="D227" s="127"/>
      <c r="E227" s="127"/>
      <c r="F227" s="127">
        <v>20</v>
      </c>
      <c r="G227" s="127">
        <v>50.82</v>
      </c>
      <c r="H227" s="115" t="s">
        <v>122</v>
      </c>
    </row>
    <row r="228" spans="1:8" ht="21" customHeight="1" x14ac:dyDescent="0.25">
      <c r="A228" s="95">
        <v>41133</v>
      </c>
      <c r="B228" s="129">
        <v>5.83</v>
      </c>
      <c r="C228" s="130">
        <v>6700</v>
      </c>
      <c r="D228" s="127"/>
      <c r="E228" s="127"/>
      <c r="F228" s="127">
        <v>20</v>
      </c>
      <c r="G228" s="127">
        <v>49.84</v>
      </c>
      <c r="H228" s="115" t="s">
        <v>122</v>
      </c>
    </row>
    <row r="229" spans="1:8" ht="21" customHeight="1" x14ac:dyDescent="0.25">
      <c r="A229" s="95">
        <v>41134</v>
      </c>
      <c r="B229" s="129">
        <v>5.71</v>
      </c>
      <c r="C229" s="130">
        <v>6550</v>
      </c>
      <c r="D229" s="127"/>
      <c r="E229" s="127"/>
      <c r="F229" s="127">
        <v>20</v>
      </c>
      <c r="G229" s="127">
        <v>48.83</v>
      </c>
      <c r="H229" s="115" t="s">
        <v>122</v>
      </c>
    </row>
    <row r="230" spans="1:8" ht="21" customHeight="1" x14ac:dyDescent="0.25">
      <c r="A230" s="95">
        <v>41135</v>
      </c>
      <c r="B230" s="129">
        <v>5.58</v>
      </c>
      <c r="C230" s="130">
        <v>6450</v>
      </c>
      <c r="D230" s="127"/>
      <c r="E230" s="127"/>
      <c r="F230" s="127">
        <v>20</v>
      </c>
      <c r="G230" s="127">
        <v>47.8</v>
      </c>
      <c r="H230" s="115" t="s">
        <v>122</v>
      </c>
    </row>
    <row r="231" spans="1:8" ht="21" customHeight="1" x14ac:dyDescent="0.25">
      <c r="A231" s="95">
        <v>41136</v>
      </c>
      <c r="B231" s="129">
        <v>5.58</v>
      </c>
      <c r="C231" s="130">
        <v>6450</v>
      </c>
      <c r="D231" s="127"/>
      <c r="E231" s="127"/>
      <c r="F231" s="127"/>
      <c r="G231" s="127"/>
      <c r="H231" s="115" t="s">
        <v>122</v>
      </c>
    </row>
    <row r="232" spans="1:8" ht="21" customHeight="1" x14ac:dyDescent="0.25">
      <c r="A232" s="95">
        <v>41137</v>
      </c>
      <c r="B232" s="129">
        <v>5.58</v>
      </c>
      <c r="C232" s="130">
        <v>6450</v>
      </c>
      <c r="D232" s="127"/>
      <c r="E232" s="127"/>
      <c r="F232" s="127"/>
      <c r="G232" s="127"/>
      <c r="H232" s="115" t="s">
        <v>122</v>
      </c>
    </row>
    <row r="233" spans="1:8" ht="21" customHeight="1" x14ac:dyDescent="0.25">
      <c r="A233" s="95">
        <v>41138</v>
      </c>
      <c r="B233" s="127">
        <v>5.58</v>
      </c>
      <c r="C233" s="130">
        <v>6450</v>
      </c>
      <c r="D233" s="127"/>
      <c r="E233" s="127"/>
      <c r="F233" s="127"/>
      <c r="G233" s="127"/>
      <c r="H233" s="115" t="s">
        <v>122</v>
      </c>
    </row>
    <row r="234" spans="1:8" ht="21" customHeight="1" x14ac:dyDescent="0.25">
      <c r="A234" s="95">
        <v>41139</v>
      </c>
      <c r="B234" s="127">
        <v>5.58</v>
      </c>
      <c r="C234" s="130">
        <v>6450</v>
      </c>
      <c r="D234" s="127"/>
      <c r="E234" s="127"/>
      <c r="F234" s="127"/>
      <c r="G234" s="127"/>
      <c r="H234" s="115" t="s">
        <v>122</v>
      </c>
    </row>
    <row r="235" spans="1:8" ht="21" customHeight="1" x14ac:dyDescent="0.25">
      <c r="A235" s="95">
        <v>41140</v>
      </c>
      <c r="B235" s="127">
        <v>5.58</v>
      </c>
      <c r="C235" s="130">
        <v>6450</v>
      </c>
      <c r="D235" s="127"/>
      <c r="E235" s="127"/>
      <c r="F235" s="127"/>
      <c r="G235" s="127"/>
      <c r="H235" s="115" t="s">
        <v>122</v>
      </c>
    </row>
    <row r="236" spans="1:8" ht="21" customHeight="1" x14ac:dyDescent="0.25">
      <c r="A236" s="95">
        <v>41141</v>
      </c>
      <c r="B236" s="129">
        <v>5.5</v>
      </c>
      <c r="C236" s="130">
        <v>6400</v>
      </c>
      <c r="D236" s="127"/>
      <c r="E236" s="127"/>
      <c r="F236" s="127"/>
      <c r="G236" s="127"/>
      <c r="H236" s="115" t="s">
        <v>122</v>
      </c>
    </row>
    <row r="237" spans="1:8" ht="21" customHeight="1" x14ac:dyDescent="0.25">
      <c r="A237" s="95">
        <v>41142</v>
      </c>
      <c r="B237" s="129">
        <v>5.5</v>
      </c>
      <c r="C237" s="130">
        <v>6400</v>
      </c>
      <c r="D237" s="127"/>
      <c r="E237" s="127"/>
      <c r="F237" s="127"/>
      <c r="G237" s="127"/>
      <c r="H237" s="115" t="s">
        <v>122</v>
      </c>
    </row>
    <row r="238" spans="1:8" ht="21" customHeight="1" x14ac:dyDescent="0.25">
      <c r="A238" s="95">
        <v>41143</v>
      </c>
      <c r="B238" s="129">
        <v>5.5</v>
      </c>
      <c r="C238" s="130">
        <v>6400</v>
      </c>
      <c r="D238" s="127"/>
      <c r="E238" s="127"/>
      <c r="F238" s="127"/>
      <c r="G238" s="127"/>
      <c r="H238" s="115" t="s">
        <v>122</v>
      </c>
    </row>
    <row r="239" spans="1:8" ht="21" customHeight="1" x14ac:dyDescent="0.25">
      <c r="A239" s="95">
        <v>41144</v>
      </c>
      <c r="B239" s="129">
        <v>5.5</v>
      </c>
      <c r="C239" s="130">
        <v>6400</v>
      </c>
      <c r="D239" s="127"/>
      <c r="E239" s="127"/>
      <c r="F239" s="127"/>
      <c r="G239" s="127"/>
      <c r="H239" s="115" t="s">
        <v>122</v>
      </c>
    </row>
    <row r="240" spans="1:8" ht="21" customHeight="1" x14ac:dyDescent="0.25">
      <c r="A240" s="95">
        <v>41145</v>
      </c>
      <c r="B240" s="129">
        <v>5.5</v>
      </c>
      <c r="C240" s="130">
        <v>6400</v>
      </c>
      <c r="D240" s="127"/>
      <c r="E240" s="127"/>
      <c r="F240" s="127"/>
      <c r="G240" s="127"/>
      <c r="H240" s="115" t="s">
        <v>122</v>
      </c>
    </row>
    <row r="241" spans="1:8" ht="21" customHeight="1" x14ac:dyDescent="0.25">
      <c r="A241" s="95">
        <v>41146</v>
      </c>
      <c r="B241" s="127">
        <v>5.42</v>
      </c>
      <c r="C241" s="130">
        <v>6300</v>
      </c>
      <c r="D241" s="127"/>
      <c r="E241" s="127"/>
      <c r="F241" s="127"/>
      <c r="G241" s="127"/>
      <c r="H241" s="115" t="s">
        <v>122</v>
      </c>
    </row>
    <row r="242" spans="1:8" ht="21" customHeight="1" x14ac:dyDescent="0.25">
      <c r="A242" s="95">
        <v>41147</v>
      </c>
      <c r="B242" s="127">
        <v>5.33</v>
      </c>
      <c r="C242" s="130">
        <v>6250</v>
      </c>
      <c r="D242" s="127"/>
      <c r="E242" s="127"/>
      <c r="F242" s="127"/>
      <c r="G242" s="127"/>
      <c r="H242" s="115" t="s">
        <v>122</v>
      </c>
    </row>
    <row r="243" spans="1:8" ht="21" customHeight="1" x14ac:dyDescent="0.25">
      <c r="A243" s="95">
        <v>41148</v>
      </c>
      <c r="B243" s="127">
        <v>5.25</v>
      </c>
      <c r="C243" s="130">
        <v>6200</v>
      </c>
      <c r="D243" s="127"/>
      <c r="E243" s="127"/>
      <c r="F243" s="127"/>
      <c r="G243" s="127"/>
      <c r="H243" s="115" t="s">
        <v>122</v>
      </c>
    </row>
    <row r="244" spans="1:8" ht="21" customHeight="1" x14ac:dyDescent="0.25">
      <c r="A244" s="95">
        <v>41149</v>
      </c>
      <c r="B244" s="127">
        <v>5.25</v>
      </c>
      <c r="C244" s="130">
        <v>6200</v>
      </c>
      <c r="D244" s="127"/>
      <c r="E244" s="127"/>
      <c r="F244" s="127"/>
      <c r="G244" s="127"/>
      <c r="H244" s="115" t="s">
        <v>122</v>
      </c>
    </row>
    <row r="245" spans="1:8" ht="21" customHeight="1" x14ac:dyDescent="0.25">
      <c r="A245" s="95">
        <v>41150</v>
      </c>
      <c r="B245" s="127">
        <v>5.25</v>
      </c>
      <c r="C245" s="130">
        <v>6200</v>
      </c>
      <c r="D245" s="127"/>
      <c r="E245" s="127"/>
      <c r="F245" s="127"/>
      <c r="G245" s="127"/>
      <c r="H245" s="115" t="s">
        <v>122</v>
      </c>
    </row>
    <row r="246" spans="1:8" ht="21" customHeight="1" x14ac:dyDescent="0.25">
      <c r="A246" s="95">
        <v>41151</v>
      </c>
      <c r="B246" s="127">
        <v>5.25</v>
      </c>
      <c r="C246" s="130">
        <v>6200</v>
      </c>
      <c r="D246" s="127"/>
      <c r="E246" s="127"/>
      <c r="F246" s="127"/>
      <c r="G246" s="127"/>
      <c r="H246" s="115" t="s">
        <v>122</v>
      </c>
    </row>
    <row r="247" spans="1:8" ht="21" customHeight="1" x14ac:dyDescent="0.25">
      <c r="A247" s="95">
        <v>41152</v>
      </c>
      <c r="B247" s="127">
        <v>5.17</v>
      </c>
      <c r="C247" s="130">
        <v>6150</v>
      </c>
      <c r="D247" s="127"/>
      <c r="E247" s="127"/>
      <c r="F247" s="127"/>
      <c r="G247" s="127"/>
      <c r="H247" s="115" t="s">
        <v>122</v>
      </c>
    </row>
    <row r="248" spans="1:8" ht="21" customHeight="1" x14ac:dyDescent="0.25">
      <c r="A248" s="95">
        <v>41153</v>
      </c>
      <c r="B248" s="129">
        <v>5.17</v>
      </c>
      <c r="C248" s="130">
        <v>6150</v>
      </c>
      <c r="D248" s="127"/>
      <c r="E248" s="127"/>
      <c r="F248" s="127"/>
      <c r="G248" s="127"/>
      <c r="H248" s="115" t="s">
        <v>122</v>
      </c>
    </row>
    <row r="249" spans="1:8" ht="21" customHeight="1" x14ac:dyDescent="0.25">
      <c r="A249" s="95">
        <v>41154</v>
      </c>
      <c r="B249" s="129">
        <v>5.17</v>
      </c>
      <c r="C249" s="130">
        <v>6150</v>
      </c>
      <c r="D249" s="127"/>
      <c r="E249" s="127"/>
      <c r="F249" s="127"/>
      <c r="G249" s="127"/>
      <c r="H249" s="115" t="s">
        <v>122</v>
      </c>
    </row>
    <row r="250" spans="1:8" ht="21" customHeight="1" x14ac:dyDescent="0.25">
      <c r="A250" s="95">
        <v>41155</v>
      </c>
      <c r="B250" s="129">
        <v>5.17</v>
      </c>
      <c r="C250" s="130">
        <v>6150</v>
      </c>
      <c r="D250" s="127"/>
      <c r="E250" s="127"/>
      <c r="F250" s="127"/>
      <c r="G250" s="127"/>
      <c r="H250" s="115" t="s">
        <v>122</v>
      </c>
    </row>
    <row r="251" spans="1:8" ht="21" customHeight="1" x14ac:dyDescent="0.25">
      <c r="A251" s="95">
        <v>41156</v>
      </c>
      <c r="B251" s="129">
        <v>5.17</v>
      </c>
      <c r="C251" s="130">
        <v>6150</v>
      </c>
      <c r="D251" s="127"/>
      <c r="E251" s="127"/>
      <c r="F251" s="127"/>
      <c r="G251" s="127"/>
      <c r="H251" s="115" t="s">
        <v>122</v>
      </c>
    </row>
    <row r="252" spans="1:8" ht="21" customHeight="1" x14ac:dyDescent="0.25">
      <c r="A252" s="95">
        <v>41157</v>
      </c>
      <c r="B252" s="129">
        <v>5.08</v>
      </c>
      <c r="C252" s="130">
        <v>6100</v>
      </c>
      <c r="D252" s="127"/>
      <c r="E252" s="127"/>
      <c r="F252" s="127"/>
      <c r="G252" s="127"/>
      <c r="H252" s="115" t="s">
        <v>122</v>
      </c>
    </row>
    <row r="253" spans="1:8" ht="21" customHeight="1" x14ac:dyDescent="0.25">
      <c r="A253" s="95">
        <v>41158</v>
      </c>
      <c r="B253" s="129">
        <v>5.08</v>
      </c>
      <c r="C253" s="130">
        <v>6100</v>
      </c>
      <c r="D253" s="127"/>
      <c r="E253" s="127"/>
      <c r="F253" s="127"/>
      <c r="G253" s="127"/>
      <c r="H253" s="115" t="s">
        <v>122</v>
      </c>
    </row>
    <row r="254" spans="1:8" ht="21" customHeight="1" x14ac:dyDescent="0.25">
      <c r="A254" s="95">
        <v>41159</v>
      </c>
      <c r="B254" s="129">
        <v>5.08</v>
      </c>
      <c r="C254" s="130">
        <v>6100</v>
      </c>
      <c r="D254" s="127"/>
      <c r="E254" s="127"/>
      <c r="F254" s="127"/>
      <c r="G254" s="127"/>
      <c r="H254" s="115" t="s">
        <v>122</v>
      </c>
    </row>
    <row r="255" spans="1:8" ht="21" customHeight="1" x14ac:dyDescent="0.25">
      <c r="A255" s="95">
        <v>41160</v>
      </c>
      <c r="B255" s="129">
        <v>5.08</v>
      </c>
      <c r="C255" s="130">
        <v>6100</v>
      </c>
      <c r="D255" s="127"/>
      <c r="E255" s="127"/>
      <c r="F255" s="127"/>
      <c r="G255" s="127"/>
      <c r="H255" s="115" t="s">
        <v>122</v>
      </c>
    </row>
    <row r="256" spans="1:8" ht="21" customHeight="1" x14ac:dyDescent="0.25">
      <c r="A256" s="95">
        <v>41161</v>
      </c>
      <c r="B256" s="129">
        <v>5</v>
      </c>
      <c r="C256" s="130">
        <v>6000</v>
      </c>
      <c r="D256" s="127"/>
      <c r="E256" s="127"/>
      <c r="F256" s="127"/>
      <c r="G256" s="127"/>
      <c r="H256" s="115" t="s">
        <v>122</v>
      </c>
    </row>
    <row r="257" spans="1:8" ht="21" customHeight="1" x14ac:dyDescent="0.25">
      <c r="A257" s="95">
        <v>41162</v>
      </c>
      <c r="B257" s="129">
        <v>5</v>
      </c>
      <c r="C257" s="130">
        <v>6000</v>
      </c>
      <c r="D257" s="127"/>
      <c r="E257" s="127"/>
      <c r="F257" s="127"/>
      <c r="G257" s="127"/>
      <c r="H257" s="115" t="s">
        <v>122</v>
      </c>
    </row>
    <row r="258" spans="1:8" ht="21" customHeight="1" x14ac:dyDescent="0.25">
      <c r="A258" s="95">
        <v>41163</v>
      </c>
      <c r="B258" s="129">
        <v>5</v>
      </c>
      <c r="C258" s="130">
        <v>6000</v>
      </c>
      <c r="D258" s="127"/>
      <c r="E258" s="127"/>
      <c r="F258" s="127"/>
      <c r="G258" s="127"/>
      <c r="H258" s="115" t="s">
        <v>122</v>
      </c>
    </row>
    <row r="259" spans="1:8" ht="21" customHeight="1" x14ac:dyDescent="0.25">
      <c r="A259" s="95">
        <v>41164</v>
      </c>
      <c r="B259" s="129">
        <v>5</v>
      </c>
      <c r="C259" s="130">
        <v>6000</v>
      </c>
      <c r="D259" s="127"/>
      <c r="E259" s="127"/>
      <c r="F259" s="127"/>
      <c r="G259" s="127"/>
      <c r="H259" s="115" t="s">
        <v>122</v>
      </c>
    </row>
    <row r="260" spans="1:8" ht="21" customHeight="1" x14ac:dyDescent="0.25">
      <c r="A260" s="95">
        <v>41165</v>
      </c>
      <c r="B260" s="129">
        <v>4.92</v>
      </c>
      <c r="C260" s="130">
        <v>5900</v>
      </c>
      <c r="D260" s="127"/>
      <c r="E260" s="127"/>
      <c r="F260" s="127"/>
      <c r="G260" s="127"/>
      <c r="H260" s="115" t="s">
        <v>122</v>
      </c>
    </row>
    <row r="261" spans="1:8" ht="21" customHeight="1" x14ac:dyDescent="0.25">
      <c r="A261" s="95">
        <v>41166</v>
      </c>
      <c r="B261" s="129">
        <v>4.92</v>
      </c>
      <c r="C261" s="130">
        <v>5900</v>
      </c>
      <c r="D261" s="127"/>
      <c r="E261" s="127"/>
      <c r="F261" s="127"/>
      <c r="G261" s="127"/>
      <c r="H261" s="115" t="s">
        <v>122</v>
      </c>
    </row>
    <row r="262" spans="1:8" ht="21" customHeight="1" x14ac:dyDescent="0.25">
      <c r="A262" s="95">
        <v>41167</v>
      </c>
      <c r="B262" s="127">
        <v>4.87</v>
      </c>
      <c r="C262" s="130">
        <v>5875</v>
      </c>
      <c r="D262" s="127"/>
      <c r="E262" s="127"/>
      <c r="F262" s="127"/>
      <c r="G262" s="127"/>
      <c r="H262" s="115" t="s">
        <v>122</v>
      </c>
    </row>
    <row r="263" spans="1:8" ht="21" customHeight="1" x14ac:dyDescent="0.25">
      <c r="A263" s="95">
        <v>41168</v>
      </c>
      <c r="B263" s="127">
        <v>4.87</v>
      </c>
      <c r="C263" s="130">
        <v>5875</v>
      </c>
      <c r="D263" s="127"/>
      <c r="E263" s="127"/>
      <c r="F263" s="127"/>
      <c r="G263" s="127"/>
      <c r="H263" s="115" t="s">
        <v>122</v>
      </c>
    </row>
    <row r="264" spans="1:8" ht="21" customHeight="1" x14ac:dyDescent="0.25">
      <c r="A264" s="95">
        <v>41169</v>
      </c>
      <c r="B264" s="127">
        <v>4.83</v>
      </c>
      <c r="C264" s="130">
        <v>5850</v>
      </c>
      <c r="D264" s="127"/>
      <c r="E264" s="127"/>
      <c r="F264" s="127"/>
      <c r="G264" s="127"/>
      <c r="H264" s="115" t="s">
        <v>122</v>
      </c>
    </row>
    <row r="265" spans="1:8" ht="21" customHeight="1" x14ac:dyDescent="0.25">
      <c r="A265" s="95">
        <v>41170</v>
      </c>
      <c r="B265" s="127">
        <v>4.83</v>
      </c>
      <c r="C265" s="130">
        <v>5850</v>
      </c>
      <c r="D265" s="127"/>
      <c r="E265" s="127"/>
      <c r="F265" s="127"/>
      <c r="G265" s="127"/>
      <c r="H265" s="115" t="s">
        <v>122</v>
      </c>
    </row>
    <row r="266" spans="1:8" ht="21" customHeight="1" x14ac:dyDescent="0.25">
      <c r="A266" s="95">
        <v>41171</v>
      </c>
      <c r="B266" s="127">
        <v>4.83</v>
      </c>
      <c r="C266" s="130">
        <v>5850</v>
      </c>
      <c r="D266" s="127"/>
      <c r="E266" s="127"/>
      <c r="F266" s="127"/>
      <c r="G266" s="127"/>
      <c r="H266" s="115" t="s">
        <v>122</v>
      </c>
    </row>
    <row r="267" spans="1:8" ht="21" customHeight="1" x14ac:dyDescent="0.25">
      <c r="A267" s="95">
        <v>41172</v>
      </c>
      <c r="B267" s="127">
        <v>4.83</v>
      </c>
      <c r="C267" s="130">
        <v>5850</v>
      </c>
      <c r="D267" s="127"/>
      <c r="E267" s="127"/>
      <c r="F267" s="127"/>
      <c r="G267" s="127"/>
      <c r="H267" s="115" t="s">
        <v>122</v>
      </c>
    </row>
    <row r="268" spans="1:8" ht="21" customHeight="1" x14ac:dyDescent="0.25">
      <c r="A268" s="95">
        <v>41173</v>
      </c>
      <c r="B268" s="127">
        <v>4.75</v>
      </c>
      <c r="C268" s="130">
        <v>5800</v>
      </c>
      <c r="D268" s="127"/>
      <c r="E268" s="127"/>
      <c r="F268" s="127"/>
      <c r="G268" s="127"/>
      <c r="H268" s="115" t="s">
        <v>122</v>
      </c>
    </row>
    <row r="269" spans="1:8" ht="21" customHeight="1" x14ac:dyDescent="0.25">
      <c r="A269" s="95">
        <v>41174</v>
      </c>
      <c r="B269" s="127">
        <v>4.75</v>
      </c>
      <c r="C269" s="130">
        <v>5800</v>
      </c>
      <c r="D269" s="127"/>
      <c r="E269" s="127"/>
      <c r="F269" s="127"/>
      <c r="G269" s="127"/>
      <c r="H269" s="115" t="s">
        <v>122</v>
      </c>
    </row>
    <row r="270" spans="1:8" ht="21" customHeight="1" x14ac:dyDescent="0.25">
      <c r="A270" s="95">
        <v>41175</v>
      </c>
      <c r="B270" s="127">
        <v>4.75</v>
      </c>
      <c r="C270" s="130">
        <v>5800</v>
      </c>
      <c r="D270" s="127"/>
      <c r="E270" s="127"/>
      <c r="F270" s="127"/>
      <c r="G270" s="127"/>
      <c r="H270" s="115" t="s">
        <v>122</v>
      </c>
    </row>
    <row r="271" spans="1:8" ht="21" customHeight="1" x14ac:dyDescent="0.25">
      <c r="A271" s="95">
        <v>41176</v>
      </c>
      <c r="B271" s="127">
        <v>4.67</v>
      </c>
      <c r="C271" s="130">
        <v>5700</v>
      </c>
      <c r="D271" s="127"/>
      <c r="E271" s="127"/>
      <c r="F271" s="127"/>
      <c r="G271" s="127"/>
      <c r="H271" s="115" t="s">
        <v>122</v>
      </c>
    </row>
    <row r="272" spans="1:8" ht="21" customHeight="1" x14ac:dyDescent="0.25">
      <c r="A272" s="95">
        <v>41177</v>
      </c>
      <c r="B272" s="127">
        <v>4.67</v>
      </c>
      <c r="C272" s="130">
        <v>5700</v>
      </c>
      <c r="D272" s="127"/>
      <c r="E272" s="127"/>
      <c r="F272" s="127"/>
      <c r="G272" s="127"/>
      <c r="H272" s="115" t="s">
        <v>122</v>
      </c>
    </row>
    <row r="273" spans="1:8" ht="21" customHeight="1" x14ac:dyDescent="0.25">
      <c r="A273" s="95">
        <v>41178</v>
      </c>
      <c r="B273" s="127">
        <v>4.67</v>
      </c>
      <c r="C273" s="130">
        <v>5700</v>
      </c>
      <c r="D273" s="127"/>
      <c r="E273" s="127"/>
      <c r="F273" s="127"/>
      <c r="G273" s="127"/>
      <c r="H273" s="115" t="s">
        <v>122</v>
      </c>
    </row>
    <row r="274" spans="1:8" ht="21" customHeight="1" x14ac:dyDescent="0.25">
      <c r="A274" s="95">
        <v>41179</v>
      </c>
      <c r="B274" s="127">
        <v>4.67</v>
      </c>
      <c r="C274" s="130">
        <v>5700</v>
      </c>
      <c r="D274" s="127"/>
      <c r="E274" s="127"/>
      <c r="F274" s="127"/>
      <c r="G274" s="127"/>
      <c r="H274" s="115" t="s">
        <v>122</v>
      </c>
    </row>
    <row r="275" spans="1:8" ht="21" customHeight="1" x14ac:dyDescent="0.25">
      <c r="A275" s="95">
        <v>41180</v>
      </c>
      <c r="B275" s="127">
        <v>4.67</v>
      </c>
      <c r="C275" s="130">
        <v>5700</v>
      </c>
      <c r="D275" s="127"/>
      <c r="E275" s="127"/>
      <c r="F275" s="127"/>
      <c r="G275" s="127"/>
      <c r="H275" s="115" t="s">
        <v>122</v>
      </c>
    </row>
    <row r="276" spans="1:8" ht="21" customHeight="1" x14ac:dyDescent="0.25">
      <c r="A276" s="95">
        <v>41181</v>
      </c>
      <c r="B276" s="127">
        <v>4.58</v>
      </c>
      <c r="C276" s="130">
        <v>5600</v>
      </c>
      <c r="D276" s="127"/>
      <c r="E276" s="127"/>
      <c r="F276" s="127"/>
      <c r="G276" s="127"/>
      <c r="H276" s="115" t="s">
        <v>122</v>
      </c>
    </row>
    <row r="277" spans="1:8" ht="21" customHeight="1" x14ac:dyDescent="0.25">
      <c r="A277" s="95">
        <v>41182</v>
      </c>
      <c r="B277" s="127">
        <v>4.58</v>
      </c>
      <c r="C277" s="130">
        <v>5600</v>
      </c>
      <c r="D277" s="127"/>
      <c r="E277" s="127"/>
      <c r="F277" s="127"/>
      <c r="G277" s="127"/>
      <c r="H277" s="115" t="s">
        <v>122</v>
      </c>
    </row>
    <row r="278" spans="1:8" ht="21" customHeight="1" x14ac:dyDescent="0.25">
      <c r="A278" s="95">
        <v>41183</v>
      </c>
      <c r="B278" s="129">
        <v>4.58</v>
      </c>
      <c r="C278" s="130">
        <v>5600</v>
      </c>
      <c r="D278" s="127"/>
      <c r="E278" s="127"/>
      <c r="F278" s="127"/>
      <c r="G278" s="127"/>
      <c r="H278" s="115" t="s">
        <v>122</v>
      </c>
    </row>
    <row r="279" spans="1:8" ht="21" customHeight="1" x14ac:dyDescent="0.25">
      <c r="A279" s="95">
        <v>41184</v>
      </c>
      <c r="B279" s="129">
        <v>4.58</v>
      </c>
      <c r="C279" s="130">
        <v>5600</v>
      </c>
      <c r="D279" s="127"/>
      <c r="E279" s="127"/>
      <c r="F279" s="127"/>
      <c r="G279" s="127"/>
      <c r="H279" s="115" t="s">
        <v>122</v>
      </c>
    </row>
    <row r="280" spans="1:8" ht="21" customHeight="1" x14ac:dyDescent="0.25">
      <c r="A280" s="95">
        <v>41185</v>
      </c>
      <c r="B280" s="129">
        <v>4.5</v>
      </c>
      <c r="C280" s="130">
        <v>5500</v>
      </c>
      <c r="D280" s="127"/>
      <c r="E280" s="127"/>
      <c r="F280" s="127"/>
      <c r="G280" s="127"/>
      <c r="H280" s="115" t="s">
        <v>122</v>
      </c>
    </row>
    <row r="281" spans="1:8" ht="21" customHeight="1" x14ac:dyDescent="0.25">
      <c r="A281" s="95">
        <v>41186</v>
      </c>
      <c r="B281" s="129">
        <v>4.5</v>
      </c>
      <c r="C281" s="130">
        <v>5500</v>
      </c>
      <c r="D281" s="127"/>
      <c r="E281" s="127"/>
      <c r="F281" s="127"/>
      <c r="G281" s="127"/>
      <c r="H281" s="115" t="s">
        <v>122</v>
      </c>
    </row>
    <row r="282" spans="1:8" ht="21" customHeight="1" x14ac:dyDescent="0.25">
      <c r="A282" s="95">
        <v>41187</v>
      </c>
      <c r="B282" s="129">
        <v>4.5</v>
      </c>
      <c r="C282" s="130">
        <v>5500</v>
      </c>
      <c r="D282" s="127"/>
      <c r="E282" s="127"/>
      <c r="F282" s="127"/>
      <c r="G282" s="127"/>
      <c r="H282" s="115" t="s">
        <v>122</v>
      </c>
    </row>
    <row r="283" spans="1:8" ht="21" customHeight="1" x14ac:dyDescent="0.25">
      <c r="A283" s="95">
        <v>41188</v>
      </c>
      <c r="B283" s="129">
        <v>4.5</v>
      </c>
      <c r="C283" s="130">
        <v>5500</v>
      </c>
      <c r="D283" s="127"/>
      <c r="E283" s="127"/>
      <c r="F283" s="127"/>
      <c r="G283" s="127"/>
      <c r="H283" s="115" t="s">
        <v>122</v>
      </c>
    </row>
    <row r="284" spans="1:8" ht="21" customHeight="1" x14ac:dyDescent="0.25">
      <c r="A284" s="95">
        <v>41189</v>
      </c>
      <c r="B284" s="129">
        <v>4.42</v>
      </c>
      <c r="C284" s="130">
        <v>5400</v>
      </c>
      <c r="D284" s="127"/>
      <c r="E284" s="127"/>
      <c r="F284" s="127"/>
      <c r="G284" s="127"/>
      <c r="H284" s="115" t="s">
        <v>122</v>
      </c>
    </row>
    <row r="285" spans="1:8" ht="21" customHeight="1" x14ac:dyDescent="0.25">
      <c r="A285" s="95">
        <v>41190</v>
      </c>
      <c r="B285" s="129">
        <v>4.42</v>
      </c>
      <c r="C285" s="130">
        <v>5400</v>
      </c>
      <c r="D285" s="127"/>
      <c r="E285" s="127"/>
      <c r="F285" s="127"/>
      <c r="G285" s="127"/>
      <c r="H285" s="115" t="s">
        <v>122</v>
      </c>
    </row>
    <row r="286" spans="1:8" ht="21" customHeight="1" x14ac:dyDescent="0.25">
      <c r="A286" s="95">
        <v>41191</v>
      </c>
      <c r="B286" s="129">
        <v>4.42</v>
      </c>
      <c r="C286" s="130">
        <v>5400</v>
      </c>
      <c r="D286" s="127"/>
      <c r="E286" s="127"/>
      <c r="F286" s="127"/>
      <c r="G286" s="127"/>
      <c r="H286" s="115" t="s">
        <v>122</v>
      </c>
    </row>
    <row r="287" spans="1:8" ht="21" customHeight="1" x14ac:dyDescent="0.25">
      <c r="A287" s="95">
        <v>41192</v>
      </c>
      <c r="B287" s="129">
        <v>4.42</v>
      </c>
      <c r="C287" s="130">
        <v>5400</v>
      </c>
      <c r="D287" s="127"/>
      <c r="E287" s="127"/>
      <c r="F287" s="127"/>
      <c r="G287" s="127"/>
      <c r="H287" s="115" t="s">
        <v>122</v>
      </c>
    </row>
    <row r="288" spans="1:8" ht="21" customHeight="1" x14ac:dyDescent="0.25">
      <c r="A288" s="95">
        <v>41193</v>
      </c>
      <c r="B288" s="129">
        <v>4.33</v>
      </c>
      <c r="C288" s="130">
        <v>5300</v>
      </c>
      <c r="D288" s="127"/>
      <c r="E288" s="127"/>
      <c r="F288" s="127"/>
      <c r="G288" s="127"/>
      <c r="H288" s="115" t="s">
        <v>122</v>
      </c>
    </row>
    <row r="289" spans="1:8" ht="21" customHeight="1" x14ac:dyDescent="0.25">
      <c r="A289" s="95">
        <v>41194</v>
      </c>
      <c r="B289" s="129">
        <v>4.33</v>
      </c>
      <c r="C289" s="130">
        <v>5300</v>
      </c>
      <c r="D289" s="127"/>
      <c r="E289" s="127"/>
      <c r="F289" s="127"/>
      <c r="G289" s="127"/>
      <c r="H289" s="115" t="s">
        <v>122</v>
      </c>
    </row>
    <row r="290" spans="1:8" ht="21" customHeight="1" x14ac:dyDescent="0.25">
      <c r="A290" s="95">
        <v>41195</v>
      </c>
      <c r="B290" s="129">
        <v>4.58</v>
      </c>
      <c r="C290" s="130">
        <v>5600</v>
      </c>
      <c r="D290" s="127"/>
      <c r="E290" s="127"/>
      <c r="F290" s="127"/>
      <c r="G290" s="127"/>
      <c r="H290" s="115" t="s">
        <v>122</v>
      </c>
    </row>
    <row r="291" spans="1:8" ht="21" customHeight="1" x14ac:dyDescent="0.25">
      <c r="A291" s="95">
        <v>41196</v>
      </c>
      <c r="B291" s="129">
        <v>4.92</v>
      </c>
      <c r="C291" s="130">
        <v>5900</v>
      </c>
      <c r="D291" s="127"/>
      <c r="E291" s="127"/>
      <c r="F291" s="127"/>
      <c r="G291" s="127"/>
      <c r="H291" s="115" t="s">
        <v>122</v>
      </c>
    </row>
    <row r="292" spans="1:8" ht="21" customHeight="1" x14ac:dyDescent="0.25">
      <c r="A292" s="95">
        <v>41197</v>
      </c>
      <c r="B292" s="129">
        <v>5.42</v>
      </c>
      <c r="C292" s="130">
        <v>6300</v>
      </c>
      <c r="D292" s="127"/>
      <c r="E292" s="127"/>
      <c r="F292" s="127"/>
      <c r="G292" s="127"/>
      <c r="H292" s="115" t="s">
        <v>122</v>
      </c>
    </row>
    <row r="293" spans="1:8" ht="21" customHeight="1" x14ac:dyDescent="0.25">
      <c r="A293" s="95">
        <v>41198</v>
      </c>
      <c r="B293" s="129">
        <v>5.42</v>
      </c>
      <c r="C293" s="130">
        <v>6300</v>
      </c>
      <c r="D293" s="127"/>
      <c r="E293" s="127"/>
      <c r="F293" s="127"/>
      <c r="G293" s="127"/>
      <c r="H293" s="115" t="s">
        <v>122</v>
      </c>
    </row>
    <row r="294" spans="1:8" ht="21" customHeight="1" x14ac:dyDescent="0.25">
      <c r="A294" s="95">
        <v>41199</v>
      </c>
      <c r="B294" s="127">
        <v>5.58</v>
      </c>
      <c r="C294" s="130">
        <v>6450</v>
      </c>
      <c r="D294" s="127"/>
      <c r="E294" s="127"/>
      <c r="F294" s="127"/>
      <c r="G294" s="127"/>
      <c r="H294" s="115" t="s">
        <v>122</v>
      </c>
    </row>
    <row r="295" spans="1:8" ht="21" customHeight="1" x14ac:dyDescent="0.25">
      <c r="A295" s="95">
        <v>41200</v>
      </c>
      <c r="B295" s="127">
        <v>5.67</v>
      </c>
      <c r="C295" s="130">
        <v>6500</v>
      </c>
      <c r="D295" s="127"/>
      <c r="E295" s="127"/>
      <c r="F295" s="127"/>
      <c r="G295" s="127"/>
      <c r="H295" s="115" t="s">
        <v>122</v>
      </c>
    </row>
    <row r="296" spans="1:8" ht="21" customHeight="1" x14ac:dyDescent="0.25">
      <c r="A296" s="95">
        <v>41201</v>
      </c>
      <c r="B296" s="129">
        <v>5.75</v>
      </c>
      <c r="C296" s="130">
        <v>6600</v>
      </c>
      <c r="D296" s="127"/>
      <c r="E296" s="127"/>
      <c r="F296" s="127"/>
      <c r="G296" s="127"/>
      <c r="H296" s="115" t="s">
        <v>122</v>
      </c>
    </row>
    <row r="297" spans="1:8" ht="21" customHeight="1" x14ac:dyDescent="0.25">
      <c r="A297" s="95">
        <v>41202</v>
      </c>
      <c r="B297" s="129">
        <v>6</v>
      </c>
      <c r="C297" s="130">
        <v>6900</v>
      </c>
      <c r="D297" s="127"/>
      <c r="E297" s="127"/>
      <c r="F297" s="127"/>
      <c r="G297" s="127"/>
      <c r="H297" s="115" t="s">
        <v>122</v>
      </c>
    </row>
    <row r="298" spans="1:8" ht="21" customHeight="1" x14ac:dyDescent="0.25">
      <c r="A298" s="95">
        <v>41203</v>
      </c>
      <c r="B298" s="129">
        <v>6.17</v>
      </c>
      <c r="C298" s="130">
        <v>7000</v>
      </c>
      <c r="D298" s="127"/>
      <c r="E298" s="127"/>
      <c r="F298" s="127"/>
      <c r="G298" s="127"/>
      <c r="H298" s="115" t="s">
        <v>122</v>
      </c>
    </row>
    <row r="299" spans="1:8" ht="21" customHeight="1" x14ac:dyDescent="0.25">
      <c r="A299" s="95">
        <v>41204</v>
      </c>
      <c r="B299" s="129">
        <v>6.25</v>
      </c>
      <c r="C299" s="130">
        <v>7100</v>
      </c>
      <c r="D299" s="127"/>
      <c r="E299" s="127"/>
      <c r="F299" s="127"/>
      <c r="G299" s="127"/>
      <c r="H299" s="115" t="s">
        <v>122</v>
      </c>
    </row>
    <row r="300" spans="1:8" ht="21" customHeight="1" x14ac:dyDescent="0.25">
      <c r="A300" s="95">
        <v>41205</v>
      </c>
      <c r="B300" s="129">
        <v>6.42</v>
      </c>
      <c r="C300" s="130">
        <v>7300</v>
      </c>
      <c r="D300" s="127"/>
      <c r="E300" s="127"/>
      <c r="F300" s="127"/>
      <c r="G300" s="127"/>
      <c r="H300" s="115" t="s">
        <v>122</v>
      </c>
    </row>
    <row r="301" spans="1:8" ht="21" customHeight="1" x14ac:dyDescent="0.25">
      <c r="A301" s="95">
        <v>41206</v>
      </c>
      <c r="B301" s="129">
        <v>7</v>
      </c>
      <c r="C301" s="130">
        <v>7900</v>
      </c>
      <c r="D301" s="127"/>
      <c r="E301" s="127"/>
      <c r="F301" s="127"/>
      <c r="G301" s="127"/>
      <c r="H301" s="115" t="s">
        <v>122</v>
      </c>
    </row>
    <row r="302" spans="1:8" ht="21" customHeight="1" x14ac:dyDescent="0.25">
      <c r="A302" s="95">
        <v>41207</v>
      </c>
      <c r="B302" s="129">
        <v>7.25</v>
      </c>
      <c r="C302" s="130">
        <v>8200</v>
      </c>
      <c r="D302" s="127"/>
      <c r="E302" s="127"/>
      <c r="F302" s="127"/>
      <c r="G302" s="127"/>
      <c r="H302" s="115" t="s">
        <v>122</v>
      </c>
    </row>
    <row r="303" spans="1:8" ht="21" customHeight="1" x14ac:dyDescent="0.25">
      <c r="A303" s="95">
        <v>41208</v>
      </c>
      <c r="B303" s="129">
        <v>7.42</v>
      </c>
      <c r="C303" s="130">
        <v>8300</v>
      </c>
      <c r="D303" s="127"/>
      <c r="E303" s="127"/>
      <c r="F303" s="127"/>
      <c r="G303" s="127"/>
      <c r="H303" s="115" t="s">
        <v>122</v>
      </c>
    </row>
    <row r="304" spans="1:8" ht="21" customHeight="1" x14ac:dyDescent="0.25">
      <c r="A304" s="95">
        <v>41209</v>
      </c>
      <c r="B304" s="129">
        <v>7.5</v>
      </c>
      <c r="C304" s="130">
        <v>8400</v>
      </c>
      <c r="D304" s="127"/>
      <c r="E304" s="127"/>
      <c r="F304" s="127"/>
      <c r="G304" s="127"/>
      <c r="H304" s="115" t="s">
        <v>122</v>
      </c>
    </row>
    <row r="305" spans="1:8" ht="21" customHeight="1" x14ac:dyDescent="0.25">
      <c r="A305" s="95">
        <v>41210</v>
      </c>
      <c r="B305" s="129">
        <v>7.5</v>
      </c>
      <c r="C305" s="130">
        <v>8400</v>
      </c>
      <c r="D305" s="127"/>
      <c r="E305" s="127"/>
      <c r="F305" s="127"/>
      <c r="G305" s="127"/>
      <c r="H305" s="115" t="s">
        <v>122</v>
      </c>
    </row>
    <row r="306" spans="1:8" ht="21" customHeight="1" x14ac:dyDescent="0.25">
      <c r="A306" s="95">
        <v>41211</v>
      </c>
      <c r="B306" s="127">
        <v>8.08</v>
      </c>
      <c r="C306" s="130">
        <v>9100</v>
      </c>
      <c r="D306" s="127"/>
      <c r="E306" s="127"/>
      <c r="F306" s="127"/>
      <c r="G306" s="127"/>
      <c r="H306" s="115" t="s">
        <v>122</v>
      </c>
    </row>
    <row r="307" spans="1:8" ht="21" customHeight="1" x14ac:dyDescent="0.25">
      <c r="A307" s="95">
        <v>41212</v>
      </c>
      <c r="B307" s="129">
        <v>9.5</v>
      </c>
      <c r="C307" s="130">
        <v>10800</v>
      </c>
      <c r="D307" s="127"/>
      <c r="E307" s="127"/>
      <c r="F307" s="127"/>
      <c r="G307" s="127"/>
      <c r="H307" s="115" t="s">
        <v>122</v>
      </c>
    </row>
    <row r="308" spans="1:8" ht="21" customHeight="1" x14ac:dyDescent="0.25">
      <c r="A308" s="95">
        <v>41213</v>
      </c>
      <c r="B308" s="127">
        <v>10.75</v>
      </c>
      <c r="C308" s="130">
        <v>12900</v>
      </c>
      <c r="D308" s="127"/>
      <c r="E308" s="127"/>
      <c r="F308" s="127"/>
      <c r="G308" s="127"/>
      <c r="H308" s="115" t="s">
        <v>122</v>
      </c>
    </row>
    <row r="309" spans="1:8" ht="21" customHeight="1" x14ac:dyDescent="0.25">
      <c r="A309" s="95">
        <v>41214</v>
      </c>
      <c r="B309" s="129">
        <v>11.42</v>
      </c>
      <c r="C309" s="130">
        <v>14200</v>
      </c>
      <c r="D309" s="127"/>
      <c r="E309" s="127"/>
      <c r="F309" s="127"/>
      <c r="G309" s="127"/>
      <c r="H309" s="115" t="s">
        <v>122</v>
      </c>
    </row>
    <row r="310" spans="1:8" ht="21" customHeight="1" x14ac:dyDescent="0.25">
      <c r="A310" s="95">
        <v>41215</v>
      </c>
      <c r="B310" s="129">
        <v>12.33</v>
      </c>
      <c r="C310" s="130">
        <v>16000</v>
      </c>
      <c r="D310" s="127">
        <v>2</v>
      </c>
      <c r="E310" s="129">
        <v>9.8000000000000007</v>
      </c>
      <c r="F310" s="127"/>
      <c r="G310" s="127"/>
      <c r="H310" s="115" t="s">
        <v>122</v>
      </c>
    </row>
    <row r="311" spans="1:8" ht="21" customHeight="1" x14ac:dyDescent="0.25">
      <c r="A311" s="95">
        <v>41216</v>
      </c>
      <c r="B311" s="129">
        <v>12.58</v>
      </c>
      <c r="C311" s="130">
        <v>16500</v>
      </c>
      <c r="D311" s="127">
        <v>1</v>
      </c>
      <c r="E311" s="127">
        <v>4.96</v>
      </c>
      <c r="F311" s="127"/>
      <c r="G311" s="127"/>
      <c r="H311" s="115" t="s">
        <v>122</v>
      </c>
    </row>
    <row r="312" spans="1:8" ht="21" customHeight="1" x14ac:dyDescent="0.25">
      <c r="A312" s="95">
        <v>41217</v>
      </c>
      <c r="B312" s="129">
        <v>12.75</v>
      </c>
      <c r="C312" s="130">
        <v>16700</v>
      </c>
      <c r="D312" s="127">
        <v>1</v>
      </c>
      <c r="E312" s="130">
        <v>5</v>
      </c>
      <c r="F312" s="127">
        <v>3</v>
      </c>
      <c r="G312" s="127">
        <v>14.28</v>
      </c>
      <c r="H312" s="115" t="s">
        <v>122</v>
      </c>
    </row>
    <row r="313" spans="1:8" ht="21" customHeight="1" x14ac:dyDescent="0.25">
      <c r="A313" s="95">
        <v>41218</v>
      </c>
      <c r="B313" s="129">
        <v>13</v>
      </c>
      <c r="C313" s="130">
        <v>17000</v>
      </c>
      <c r="D313" s="127">
        <v>1</v>
      </c>
      <c r="E313" s="127">
        <v>5.05</v>
      </c>
      <c r="F313" s="127">
        <v>3</v>
      </c>
      <c r="G313" s="127">
        <v>14.44</v>
      </c>
      <c r="H313" s="115" t="s">
        <v>122</v>
      </c>
    </row>
    <row r="314" spans="1:8" ht="21" customHeight="1" x14ac:dyDescent="0.25">
      <c r="A314" s="95">
        <v>41219</v>
      </c>
      <c r="B314" s="129">
        <v>13.17</v>
      </c>
      <c r="C314" s="130">
        <v>17400</v>
      </c>
      <c r="D314" s="127">
        <v>1</v>
      </c>
      <c r="E314" s="127">
        <v>5.08</v>
      </c>
      <c r="F314" s="127">
        <v>3</v>
      </c>
      <c r="G314" s="127">
        <v>14.54</v>
      </c>
      <c r="H314" s="115" t="s">
        <v>122</v>
      </c>
    </row>
    <row r="315" spans="1:8" ht="21" customHeight="1" x14ac:dyDescent="0.25">
      <c r="A315" s="95">
        <v>41220</v>
      </c>
      <c r="B315" s="129">
        <v>13.42</v>
      </c>
      <c r="C315" s="130">
        <v>17800</v>
      </c>
      <c r="D315" s="127"/>
      <c r="E315" s="127"/>
      <c r="F315" s="127">
        <v>3</v>
      </c>
      <c r="G315" s="127">
        <v>14.69</v>
      </c>
      <c r="H315" s="115" t="s">
        <v>122</v>
      </c>
    </row>
    <row r="316" spans="1:8" ht="21" customHeight="1" x14ac:dyDescent="0.25">
      <c r="A316" s="95">
        <v>41221</v>
      </c>
      <c r="B316" s="129">
        <v>13.5</v>
      </c>
      <c r="C316" s="130">
        <v>18000</v>
      </c>
      <c r="D316" s="127"/>
      <c r="E316" s="127"/>
      <c r="F316" s="127">
        <v>3</v>
      </c>
      <c r="G316" s="127">
        <v>14.74</v>
      </c>
      <c r="H316" s="115" t="s">
        <v>122</v>
      </c>
    </row>
    <row r="317" spans="1:8" ht="21" customHeight="1" x14ac:dyDescent="0.25">
      <c r="A317" s="95">
        <v>41222</v>
      </c>
      <c r="B317" s="129">
        <v>13.75</v>
      </c>
      <c r="C317" s="130">
        <v>19000</v>
      </c>
      <c r="D317" s="127"/>
      <c r="E317" s="127"/>
      <c r="F317" s="127"/>
      <c r="G317" s="127"/>
      <c r="H317" s="115" t="s">
        <v>122</v>
      </c>
    </row>
    <row r="318" spans="1:8" ht="21" customHeight="1" x14ac:dyDescent="0.25">
      <c r="A318" s="95">
        <v>41223</v>
      </c>
      <c r="B318" s="129">
        <v>13.92</v>
      </c>
      <c r="C318" s="130">
        <v>19300</v>
      </c>
      <c r="D318" s="127"/>
      <c r="E318" s="127"/>
      <c r="F318" s="127"/>
      <c r="G318" s="127"/>
      <c r="H318" s="115" t="s">
        <v>122</v>
      </c>
    </row>
    <row r="319" spans="1:8" ht="21" customHeight="1" x14ac:dyDescent="0.25">
      <c r="A319" s="95">
        <v>41224</v>
      </c>
      <c r="B319" s="129">
        <v>14.17</v>
      </c>
      <c r="C319" s="130">
        <v>19850</v>
      </c>
      <c r="D319" s="127"/>
      <c r="E319" s="127"/>
      <c r="F319" s="127"/>
      <c r="G319" s="127"/>
      <c r="H319" s="115" t="s">
        <v>122</v>
      </c>
    </row>
    <row r="320" spans="1:8" ht="21" customHeight="1" x14ac:dyDescent="0.25">
      <c r="A320" s="95">
        <v>41225</v>
      </c>
      <c r="B320" s="129">
        <v>14.21</v>
      </c>
      <c r="C320" s="130">
        <v>19925</v>
      </c>
      <c r="D320" s="127">
        <v>6</v>
      </c>
      <c r="E320" s="127">
        <v>31.19</v>
      </c>
      <c r="F320" s="127"/>
      <c r="G320" s="127"/>
      <c r="H320" s="115" t="s">
        <v>122</v>
      </c>
    </row>
    <row r="321" spans="1:8" ht="21" customHeight="1" x14ac:dyDescent="0.25">
      <c r="A321" s="95">
        <v>41226</v>
      </c>
      <c r="B321" s="129">
        <v>14.25</v>
      </c>
      <c r="C321" s="130">
        <v>20000</v>
      </c>
      <c r="D321" s="127">
        <v>6</v>
      </c>
      <c r="E321" s="127">
        <v>31.24</v>
      </c>
      <c r="F321" s="127"/>
      <c r="G321" s="127"/>
      <c r="H321" s="115" t="s">
        <v>122</v>
      </c>
    </row>
    <row r="322" spans="1:8" ht="21" customHeight="1" x14ac:dyDescent="0.25">
      <c r="A322" s="95">
        <v>41227</v>
      </c>
      <c r="B322" s="129">
        <v>14.25</v>
      </c>
      <c r="C322" s="130">
        <v>20000</v>
      </c>
      <c r="D322" s="127">
        <v>7</v>
      </c>
      <c r="E322" s="127">
        <v>36.340000000000003</v>
      </c>
      <c r="F322" s="127">
        <v>13</v>
      </c>
      <c r="G322" s="127">
        <v>63.68</v>
      </c>
      <c r="H322" s="115" t="s">
        <v>122</v>
      </c>
    </row>
    <row r="323" spans="1:8" ht="21" customHeight="1" x14ac:dyDescent="0.25">
      <c r="A323" s="95">
        <v>41228</v>
      </c>
      <c r="B323" s="129">
        <v>14.25</v>
      </c>
      <c r="C323" s="130">
        <v>20000</v>
      </c>
      <c r="D323" s="127">
        <v>7</v>
      </c>
      <c r="E323" s="127">
        <v>36.340000000000003</v>
      </c>
      <c r="F323" s="127">
        <v>15</v>
      </c>
      <c r="G323" s="127">
        <v>72.97</v>
      </c>
      <c r="H323" s="115" t="s">
        <v>122</v>
      </c>
    </row>
    <row r="324" spans="1:8" ht="21" customHeight="1" x14ac:dyDescent="0.25">
      <c r="A324" s="95">
        <v>41229</v>
      </c>
      <c r="B324" s="129">
        <v>14.21</v>
      </c>
      <c r="C324" s="130">
        <v>19925</v>
      </c>
      <c r="D324" s="127">
        <v>7</v>
      </c>
      <c r="E324" s="127">
        <v>36.29</v>
      </c>
      <c r="F324" s="127">
        <v>15</v>
      </c>
      <c r="G324" s="127">
        <v>72.84</v>
      </c>
      <c r="H324" s="115" t="s">
        <v>122</v>
      </c>
    </row>
    <row r="325" spans="1:8" ht="21" customHeight="1" x14ac:dyDescent="0.25">
      <c r="A325" s="95">
        <v>41230</v>
      </c>
      <c r="B325" s="127">
        <v>14.17</v>
      </c>
      <c r="C325" s="130">
        <v>19850</v>
      </c>
      <c r="D325" s="127">
        <v>7</v>
      </c>
      <c r="E325" s="127">
        <v>36.229999999999997</v>
      </c>
      <c r="F325" s="127">
        <v>12</v>
      </c>
      <c r="G325" s="127">
        <v>58.78</v>
      </c>
      <c r="H325" s="115" t="s">
        <v>122</v>
      </c>
    </row>
    <row r="326" spans="1:8" ht="21" customHeight="1" x14ac:dyDescent="0.25">
      <c r="A326" s="95">
        <v>41231</v>
      </c>
      <c r="B326" s="127">
        <v>14.17</v>
      </c>
      <c r="C326" s="130">
        <v>19850</v>
      </c>
      <c r="D326" s="127">
        <v>5</v>
      </c>
      <c r="E326" s="127">
        <v>26.04</v>
      </c>
      <c r="F326" s="127">
        <v>12</v>
      </c>
      <c r="G326" s="127">
        <v>58.78</v>
      </c>
      <c r="H326" s="115" t="s">
        <v>122</v>
      </c>
    </row>
    <row r="327" spans="1:8" ht="21" customHeight="1" x14ac:dyDescent="0.25">
      <c r="A327" s="95">
        <v>41232</v>
      </c>
      <c r="B327" s="127">
        <v>14.17</v>
      </c>
      <c r="C327" s="130">
        <v>19850</v>
      </c>
      <c r="D327" s="127"/>
      <c r="E327" s="127"/>
      <c r="F327" s="127">
        <v>12</v>
      </c>
      <c r="G327" s="127">
        <v>58.78</v>
      </c>
      <c r="H327" s="115" t="s">
        <v>122</v>
      </c>
    </row>
    <row r="328" spans="1:8" ht="21" customHeight="1" x14ac:dyDescent="0.25">
      <c r="A328" s="95">
        <v>41233</v>
      </c>
      <c r="B328" s="129">
        <v>14.08</v>
      </c>
      <c r="C328" s="130">
        <v>19700</v>
      </c>
      <c r="D328" s="127">
        <v>7</v>
      </c>
      <c r="E328" s="127">
        <v>36.11</v>
      </c>
      <c r="F328" s="127">
        <v>10</v>
      </c>
      <c r="G328" s="127">
        <v>49.15</v>
      </c>
      <c r="H328" s="115" t="s">
        <v>122</v>
      </c>
    </row>
    <row r="329" spans="1:8" ht="21" customHeight="1" x14ac:dyDescent="0.25">
      <c r="A329" s="95">
        <v>41234</v>
      </c>
      <c r="B329" s="129">
        <v>14.04</v>
      </c>
      <c r="C329" s="130">
        <v>19600</v>
      </c>
      <c r="D329" s="127">
        <v>7</v>
      </c>
      <c r="E329" s="127">
        <v>36.06</v>
      </c>
      <c r="F329" s="127">
        <v>8</v>
      </c>
      <c r="G329" s="127">
        <v>39.520000000000003</v>
      </c>
      <c r="H329" s="115" t="s">
        <v>122</v>
      </c>
    </row>
    <row r="330" spans="1:8" ht="21" customHeight="1" x14ac:dyDescent="0.25">
      <c r="A330" s="95">
        <v>41235</v>
      </c>
      <c r="B330" s="127">
        <v>14.08</v>
      </c>
      <c r="C330" s="130">
        <v>19500</v>
      </c>
      <c r="D330" s="127">
        <v>9</v>
      </c>
      <c r="E330" s="130">
        <v>46</v>
      </c>
      <c r="F330" s="127">
        <v>8</v>
      </c>
      <c r="G330" s="127">
        <v>39.450000000000003</v>
      </c>
      <c r="H330" s="115" t="s">
        <v>122</v>
      </c>
    </row>
    <row r="331" spans="1:8" ht="21" customHeight="1" x14ac:dyDescent="0.25">
      <c r="A331" s="95">
        <v>41236</v>
      </c>
      <c r="B331" s="127">
        <v>14.17</v>
      </c>
      <c r="C331" s="130">
        <v>19850</v>
      </c>
      <c r="D331" s="127">
        <v>2</v>
      </c>
      <c r="E331" s="127">
        <v>10.51</v>
      </c>
      <c r="F331" s="127">
        <v>4</v>
      </c>
      <c r="G331" s="127">
        <v>20.059999999999999</v>
      </c>
      <c r="H331" s="115" t="s">
        <v>122</v>
      </c>
    </row>
    <row r="332" spans="1:8" ht="21" customHeight="1" x14ac:dyDescent="0.25">
      <c r="A332" s="95">
        <v>41237</v>
      </c>
      <c r="B332" s="129">
        <v>14.25</v>
      </c>
      <c r="C332" s="130">
        <v>20000</v>
      </c>
      <c r="D332" s="127">
        <v>2</v>
      </c>
      <c r="E332" s="127">
        <v>10.54</v>
      </c>
      <c r="F332" s="127">
        <v>4</v>
      </c>
      <c r="G332" s="127">
        <v>20.25</v>
      </c>
      <c r="H332" s="115" t="s">
        <v>122</v>
      </c>
    </row>
    <row r="333" spans="1:8" ht="21" customHeight="1" x14ac:dyDescent="0.25">
      <c r="A333" s="95">
        <v>41238</v>
      </c>
      <c r="B333" s="127">
        <v>14.25</v>
      </c>
      <c r="C333" s="130">
        <v>20000</v>
      </c>
      <c r="D333" s="127">
        <v>2</v>
      </c>
      <c r="E333" s="127">
        <v>10.54</v>
      </c>
      <c r="F333" s="127">
        <v>4</v>
      </c>
      <c r="G333" s="127">
        <v>20.25</v>
      </c>
      <c r="H333" s="115" t="s">
        <v>122</v>
      </c>
    </row>
    <row r="334" spans="1:8" ht="21" customHeight="1" x14ac:dyDescent="0.25">
      <c r="A334" s="95">
        <v>41239</v>
      </c>
      <c r="B334" s="127">
        <v>14.5</v>
      </c>
      <c r="C334" s="130">
        <v>21000</v>
      </c>
      <c r="D334" s="127"/>
      <c r="E334" s="127"/>
      <c r="F334" s="127"/>
      <c r="G334" s="127"/>
      <c r="H334" s="115" t="s">
        <v>122</v>
      </c>
    </row>
    <row r="335" spans="1:8" ht="21" customHeight="1" x14ac:dyDescent="0.25">
      <c r="A335" s="95">
        <v>41240</v>
      </c>
      <c r="B335" s="127">
        <v>15.25</v>
      </c>
      <c r="C335" s="130">
        <v>22350</v>
      </c>
      <c r="D335" s="127"/>
      <c r="E335" s="127"/>
      <c r="F335" s="127"/>
      <c r="G335" s="127"/>
      <c r="H335" s="115" t="s">
        <v>122</v>
      </c>
    </row>
    <row r="336" spans="1:8" ht="21" customHeight="1" x14ac:dyDescent="0.25">
      <c r="A336" s="95">
        <v>41241</v>
      </c>
      <c r="B336" s="127">
        <v>15.92</v>
      </c>
      <c r="C336" s="130">
        <v>25400</v>
      </c>
      <c r="D336" s="127"/>
      <c r="E336" s="127"/>
      <c r="F336" s="127"/>
      <c r="G336" s="127"/>
      <c r="H336" s="115" t="s">
        <v>122</v>
      </c>
    </row>
    <row r="337" spans="1:8" ht="21" customHeight="1" x14ac:dyDescent="0.25">
      <c r="A337" s="95">
        <v>41242</v>
      </c>
      <c r="B337" s="127">
        <v>16.25</v>
      </c>
      <c r="C337" s="130">
        <v>26000</v>
      </c>
      <c r="D337" s="127"/>
      <c r="E337" s="127"/>
      <c r="F337" s="127"/>
      <c r="G337" s="127"/>
      <c r="H337" s="115" t="s">
        <v>122</v>
      </c>
    </row>
    <row r="338" spans="1:8" ht="21" customHeight="1" x14ac:dyDescent="0.25">
      <c r="A338" s="95">
        <v>41243</v>
      </c>
      <c r="B338" s="127">
        <v>16.670000000000002</v>
      </c>
      <c r="C338" s="130">
        <v>27850</v>
      </c>
      <c r="D338" s="127"/>
      <c r="E338" s="127"/>
      <c r="F338" s="127"/>
      <c r="G338" s="127"/>
      <c r="H338" s="115" t="s">
        <v>122</v>
      </c>
    </row>
    <row r="339" spans="1:8" ht="21" customHeight="1" x14ac:dyDescent="0.25">
      <c r="A339" s="95">
        <v>41244</v>
      </c>
      <c r="B339" s="129">
        <v>16.579999999999998</v>
      </c>
      <c r="C339" s="130">
        <v>27500</v>
      </c>
      <c r="D339" s="127">
        <v>1</v>
      </c>
      <c r="E339" s="129">
        <v>5.7</v>
      </c>
      <c r="F339" s="127"/>
      <c r="G339" s="127"/>
      <c r="H339" s="115" t="s">
        <v>122</v>
      </c>
    </row>
    <row r="340" spans="1:8" ht="21" customHeight="1" x14ac:dyDescent="0.25">
      <c r="A340" s="95">
        <v>41245</v>
      </c>
      <c r="B340" s="129">
        <v>16.579999999999998</v>
      </c>
      <c r="C340" s="130">
        <v>27500</v>
      </c>
      <c r="D340" s="127">
        <v>6</v>
      </c>
      <c r="E340" s="127">
        <v>33.79</v>
      </c>
      <c r="F340" s="127"/>
      <c r="G340" s="127"/>
      <c r="H340" s="115" t="s">
        <v>122</v>
      </c>
    </row>
    <row r="341" spans="1:8" ht="21" customHeight="1" x14ac:dyDescent="0.25">
      <c r="A341" s="95">
        <v>41246</v>
      </c>
      <c r="B341" s="129">
        <v>16.579999999999998</v>
      </c>
      <c r="C341" s="130">
        <v>27500</v>
      </c>
      <c r="D341" s="127">
        <v>6</v>
      </c>
      <c r="E341" s="127">
        <v>33.79</v>
      </c>
      <c r="F341" s="127">
        <v>12</v>
      </c>
      <c r="G341" s="127">
        <v>64.349999999999994</v>
      </c>
      <c r="H341" s="115" t="s">
        <v>122</v>
      </c>
    </row>
    <row r="342" spans="1:8" ht="21" customHeight="1" x14ac:dyDescent="0.25">
      <c r="A342" s="95">
        <v>41247</v>
      </c>
      <c r="B342" s="129">
        <v>16.75</v>
      </c>
      <c r="C342" s="130">
        <v>28000</v>
      </c>
      <c r="D342" s="127">
        <v>8</v>
      </c>
      <c r="E342" s="127">
        <v>45.06</v>
      </c>
      <c r="F342" s="127">
        <v>12</v>
      </c>
      <c r="G342" s="127">
        <v>64.72</v>
      </c>
      <c r="H342" s="115" t="s">
        <v>122</v>
      </c>
    </row>
    <row r="343" spans="1:8" ht="21" customHeight="1" x14ac:dyDescent="0.25">
      <c r="A343" s="95">
        <v>41248</v>
      </c>
      <c r="B343" s="127">
        <v>17.079999999999998</v>
      </c>
      <c r="C343" s="130">
        <v>28600</v>
      </c>
      <c r="D343" s="127">
        <v>6</v>
      </c>
      <c r="E343" s="127">
        <v>34.31</v>
      </c>
      <c r="F343" s="127">
        <v>12</v>
      </c>
      <c r="G343" s="127">
        <v>65.45</v>
      </c>
      <c r="H343" s="115" t="s">
        <v>122</v>
      </c>
    </row>
    <row r="344" spans="1:8" ht="21" customHeight="1" x14ac:dyDescent="0.25">
      <c r="A344" s="95">
        <v>41249</v>
      </c>
      <c r="B344" s="129">
        <v>17.170000000000002</v>
      </c>
      <c r="C344" s="130">
        <v>28750</v>
      </c>
      <c r="D344" s="127">
        <v>5</v>
      </c>
      <c r="E344" s="127">
        <v>28.73</v>
      </c>
      <c r="F344" s="127">
        <v>12</v>
      </c>
      <c r="G344" s="127">
        <v>65.63</v>
      </c>
      <c r="H344" s="115" t="s">
        <v>122</v>
      </c>
    </row>
    <row r="345" spans="1:8" ht="21" customHeight="1" x14ac:dyDescent="0.25">
      <c r="A345" s="95">
        <v>41250</v>
      </c>
      <c r="B345" s="129">
        <v>17.25</v>
      </c>
      <c r="C345" s="130">
        <v>28850</v>
      </c>
      <c r="D345" s="127">
        <v>5</v>
      </c>
      <c r="E345" s="129">
        <v>28.8</v>
      </c>
      <c r="F345" s="127">
        <v>12</v>
      </c>
      <c r="G345" s="127">
        <v>65.81</v>
      </c>
      <c r="H345" s="115" t="s">
        <v>122</v>
      </c>
    </row>
    <row r="346" spans="1:8" ht="21" customHeight="1" x14ac:dyDescent="0.25">
      <c r="A346" s="95">
        <v>41251</v>
      </c>
      <c r="B346" s="129">
        <v>17.25</v>
      </c>
      <c r="C346" s="130">
        <v>28850</v>
      </c>
      <c r="D346" s="127">
        <v>4</v>
      </c>
      <c r="E346" s="129">
        <v>23.1</v>
      </c>
      <c r="F346" s="127">
        <v>12</v>
      </c>
      <c r="G346" s="127">
        <v>65.81</v>
      </c>
      <c r="H346" s="115" t="s">
        <v>122</v>
      </c>
    </row>
    <row r="347" spans="1:8" ht="21" customHeight="1" x14ac:dyDescent="0.25">
      <c r="A347" s="95">
        <v>41252</v>
      </c>
      <c r="B347" s="129">
        <v>17.21</v>
      </c>
      <c r="C347" s="130">
        <v>28800</v>
      </c>
      <c r="D347" s="127">
        <v>4</v>
      </c>
      <c r="E347" s="127">
        <v>23.07</v>
      </c>
      <c r="F347" s="127">
        <v>12</v>
      </c>
      <c r="G347" s="127">
        <v>65.72</v>
      </c>
      <c r="H347" s="115" t="s">
        <v>122</v>
      </c>
    </row>
    <row r="348" spans="1:8" ht="21" customHeight="1" x14ac:dyDescent="0.25">
      <c r="A348" s="95">
        <v>41253</v>
      </c>
      <c r="B348" s="146">
        <v>17.170000000000002</v>
      </c>
      <c r="C348" s="147">
        <v>28750</v>
      </c>
      <c r="D348" s="127">
        <v>4</v>
      </c>
      <c r="E348" s="127">
        <v>23.05</v>
      </c>
      <c r="F348" s="127">
        <v>12</v>
      </c>
      <c r="G348" s="127">
        <v>65.63</v>
      </c>
      <c r="H348" s="115" t="s">
        <v>122</v>
      </c>
    </row>
    <row r="349" spans="1:8" ht="21" customHeight="1" x14ac:dyDescent="0.25">
      <c r="A349" s="95">
        <v>41254</v>
      </c>
      <c r="B349" s="146">
        <v>17.04</v>
      </c>
      <c r="C349" s="147">
        <v>28550</v>
      </c>
      <c r="D349" s="127">
        <v>4</v>
      </c>
      <c r="E349" s="127">
        <v>22.96</v>
      </c>
      <c r="F349" s="127">
        <v>12</v>
      </c>
      <c r="G349" s="127">
        <v>65.36</v>
      </c>
      <c r="H349" s="115" t="s">
        <v>122</v>
      </c>
    </row>
    <row r="350" spans="1:8" ht="21" customHeight="1" x14ac:dyDescent="0.25">
      <c r="A350" s="95">
        <v>41255</v>
      </c>
      <c r="B350" s="146">
        <v>17</v>
      </c>
      <c r="C350" s="147">
        <v>28500</v>
      </c>
      <c r="D350" s="127"/>
      <c r="E350" s="127"/>
      <c r="F350" s="127"/>
      <c r="G350" s="127"/>
      <c r="H350" s="115" t="s">
        <v>122</v>
      </c>
    </row>
    <row r="351" spans="1:8" ht="21" customHeight="1" x14ac:dyDescent="0.25">
      <c r="A351" s="95">
        <v>41256</v>
      </c>
      <c r="B351" s="146">
        <v>17</v>
      </c>
      <c r="C351" s="147">
        <v>28500</v>
      </c>
      <c r="D351" s="127"/>
      <c r="E351" s="127"/>
      <c r="F351" s="127"/>
      <c r="G351" s="127"/>
      <c r="H351" s="115" t="s">
        <v>122</v>
      </c>
    </row>
    <row r="352" spans="1:8" ht="21" customHeight="1" x14ac:dyDescent="0.25">
      <c r="A352" s="95">
        <v>41257</v>
      </c>
      <c r="B352" s="146">
        <v>17</v>
      </c>
      <c r="C352" s="147">
        <v>28500</v>
      </c>
      <c r="D352" s="127"/>
      <c r="E352" s="127"/>
      <c r="F352" s="127"/>
      <c r="G352" s="127"/>
      <c r="H352" s="115" t="s">
        <v>122</v>
      </c>
    </row>
    <row r="353" spans="1:10" ht="21" customHeight="1" x14ac:dyDescent="0.25">
      <c r="A353" s="95">
        <v>41258</v>
      </c>
      <c r="B353" s="146">
        <v>17</v>
      </c>
      <c r="C353" s="147">
        <v>28500</v>
      </c>
      <c r="D353" s="127"/>
      <c r="E353" s="127"/>
      <c r="F353" s="127"/>
      <c r="G353" s="127"/>
      <c r="H353" s="115" t="s">
        <v>122</v>
      </c>
    </row>
    <row r="354" spans="1:10" ht="21" customHeight="1" x14ac:dyDescent="0.25">
      <c r="A354" s="95">
        <v>41259</v>
      </c>
      <c r="B354" s="148">
        <v>17.04</v>
      </c>
      <c r="C354" s="142">
        <v>28550</v>
      </c>
      <c r="D354" s="127"/>
      <c r="E354" s="127"/>
      <c r="F354" s="127"/>
      <c r="G354" s="127"/>
      <c r="H354" s="115" t="s">
        <v>122</v>
      </c>
    </row>
    <row r="355" spans="1:10" ht="21" customHeight="1" x14ac:dyDescent="0.25">
      <c r="A355" s="95">
        <v>41260</v>
      </c>
      <c r="B355" s="149">
        <v>17.079999999999998</v>
      </c>
      <c r="C355" s="142">
        <v>28600</v>
      </c>
      <c r="D355" s="127"/>
      <c r="E355" s="127"/>
      <c r="F355" s="127"/>
      <c r="G355" s="127"/>
      <c r="H355" s="115" t="s">
        <v>122</v>
      </c>
    </row>
    <row r="356" spans="1:10" ht="21" customHeight="1" x14ac:dyDescent="0.25">
      <c r="A356" s="95">
        <v>41261</v>
      </c>
      <c r="B356" s="150">
        <v>18.25</v>
      </c>
      <c r="C356" s="151">
        <v>28850</v>
      </c>
      <c r="D356" s="127"/>
      <c r="E356" s="127"/>
      <c r="F356" s="127"/>
      <c r="G356" s="127"/>
      <c r="H356" s="115" t="s">
        <v>122</v>
      </c>
    </row>
    <row r="357" spans="1:10" ht="21" customHeight="1" x14ac:dyDescent="0.25">
      <c r="A357" s="95">
        <v>41262</v>
      </c>
      <c r="B357" s="150">
        <v>19.75</v>
      </c>
      <c r="C357" s="142" t="s">
        <v>720</v>
      </c>
      <c r="D357" s="127"/>
      <c r="E357" s="127"/>
      <c r="F357" s="127"/>
      <c r="G357" s="127"/>
      <c r="H357" s="122">
        <f>2752.79*1.98</f>
        <v>5450.5241999999998</v>
      </c>
    </row>
    <row r="358" spans="1:10" ht="21" customHeight="1" x14ac:dyDescent="0.25">
      <c r="A358" s="95">
        <v>41263</v>
      </c>
      <c r="B358" s="150">
        <v>19.579999999999998</v>
      </c>
      <c r="C358" s="142" t="s">
        <v>720</v>
      </c>
      <c r="D358" s="127"/>
      <c r="E358" s="127"/>
      <c r="F358" s="127"/>
      <c r="G358" s="127"/>
      <c r="H358" s="122">
        <v>5251.26</v>
      </c>
      <c r="J358" s="138"/>
    </row>
    <row r="359" spans="1:10" ht="21" customHeight="1" x14ac:dyDescent="0.25">
      <c r="A359" s="95">
        <v>41264</v>
      </c>
      <c r="B359" s="150">
        <v>19</v>
      </c>
      <c r="C359" s="142" t="s">
        <v>720</v>
      </c>
      <c r="D359" s="127"/>
      <c r="E359" s="127"/>
      <c r="F359" s="127"/>
      <c r="G359" s="127"/>
      <c r="H359" s="122">
        <v>6109.82</v>
      </c>
      <c r="J359" s="138"/>
    </row>
    <row r="360" spans="1:10" ht="21" customHeight="1" x14ac:dyDescent="0.25">
      <c r="A360" s="95">
        <v>41265</v>
      </c>
      <c r="B360" s="127">
        <v>18.21</v>
      </c>
      <c r="C360" s="142">
        <v>32700</v>
      </c>
      <c r="D360" s="127">
        <v>7</v>
      </c>
      <c r="E360" s="127">
        <v>41.27</v>
      </c>
      <c r="F360" s="127">
        <v>7</v>
      </c>
      <c r="G360" s="127">
        <v>41.17</v>
      </c>
      <c r="H360" s="122">
        <v>7028.09</v>
      </c>
      <c r="J360" s="138"/>
    </row>
    <row r="361" spans="1:10" ht="21" customHeight="1" x14ac:dyDescent="0.25">
      <c r="A361" s="95">
        <v>41266</v>
      </c>
      <c r="B361" s="127">
        <v>20.75</v>
      </c>
      <c r="C361" s="142" t="s">
        <v>720</v>
      </c>
      <c r="D361" s="127"/>
      <c r="E361" s="127"/>
      <c r="F361" s="127"/>
      <c r="G361" s="127"/>
      <c r="H361" s="122">
        <v>25657.39</v>
      </c>
      <c r="J361" s="138"/>
    </row>
    <row r="362" spans="1:10" ht="21" customHeight="1" x14ac:dyDescent="0.25">
      <c r="A362" s="95">
        <v>41267</v>
      </c>
      <c r="B362" s="129">
        <v>20.25</v>
      </c>
      <c r="C362" s="142" t="s">
        <v>720</v>
      </c>
      <c r="D362" s="127"/>
      <c r="E362" s="127"/>
      <c r="F362" s="127"/>
      <c r="G362" s="127"/>
      <c r="H362" s="122">
        <v>19028.93</v>
      </c>
      <c r="J362" s="138"/>
    </row>
    <row r="363" spans="1:10" ht="21" customHeight="1" x14ac:dyDescent="0.25">
      <c r="A363" s="95">
        <v>41268</v>
      </c>
      <c r="B363" s="127">
        <v>19.29</v>
      </c>
      <c r="C363" s="142" t="s">
        <v>720</v>
      </c>
      <c r="D363" s="127"/>
      <c r="E363" s="127"/>
      <c r="F363" s="127"/>
      <c r="G363" s="127"/>
      <c r="H363" s="122">
        <v>9988.27</v>
      </c>
      <c r="J363" s="138"/>
    </row>
    <row r="364" spans="1:10" ht="21" customHeight="1" x14ac:dyDescent="0.25">
      <c r="A364" s="95">
        <v>41269</v>
      </c>
      <c r="B364" s="127">
        <v>19.21</v>
      </c>
      <c r="C364" s="142" t="s">
        <v>720</v>
      </c>
      <c r="D364" s="127"/>
      <c r="E364" s="127"/>
      <c r="F364" s="127"/>
      <c r="G364" s="127"/>
      <c r="H364" s="122">
        <v>9228.7000000000007</v>
      </c>
      <c r="J364" s="138"/>
    </row>
    <row r="365" spans="1:10" ht="21" customHeight="1" x14ac:dyDescent="0.25">
      <c r="A365" s="95">
        <v>41270</v>
      </c>
      <c r="B365" s="127">
        <v>19.5</v>
      </c>
      <c r="C365" s="142" t="s">
        <v>720</v>
      </c>
      <c r="D365" s="127"/>
      <c r="E365" s="127"/>
      <c r="F365" s="127"/>
      <c r="G365" s="127"/>
      <c r="H365" s="122">
        <v>11945.34</v>
      </c>
      <c r="J365" s="138"/>
    </row>
    <row r="366" spans="1:10" ht="21" customHeight="1" x14ac:dyDescent="0.25">
      <c r="A366" s="95">
        <v>41271</v>
      </c>
      <c r="B366" s="127">
        <v>19.579999999999998</v>
      </c>
      <c r="C366" s="142" t="s">
        <v>720</v>
      </c>
      <c r="D366" s="127"/>
      <c r="E366" s="127"/>
      <c r="F366" s="127"/>
      <c r="G366" s="127"/>
      <c r="H366" s="122">
        <v>20949</v>
      </c>
      <c r="J366" s="138"/>
    </row>
    <row r="367" spans="1:10" ht="21" customHeight="1" x14ac:dyDescent="0.25">
      <c r="A367" s="95">
        <v>41272</v>
      </c>
      <c r="B367" s="127">
        <v>19.21</v>
      </c>
      <c r="C367" s="142" t="s">
        <v>720</v>
      </c>
      <c r="D367" s="127"/>
      <c r="E367" s="127"/>
      <c r="F367" s="127"/>
      <c r="G367" s="127"/>
      <c r="H367" s="122">
        <v>9700</v>
      </c>
      <c r="J367" s="138"/>
    </row>
    <row r="368" spans="1:10" ht="21" customHeight="1" x14ac:dyDescent="0.25">
      <c r="A368" s="95">
        <v>41273</v>
      </c>
      <c r="B368" s="127">
        <v>18.25</v>
      </c>
      <c r="C368" s="130">
        <v>32800</v>
      </c>
      <c r="D368" s="127"/>
      <c r="E368" s="127"/>
      <c r="F368" s="127"/>
      <c r="G368" s="127"/>
      <c r="H368" s="122">
        <v>7420</v>
      </c>
      <c r="J368" s="138"/>
    </row>
    <row r="369" spans="1:10" ht="21" customHeight="1" thickBot="1" x14ac:dyDescent="0.3">
      <c r="A369" s="97">
        <v>41274</v>
      </c>
      <c r="B369" s="131">
        <v>18.579999999999998</v>
      </c>
      <c r="C369" s="152">
        <v>33900</v>
      </c>
      <c r="D369" s="131"/>
      <c r="E369" s="131"/>
      <c r="F369" s="131"/>
      <c r="G369" s="131"/>
      <c r="H369" s="135">
        <v>7820</v>
      </c>
      <c r="J369" s="138"/>
    </row>
    <row r="370" spans="1:10" x14ac:dyDescent="0.25">
      <c r="A370" s="410"/>
      <c r="B370" s="410"/>
      <c r="C370" s="410"/>
      <c r="D370" s="410"/>
      <c r="E370" s="410"/>
      <c r="F370" s="410"/>
      <c r="G370" s="410"/>
    </row>
  </sheetData>
  <mergeCells count="7">
    <mergeCell ref="H2:H3"/>
    <mergeCell ref="A370:G370"/>
    <mergeCell ref="A2:A3"/>
    <mergeCell ref="A1:H1"/>
    <mergeCell ref="B2:B3"/>
    <mergeCell ref="C2:C3"/>
    <mergeCell ref="D2:G2"/>
  </mergeCells>
  <printOptions horizontalCentered="1"/>
  <pageMargins left="1" right="0.75" top="0.75" bottom="0.2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82"/>
  <sheetViews>
    <sheetView topLeftCell="A364" workbookViewId="0">
      <selection activeCell="F382" sqref="F382"/>
    </sheetView>
  </sheetViews>
  <sheetFormatPr defaultColWidth="9.140625" defaultRowHeight="15" x14ac:dyDescent="0.25"/>
  <cols>
    <col min="1" max="1" width="12.85546875" style="14" customWidth="1"/>
    <col min="2" max="2" width="9.28515625" style="14" customWidth="1"/>
    <col min="3" max="3" width="9" style="14" customWidth="1"/>
    <col min="4" max="4" width="8.140625" style="14" customWidth="1"/>
    <col min="5" max="5" width="7.7109375" style="14" customWidth="1"/>
    <col min="6" max="6" width="8.5703125" style="14" customWidth="1"/>
    <col min="7" max="7" width="6.85546875" style="14" customWidth="1"/>
    <col min="8" max="8" width="11.42578125" style="14" customWidth="1"/>
    <col min="9" max="16384" width="9.140625" style="14"/>
  </cols>
  <sheetData>
    <row r="1" spans="1:8" ht="35.25" customHeight="1" thickBot="1" x14ac:dyDescent="0.3">
      <c r="A1" s="459" t="s">
        <v>2679</v>
      </c>
      <c r="B1" s="459"/>
      <c r="C1" s="459"/>
      <c r="D1" s="459"/>
      <c r="E1" s="459"/>
      <c r="F1" s="459"/>
      <c r="G1" s="459"/>
    </row>
    <row r="2" spans="1:8" ht="18" customHeight="1" x14ac:dyDescent="0.25">
      <c r="A2" s="425" t="s">
        <v>0</v>
      </c>
      <c r="B2" s="423" t="s">
        <v>2684</v>
      </c>
      <c r="C2" s="449" t="s">
        <v>2689</v>
      </c>
      <c r="D2" s="451" t="s">
        <v>2698</v>
      </c>
      <c r="E2" s="452"/>
      <c r="F2" s="452"/>
      <c r="G2" s="452"/>
      <c r="H2" s="457" t="s">
        <v>2670</v>
      </c>
    </row>
    <row r="3" spans="1:8" ht="48" customHeight="1" thickBot="1" x14ac:dyDescent="0.3">
      <c r="A3" s="426"/>
      <c r="B3" s="424"/>
      <c r="C3" s="450"/>
      <c r="D3" s="181" t="s">
        <v>2687</v>
      </c>
      <c r="E3" s="184" t="s">
        <v>735</v>
      </c>
      <c r="F3" s="181" t="s">
        <v>2688</v>
      </c>
      <c r="G3" s="219" t="s">
        <v>735</v>
      </c>
      <c r="H3" s="458"/>
    </row>
    <row r="4" spans="1:8" ht="27.75" customHeight="1" x14ac:dyDescent="0.25">
      <c r="A4" s="120">
        <v>41275</v>
      </c>
      <c r="B4" s="224">
        <v>19</v>
      </c>
      <c r="C4" s="225">
        <v>36250</v>
      </c>
      <c r="D4" s="113"/>
      <c r="E4" s="113" t="s">
        <v>122</v>
      </c>
      <c r="F4" s="113"/>
      <c r="G4" s="225" t="s">
        <v>122</v>
      </c>
      <c r="H4" s="114">
        <v>1195.1400000000001</v>
      </c>
    </row>
    <row r="5" spans="1:8" ht="27.75" customHeight="1" x14ac:dyDescent="0.25">
      <c r="A5" s="95">
        <v>41276</v>
      </c>
      <c r="B5" s="226">
        <v>19.04</v>
      </c>
      <c r="C5" s="220" t="s">
        <v>539</v>
      </c>
      <c r="D5" s="94">
        <v>3</v>
      </c>
      <c r="E5" s="94">
        <v>18.260000000000002</v>
      </c>
      <c r="F5" s="153"/>
      <c r="G5" s="220" t="s">
        <v>122</v>
      </c>
      <c r="H5" s="115">
        <v>2631.39</v>
      </c>
    </row>
    <row r="6" spans="1:8" ht="27.75" customHeight="1" x14ac:dyDescent="0.25">
      <c r="A6" s="95">
        <v>41277</v>
      </c>
      <c r="B6" s="226">
        <v>18.829999999999998</v>
      </c>
      <c r="C6" s="220">
        <v>35250</v>
      </c>
      <c r="D6" s="94">
        <v>3</v>
      </c>
      <c r="E6" s="94">
        <v>18.16</v>
      </c>
      <c r="F6" s="153"/>
      <c r="G6" s="94" t="s">
        <v>122</v>
      </c>
      <c r="H6" s="115">
        <v>568.05999999999995</v>
      </c>
    </row>
    <row r="7" spans="1:8" ht="27.75" customHeight="1" x14ac:dyDescent="0.25">
      <c r="A7" s="95">
        <v>41278</v>
      </c>
      <c r="B7" s="226">
        <v>18.04</v>
      </c>
      <c r="C7" s="220">
        <v>32250</v>
      </c>
      <c r="D7" s="94"/>
      <c r="E7" s="220" t="s">
        <v>122</v>
      </c>
      <c r="F7" s="94"/>
      <c r="G7" s="220" t="s">
        <v>122</v>
      </c>
      <c r="H7" s="115">
        <v>577.29</v>
      </c>
    </row>
    <row r="8" spans="1:8" ht="27.75" customHeight="1" x14ac:dyDescent="0.25">
      <c r="A8" s="95">
        <v>41279</v>
      </c>
      <c r="B8" s="226">
        <v>18.32</v>
      </c>
      <c r="C8" s="220">
        <v>33000</v>
      </c>
      <c r="D8" s="94"/>
      <c r="E8" s="220" t="s">
        <v>122</v>
      </c>
      <c r="F8" s="94"/>
      <c r="G8" s="220" t="s">
        <v>122</v>
      </c>
      <c r="H8" s="115">
        <v>583.16</v>
      </c>
    </row>
    <row r="9" spans="1:8" ht="27.75" customHeight="1" x14ac:dyDescent="0.25">
      <c r="A9" s="95">
        <v>41280</v>
      </c>
      <c r="B9" s="226">
        <v>18.5</v>
      </c>
      <c r="C9" s="220">
        <v>33800</v>
      </c>
      <c r="D9" s="94"/>
      <c r="E9" s="220" t="s">
        <v>122</v>
      </c>
      <c r="F9" s="94"/>
      <c r="G9" s="220" t="s">
        <v>122</v>
      </c>
      <c r="H9" s="115">
        <v>3355.16</v>
      </c>
    </row>
    <row r="10" spans="1:8" ht="27.75" customHeight="1" x14ac:dyDescent="0.25">
      <c r="A10" s="95">
        <v>41281</v>
      </c>
      <c r="B10" s="226">
        <v>18.579999999999998</v>
      </c>
      <c r="C10" s="220">
        <v>33900</v>
      </c>
      <c r="D10" s="94"/>
      <c r="E10" s="220" t="s">
        <v>122</v>
      </c>
      <c r="F10" s="94"/>
      <c r="G10" s="220" t="s">
        <v>122</v>
      </c>
      <c r="H10" s="115">
        <v>7227.56</v>
      </c>
    </row>
    <row r="11" spans="1:8" ht="27.75" customHeight="1" x14ac:dyDescent="0.25">
      <c r="A11" s="95">
        <v>41282</v>
      </c>
      <c r="B11" s="226">
        <v>19.829999999999998</v>
      </c>
      <c r="C11" s="220" t="s">
        <v>1752</v>
      </c>
      <c r="D11" s="94"/>
      <c r="E11" s="220" t="s">
        <v>122</v>
      </c>
      <c r="F11" s="94"/>
      <c r="G11" s="220" t="s">
        <v>122</v>
      </c>
      <c r="H11" s="115">
        <v>8364.86</v>
      </c>
    </row>
    <row r="12" spans="1:8" ht="27.75" customHeight="1" x14ac:dyDescent="0.25">
      <c r="A12" s="95">
        <v>41283</v>
      </c>
      <c r="B12" s="226">
        <v>20.04</v>
      </c>
      <c r="C12" s="220" t="s">
        <v>1752</v>
      </c>
      <c r="D12" s="94"/>
      <c r="E12" s="220" t="s">
        <v>122</v>
      </c>
      <c r="F12" s="94"/>
      <c r="G12" s="220" t="s">
        <v>122</v>
      </c>
      <c r="H12" s="115">
        <v>5009.7</v>
      </c>
    </row>
    <row r="13" spans="1:8" ht="27.75" customHeight="1" x14ac:dyDescent="0.25">
      <c r="A13" s="95">
        <v>41284</v>
      </c>
      <c r="B13" s="226">
        <v>19.32</v>
      </c>
      <c r="C13" s="220" t="s">
        <v>1752</v>
      </c>
      <c r="D13" s="94"/>
      <c r="E13" s="220" t="s">
        <v>122</v>
      </c>
      <c r="F13" s="94"/>
      <c r="G13" s="220" t="s">
        <v>122</v>
      </c>
      <c r="H13" s="115">
        <v>2654.62</v>
      </c>
    </row>
    <row r="14" spans="1:8" ht="27.75" customHeight="1" x14ac:dyDescent="0.25">
      <c r="A14" s="95">
        <v>41285</v>
      </c>
      <c r="B14" s="226">
        <v>18.96</v>
      </c>
      <c r="C14" s="220">
        <v>36000</v>
      </c>
      <c r="D14" s="94"/>
      <c r="E14" s="220" t="s">
        <v>122</v>
      </c>
      <c r="F14" s="94"/>
      <c r="G14" s="220" t="s">
        <v>122</v>
      </c>
      <c r="H14" s="115">
        <v>2586.13</v>
      </c>
    </row>
    <row r="15" spans="1:8" ht="27.75" customHeight="1" x14ac:dyDescent="0.25">
      <c r="A15" s="95">
        <v>41286</v>
      </c>
      <c r="B15" s="226">
        <v>18.579999999999998</v>
      </c>
      <c r="C15" s="220">
        <v>33900</v>
      </c>
      <c r="D15" s="94"/>
      <c r="E15" s="220" t="s">
        <v>122</v>
      </c>
      <c r="F15" s="94"/>
      <c r="G15" s="220" t="s">
        <v>122</v>
      </c>
      <c r="H15" s="115" t="s">
        <v>122</v>
      </c>
    </row>
    <row r="16" spans="1:8" ht="27.75" customHeight="1" x14ac:dyDescent="0.25">
      <c r="A16" s="95">
        <v>41287</v>
      </c>
      <c r="B16" s="226">
        <v>17.920000000000002</v>
      </c>
      <c r="C16" s="220">
        <v>32000</v>
      </c>
      <c r="D16" s="94"/>
      <c r="E16" s="220" t="s">
        <v>122</v>
      </c>
      <c r="F16" s="94"/>
      <c r="G16" s="220" t="s">
        <v>122</v>
      </c>
      <c r="H16" s="115" t="s">
        <v>122</v>
      </c>
    </row>
    <row r="17" spans="1:8" ht="27.75" customHeight="1" x14ac:dyDescent="0.25">
      <c r="A17" s="95">
        <v>41288</v>
      </c>
      <c r="B17" s="226">
        <v>18.079999999999998</v>
      </c>
      <c r="C17" s="220">
        <v>32400</v>
      </c>
      <c r="D17" s="94"/>
      <c r="E17" s="220" t="s">
        <v>122</v>
      </c>
      <c r="F17" s="94"/>
      <c r="G17" s="220" t="s">
        <v>122</v>
      </c>
      <c r="H17" s="115"/>
    </row>
    <row r="18" spans="1:8" ht="27.75" customHeight="1" x14ac:dyDescent="0.25">
      <c r="A18" s="95">
        <v>41289</v>
      </c>
      <c r="B18" s="226">
        <v>18.13</v>
      </c>
      <c r="C18" s="220">
        <v>32500</v>
      </c>
      <c r="D18" s="94"/>
      <c r="E18" s="220" t="s">
        <v>122</v>
      </c>
      <c r="F18" s="94"/>
      <c r="G18" s="220" t="s">
        <v>122</v>
      </c>
      <c r="H18" s="115"/>
    </row>
    <row r="19" spans="1:8" ht="27.75" customHeight="1" x14ac:dyDescent="0.25">
      <c r="A19" s="95">
        <v>41290</v>
      </c>
      <c r="B19" s="226">
        <v>18.29</v>
      </c>
      <c r="C19" s="220">
        <v>32900</v>
      </c>
      <c r="D19" s="94"/>
      <c r="E19" s="220" t="s">
        <v>122</v>
      </c>
      <c r="F19" s="94"/>
      <c r="G19" s="220" t="s">
        <v>122</v>
      </c>
      <c r="H19" s="115"/>
    </row>
    <row r="20" spans="1:8" ht="27.75" customHeight="1" x14ac:dyDescent="0.25">
      <c r="A20" s="95">
        <v>41291</v>
      </c>
      <c r="B20" s="226">
        <v>18.29</v>
      </c>
      <c r="C20" s="220">
        <v>32900</v>
      </c>
      <c r="D20" s="94"/>
      <c r="E20" s="220" t="s">
        <v>122</v>
      </c>
      <c r="F20" s="94"/>
      <c r="G20" s="220" t="s">
        <v>122</v>
      </c>
      <c r="H20" s="115"/>
    </row>
    <row r="21" spans="1:8" ht="27.75" customHeight="1" x14ac:dyDescent="0.25">
      <c r="A21" s="95">
        <v>41292</v>
      </c>
      <c r="B21" s="226">
        <v>18.25</v>
      </c>
      <c r="C21" s="220">
        <v>32800</v>
      </c>
      <c r="D21" s="94">
        <v>8</v>
      </c>
      <c r="E21" s="94">
        <v>47.11</v>
      </c>
      <c r="F21" s="223">
        <v>12</v>
      </c>
      <c r="G21" s="94">
        <v>67.930000000000007</v>
      </c>
      <c r="H21" s="115"/>
    </row>
    <row r="22" spans="1:8" ht="27.75" customHeight="1" x14ac:dyDescent="0.25">
      <c r="A22" s="95">
        <v>41293</v>
      </c>
      <c r="B22" s="226">
        <v>18.170000000000002</v>
      </c>
      <c r="C22" s="94">
        <v>32600</v>
      </c>
      <c r="D22" s="94">
        <v>12</v>
      </c>
      <c r="E22" s="94">
        <v>69.819999999999993</v>
      </c>
      <c r="F22" s="223">
        <v>12</v>
      </c>
      <c r="G22" s="94">
        <v>67.760000000000005</v>
      </c>
      <c r="H22" s="115"/>
    </row>
    <row r="23" spans="1:8" ht="27.75" customHeight="1" x14ac:dyDescent="0.25">
      <c r="A23" s="95">
        <v>41294</v>
      </c>
      <c r="B23" s="226">
        <v>18.079999999999998</v>
      </c>
      <c r="C23" s="94">
        <v>32400</v>
      </c>
      <c r="D23" s="94">
        <v>13</v>
      </c>
      <c r="E23" s="94">
        <v>75.27</v>
      </c>
      <c r="F23" s="223">
        <v>13</v>
      </c>
      <c r="G23" s="94">
        <v>73.03</v>
      </c>
      <c r="H23" s="115"/>
    </row>
    <row r="24" spans="1:8" ht="27.75" customHeight="1" x14ac:dyDescent="0.25">
      <c r="A24" s="95">
        <v>41295</v>
      </c>
      <c r="B24" s="226">
        <v>18</v>
      </c>
      <c r="C24" s="94">
        <v>32100</v>
      </c>
      <c r="D24" s="94">
        <v>13</v>
      </c>
      <c r="E24" s="94">
        <v>75.09</v>
      </c>
      <c r="F24" s="223">
        <v>13</v>
      </c>
      <c r="G24" s="94">
        <v>72.84</v>
      </c>
      <c r="H24" s="115"/>
    </row>
    <row r="25" spans="1:8" ht="27.75" customHeight="1" x14ac:dyDescent="0.25">
      <c r="A25" s="95">
        <v>41296</v>
      </c>
      <c r="B25" s="226">
        <v>17.88</v>
      </c>
      <c r="C25" s="94">
        <v>31750</v>
      </c>
      <c r="D25" s="94">
        <v>13</v>
      </c>
      <c r="E25" s="94">
        <v>74.81</v>
      </c>
      <c r="F25" s="223">
        <v>13</v>
      </c>
      <c r="G25" s="94">
        <v>72.55</v>
      </c>
      <c r="H25" s="115"/>
    </row>
    <row r="26" spans="1:8" ht="27.75" customHeight="1" x14ac:dyDescent="0.25">
      <c r="A26" s="95">
        <v>41297</v>
      </c>
      <c r="B26" s="226">
        <v>17.79</v>
      </c>
      <c r="C26" s="94">
        <v>31312.5</v>
      </c>
      <c r="D26" s="94">
        <v>13</v>
      </c>
      <c r="E26" s="94">
        <v>74.62</v>
      </c>
      <c r="F26" s="223">
        <v>13</v>
      </c>
      <c r="G26" s="94">
        <v>72.349999999999994</v>
      </c>
      <c r="H26" s="115"/>
    </row>
    <row r="27" spans="1:8" ht="27.75" customHeight="1" x14ac:dyDescent="0.25">
      <c r="A27" s="95">
        <v>41298</v>
      </c>
      <c r="B27" s="226">
        <v>17.71</v>
      </c>
      <c r="C27" s="94">
        <v>30937.5</v>
      </c>
      <c r="D27" s="94">
        <v>9</v>
      </c>
      <c r="E27" s="94">
        <v>52.05</v>
      </c>
      <c r="F27" s="223">
        <v>13</v>
      </c>
      <c r="G27" s="94">
        <v>72.16</v>
      </c>
      <c r="H27" s="115"/>
    </row>
    <row r="28" spans="1:8" ht="27.75" customHeight="1" x14ac:dyDescent="0.25">
      <c r="A28" s="95">
        <v>41299</v>
      </c>
      <c r="B28" s="226">
        <v>17.670000000000002</v>
      </c>
      <c r="C28" s="94">
        <v>30750</v>
      </c>
      <c r="D28" s="94">
        <v>9</v>
      </c>
      <c r="E28" s="94">
        <v>51.99</v>
      </c>
      <c r="F28" s="223">
        <v>13</v>
      </c>
      <c r="G28" s="94">
        <v>72.069999999999993</v>
      </c>
      <c r="H28" s="115"/>
    </row>
    <row r="29" spans="1:8" ht="27.75" customHeight="1" x14ac:dyDescent="0.25">
      <c r="A29" s="95">
        <v>41300</v>
      </c>
      <c r="B29" s="226">
        <v>17.670000000000002</v>
      </c>
      <c r="C29" s="94">
        <v>30750</v>
      </c>
      <c r="D29" s="94"/>
      <c r="E29" s="220" t="s">
        <v>122</v>
      </c>
      <c r="F29" s="223">
        <v>9</v>
      </c>
      <c r="G29" s="94">
        <v>50.43</v>
      </c>
      <c r="H29" s="115"/>
    </row>
    <row r="30" spans="1:8" ht="27.75" customHeight="1" x14ac:dyDescent="0.25">
      <c r="A30" s="95">
        <v>41301</v>
      </c>
      <c r="B30" s="226">
        <v>17.670000000000002</v>
      </c>
      <c r="C30" s="94">
        <v>30750</v>
      </c>
      <c r="D30" s="94"/>
      <c r="E30" s="220" t="s">
        <v>122</v>
      </c>
      <c r="F30" s="223"/>
      <c r="G30" s="220" t="s">
        <v>122</v>
      </c>
      <c r="H30" s="115"/>
    </row>
    <row r="31" spans="1:8" ht="27.75" customHeight="1" x14ac:dyDescent="0.25">
      <c r="A31" s="95">
        <v>41302</v>
      </c>
      <c r="B31" s="226">
        <v>17.670000000000002</v>
      </c>
      <c r="C31" s="94">
        <v>30750</v>
      </c>
      <c r="D31" s="94"/>
      <c r="E31" s="220" t="s">
        <v>122</v>
      </c>
      <c r="F31" s="94"/>
      <c r="G31" s="220" t="s">
        <v>122</v>
      </c>
      <c r="H31" s="115"/>
    </row>
    <row r="32" spans="1:8" ht="27.75" customHeight="1" x14ac:dyDescent="0.25">
      <c r="A32" s="95">
        <v>41303</v>
      </c>
      <c r="B32" s="226">
        <v>17.670000000000002</v>
      </c>
      <c r="C32" s="94">
        <v>30750</v>
      </c>
      <c r="D32" s="94"/>
      <c r="E32" s="220" t="s">
        <v>122</v>
      </c>
      <c r="F32" s="94"/>
      <c r="G32" s="220" t="s">
        <v>122</v>
      </c>
      <c r="H32" s="115"/>
    </row>
    <row r="33" spans="1:8" ht="27.75" customHeight="1" x14ac:dyDescent="0.25">
      <c r="A33" s="95">
        <v>41304</v>
      </c>
      <c r="B33" s="226">
        <v>17.670000000000002</v>
      </c>
      <c r="C33" s="94">
        <v>30750</v>
      </c>
      <c r="D33" s="94">
        <v>10</v>
      </c>
      <c r="E33" s="94">
        <v>57.62</v>
      </c>
      <c r="F33" s="223">
        <v>12</v>
      </c>
      <c r="G33" s="94">
        <v>66.7</v>
      </c>
      <c r="H33" s="115"/>
    </row>
    <row r="34" spans="1:8" ht="27.75" customHeight="1" x14ac:dyDescent="0.25">
      <c r="A34" s="95">
        <v>41305</v>
      </c>
      <c r="B34" s="226">
        <v>17.579999999999998</v>
      </c>
      <c r="C34" s="94">
        <v>30500</v>
      </c>
      <c r="D34" s="94">
        <v>12</v>
      </c>
      <c r="E34" s="94">
        <v>68.62</v>
      </c>
      <c r="F34" s="223">
        <v>13</v>
      </c>
      <c r="G34" s="94">
        <v>71.88</v>
      </c>
      <c r="H34" s="115"/>
    </row>
    <row r="35" spans="1:8" ht="27.75" customHeight="1" x14ac:dyDescent="0.25">
      <c r="A35" s="95">
        <v>41306</v>
      </c>
      <c r="B35" s="226">
        <v>17.5</v>
      </c>
      <c r="C35" s="220">
        <v>30300</v>
      </c>
      <c r="D35" s="94">
        <v>12</v>
      </c>
      <c r="E35" s="220">
        <v>68.45</v>
      </c>
      <c r="F35" s="223">
        <v>13</v>
      </c>
      <c r="G35" s="220">
        <v>71.680000000000007</v>
      </c>
      <c r="H35" s="115"/>
    </row>
    <row r="36" spans="1:8" ht="27.75" customHeight="1" x14ac:dyDescent="0.25">
      <c r="A36" s="95">
        <v>41307</v>
      </c>
      <c r="B36" s="226">
        <v>17.420000000000002</v>
      </c>
      <c r="C36" s="220">
        <v>30200</v>
      </c>
      <c r="D36" s="94">
        <v>12</v>
      </c>
      <c r="E36" s="220">
        <v>68.28</v>
      </c>
      <c r="F36" s="223">
        <v>13</v>
      </c>
      <c r="G36" s="220">
        <v>71.489999999999995</v>
      </c>
      <c r="H36" s="115"/>
    </row>
    <row r="37" spans="1:8" ht="27.75" customHeight="1" x14ac:dyDescent="0.25">
      <c r="A37" s="95">
        <v>41308</v>
      </c>
      <c r="B37" s="226">
        <v>17.32</v>
      </c>
      <c r="C37" s="220">
        <v>30000</v>
      </c>
      <c r="D37" s="94">
        <v>9</v>
      </c>
      <c r="E37" s="220">
        <v>51.47</v>
      </c>
      <c r="F37" s="223">
        <v>13</v>
      </c>
      <c r="G37" s="220">
        <v>71.290000000000006</v>
      </c>
      <c r="H37" s="115"/>
    </row>
    <row r="38" spans="1:8" ht="27.75" customHeight="1" x14ac:dyDescent="0.25">
      <c r="A38" s="95">
        <v>41309</v>
      </c>
      <c r="B38" s="226">
        <v>17.25</v>
      </c>
      <c r="C38" s="220">
        <v>28850</v>
      </c>
      <c r="D38" s="94">
        <v>9</v>
      </c>
      <c r="E38" s="220">
        <v>51.34</v>
      </c>
      <c r="F38" s="223">
        <v>13</v>
      </c>
      <c r="G38" s="226">
        <v>71.099999999999994</v>
      </c>
      <c r="H38" s="115"/>
    </row>
    <row r="39" spans="1:8" ht="27.75" customHeight="1" x14ac:dyDescent="0.25">
      <c r="A39" s="95">
        <v>41310</v>
      </c>
      <c r="B39" s="226">
        <v>17.75</v>
      </c>
      <c r="C39" s="220">
        <v>31125</v>
      </c>
      <c r="D39" s="94"/>
      <c r="E39" s="220" t="s">
        <v>122</v>
      </c>
      <c r="F39" s="94"/>
      <c r="G39" s="220" t="s">
        <v>122</v>
      </c>
      <c r="H39" s="115"/>
    </row>
    <row r="40" spans="1:8" ht="27.75" customHeight="1" x14ac:dyDescent="0.25">
      <c r="A40" s="95">
        <v>41311</v>
      </c>
      <c r="B40" s="226">
        <v>17.829999999999998</v>
      </c>
      <c r="C40" s="220">
        <v>31500</v>
      </c>
      <c r="D40" s="94"/>
      <c r="E40" s="220" t="s">
        <v>122</v>
      </c>
      <c r="F40" s="94"/>
      <c r="G40" s="220" t="s">
        <v>122</v>
      </c>
      <c r="H40" s="115"/>
    </row>
    <row r="41" spans="1:8" ht="27.75" customHeight="1" x14ac:dyDescent="0.25">
      <c r="A41" s="95">
        <v>41312</v>
      </c>
      <c r="B41" s="226">
        <v>17.829999999999998</v>
      </c>
      <c r="C41" s="220">
        <v>31500</v>
      </c>
      <c r="D41" s="94"/>
      <c r="E41" s="220" t="s">
        <v>122</v>
      </c>
      <c r="F41" s="94"/>
      <c r="G41" s="220" t="s">
        <v>122</v>
      </c>
      <c r="H41" s="115"/>
    </row>
    <row r="42" spans="1:8" ht="27.75" customHeight="1" x14ac:dyDescent="0.25">
      <c r="A42" s="95">
        <v>41313</v>
      </c>
      <c r="B42" s="226">
        <v>17.829999999999998</v>
      </c>
      <c r="C42" s="220">
        <v>31500</v>
      </c>
      <c r="D42" s="94"/>
      <c r="E42" s="220" t="s">
        <v>122</v>
      </c>
      <c r="F42" s="94"/>
      <c r="G42" s="220" t="s">
        <v>122</v>
      </c>
      <c r="H42" s="115"/>
    </row>
    <row r="43" spans="1:8" ht="27.75" customHeight="1" x14ac:dyDescent="0.25">
      <c r="A43" s="95">
        <v>41314</v>
      </c>
      <c r="B43" s="226">
        <v>17.920000000000002</v>
      </c>
      <c r="C43" s="220">
        <v>32000</v>
      </c>
      <c r="D43" s="94"/>
      <c r="E43" s="220" t="s">
        <v>122</v>
      </c>
      <c r="F43" s="94"/>
      <c r="G43" s="220" t="s">
        <v>122</v>
      </c>
      <c r="H43" s="115"/>
    </row>
    <row r="44" spans="1:8" ht="27.75" customHeight="1" x14ac:dyDescent="0.25">
      <c r="A44" s="95">
        <v>41315</v>
      </c>
      <c r="B44" s="226">
        <v>18</v>
      </c>
      <c r="C44" s="220">
        <v>32100</v>
      </c>
      <c r="D44" s="94">
        <v>12</v>
      </c>
      <c r="E44" s="220">
        <v>69.31</v>
      </c>
      <c r="F44" s="223">
        <v>13</v>
      </c>
      <c r="G44" s="220">
        <v>72.84</v>
      </c>
      <c r="H44" s="115"/>
    </row>
    <row r="45" spans="1:8" ht="27.75" customHeight="1" x14ac:dyDescent="0.25">
      <c r="A45" s="95">
        <v>41316</v>
      </c>
      <c r="B45" s="226">
        <v>18</v>
      </c>
      <c r="C45" s="220">
        <v>32100</v>
      </c>
      <c r="D45" s="94">
        <v>12</v>
      </c>
      <c r="E45" s="220">
        <v>69.31</v>
      </c>
      <c r="F45" s="223">
        <v>13</v>
      </c>
      <c r="G45" s="220">
        <v>72.84</v>
      </c>
      <c r="H45" s="115"/>
    </row>
    <row r="46" spans="1:8" ht="27.75" customHeight="1" x14ac:dyDescent="0.25">
      <c r="A46" s="95">
        <v>41317</v>
      </c>
      <c r="B46" s="226">
        <v>18.079999999999998</v>
      </c>
      <c r="C46" s="220">
        <v>32400</v>
      </c>
      <c r="D46" s="94">
        <v>2</v>
      </c>
      <c r="E46" s="220">
        <v>11.89</v>
      </c>
      <c r="F46" s="223">
        <v>6</v>
      </c>
      <c r="G46" s="220">
        <v>34.31</v>
      </c>
      <c r="H46" s="115"/>
    </row>
    <row r="47" spans="1:8" ht="27.75" customHeight="1" x14ac:dyDescent="0.25">
      <c r="A47" s="95">
        <v>41318</v>
      </c>
      <c r="B47" s="226">
        <v>18.25</v>
      </c>
      <c r="C47" s="220">
        <v>32800</v>
      </c>
      <c r="D47" s="94"/>
      <c r="E47" s="220" t="s">
        <v>122</v>
      </c>
      <c r="F47" s="223"/>
      <c r="G47" s="220" t="s">
        <v>122</v>
      </c>
      <c r="H47" s="115"/>
    </row>
    <row r="48" spans="1:8" ht="27.75" customHeight="1" x14ac:dyDescent="0.25">
      <c r="A48" s="95">
        <v>41319</v>
      </c>
      <c r="B48" s="226">
        <v>18.670000000000002</v>
      </c>
      <c r="C48" s="220">
        <v>31250</v>
      </c>
      <c r="D48" s="94"/>
      <c r="E48" s="220" t="s">
        <v>122</v>
      </c>
      <c r="F48" s="223"/>
      <c r="G48" s="220" t="s">
        <v>122</v>
      </c>
      <c r="H48" s="115"/>
    </row>
    <row r="49" spans="1:8" ht="27.75" customHeight="1" x14ac:dyDescent="0.25">
      <c r="A49" s="95">
        <v>41320</v>
      </c>
      <c r="B49" s="226">
        <v>19</v>
      </c>
      <c r="C49" s="220">
        <v>36250</v>
      </c>
      <c r="D49" s="94"/>
      <c r="E49" s="220" t="s">
        <v>122</v>
      </c>
      <c r="F49" s="94"/>
      <c r="G49" s="220" t="s">
        <v>122</v>
      </c>
      <c r="H49" s="115"/>
    </row>
    <row r="50" spans="1:8" ht="27.75" customHeight="1" x14ac:dyDescent="0.25">
      <c r="A50" s="95">
        <v>41321</v>
      </c>
      <c r="B50" s="226">
        <v>19.29</v>
      </c>
      <c r="C50" s="94" t="s">
        <v>539</v>
      </c>
      <c r="D50" s="94"/>
      <c r="E50" s="220" t="s">
        <v>122</v>
      </c>
      <c r="F50" s="94"/>
      <c r="G50" s="220" t="s">
        <v>122</v>
      </c>
      <c r="H50" s="115">
        <v>512.24</v>
      </c>
    </row>
    <row r="51" spans="1:8" ht="27.75" customHeight="1" x14ac:dyDescent="0.25">
      <c r="A51" s="95">
        <v>41322</v>
      </c>
      <c r="B51" s="226">
        <v>19.25</v>
      </c>
      <c r="C51" s="94" t="s">
        <v>539</v>
      </c>
      <c r="D51" s="94"/>
      <c r="E51" s="220" t="s">
        <v>122</v>
      </c>
      <c r="F51" s="94"/>
      <c r="G51" s="220" t="s">
        <v>122</v>
      </c>
      <c r="H51" s="115">
        <v>410.01</v>
      </c>
    </row>
    <row r="52" spans="1:8" ht="27.75" customHeight="1" x14ac:dyDescent="0.25">
      <c r="A52" s="95">
        <v>41323</v>
      </c>
      <c r="B52" s="226">
        <v>19.25</v>
      </c>
      <c r="C52" s="94" t="s">
        <v>539</v>
      </c>
      <c r="D52" s="94"/>
      <c r="E52" s="220" t="s">
        <v>122</v>
      </c>
      <c r="F52" s="94"/>
      <c r="G52" s="220" t="s">
        <v>122</v>
      </c>
      <c r="H52" s="115">
        <v>410.01</v>
      </c>
    </row>
    <row r="53" spans="1:8" ht="27.75" customHeight="1" x14ac:dyDescent="0.25">
      <c r="A53" s="95">
        <v>41324</v>
      </c>
      <c r="B53" s="226">
        <v>19.25</v>
      </c>
      <c r="C53" s="94" t="s">
        <v>539</v>
      </c>
      <c r="D53" s="94"/>
      <c r="E53" s="220" t="s">
        <v>122</v>
      </c>
      <c r="F53" s="94"/>
      <c r="G53" s="220" t="s">
        <v>122</v>
      </c>
      <c r="H53" s="115">
        <v>410.01</v>
      </c>
    </row>
    <row r="54" spans="1:8" ht="27.75" customHeight="1" x14ac:dyDescent="0.25">
      <c r="A54" s="95">
        <v>41325</v>
      </c>
      <c r="B54" s="226">
        <v>19.25</v>
      </c>
      <c r="C54" s="94" t="s">
        <v>539</v>
      </c>
      <c r="D54" s="94"/>
      <c r="E54" s="220" t="s">
        <v>122</v>
      </c>
      <c r="F54" s="94"/>
      <c r="G54" s="220" t="s">
        <v>122</v>
      </c>
      <c r="H54" s="115">
        <v>410.01</v>
      </c>
    </row>
    <row r="55" spans="1:8" ht="27.75" customHeight="1" x14ac:dyDescent="0.25">
      <c r="A55" s="95">
        <v>41326</v>
      </c>
      <c r="B55" s="226">
        <v>19.25</v>
      </c>
      <c r="C55" s="94" t="s">
        <v>539</v>
      </c>
      <c r="D55" s="94"/>
      <c r="E55" s="220" t="s">
        <v>122</v>
      </c>
      <c r="F55" s="94"/>
      <c r="G55" s="220" t="s">
        <v>122</v>
      </c>
      <c r="H55" s="115">
        <v>410.01</v>
      </c>
    </row>
    <row r="56" spans="1:8" ht="27.75" customHeight="1" x14ac:dyDescent="0.25">
      <c r="A56" s="95">
        <v>41327</v>
      </c>
      <c r="B56" s="226">
        <v>19.25</v>
      </c>
      <c r="C56" s="94" t="s">
        <v>539</v>
      </c>
      <c r="D56" s="94"/>
      <c r="E56" s="220" t="s">
        <v>122</v>
      </c>
      <c r="F56" s="94"/>
      <c r="G56" s="220" t="s">
        <v>122</v>
      </c>
      <c r="H56" s="115">
        <v>410.01</v>
      </c>
    </row>
    <row r="57" spans="1:8" ht="27.75" customHeight="1" x14ac:dyDescent="0.25">
      <c r="A57" s="95">
        <v>41328</v>
      </c>
      <c r="B57" s="226">
        <v>19.21</v>
      </c>
      <c r="C57" s="94" t="s">
        <v>539</v>
      </c>
      <c r="D57" s="94"/>
      <c r="E57" s="220" t="s">
        <v>122</v>
      </c>
      <c r="F57" s="94"/>
      <c r="G57" s="220" t="s">
        <v>122</v>
      </c>
      <c r="H57" s="115">
        <v>315.64999999999998</v>
      </c>
    </row>
    <row r="58" spans="1:8" ht="27.75" customHeight="1" x14ac:dyDescent="0.25">
      <c r="A58" s="95">
        <v>41329</v>
      </c>
      <c r="B58" s="226">
        <v>19.170000000000002</v>
      </c>
      <c r="C58" s="94" t="s">
        <v>539</v>
      </c>
      <c r="D58" s="94"/>
      <c r="E58" s="220" t="s">
        <v>122</v>
      </c>
      <c r="F58" s="94"/>
      <c r="G58" s="220" t="s">
        <v>122</v>
      </c>
      <c r="H58" s="115">
        <v>229.91</v>
      </c>
    </row>
    <row r="59" spans="1:8" ht="27.75" customHeight="1" x14ac:dyDescent="0.25">
      <c r="A59" s="95">
        <v>41330</v>
      </c>
      <c r="B59" s="226">
        <v>19.13</v>
      </c>
      <c r="C59" s="94" t="s">
        <v>539</v>
      </c>
      <c r="D59" s="94"/>
      <c r="E59" s="220" t="s">
        <v>122</v>
      </c>
      <c r="F59" s="94"/>
      <c r="G59" s="220" t="s">
        <v>122</v>
      </c>
      <c r="H59" s="115">
        <v>153.74</v>
      </c>
    </row>
    <row r="60" spans="1:8" ht="27.75" customHeight="1" x14ac:dyDescent="0.25">
      <c r="A60" s="95">
        <v>41331</v>
      </c>
      <c r="B60" s="226">
        <v>19.079999999999998</v>
      </c>
      <c r="C60" s="94" t="s">
        <v>539</v>
      </c>
      <c r="D60" s="94"/>
      <c r="E60" s="220" t="s">
        <v>122</v>
      </c>
      <c r="F60" s="94"/>
      <c r="G60" s="220" t="s">
        <v>122</v>
      </c>
      <c r="H60" s="115">
        <v>74.22</v>
      </c>
    </row>
    <row r="61" spans="1:8" ht="27.75" customHeight="1" x14ac:dyDescent="0.25">
      <c r="A61" s="95">
        <v>41332</v>
      </c>
      <c r="B61" s="226">
        <v>19.079999999999998</v>
      </c>
      <c r="C61" s="94" t="s">
        <v>539</v>
      </c>
      <c r="D61" s="94"/>
      <c r="E61" s="220" t="s">
        <v>122</v>
      </c>
      <c r="F61" s="94"/>
      <c r="G61" s="220" t="s">
        <v>122</v>
      </c>
      <c r="H61" s="115">
        <v>74.22</v>
      </c>
    </row>
    <row r="62" spans="1:8" ht="27.75" customHeight="1" x14ac:dyDescent="0.25">
      <c r="A62" s="95">
        <v>41333</v>
      </c>
      <c r="B62" s="226">
        <v>19.04</v>
      </c>
      <c r="C62" s="94" t="s">
        <v>539</v>
      </c>
      <c r="D62" s="94"/>
      <c r="E62" s="220" t="s">
        <v>122</v>
      </c>
      <c r="F62" s="94"/>
      <c r="G62" s="220" t="s">
        <v>122</v>
      </c>
      <c r="H62" s="115">
        <v>26.24</v>
      </c>
    </row>
    <row r="63" spans="1:8" ht="27.75" customHeight="1" x14ac:dyDescent="0.25">
      <c r="A63" s="95">
        <v>41334</v>
      </c>
      <c r="B63" s="226" t="s">
        <v>1753</v>
      </c>
      <c r="C63" s="220" t="s">
        <v>539</v>
      </c>
      <c r="D63" s="94"/>
      <c r="E63" s="220" t="s">
        <v>122</v>
      </c>
      <c r="F63" s="94"/>
      <c r="G63" s="220" t="s">
        <v>122</v>
      </c>
      <c r="H63" s="115">
        <v>26.24</v>
      </c>
    </row>
    <row r="64" spans="1:8" ht="27.75" customHeight="1" x14ac:dyDescent="0.25">
      <c r="A64" s="95">
        <v>41335</v>
      </c>
      <c r="B64" s="226">
        <v>19</v>
      </c>
      <c r="C64" s="220">
        <v>36250</v>
      </c>
      <c r="D64" s="94"/>
      <c r="E64" s="220" t="s">
        <v>122</v>
      </c>
      <c r="F64" s="94"/>
      <c r="G64" s="220" t="s">
        <v>122</v>
      </c>
      <c r="H64" s="115"/>
    </row>
    <row r="65" spans="1:8" ht="27.75" customHeight="1" x14ac:dyDescent="0.25">
      <c r="A65" s="95">
        <v>41336</v>
      </c>
      <c r="B65" s="226">
        <v>19</v>
      </c>
      <c r="C65" s="220">
        <v>36250</v>
      </c>
      <c r="D65" s="94"/>
      <c r="E65" s="220" t="s">
        <v>122</v>
      </c>
      <c r="F65" s="94"/>
      <c r="G65" s="220" t="s">
        <v>122</v>
      </c>
      <c r="H65" s="115"/>
    </row>
    <row r="66" spans="1:8" ht="27.75" customHeight="1" x14ac:dyDescent="0.25">
      <c r="A66" s="95">
        <v>41337</v>
      </c>
      <c r="B66" s="226">
        <v>19</v>
      </c>
      <c r="C66" s="220">
        <v>36250</v>
      </c>
      <c r="D66" s="94"/>
      <c r="E66" s="226" t="s">
        <v>122</v>
      </c>
      <c r="F66" s="94"/>
      <c r="G66" s="226" t="s">
        <v>122</v>
      </c>
      <c r="H66" s="115"/>
    </row>
    <row r="67" spans="1:8" ht="27.75" customHeight="1" x14ac:dyDescent="0.25">
      <c r="A67" s="95">
        <v>41338</v>
      </c>
      <c r="B67" s="226">
        <v>19.25</v>
      </c>
      <c r="C67" s="220" t="s">
        <v>539</v>
      </c>
      <c r="D67" s="94"/>
      <c r="E67" s="220" t="s">
        <v>122</v>
      </c>
      <c r="F67" s="94"/>
      <c r="G67" s="220" t="s">
        <v>122</v>
      </c>
      <c r="H67" s="115">
        <v>410.01</v>
      </c>
    </row>
    <row r="68" spans="1:8" ht="27.75" customHeight="1" x14ac:dyDescent="0.25">
      <c r="A68" s="95">
        <v>41339</v>
      </c>
      <c r="B68" s="226">
        <v>19.329999999999998</v>
      </c>
      <c r="C68" s="220" t="s">
        <v>539</v>
      </c>
      <c r="D68" s="94"/>
      <c r="E68" s="220" t="s">
        <v>122</v>
      </c>
      <c r="F68" s="94"/>
      <c r="G68" s="220" t="s">
        <v>122</v>
      </c>
      <c r="H68" s="115">
        <v>621.79999999999995</v>
      </c>
    </row>
    <row r="69" spans="1:8" ht="27.75" customHeight="1" x14ac:dyDescent="0.25">
      <c r="A69" s="95">
        <v>41340</v>
      </c>
      <c r="B69" s="226">
        <v>19.420000000000002</v>
      </c>
      <c r="C69" s="220" t="s">
        <v>539</v>
      </c>
      <c r="D69" s="94"/>
      <c r="E69" s="220" t="s">
        <v>122</v>
      </c>
      <c r="F69" s="94"/>
      <c r="G69" s="220" t="s">
        <v>122</v>
      </c>
      <c r="H69" s="115">
        <v>892.8</v>
      </c>
    </row>
    <row r="70" spans="1:8" ht="27.75" customHeight="1" x14ac:dyDescent="0.25">
      <c r="A70" s="95">
        <v>41341</v>
      </c>
      <c r="B70" s="226">
        <v>19.420000000000002</v>
      </c>
      <c r="C70" s="220" t="s">
        <v>539</v>
      </c>
      <c r="D70" s="94"/>
      <c r="E70" s="220" t="s">
        <v>122</v>
      </c>
      <c r="F70" s="94"/>
      <c r="G70" s="220" t="s">
        <v>122</v>
      </c>
      <c r="H70" s="115">
        <v>892.8</v>
      </c>
    </row>
    <row r="71" spans="1:8" ht="27.75" customHeight="1" x14ac:dyDescent="0.25">
      <c r="A71" s="95">
        <v>41342</v>
      </c>
      <c r="B71" s="226">
        <v>19.420000000000002</v>
      </c>
      <c r="C71" s="220" t="s">
        <v>539</v>
      </c>
      <c r="D71" s="94"/>
      <c r="E71" s="220" t="s">
        <v>122</v>
      </c>
      <c r="F71" s="94"/>
      <c r="G71" s="220" t="s">
        <v>122</v>
      </c>
      <c r="H71" s="115">
        <v>892.8</v>
      </c>
    </row>
    <row r="72" spans="1:8" ht="27.75" customHeight="1" x14ac:dyDescent="0.25">
      <c r="A72" s="95">
        <v>41343</v>
      </c>
      <c r="B72" s="226">
        <v>19.329999999999998</v>
      </c>
      <c r="C72" s="220" t="s">
        <v>539</v>
      </c>
      <c r="D72" s="94"/>
      <c r="E72" s="220" t="s">
        <v>122</v>
      </c>
      <c r="F72" s="94"/>
      <c r="G72" s="220" t="s">
        <v>122</v>
      </c>
      <c r="H72" s="115">
        <v>621.79999999999995</v>
      </c>
    </row>
    <row r="73" spans="1:8" ht="27.75" customHeight="1" x14ac:dyDescent="0.25">
      <c r="A73" s="95">
        <v>41344</v>
      </c>
      <c r="B73" s="226">
        <v>19.29</v>
      </c>
      <c r="C73" s="220" t="s">
        <v>539</v>
      </c>
      <c r="D73" s="94"/>
      <c r="E73" s="220" t="s">
        <v>122</v>
      </c>
      <c r="F73" s="94"/>
      <c r="G73" s="220" t="s">
        <v>122</v>
      </c>
      <c r="H73" s="115">
        <v>512.24</v>
      </c>
    </row>
    <row r="74" spans="1:8" ht="27.75" customHeight="1" x14ac:dyDescent="0.25">
      <c r="A74" s="95">
        <v>41345</v>
      </c>
      <c r="B74" s="226">
        <v>19.25</v>
      </c>
      <c r="C74" s="220" t="s">
        <v>539</v>
      </c>
      <c r="D74" s="94"/>
      <c r="E74" s="220" t="s">
        <v>122</v>
      </c>
      <c r="F74" s="94"/>
      <c r="G74" s="220" t="s">
        <v>122</v>
      </c>
      <c r="H74" s="115">
        <v>410.01</v>
      </c>
    </row>
    <row r="75" spans="1:8" ht="27.75" customHeight="1" x14ac:dyDescent="0.25">
      <c r="A75" s="95">
        <v>41346</v>
      </c>
      <c r="B75" s="226">
        <v>19.25</v>
      </c>
      <c r="C75" s="220" t="s">
        <v>539</v>
      </c>
      <c r="D75" s="94"/>
      <c r="E75" s="220" t="s">
        <v>122</v>
      </c>
      <c r="F75" s="94"/>
      <c r="G75" s="220" t="s">
        <v>122</v>
      </c>
      <c r="H75" s="115">
        <v>410.01</v>
      </c>
    </row>
    <row r="76" spans="1:8" ht="27.75" customHeight="1" x14ac:dyDescent="0.25">
      <c r="A76" s="95">
        <v>41347</v>
      </c>
      <c r="B76" s="226">
        <v>19.21</v>
      </c>
      <c r="C76" s="220" t="s">
        <v>539</v>
      </c>
      <c r="D76" s="94"/>
      <c r="E76" s="220" t="s">
        <v>122</v>
      </c>
      <c r="F76" s="94"/>
      <c r="G76" s="220" t="s">
        <v>122</v>
      </c>
      <c r="H76" s="115">
        <v>315.64999999999998</v>
      </c>
    </row>
    <row r="77" spans="1:8" ht="27.75" customHeight="1" x14ac:dyDescent="0.25">
      <c r="A77" s="95">
        <v>41348</v>
      </c>
      <c r="B77" s="226">
        <v>19.170000000000002</v>
      </c>
      <c r="C77" s="220" t="s">
        <v>539</v>
      </c>
      <c r="D77" s="94"/>
      <c r="E77" s="220" t="s">
        <v>122</v>
      </c>
      <c r="F77" s="94"/>
      <c r="G77" s="220" t="s">
        <v>122</v>
      </c>
      <c r="H77" s="115">
        <v>229.91</v>
      </c>
    </row>
    <row r="78" spans="1:8" ht="27.75" customHeight="1" x14ac:dyDescent="0.25">
      <c r="A78" s="95">
        <v>41349</v>
      </c>
      <c r="B78" s="226">
        <v>19.170000000000002</v>
      </c>
      <c r="C78" s="220" t="s">
        <v>539</v>
      </c>
      <c r="D78" s="94"/>
      <c r="E78" s="220" t="s">
        <v>122</v>
      </c>
      <c r="F78" s="94"/>
      <c r="G78" s="220" t="s">
        <v>122</v>
      </c>
      <c r="H78" s="115">
        <v>229.91</v>
      </c>
    </row>
    <row r="79" spans="1:8" ht="27.75" customHeight="1" x14ac:dyDescent="0.25">
      <c r="A79" s="95">
        <v>41350</v>
      </c>
      <c r="B79" s="226">
        <v>19.170000000000002</v>
      </c>
      <c r="C79" s="220" t="s">
        <v>539</v>
      </c>
      <c r="D79" s="94"/>
      <c r="E79" s="220" t="s">
        <v>122</v>
      </c>
      <c r="F79" s="94"/>
      <c r="G79" s="220" t="s">
        <v>122</v>
      </c>
      <c r="H79" s="115">
        <v>229.91</v>
      </c>
    </row>
    <row r="80" spans="1:8" ht="27.75" customHeight="1" x14ac:dyDescent="0.25">
      <c r="A80" s="95">
        <v>41351</v>
      </c>
      <c r="B80" s="226">
        <v>19.13</v>
      </c>
      <c r="C80" s="220" t="s">
        <v>539</v>
      </c>
      <c r="D80" s="94"/>
      <c r="E80" s="220" t="s">
        <v>122</v>
      </c>
      <c r="F80" s="94"/>
      <c r="G80" s="220" t="s">
        <v>122</v>
      </c>
      <c r="H80" s="115">
        <v>153.74</v>
      </c>
    </row>
    <row r="81" spans="1:8" ht="27.75" customHeight="1" x14ac:dyDescent="0.25">
      <c r="A81" s="95">
        <v>41352</v>
      </c>
      <c r="B81" s="226">
        <v>19.079999999999998</v>
      </c>
      <c r="C81" s="220" t="s">
        <v>539</v>
      </c>
      <c r="D81" s="94"/>
      <c r="E81" s="220" t="s">
        <v>122</v>
      </c>
      <c r="F81" s="94"/>
      <c r="G81" s="220" t="s">
        <v>122</v>
      </c>
      <c r="H81" s="115">
        <v>74.22</v>
      </c>
    </row>
    <row r="82" spans="1:8" ht="27.75" customHeight="1" x14ac:dyDescent="0.25">
      <c r="A82" s="95">
        <v>41353</v>
      </c>
      <c r="B82" s="226">
        <v>19.079999999999998</v>
      </c>
      <c r="C82" s="220" t="s">
        <v>539</v>
      </c>
      <c r="D82" s="94"/>
      <c r="E82" s="220" t="s">
        <v>122</v>
      </c>
      <c r="F82" s="94"/>
      <c r="G82" s="220" t="s">
        <v>122</v>
      </c>
      <c r="H82" s="115">
        <v>74.22</v>
      </c>
    </row>
    <row r="83" spans="1:8" ht="27.75" customHeight="1" x14ac:dyDescent="0.25">
      <c r="A83" s="95">
        <v>41354</v>
      </c>
      <c r="B83" s="226">
        <v>19.079999999999998</v>
      </c>
      <c r="C83" s="220" t="s">
        <v>539</v>
      </c>
      <c r="D83" s="94"/>
      <c r="E83" s="220" t="s">
        <v>122</v>
      </c>
      <c r="F83" s="94"/>
      <c r="G83" s="220" t="s">
        <v>122</v>
      </c>
      <c r="H83" s="115">
        <v>74.22</v>
      </c>
    </row>
    <row r="84" spans="1:8" ht="27.75" customHeight="1" x14ac:dyDescent="0.25">
      <c r="A84" s="95">
        <v>41355</v>
      </c>
      <c r="B84" s="226">
        <v>19.079999999999998</v>
      </c>
      <c r="C84" s="220" t="s">
        <v>539</v>
      </c>
      <c r="D84" s="94"/>
      <c r="E84" s="220" t="s">
        <v>122</v>
      </c>
      <c r="F84" s="94"/>
      <c r="G84" s="220" t="s">
        <v>122</v>
      </c>
      <c r="H84" s="115">
        <v>74.22</v>
      </c>
    </row>
    <row r="85" spans="1:8" ht="27.75" customHeight="1" x14ac:dyDescent="0.25">
      <c r="A85" s="95">
        <v>41356</v>
      </c>
      <c r="B85" s="226">
        <v>19.079999999999998</v>
      </c>
      <c r="C85" s="220" t="s">
        <v>539</v>
      </c>
      <c r="D85" s="94"/>
      <c r="E85" s="220" t="s">
        <v>122</v>
      </c>
      <c r="F85" s="94"/>
      <c r="G85" s="220" t="s">
        <v>122</v>
      </c>
      <c r="H85" s="115">
        <v>74.22</v>
      </c>
    </row>
    <row r="86" spans="1:8" ht="27.75" customHeight="1" x14ac:dyDescent="0.25">
      <c r="A86" s="95">
        <v>41357</v>
      </c>
      <c r="B86" s="226">
        <v>19.04</v>
      </c>
      <c r="C86" s="220" t="s">
        <v>539</v>
      </c>
      <c r="D86" s="94"/>
      <c r="E86" s="220" t="s">
        <v>122</v>
      </c>
      <c r="F86" s="94"/>
      <c r="G86" s="220" t="s">
        <v>122</v>
      </c>
      <c r="H86" s="115">
        <v>26.24</v>
      </c>
    </row>
    <row r="87" spans="1:8" ht="27.75" customHeight="1" x14ac:dyDescent="0.25">
      <c r="A87" s="95">
        <v>41358</v>
      </c>
      <c r="B87" s="226">
        <v>19.04</v>
      </c>
      <c r="C87" s="220" t="s">
        <v>539</v>
      </c>
      <c r="D87" s="94"/>
      <c r="E87" s="220" t="s">
        <v>122</v>
      </c>
      <c r="F87" s="94"/>
      <c r="G87" s="220" t="s">
        <v>122</v>
      </c>
      <c r="H87" s="115">
        <v>26.24</v>
      </c>
    </row>
    <row r="88" spans="1:8" ht="27.75" customHeight="1" x14ac:dyDescent="0.25">
      <c r="A88" s="95">
        <v>41359</v>
      </c>
      <c r="B88" s="226">
        <v>19.04</v>
      </c>
      <c r="C88" s="220" t="s">
        <v>539</v>
      </c>
      <c r="D88" s="94">
        <v>2</v>
      </c>
      <c r="E88" s="226">
        <f>(12.19+12.22)/2</f>
        <v>12.205</v>
      </c>
      <c r="F88" s="223">
        <v>4</v>
      </c>
      <c r="G88" s="220">
        <f>(23.61+23.67)/2</f>
        <v>23.64</v>
      </c>
      <c r="H88" s="115">
        <v>26.24</v>
      </c>
    </row>
    <row r="89" spans="1:8" ht="27.75" customHeight="1" x14ac:dyDescent="0.25">
      <c r="A89" s="95">
        <v>41360</v>
      </c>
      <c r="B89" s="226">
        <v>19.04</v>
      </c>
      <c r="C89" s="220" t="s">
        <v>539</v>
      </c>
      <c r="D89" s="94">
        <v>2</v>
      </c>
      <c r="E89" s="226">
        <v>12.21</v>
      </c>
      <c r="F89" s="223">
        <v>4</v>
      </c>
      <c r="G89" s="220">
        <v>23.64</v>
      </c>
      <c r="H89" s="115">
        <v>26.24</v>
      </c>
    </row>
    <row r="90" spans="1:8" ht="27.75" customHeight="1" x14ac:dyDescent="0.25">
      <c r="A90" s="95">
        <v>41361</v>
      </c>
      <c r="B90" s="226">
        <v>19.04</v>
      </c>
      <c r="C90" s="220" t="s">
        <v>539</v>
      </c>
      <c r="D90" s="94">
        <v>4</v>
      </c>
      <c r="E90" s="226">
        <f>(24.27+24.32)/2</f>
        <v>24.295000000000002</v>
      </c>
      <c r="F90" s="223">
        <v>3</v>
      </c>
      <c r="G90" s="220">
        <v>17.77</v>
      </c>
      <c r="H90" s="115">
        <v>26.24</v>
      </c>
    </row>
    <row r="91" spans="1:8" ht="27.75" customHeight="1" x14ac:dyDescent="0.25">
      <c r="A91" s="95">
        <v>41362</v>
      </c>
      <c r="B91" s="226">
        <v>19.04</v>
      </c>
      <c r="C91" s="220" t="s">
        <v>539</v>
      </c>
      <c r="D91" s="94">
        <v>9</v>
      </c>
      <c r="E91" s="226">
        <v>54.06</v>
      </c>
      <c r="F91" s="223">
        <v>3</v>
      </c>
      <c r="G91" s="220">
        <v>17.77</v>
      </c>
      <c r="H91" s="115">
        <v>26.24</v>
      </c>
    </row>
    <row r="92" spans="1:8" ht="27.75" customHeight="1" x14ac:dyDescent="0.25">
      <c r="A92" s="95">
        <v>41363</v>
      </c>
      <c r="B92" s="226">
        <v>19</v>
      </c>
      <c r="C92" s="94">
        <v>36250</v>
      </c>
      <c r="D92" s="94">
        <v>12</v>
      </c>
      <c r="E92" s="226">
        <v>71.5</v>
      </c>
      <c r="F92" s="223">
        <v>9</v>
      </c>
      <c r="G92" s="226">
        <f>(52.43+52.56)/2</f>
        <v>52.495000000000005</v>
      </c>
      <c r="H92" s="115" t="s">
        <v>122</v>
      </c>
    </row>
    <row r="93" spans="1:8" ht="27.75" customHeight="1" x14ac:dyDescent="0.25">
      <c r="A93" s="95">
        <v>41364</v>
      </c>
      <c r="B93" s="94">
        <v>18.670000000000002</v>
      </c>
      <c r="C93" s="94">
        <v>35750</v>
      </c>
      <c r="D93" s="94">
        <v>9</v>
      </c>
      <c r="E93" s="226">
        <f>(53.44+53.56)/2</f>
        <v>53.5</v>
      </c>
      <c r="F93" s="223">
        <v>9</v>
      </c>
      <c r="G93" s="226">
        <f>(51.92+52.05)/2</f>
        <v>51.984999999999999</v>
      </c>
      <c r="H93" s="115" t="s">
        <v>122</v>
      </c>
    </row>
    <row r="94" spans="1:8" ht="27.75" customHeight="1" x14ac:dyDescent="0.25">
      <c r="A94" s="95">
        <v>41365</v>
      </c>
      <c r="B94" s="226">
        <v>18.829999999999998</v>
      </c>
      <c r="C94" s="220">
        <v>35250</v>
      </c>
      <c r="D94" s="94">
        <v>12</v>
      </c>
      <c r="E94" s="94">
        <v>71.16</v>
      </c>
      <c r="F94" s="94">
        <v>12</v>
      </c>
      <c r="G94" s="220">
        <v>68.97</v>
      </c>
      <c r="H94" s="115" t="s">
        <v>122</v>
      </c>
    </row>
    <row r="95" spans="1:8" ht="27.75" customHeight="1" x14ac:dyDescent="0.25">
      <c r="A95" s="95">
        <v>41366</v>
      </c>
      <c r="B95" s="226">
        <v>18.75</v>
      </c>
      <c r="C95" s="220">
        <v>34750</v>
      </c>
      <c r="D95" s="94">
        <v>15</v>
      </c>
      <c r="E95" s="94">
        <v>88.11</v>
      </c>
      <c r="F95" s="94">
        <v>15</v>
      </c>
      <c r="G95" s="220">
        <v>85.56</v>
      </c>
      <c r="H95" s="115" t="s">
        <v>122</v>
      </c>
    </row>
    <row r="96" spans="1:8" ht="27.75" customHeight="1" x14ac:dyDescent="0.25">
      <c r="A96" s="95">
        <v>41367</v>
      </c>
      <c r="B96" s="226">
        <v>18.670000000000002</v>
      </c>
      <c r="C96" s="220">
        <v>34250</v>
      </c>
      <c r="D96" s="94">
        <v>15</v>
      </c>
      <c r="E96" s="94">
        <v>87.91</v>
      </c>
      <c r="F96" s="94">
        <v>15</v>
      </c>
      <c r="G96" s="94">
        <v>85.35</v>
      </c>
      <c r="H96" s="115" t="s">
        <v>122</v>
      </c>
    </row>
    <row r="97" spans="1:8" ht="27.75" customHeight="1" x14ac:dyDescent="0.25">
      <c r="A97" s="95">
        <v>41368</v>
      </c>
      <c r="B97" s="226">
        <v>18.579999999999998</v>
      </c>
      <c r="C97" s="220">
        <v>33900</v>
      </c>
      <c r="D97" s="94">
        <v>15</v>
      </c>
      <c r="E97" s="220">
        <v>87.69</v>
      </c>
      <c r="F97" s="94">
        <v>15</v>
      </c>
      <c r="G97" s="220">
        <v>85.13</v>
      </c>
      <c r="H97" s="115" t="s">
        <v>122</v>
      </c>
    </row>
    <row r="98" spans="1:8" ht="27.75" customHeight="1" x14ac:dyDescent="0.25">
      <c r="A98" s="95">
        <v>41369</v>
      </c>
      <c r="B98" s="226">
        <v>18.5</v>
      </c>
      <c r="C98" s="220">
        <v>33800</v>
      </c>
      <c r="D98" s="94">
        <v>15</v>
      </c>
      <c r="E98" s="220">
        <v>87.48</v>
      </c>
      <c r="F98" s="94">
        <v>15</v>
      </c>
      <c r="G98" s="220">
        <v>84.91</v>
      </c>
      <c r="H98" s="115" t="s">
        <v>122</v>
      </c>
    </row>
    <row r="99" spans="1:8" ht="27.75" customHeight="1" x14ac:dyDescent="0.25">
      <c r="A99" s="95">
        <v>41370</v>
      </c>
      <c r="B99" s="226">
        <v>18.38</v>
      </c>
      <c r="C99" s="220">
        <v>33250</v>
      </c>
      <c r="D99" s="94">
        <v>15</v>
      </c>
      <c r="E99" s="220">
        <v>87.18</v>
      </c>
      <c r="F99" s="94">
        <v>15</v>
      </c>
      <c r="G99" s="220">
        <v>84.59</v>
      </c>
      <c r="H99" s="115" t="s">
        <v>122</v>
      </c>
    </row>
    <row r="100" spans="1:8" ht="27.75" customHeight="1" x14ac:dyDescent="0.25">
      <c r="A100" s="95">
        <v>41371</v>
      </c>
      <c r="B100" s="226">
        <v>18.25</v>
      </c>
      <c r="C100" s="220">
        <v>32800</v>
      </c>
      <c r="D100" s="94">
        <v>15</v>
      </c>
      <c r="E100" s="226">
        <v>86.85</v>
      </c>
      <c r="F100" s="94">
        <v>15</v>
      </c>
      <c r="G100" s="226">
        <v>84.26</v>
      </c>
      <c r="H100" s="115" t="s">
        <v>122</v>
      </c>
    </row>
    <row r="101" spans="1:8" ht="27.75" customHeight="1" x14ac:dyDescent="0.25">
      <c r="A101" s="95">
        <v>41372</v>
      </c>
      <c r="B101" s="226">
        <v>18.13</v>
      </c>
      <c r="C101" s="220">
        <v>32500</v>
      </c>
      <c r="D101" s="94">
        <v>15</v>
      </c>
      <c r="E101" s="220">
        <v>86.55</v>
      </c>
      <c r="F101" s="94">
        <v>15</v>
      </c>
      <c r="G101" s="220">
        <v>83.93</v>
      </c>
      <c r="H101" s="115" t="s">
        <v>122</v>
      </c>
    </row>
    <row r="102" spans="1:8" ht="27.75" customHeight="1" x14ac:dyDescent="0.25">
      <c r="A102" s="95">
        <v>41373</v>
      </c>
      <c r="B102" s="226">
        <v>18</v>
      </c>
      <c r="C102" s="220">
        <v>32100</v>
      </c>
      <c r="D102" s="94">
        <v>12</v>
      </c>
      <c r="E102" s="220">
        <v>69.48</v>
      </c>
      <c r="F102" s="94">
        <v>15</v>
      </c>
      <c r="G102" s="220">
        <v>83.6</v>
      </c>
      <c r="H102" s="115" t="s">
        <v>122</v>
      </c>
    </row>
    <row r="103" spans="1:8" ht="27.75" customHeight="1" x14ac:dyDescent="0.25">
      <c r="A103" s="95">
        <v>41374</v>
      </c>
      <c r="B103" s="226">
        <v>17.88</v>
      </c>
      <c r="C103" s="220">
        <v>31750</v>
      </c>
      <c r="D103" s="94">
        <v>12</v>
      </c>
      <c r="E103" s="220">
        <v>69.22</v>
      </c>
      <c r="F103" s="94">
        <v>15</v>
      </c>
      <c r="G103" s="220">
        <v>83.26</v>
      </c>
      <c r="H103" s="115" t="s">
        <v>122</v>
      </c>
    </row>
    <row r="104" spans="1:8" ht="27.75" customHeight="1" x14ac:dyDescent="0.25">
      <c r="A104" s="95">
        <v>41375</v>
      </c>
      <c r="B104" s="226">
        <v>17.75</v>
      </c>
      <c r="C104" s="220">
        <v>31125</v>
      </c>
      <c r="D104" s="94">
        <v>12</v>
      </c>
      <c r="E104" s="220">
        <v>68.97</v>
      </c>
      <c r="F104" s="94">
        <v>15</v>
      </c>
      <c r="G104" s="220">
        <v>82.7</v>
      </c>
      <c r="H104" s="115" t="s">
        <v>122</v>
      </c>
    </row>
    <row r="105" spans="1:8" ht="27.75" customHeight="1" x14ac:dyDescent="0.25">
      <c r="A105" s="95">
        <v>41376</v>
      </c>
      <c r="B105" s="226">
        <v>17.63</v>
      </c>
      <c r="C105" s="220">
        <v>30625</v>
      </c>
      <c r="D105" s="94">
        <v>12</v>
      </c>
      <c r="E105" s="220">
        <v>68.709999999999994</v>
      </c>
      <c r="F105" s="94">
        <v>15</v>
      </c>
      <c r="G105" s="220">
        <v>82.59</v>
      </c>
      <c r="H105" s="115" t="s">
        <v>122</v>
      </c>
    </row>
    <row r="106" spans="1:8" ht="27.75" customHeight="1" x14ac:dyDescent="0.25">
      <c r="A106" s="95">
        <v>41377</v>
      </c>
      <c r="B106" s="226">
        <v>17.5</v>
      </c>
      <c r="C106" s="220">
        <v>30300</v>
      </c>
      <c r="D106" s="94">
        <v>12</v>
      </c>
      <c r="E106" s="220">
        <v>68.45</v>
      </c>
      <c r="F106" s="94">
        <v>15</v>
      </c>
      <c r="G106" s="220">
        <v>82.26</v>
      </c>
      <c r="H106" s="115" t="s">
        <v>122</v>
      </c>
    </row>
    <row r="107" spans="1:8" ht="27.75" customHeight="1" x14ac:dyDescent="0.25">
      <c r="A107" s="95">
        <v>41378</v>
      </c>
      <c r="B107" s="226">
        <v>17.420000000000002</v>
      </c>
      <c r="C107" s="220">
        <v>30200</v>
      </c>
      <c r="D107" s="94">
        <v>6</v>
      </c>
      <c r="E107" s="220">
        <v>34.659999999999997</v>
      </c>
      <c r="F107" s="94">
        <v>12</v>
      </c>
      <c r="G107" s="220">
        <v>66.17</v>
      </c>
      <c r="H107" s="115" t="s">
        <v>122</v>
      </c>
    </row>
    <row r="108" spans="1:8" ht="27.75" customHeight="1" x14ac:dyDescent="0.25">
      <c r="A108" s="95">
        <v>41379</v>
      </c>
      <c r="B108" s="226">
        <v>17.329999999999998</v>
      </c>
      <c r="C108" s="220">
        <v>30000</v>
      </c>
      <c r="D108" s="94">
        <v>6</v>
      </c>
      <c r="E108" s="220">
        <v>34.57</v>
      </c>
      <c r="F108" s="94">
        <v>6</v>
      </c>
      <c r="G108" s="220">
        <v>33.53</v>
      </c>
      <c r="H108" s="115" t="s">
        <v>122</v>
      </c>
    </row>
    <row r="109" spans="1:8" ht="27.75" customHeight="1" x14ac:dyDescent="0.25">
      <c r="A109" s="95">
        <v>41380</v>
      </c>
      <c r="B109" s="226">
        <v>17.329999999999998</v>
      </c>
      <c r="C109" s="220">
        <v>30000</v>
      </c>
      <c r="D109" s="94">
        <v>4</v>
      </c>
      <c r="E109" s="220">
        <v>23.16</v>
      </c>
      <c r="F109" s="94">
        <v>6</v>
      </c>
      <c r="G109" s="220">
        <v>33.53</v>
      </c>
      <c r="H109" s="115" t="s">
        <v>122</v>
      </c>
    </row>
    <row r="110" spans="1:8" ht="27.75" customHeight="1" x14ac:dyDescent="0.25">
      <c r="A110" s="95">
        <v>41381</v>
      </c>
      <c r="B110" s="226">
        <v>17.329999999999998</v>
      </c>
      <c r="C110" s="220">
        <v>30000</v>
      </c>
      <c r="D110" s="94">
        <v>4</v>
      </c>
      <c r="E110" s="220">
        <v>23.16</v>
      </c>
      <c r="F110" s="94">
        <v>6</v>
      </c>
      <c r="G110" s="220">
        <v>33.53</v>
      </c>
      <c r="H110" s="115" t="s">
        <v>122</v>
      </c>
    </row>
    <row r="111" spans="1:8" ht="27.75" customHeight="1" x14ac:dyDescent="0.25">
      <c r="A111" s="95">
        <v>41382</v>
      </c>
      <c r="B111" s="226">
        <v>17.25</v>
      </c>
      <c r="C111" s="220">
        <v>28850</v>
      </c>
      <c r="D111" s="94">
        <v>4</v>
      </c>
      <c r="E111" s="220">
        <v>23.11</v>
      </c>
      <c r="F111" s="94">
        <v>6</v>
      </c>
      <c r="G111" s="220">
        <v>33.44</v>
      </c>
      <c r="H111" s="115" t="s">
        <v>122</v>
      </c>
    </row>
    <row r="112" spans="1:8" ht="27.75" customHeight="1" x14ac:dyDescent="0.25">
      <c r="A112" s="95">
        <v>41383</v>
      </c>
      <c r="B112" s="226">
        <v>17.21</v>
      </c>
      <c r="C112" s="220">
        <v>28800</v>
      </c>
      <c r="D112" s="94">
        <v>7</v>
      </c>
      <c r="E112" s="220">
        <v>40.090000000000003</v>
      </c>
      <c r="F112" s="94">
        <v>6</v>
      </c>
      <c r="G112" s="220">
        <v>33.4</v>
      </c>
      <c r="H112" s="115" t="s">
        <v>122</v>
      </c>
    </row>
    <row r="113" spans="1:8" ht="27.75" customHeight="1" x14ac:dyDescent="0.25">
      <c r="A113" s="95">
        <v>41384</v>
      </c>
      <c r="B113" s="226">
        <v>17.170000000000002</v>
      </c>
      <c r="C113" s="220">
        <v>28750</v>
      </c>
      <c r="D113" s="94">
        <v>7</v>
      </c>
      <c r="E113" s="220">
        <v>40.03</v>
      </c>
      <c r="F113" s="94">
        <v>9</v>
      </c>
      <c r="G113" s="220">
        <v>49.63</v>
      </c>
      <c r="H113" s="115" t="s">
        <v>122</v>
      </c>
    </row>
    <row r="114" spans="1:8" ht="27.75" customHeight="1" x14ac:dyDescent="0.25">
      <c r="A114" s="95">
        <v>41385</v>
      </c>
      <c r="B114" s="226">
        <v>17.079999999999998</v>
      </c>
      <c r="C114" s="220">
        <v>28600</v>
      </c>
      <c r="D114" s="94">
        <v>7</v>
      </c>
      <c r="E114" s="220">
        <v>39.89</v>
      </c>
      <c r="F114" s="94">
        <v>9</v>
      </c>
      <c r="G114" s="220">
        <v>49.5</v>
      </c>
      <c r="H114" s="115" t="s">
        <v>122</v>
      </c>
    </row>
    <row r="115" spans="1:8" ht="27.75" customHeight="1" x14ac:dyDescent="0.25">
      <c r="A115" s="95">
        <v>41386</v>
      </c>
      <c r="B115" s="226">
        <v>17</v>
      </c>
      <c r="C115" s="220">
        <v>28500</v>
      </c>
      <c r="D115" s="94">
        <v>8</v>
      </c>
      <c r="E115" s="220">
        <v>45.4</v>
      </c>
      <c r="F115" s="94">
        <v>9</v>
      </c>
      <c r="G115" s="220">
        <v>49.49</v>
      </c>
      <c r="H115" s="115" t="s">
        <v>122</v>
      </c>
    </row>
    <row r="116" spans="1:8" ht="27.75" customHeight="1" x14ac:dyDescent="0.25">
      <c r="A116" s="95">
        <v>41387</v>
      </c>
      <c r="B116" s="226">
        <v>16.920000000000002</v>
      </c>
      <c r="C116" s="220">
        <v>28400</v>
      </c>
      <c r="D116" s="94">
        <v>8</v>
      </c>
      <c r="E116" s="220">
        <v>45.3</v>
      </c>
      <c r="F116" s="94">
        <v>9</v>
      </c>
      <c r="G116" s="220">
        <v>49.22</v>
      </c>
      <c r="H116" s="115" t="s">
        <v>122</v>
      </c>
    </row>
    <row r="117" spans="1:8" ht="27.75" customHeight="1" x14ac:dyDescent="0.25">
      <c r="A117" s="95">
        <v>41388</v>
      </c>
      <c r="B117" s="226">
        <v>16.920000000000002</v>
      </c>
      <c r="C117" s="220">
        <v>28400</v>
      </c>
      <c r="D117" s="94"/>
      <c r="E117" s="220" t="s">
        <v>122</v>
      </c>
      <c r="F117" s="94"/>
      <c r="G117" s="220" t="s">
        <v>122</v>
      </c>
      <c r="H117" s="115" t="s">
        <v>122</v>
      </c>
    </row>
    <row r="118" spans="1:8" ht="27.75" customHeight="1" x14ac:dyDescent="0.25">
      <c r="A118" s="95">
        <v>41389</v>
      </c>
      <c r="B118" s="226">
        <v>16.920000000000002</v>
      </c>
      <c r="C118" s="220">
        <v>28400</v>
      </c>
      <c r="D118" s="94"/>
      <c r="E118" s="220" t="s">
        <v>122</v>
      </c>
      <c r="F118" s="94"/>
      <c r="G118" s="220" t="s">
        <v>122</v>
      </c>
      <c r="H118" s="115" t="s">
        <v>122</v>
      </c>
    </row>
    <row r="119" spans="1:8" ht="27.75" customHeight="1" x14ac:dyDescent="0.25">
      <c r="A119" s="95">
        <v>41390</v>
      </c>
      <c r="B119" s="226">
        <v>16.920000000000002</v>
      </c>
      <c r="C119" s="220">
        <v>28400</v>
      </c>
      <c r="D119" s="94"/>
      <c r="E119" s="220" t="s">
        <v>122</v>
      </c>
      <c r="F119" s="94"/>
      <c r="G119" s="220" t="s">
        <v>122</v>
      </c>
      <c r="H119" s="115" t="s">
        <v>122</v>
      </c>
    </row>
    <row r="120" spans="1:8" ht="27.75" customHeight="1" x14ac:dyDescent="0.25">
      <c r="A120" s="95">
        <v>41391</v>
      </c>
      <c r="B120" s="226">
        <v>16.920000000000002</v>
      </c>
      <c r="C120" s="220">
        <v>28400</v>
      </c>
      <c r="D120" s="94">
        <v>10</v>
      </c>
      <c r="E120" s="220">
        <v>56.33</v>
      </c>
      <c r="F120" s="223">
        <v>12</v>
      </c>
      <c r="G120" s="220">
        <v>65.08</v>
      </c>
      <c r="H120" s="115" t="s">
        <v>122</v>
      </c>
    </row>
    <row r="121" spans="1:8" ht="27.75" customHeight="1" x14ac:dyDescent="0.25">
      <c r="A121" s="95">
        <v>41392</v>
      </c>
      <c r="B121" s="226">
        <v>16.88</v>
      </c>
      <c r="C121" s="220">
        <v>28300</v>
      </c>
      <c r="D121" s="94"/>
      <c r="E121" s="220" t="s">
        <v>122</v>
      </c>
      <c r="F121" s="223">
        <v>8</v>
      </c>
      <c r="G121" s="220">
        <v>43.81</v>
      </c>
      <c r="H121" s="115" t="s">
        <v>122</v>
      </c>
    </row>
    <row r="122" spans="1:8" ht="27.75" customHeight="1" x14ac:dyDescent="0.25">
      <c r="A122" s="95">
        <v>41393</v>
      </c>
      <c r="B122" s="226">
        <v>16.829999999999998</v>
      </c>
      <c r="C122" s="220">
        <v>28200</v>
      </c>
      <c r="D122" s="94">
        <v>12</v>
      </c>
      <c r="E122" s="226">
        <v>67.05</v>
      </c>
      <c r="F122" s="223">
        <v>12</v>
      </c>
      <c r="G122" s="220">
        <v>65.36</v>
      </c>
      <c r="H122" s="115" t="s">
        <v>122</v>
      </c>
    </row>
    <row r="123" spans="1:8" ht="27.75" customHeight="1" x14ac:dyDescent="0.25">
      <c r="A123" s="95">
        <v>41394</v>
      </c>
      <c r="B123" s="226">
        <v>16.75</v>
      </c>
      <c r="C123" s="220">
        <v>28000</v>
      </c>
      <c r="D123" s="94">
        <v>12</v>
      </c>
      <c r="E123" s="226">
        <v>66.88</v>
      </c>
      <c r="F123" s="223">
        <v>14</v>
      </c>
      <c r="G123" s="220">
        <v>75.180000000000007</v>
      </c>
      <c r="H123" s="115" t="s">
        <v>122</v>
      </c>
    </row>
    <row r="124" spans="1:8" ht="27.75" customHeight="1" x14ac:dyDescent="0.25">
      <c r="A124" s="95">
        <v>41395</v>
      </c>
      <c r="B124" s="226">
        <v>16.670000000000002</v>
      </c>
      <c r="C124" s="220">
        <v>27850</v>
      </c>
      <c r="D124" s="94">
        <v>12</v>
      </c>
      <c r="E124" s="94">
        <v>66.7</v>
      </c>
      <c r="F124" s="223">
        <v>12</v>
      </c>
      <c r="G124" s="94">
        <v>64.540000000000006</v>
      </c>
      <c r="H124" s="115" t="s">
        <v>122</v>
      </c>
    </row>
    <row r="125" spans="1:8" ht="27.75" customHeight="1" x14ac:dyDescent="0.25">
      <c r="A125" s="95">
        <v>41396</v>
      </c>
      <c r="B125" s="226">
        <v>16.579999999999998</v>
      </c>
      <c r="C125" s="220">
        <v>27500</v>
      </c>
      <c r="D125" s="94">
        <v>10</v>
      </c>
      <c r="E125" s="220">
        <v>55.73</v>
      </c>
      <c r="F125" s="223">
        <v>12</v>
      </c>
      <c r="G125" s="220">
        <v>64.349999999999994</v>
      </c>
      <c r="H125" s="115" t="s">
        <v>122</v>
      </c>
    </row>
    <row r="126" spans="1:8" ht="27.75" customHeight="1" x14ac:dyDescent="0.25">
      <c r="A126" s="95">
        <v>41397</v>
      </c>
      <c r="B126" s="226">
        <v>16.5</v>
      </c>
      <c r="C126" s="220">
        <v>27000</v>
      </c>
      <c r="D126" s="94">
        <v>10</v>
      </c>
      <c r="E126" s="220">
        <v>55.59</v>
      </c>
      <c r="F126" s="223">
        <v>10</v>
      </c>
      <c r="G126" s="220">
        <v>53.8</v>
      </c>
      <c r="H126" s="115" t="s">
        <v>122</v>
      </c>
    </row>
    <row r="127" spans="1:8" ht="27.75" customHeight="1" x14ac:dyDescent="0.25">
      <c r="A127" s="95">
        <v>41398</v>
      </c>
      <c r="B127" s="226">
        <v>16.420000000000002</v>
      </c>
      <c r="C127" s="220">
        <v>26750</v>
      </c>
      <c r="D127" s="94"/>
      <c r="E127" s="220"/>
      <c r="F127" s="94"/>
      <c r="G127" s="220"/>
      <c r="H127" s="115" t="s">
        <v>122</v>
      </c>
    </row>
    <row r="128" spans="1:8" ht="27.75" customHeight="1" x14ac:dyDescent="0.25">
      <c r="A128" s="95">
        <v>41399</v>
      </c>
      <c r="B128" s="226">
        <v>16.420000000000002</v>
      </c>
      <c r="C128" s="220">
        <v>26750</v>
      </c>
      <c r="D128" s="94"/>
      <c r="E128" s="226"/>
      <c r="F128" s="94"/>
      <c r="G128" s="226"/>
      <c r="H128" s="115" t="s">
        <v>122</v>
      </c>
    </row>
    <row r="129" spans="1:8" ht="27.75" customHeight="1" x14ac:dyDescent="0.25">
      <c r="A129" s="95">
        <v>41400</v>
      </c>
      <c r="B129" s="226">
        <v>16.579999999999998</v>
      </c>
      <c r="C129" s="220">
        <v>27500</v>
      </c>
      <c r="D129" s="94"/>
      <c r="E129" s="220"/>
      <c r="F129" s="94"/>
      <c r="G129" s="220"/>
      <c r="H129" s="115" t="s">
        <v>122</v>
      </c>
    </row>
    <row r="130" spans="1:8" ht="27.75" customHeight="1" x14ac:dyDescent="0.25">
      <c r="A130" s="95">
        <v>41401</v>
      </c>
      <c r="B130" s="226">
        <v>16.670000000000002</v>
      </c>
      <c r="C130" s="220">
        <v>27850</v>
      </c>
      <c r="D130" s="94"/>
      <c r="E130" s="220"/>
      <c r="F130" s="94"/>
      <c r="G130" s="220"/>
      <c r="H130" s="115" t="s">
        <v>122</v>
      </c>
    </row>
    <row r="131" spans="1:8" ht="27.75" customHeight="1" x14ac:dyDescent="0.25">
      <c r="A131" s="95">
        <v>41402</v>
      </c>
      <c r="B131" s="226">
        <v>16.670000000000002</v>
      </c>
      <c r="C131" s="220">
        <v>27850</v>
      </c>
      <c r="D131" s="94"/>
      <c r="E131" s="220"/>
      <c r="F131" s="94"/>
      <c r="G131" s="220"/>
      <c r="H131" s="115" t="s">
        <v>122</v>
      </c>
    </row>
    <row r="132" spans="1:8" ht="27.75" customHeight="1" x14ac:dyDescent="0.25">
      <c r="A132" s="95">
        <v>41403</v>
      </c>
      <c r="B132" s="226">
        <v>16.670000000000002</v>
      </c>
      <c r="C132" s="220">
        <v>27850</v>
      </c>
      <c r="D132" s="94"/>
      <c r="E132" s="220"/>
      <c r="F132" s="94"/>
      <c r="G132" s="220"/>
      <c r="H132" s="115" t="s">
        <v>122</v>
      </c>
    </row>
    <row r="133" spans="1:8" ht="27.75" customHeight="1" x14ac:dyDescent="0.25">
      <c r="A133" s="95">
        <v>41404</v>
      </c>
      <c r="B133" s="226">
        <v>16.670000000000002</v>
      </c>
      <c r="C133" s="220">
        <v>27850</v>
      </c>
      <c r="D133" s="94"/>
      <c r="E133" s="220"/>
      <c r="F133" s="94"/>
      <c r="G133" s="220"/>
      <c r="H133" s="115" t="s">
        <v>122</v>
      </c>
    </row>
    <row r="134" spans="1:8" ht="27.75" customHeight="1" x14ac:dyDescent="0.25">
      <c r="A134" s="95">
        <v>41405</v>
      </c>
      <c r="B134" s="226">
        <v>16.670000000000002</v>
      </c>
      <c r="C134" s="220">
        <v>27850</v>
      </c>
      <c r="D134" s="94">
        <v>12</v>
      </c>
      <c r="E134" s="220">
        <v>66.7</v>
      </c>
      <c r="F134" s="153">
        <v>13</v>
      </c>
      <c r="G134" s="220">
        <v>69.72</v>
      </c>
      <c r="H134" s="115" t="s">
        <v>122</v>
      </c>
    </row>
    <row r="135" spans="1:8" ht="27.75" customHeight="1" x14ac:dyDescent="0.25">
      <c r="A135" s="95">
        <v>41406</v>
      </c>
      <c r="B135" s="226">
        <v>16.579999999999998</v>
      </c>
      <c r="C135" s="220">
        <v>27500</v>
      </c>
      <c r="D135" s="94">
        <v>14</v>
      </c>
      <c r="E135" s="220">
        <v>77.19</v>
      </c>
      <c r="F135" s="153">
        <v>15</v>
      </c>
      <c r="G135" s="220">
        <v>79.75</v>
      </c>
      <c r="H135" s="115" t="s">
        <v>122</v>
      </c>
    </row>
    <row r="136" spans="1:8" ht="27.75" customHeight="1" x14ac:dyDescent="0.25">
      <c r="A136" s="95">
        <v>41407</v>
      </c>
      <c r="B136" s="226">
        <v>16.46</v>
      </c>
      <c r="C136" s="220">
        <v>26875</v>
      </c>
      <c r="D136" s="94">
        <v>14</v>
      </c>
      <c r="E136" s="220">
        <v>76.88</v>
      </c>
      <c r="F136" s="153">
        <v>15</v>
      </c>
      <c r="G136" s="220">
        <v>79.400000000000006</v>
      </c>
      <c r="H136" s="115" t="s">
        <v>122</v>
      </c>
    </row>
    <row r="137" spans="1:8" ht="27.75" customHeight="1" x14ac:dyDescent="0.25">
      <c r="A137" s="95">
        <v>41408</v>
      </c>
      <c r="B137" s="226">
        <v>16.5</v>
      </c>
      <c r="C137" s="220">
        <v>27000</v>
      </c>
      <c r="D137" s="94"/>
      <c r="E137" s="220"/>
      <c r="F137" s="94"/>
      <c r="G137" s="220"/>
      <c r="H137" s="115" t="s">
        <v>122</v>
      </c>
    </row>
    <row r="138" spans="1:8" ht="27.75" customHeight="1" x14ac:dyDescent="0.25">
      <c r="A138" s="95">
        <v>41409</v>
      </c>
      <c r="B138" s="226">
        <v>16.5</v>
      </c>
      <c r="C138" s="220">
        <v>27000</v>
      </c>
      <c r="D138" s="94">
        <v>12</v>
      </c>
      <c r="E138" s="220">
        <v>66.349999999999994</v>
      </c>
      <c r="F138" s="153">
        <v>13</v>
      </c>
      <c r="G138" s="220">
        <v>69.319999999999993</v>
      </c>
      <c r="H138" s="115" t="s">
        <v>122</v>
      </c>
    </row>
    <row r="139" spans="1:8" ht="27.75" customHeight="1" x14ac:dyDescent="0.25">
      <c r="A139" s="95">
        <v>41410</v>
      </c>
      <c r="B139" s="226">
        <v>16.5</v>
      </c>
      <c r="C139" s="220">
        <v>26750</v>
      </c>
      <c r="D139" s="94">
        <v>12</v>
      </c>
      <c r="E139" s="220">
        <v>66.349999999999994</v>
      </c>
      <c r="F139" s="153">
        <v>13</v>
      </c>
      <c r="G139" s="220">
        <v>69.319999999999993</v>
      </c>
      <c r="H139" s="115" t="s">
        <v>122</v>
      </c>
    </row>
    <row r="140" spans="1:8" ht="27.75" customHeight="1" x14ac:dyDescent="0.25">
      <c r="A140" s="95">
        <v>41411</v>
      </c>
      <c r="B140" s="226">
        <v>16.32</v>
      </c>
      <c r="C140" s="220">
        <v>26500</v>
      </c>
      <c r="D140" s="94">
        <v>12</v>
      </c>
      <c r="E140" s="220">
        <v>55.12</v>
      </c>
      <c r="F140" s="153">
        <v>13</v>
      </c>
      <c r="G140" s="220">
        <v>68.91</v>
      </c>
      <c r="H140" s="115" t="s">
        <v>122</v>
      </c>
    </row>
    <row r="141" spans="1:8" ht="27.75" customHeight="1" x14ac:dyDescent="0.25">
      <c r="A141" s="95">
        <v>41412</v>
      </c>
      <c r="B141" s="226">
        <v>16.21</v>
      </c>
      <c r="C141" s="220">
        <v>25925</v>
      </c>
      <c r="D141" s="94">
        <v>12</v>
      </c>
      <c r="E141" s="220">
        <v>65.72</v>
      </c>
      <c r="F141" s="153">
        <v>13</v>
      </c>
      <c r="G141" s="220">
        <v>68.650000000000006</v>
      </c>
      <c r="H141" s="115" t="s">
        <v>122</v>
      </c>
    </row>
    <row r="142" spans="1:8" ht="27.75" customHeight="1" x14ac:dyDescent="0.25">
      <c r="A142" s="95">
        <v>41413</v>
      </c>
      <c r="B142" s="226">
        <v>16.079999999999998</v>
      </c>
      <c r="C142" s="220">
        <v>25700</v>
      </c>
      <c r="D142" s="94"/>
      <c r="E142" s="220"/>
      <c r="F142" s="94">
        <v>13</v>
      </c>
      <c r="G142" s="220">
        <v>68.31</v>
      </c>
      <c r="H142" s="115" t="s">
        <v>122</v>
      </c>
    </row>
    <row r="143" spans="1:8" ht="27.75" customHeight="1" x14ac:dyDescent="0.25">
      <c r="A143" s="95">
        <v>41414</v>
      </c>
      <c r="B143" s="226">
        <v>16.079999999999998</v>
      </c>
      <c r="C143" s="220">
        <v>25700</v>
      </c>
      <c r="D143" s="94"/>
      <c r="E143" s="220"/>
      <c r="F143" s="94"/>
      <c r="G143" s="220"/>
      <c r="H143" s="115" t="s">
        <v>122</v>
      </c>
    </row>
    <row r="144" spans="1:8" ht="27.75" customHeight="1" x14ac:dyDescent="0.25">
      <c r="A144" s="95">
        <v>41415</v>
      </c>
      <c r="B144" s="226">
        <v>16.079999999999998</v>
      </c>
      <c r="C144" s="220">
        <v>25700</v>
      </c>
      <c r="D144" s="94"/>
      <c r="E144" s="220"/>
      <c r="F144" s="94"/>
      <c r="G144" s="220"/>
      <c r="H144" s="115" t="s">
        <v>122</v>
      </c>
    </row>
    <row r="145" spans="1:8" ht="27.75" customHeight="1" x14ac:dyDescent="0.25">
      <c r="A145" s="95">
        <v>41416</v>
      </c>
      <c r="B145" s="226">
        <v>16.079999999999998</v>
      </c>
      <c r="C145" s="220">
        <v>25700</v>
      </c>
      <c r="D145" s="94"/>
      <c r="E145" s="220"/>
      <c r="F145" s="94"/>
      <c r="G145" s="220"/>
      <c r="H145" s="115" t="s">
        <v>122</v>
      </c>
    </row>
    <row r="146" spans="1:8" ht="27.75" customHeight="1" x14ac:dyDescent="0.25">
      <c r="A146" s="95">
        <v>41417</v>
      </c>
      <c r="B146" s="226">
        <v>16.079999999999998</v>
      </c>
      <c r="C146" s="220">
        <v>25700</v>
      </c>
      <c r="D146" s="94"/>
      <c r="E146" s="220"/>
      <c r="F146" s="94"/>
      <c r="G146" s="220"/>
      <c r="H146" s="115" t="s">
        <v>122</v>
      </c>
    </row>
    <row r="147" spans="1:8" ht="27.75" customHeight="1" x14ac:dyDescent="0.25">
      <c r="A147" s="95">
        <v>41418</v>
      </c>
      <c r="B147" s="226">
        <v>16</v>
      </c>
      <c r="C147" s="220">
        <v>25500</v>
      </c>
      <c r="D147" s="94">
        <v>11</v>
      </c>
      <c r="E147" s="220">
        <v>60</v>
      </c>
      <c r="F147" s="223">
        <v>13</v>
      </c>
      <c r="G147" s="220">
        <v>68.099999999999994</v>
      </c>
      <c r="H147" s="115" t="s">
        <v>122</v>
      </c>
    </row>
    <row r="148" spans="1:8" ht="27.75" customHeight="1" x14ac:dyDescent="0.25">
      <c r="A148" s="95">
        <v>41419</v>
      </c>
      <c r="B148" s="226">
        <v>15.83</v>
      </c>
      <c r="C148" s="220">
        <v>25200</v>
      </c>
      <c r="D148" s="94">
        <v>11</v>
      </c>
      <c r="E148" s="220">
        <v>59.66</v>
      </c>
      <c r="F148" s="223">
        <v>13</v>
      </c>
      <c r="G148" s="220">
        <v>67.7</v>
      </c>
      <c r="H148" s="115" t="s">
        <v>122</v>
      </c>
    </row>
    <row r="149" spans="1:8" ht="27.75" customHeight="1" x14ac:dyDescent="0.25">
      <c r="A149" s="95">
        <v>41420</v>
      </c>
      <c r="B149" s="226">
        <v>15.67</v>
      </c>
      <c r="C149" s="220">
        <v>24500</v>
      </c>
      <c r="D149" s="94">
        <v>11</v>
      </c>
      <c r="E149" s="220">
        <v>59.33</v>
      </c>
      <c r="F149" s="223">
        <v>13</v>
      </c>
      <c r="G149" s="220">
        <v>67.290000000000006</v>
      </c>
      <c r="H149" s="115" t="s">
        <v>122</v>
      </c>
    </row>
    <row r="150" spans="1:8" ht="27.75" customHeight="1" x14ac:dyDescent="0.25">
      <c r="A150" s="95">
        <v>41421</v>
      </c>
      <c r="B150" s="226">
        <v>15.5</v>
      </c>
      <c r="C150" s="220">
        <v>23500</v>
      </c>
      <c r="D150" s="94">
        <v>12</v>
      </c>
      <c r="E150" s="226">
        <v>64.17</v>
      </c>
      <c r="F150" s="223">
        <v>13</v>
      </c>
      <c r="G150" s="220">
        <v>66.87</v>
      </c>
      <c r="H150" s="115" t="s">
        <v>122</v>
      </c>
    </row>
    <row r="151" spans="1:8" ht="27.75" customHeight="1" x14ac:dyDescent="0.25">
      <c r="A151" s="95">
        <v>41422</v>
      </c>
      <c r="B151" s="226">
        <v>15.32</v>
      </c>
      <c r="C151" s="220">
        <v>22400</v>
      </c>
      <c r="D151" s="94">
        <v>12</v>
      </c>
      <c r="E151" s="226">
        <v>63.75</v>
      </c>
      <c r="F151" s="223">
        <v>12</v>
      </c>
      <c r="G151" s="220">
        <v>61.52</v>
      </c>
      <c r="H151" s="115" t="s">
        <v>122</v>
      </c>
    </row>
    <row r="152" spans="1:8" ht="27.75" customHeight="1" x14ac:dyDescent="0.25">
      <c r="A152" s="95">
        <v>41423</v>
      </c>
      <c r="B152" s="226">
        <v>15.17</v>
      </c>
      <c r="C152" s="220">
        <v>22325</v>
      </c>
      <c r="D152" s="94">
        <v>13</v>
      </c>
      <c r="E152" s="220">
        <v>68.510000000000005</v>
      </c>
      <c r="F152" s="223">
        <v>13</v>
      </c>
      <c r="G152" s="220">
        <v>66.040000000000006</v>
      </c>
      <c r="H152" s="115" t="s">
        <v>122</v>
      </c>
    </row>
    <row r="153" spans="1:8" ht="27.75" customHeight="1" x14ac:dyDescent="0.25">
      <c r="A153" s="95">
        <v>41424</v>
      </c>
      <c r="B153" s="226">
        <v>15</v>
      </c>
      <c r="C153" s="220">
        <v>22250</v>
      </c>
      <c r="D153" s="94">
        <v>12</v>
      </c>
      <c r="E153" s="226">
        <v>63.05</v>
      </c>
      <c r="F153" s="223">
        <v>13</v>
      </c>
      <c r="G153" s="220">
        <v>65.61</v>
      </c>
      <c r="H153" s="115" t="s">
        <v>122</v>
      </c>
    </row>
    <row r="154" spans="1:8" ht="27.75" customHeight="1" x14ac:dyDescent="0.25">
      <c r="A154" s="95">
        <v>41425</v>
      </c>
      <c r="B154" s="226">
        <v>14.88</v>
      </c>
      <c r="C154" s="220">
        <v>21875</v>
      </c>
      <c r="D154" s="94">
        <v>12</v>
      </c>
      <c r="E154" s="226">
        <v>62.77</v>
      </c>
      <c r="F154" s="223">
        <v>13</v>
      </c>
      <c r="G154" s="220">
        <v>65.3</v>
      </c>
      <c r="H154" s="115" t="s">
        <v>122</v>
      </c>
    </row>
    <row r="155" spans="1:8" ht="27.75" customHeight="1" x14ac:dyDescent="0.25">
      <c r="A155" s="95">
        <v>41426</v>
      </c>
      <c r="B155" s="226">
        <v>14.71</v>
      </c>
      <c r="C155" s="227">
        <v>21450</v>
      </c>
      <c r="D155" s="94"/>
      <c r="E155" s="220" t="s">
        <v>122</v>
      </c>
      <c r="F155" s="94"/>
      <c r="G155" s="94" t="s">
        <v>122</v>
      </c>
      <c r="H155" s="115" t="s">
        <v>122</v>
      </c>
    </row>
    <row r="156" spans="1:8" ht="27.75" customHeight="1" x14ac:dyDescent="0.25">
      <c r="A156" s="95">
        <v>41427</v>
      </c>
      <c r="B156" s="226">
        <v>14.67</v>
      </c>
      <c r="C156" s="227">
        <v>21400</v>
      </c>
      <c r="D156" s="94"/>
      <c r="E156" s="226" t="s">
        <v>122</v>
      </c>
      <c r="F156" s="94"/>
      <c r="G156" s="220" t="s">
        <v>122</v>
      </c>
      <c r="H156" s="115" t="s">
        <v>122</v>
      </c>
    </row>
    <row r="157" spans="1:8" ht="27.75" customHeight="1" x14ac:dyDescent="0.25">
      <c r="A157" s="95">
        <v>41428</v>
      </c>
      <c r="B157" s="226">
        <v>14.67</v>
      </c>
      <c r="C157" s="227">
        <v>21400</v>
      </c>
      <c r="D157" s="94"/>
      <c r="E157" s="220" t="s">
        <v>122</v>
      </c>
      <c r="F157" s="94"/>
      <c r="G157" s="226" t="s">
        <v>122</v>
      </c>
      <c r="H157" s="115" t="s">
        <v>122</v>
      </c>
    </row>
    <row r="158" spans="1:8" ht="27.75" customHeight="1" x14ac:dyDescent="0.25">
      <c r="A158" s="95">
        <v>41429</v>
      </c>
      <c r="B158" s="226">
        <v>14.67</v>
      </c>
      <c r="C158" s="227">
        <v>21400</v>
      </c>
      <c r="D158" s="94">
        <v>12</v>
      </c>
      <c r="E158" s="220">
        <v>62.3</v>
      </c>
      <c r="F158" s="223">
        <v>13</v>
      </c>
      <c r="G158" s="220">
        <v>64.760000000000005</v>
      </c>
      <c r="H158" s="115" t="s">
        <v>122</v>
      </c>
    </row>
    <row r="159" spans="1:8" ht="27.75" customHeight="1" x14ac:dyDescent="0.25">
      <c r="A159" s="95">
        <v>41430</v>
      </c>
      <c r="B159" s="226">
        <v>14.5</v>
      </c>
      <c r="C159" s="227">
        <v>21000</v>
      </c>
      <c r="D159" s="94">
        <v>13</v>
      </c>
      <c r="E159" s="220">
        <v>66.86</v>
      </c>
      <c r="F159" s="223">
        <v>13</v>
      </c>
      <c r="G159" s="226">
        <v>64.33</v>
      </c>
      <c r="H159" s="115" t="s">
        <v>122</v>
      </c>
    </row>
    <row r="160" spans="1:8" ht="27.75" customHeight="1" x14ac:dyDescent="0.25">
      <c r="A160" s="95">
        <v>41431</v>
      </c>
      <c r="B160" s="226">
        <v>14.33</v>
      </c>
      <c r="C160" s="227">
        <v>20450</v>
      </c>
      <c r="D160" s="94">
        <v>13</v>
      </c>
      <c r="E160" s="220">
        <v>66.45</v>
      </c>
      <c r="F160" s="223">
        <v>13</v>
      </c>
      <c r="G160" s="220">
        <v>63.89</v>
      </c>
      <c r="H160" s="115" t="s">
        <v>122</v>
      </c>
    </row>
    <row r="161" spans="1:8" ht="27.75" customHeight="1" x14ac:dyDescent="0.25">
      <c r="A161" s="95">
        <v>41432</v>
      </c>
      <c r="B161" s="226">
        <v>14.17</v>
      </c>
      <c r="C161" s="227">
        <v>19850</v>
      </c>
      <c r="D161" s="94">
        <v>13</v>
      </c>
      <c r="E161" s="220">
        <v>66.03</v>
      </c>
      <c r="F161" s="223">
        <v>13</v>
      </c>
      <c r="G161" s="220">
        <v>63.46</v>
      </c>
      <c r="H161" s="115" t="s">
        <v>122</v>
      </c>
    </row>
    <row r="162" spans="1:8" ht="27.75" customHeight="1" x14ac:dyDescent="0.25">
      <c r="A162" s="95">
        <v>41433</v>
      </c>
      <c r="B162" s="226">
        <v>14</v>
      </c>
      <c r="C162" s="227">
        <v>19500</v>
      </c>
      <c r="D162" s="94">
        <v>12</v>
      </c>
      <c r="E162" s="226">
        <v>60.76</v>
      </c>
      <c r="F162" s="223">
        <v>12</v>
      </c>
      <c r="G162" s="220">
        <v>58.37</v>
      </c>
      <c r="H162" s="115" t="s">
        <v>122</v>
      </c>
    </row>
    <row r="163" spans="1:8" ht="27.75" customHeight="1" x14ac:dyDescent="0.25">
      <c r="A163" s="95">
        <v>41434</v>
      </c>
      <c r="B163" s="226">
        <v>13.83</v>
      </c>
      <c r="C163" s="227">
        <v>19200</v>
      </c>
      <c r="D163" s="94">
        <v>13</v>
      </c>
      <c r="E163" s="220">
        <v>65.180000000000007</v>
      </c>
      <c r="F163" s="223">
        <v>13</v>
      </c>
      <c r="G163" s="220">
        <v>62.57</v>
      </c>
      <c r="H163" s="115" t="s">
        <v>122</v>
      </c>
    </row>
    <row r="164" spans="1:8" ht="27.75" customHeight="1" x14ac:dyDescent="0.25">
      <c r="A164" s="95">
        <v>41435</v>
      </c>
      <c r="B164" s="226">
        <v>13.83</v>
      </c>
      <c r="C164" s="227">
        <v>19200</v>
      </c>
      <c r="D164" s="94"/>
      <c r="E164" s="220" t="s">
        <v>122</v>
      </c>
      <c r="F164" s="94"/>
      <c r="G164" s="220" t="s">
        <v>122</v>
      </c>
      <c r="H164" s="115" t="s">
        <v>122</v>
      </c>
    </row>
    <row r="165" spans="1:8" ht="27.75" customHeight="1" x14ac:dyDescent="0.25">
      <c r="A165" s="95">
        <v>41436</v>
      </c>
      <c r="B165" s="226">
        <v>13.83</v>
      </c>
      <c r="C165" s="227">
        <v>19200</v>
      </c>
      <c r="D165" s="94"/>
      <c r="E165" s="220" t="s">
        <v>122</v>
      </c>
      <c r="F165" s="94"/>
      <c r="G165" s="220" t="s">
        <v>122</v>
      </c>
      <c r="H165" s="115" t="s">
        <v>122</v>
      </c>
    </row>
    <row r="166" spans="1:8" ht="27.75" customHeight="1" x14ac:dyDescent="0.25">
      <c r="A166" s="95">
        <v>41437</v>
      </c>
      <c r="B166" s="226">
        <v>13.83</v>
      </c>
      <c r="C166" s="227">
        <v>19200</v>
      </c>
      <c r="D166" s="94"/>
      <c r="E166" s="220" t="s">
        <v>122</v>
      </c>
      <c r="F166" s="94"/>
      <c r="G166" s="220" t="s">
        <v>122</v>
      </c>
      <c r="H166" s="115" t="s">
        <v>122</v>
      </c>
    </row>
    <row r="167" spans="1:8" ht="27.75" customHeight="1" x14ac:dyDescent="0.25">
      <c r="A167" s="95">
        <v>41438</v>
      </c>
      <c r="B167" s="226">
        <v>13.83</v>
      </c>
      <c r="C167" s="227">
        <v>19200</v>
      </c>
      <c r="D167" s="94"/>
      <c r="E167" s="220" t="s">
        <v>122</v>
      </c>
      <c r="F167" s="94"/>
      <c r="G167" s="220" t="s">
        <v>122</v>
      </c>
      <c r="H167" s="115" t="s">
        <v>122</v>
      </c>
    </row>
    <row r="168" spans="1:8" ht="27.75" customHeight="1" x14ac:dyDescent="0.25">
      <c r="A168" s="95">
        <v>41439</v>
      </c>
      <c r="B168" s="226">
        <v>13.67</v>
      </c>
      <c r="C168" s="227">
        <v>18600</v>
      </c>
      <c r="D168" s="94">
        <v>13</v>
      </c>
      <c r="E168" s="220">
        <v>64.8</v>
      </c>
      <c r="F168" s="94">
        <v>13</v>
      </c>
      <c r="G168" s="220">
        <v>62.15</v>
      </c>
      <c r="H168" s="115" t="s">
        <v>122</v>
      </c>
    </row>
    <row r="169" spans="1:8" ht="27.75" customHeight="1" x14ac:dyDescent="0.25">
      <c r="A169" s="95">
        <v>41440</v>
      </c>
      <c r="B169" s="226">
        <v>13.5</v>
      </c>
      <c r="C169" s="227">
        <v>18000</v>
      </c>
      <c r="D169" s="94">
        <v>15</v>
      </c>
      <c r="E169" s="220">
        <v>73.73</v>
      </c>
      <c r="F169" s="94">
        <v>13</v>
      </c>
      <c r="G169" s="220">
        <v>61.68</v>
      </c>
      <c r="H169" s="115" t="s">
        <v>122</v>
      </c>
    </row>
    <row r="170" spans="1:8" ht="27.75" customHeight="1" x14ac:dyDescent="0.25">
      <c r="A170" s="95">
        <v>41441</v>
      </c>
      <c r="B170" s="226">
        <v>13.33</v>
      </c>
      <c r="C170" s="227">
        <v>17600</v>
      </c>
      <c r="D170" s="94">
        <v>15</v>
      </c>
      <c r="E170" s="220">
        <v>73.22</v>
      </c>
      <c r="F170" s="94">
        <v>13</v>
      </c>
      <c r="G170" s="220">
        <v>61.23</v>
      </c>
      <c r="H170" s="115" t="s">
        <v>122</v>
      </c>
    </row>
    <row r="171" spans="1:8" ht="27.75" customHeight="1" x14ac:dyDescent="0.25">
      <c r="A171" s="95">
        <v>41442</v>
      </c>
      <c r="B171" s="226">
        <v>13.17</v>
      </c>
      <c r="C171" s="227">
        <v>17400</v>
      </c>
      <c r="D171" s="94">
        <v>15</v>
      </c>
      <c r="E171" s="220">
        <v>72.599999999999994</v>
      </c>
      <c r="F171" s="94">
        <v>16</v>
      </c>
      <c r="G171" s="220">
        <v>73.959999999999994</v>
      </c>
      <c r="H171" s="115" t="s">
        <v>122</v>
      </c>
    </row>
    <row r="172" spans="1:8" ht="27.75" customHeight="1" x14ac:dyDescent="0.25">
      <c r="A172" s="95">
        <v>41443</v>
      </c>
      <c r="B172" s="226">
        <v>13</v>
      </c>
      <c r="C172" s="227">
        <v>17000</v>
      </c>
      <c r="D172" s="94">
        <v>15</v>
      </c>
      <c r="E172" s="220">
        <v>72.099999999999994</v>
      </c>
      <c r="F172" s="94">
        <v>16</v>
      </c>
      <c r="G172" s="220">
        <v>73.39</v>
      </c>
      <c r="H172" s="115" t="s">
        <v>122</v>
      </c>
    </row>
    <row r="173" spans="1:8" ht="27.75" customHeight="1" x14ac:dyDescent="0.25">
      <c r="A173" s="95">
        <v>41444</v>
      </c>
      <c r="B173" s="226">
        <v>12.83</v>
      </c>
      <c r="C173" s="227">
        <v>16800</v>
      </c>
      <c r="D173" s="94">
        <v>15</v>
      </c>
      <c r="E173" s="220">
        <v>71.69</v>
      </c>
      <c r="F173" s="94">
        <v>16</v>
      </c>
      <c r="G173" s="220">
        <v>72.8</v>
      </c>
      <c r="H173" s="115" t="s">
        <v>122</v>
      </c>
    </row>
    <row r="174" spans="1:8" ht="27.75" customHeight="1" x14ac:dyDescent="0.25">
      <c r="A174" s="95">
        <v>41445</v>
      </c>
      <c r="B174" s="226">
        <v>12.67</v>
      </c>
      <c r="C174" s="227">
        <v>16600</v>
      </c>
      <c r="D174" s="94"/>
      <c r="E174" s="220" t="s">
        <v>122</v>
      </c>
      <c r="F174" s="94"/>
      <c r="G174" s="220" t="s">
        <v>122</v>
      </c>
      <c r="H174" s="115" t="s">
        <v>122</v>
      </c>
    </row>
    <row r="175" spans="1:8" ht="27.75" customHeight="1" x14ac:dyDescent="0.25">
      <c r="A175" s="95">
        <v>41446</v>
      </c>
      <c r="B175" s="226">
        <v>12.67</v>
      </c>
      <c r="C175" s="227">
        <v>16600</v>
      </c>
      <c r="D175" s="94"/>
      <c r="E175" s="226" t="s">
        <v>122</v>
      </c>
      <c r="F175" s="94"/>
      <c r="G175" s="220" t="s">
        <v>122</v>
      </c>
      <c r="H175" s="115" t="s">
        <v>122</v>
      </c>
    </row>
    <row r="176" spans="1:8" ht="27.75" customHeight="1" x14ac:dyDescent="0.25">
      <c r="A176" s="95">
        <v>41447</v>
      </c>
      <c r="B176" s="226">
        <v>12.67</v>
      </c>
      <c r="C176" s="227">
        <v>16600</v>
      </c>
      <c r="D176" s="94">
        <v>16</v>
      </c>
      <c r="E176" s="226">
        <v>75.64</v>
      </c>
      <c r="F176" s="223">
        <v>18</v>
      </c>
      <c r="G176" s="220">
        <v>80.900000000000006</v>
      </c>
      <c r="H176" s="115" t="s">
        <v>122</v>
      </c>
    </row>
    <row r="177" spans="1:8" ht="27.75" customHeight="1" x14ac:dyDescent="0.25">
      <c r="A177" s="95">
        <v>41448</v>
      </c>
      <c r="B177" s="226">
        <v>12.5</v>
      </c>
      <c r="C177" s="227">
        <v>16400</v>
      </c>
      <c r="D177" s="94">
        <v>16</v>
      </c>
      <c r="E177" s="226">
        <v>75.16</v>
      </c>
      <c r="F177" s="223">
        <v>18</v>
      </c>
      <c r="G177" s="220">
        <v>79.92</v>
      </c>
      <c r="H177" s="115" t="s">
        <v>122</v>
      </c>
    </row>
    <row r="178" spans="1:8" ht="27.75" customHeight="1" x14ac:dyDescent="0.25">
      <c r="A178" s="95">
        <v>41449</v>
      </c>
      <c r="B178" s="226">
        <v>12.33</v>
      </c>
      <c r="C178" s="227">
        <v>16000</v>
      </c>
      <c r="D178" s="94">
        <v>18</v>
      </c>
      <c r="E178" s="226">
        <v>83.19</v>
      </c>
      <c r="F178" s="223">
        <v>18</v>
      </c>
      <c r="G178" s="226">
        <v>79.25</v>
      </c>
      <c r="H178" s="115" t="s">
        <v>122</v>
      </c>
    </row>
    <row r="179" spans="1:8" ht="27.75" customHeight="1" x14ac:dyDescent="0.25">
      <c r="A179" s="95">
        <v>41450</v>
      </c>
      <c r="B179" s="226">
        <v>12.17</v>
      </c>
      <c r="C179" s="227">
        <v>15600</v>
      </c>
      <c r="D179" s="94">
        <v>18</v>
      </c>
      <c r="E179" s="226">
        <v>82.54</v>
      </c>
      <c r="F179" s="223">
        <v>18</v>
      </c>
      <c r="G179" s="226">
        <v>78.569999999999993</v>
      </c>
      <c r="H179" s="115" t="s">
        <v>122</v>
      </c>
    </row>
    <row r="180" spans="1:8" ht="27.75" customHeight="1" x14ac:dyDescent="0.25">
      <c r="A180" s="95">
        <v>41451</v>
      </c>
      <c r="B180" s="226">
        <v>12</v>
      </c>
      <c r="C180" s="227">
        <v>15400</v>
      </c>
      <c r="D180" s="94">
        <v>18</v>
      </c>
      <c r="E180" s="226">
        <v>81.89</v>
      </c>
      <c r="F180" s="223">
        <v>18</v>
      </c>
      <c r="G180" s="226">
        <v>77.89</v>
      </c>
      <c r="H180" s="115" t="s">
        <v>122</v>
      </c>
    </row>
    <row r="181" spans="1:8" ht="27.75" customHeight="1" x14ac:dyDescent="0.25">
      <c r="A181" s="95">
        <v>41452</v>
      </c>
      <c r="B181" s="226">
        <v>11.83</v>
      </c>
      <c r="C181" s="227">
        <v>15000</v>
      </c>
      <c r="D181" s="94">
        <v>18</v>
      </c>
      <c r="E181" s="226">
        <v>81.239999999999995</v>
      </c>
      <c r="F181" s="223">
        <v>18</v>
      </c>
      <c r="G181" s="226">
        <v>77.209999999999994</v>
      </c>
      <c r="H181" s="115" t="s">
        <v>122</v>
      </c>
    </row>
    <row r="182" spans="1:8" ht="27.75" customHeight="1" x14ac:dyDescent="0.25">
      <c r="A182" s="95">
        <v>41453</v>
      </c>
      <c r="B182" s="226">
        <v>11.58</v>
      </c>
      <c r="C182" s="227">
        <v>14600</v>
      </c>
      <c r="D182" s="94">
        <v>18</v>
      </c>
      <c r="E182" s="226">
        <v>80.25</v>
      </c>
      <c r="F182" s="223">
        <v>18</v>
      </c>
      <c r="G182" s="226">
        <v>76.16</v>
      </c>
      <c r="H182" s="115" t="s">
        <v>122</v>
      </c>
    </row>
    <row r="183" spans="1:8" ht="27.75" customHeight="1" x14ac:dyDescent="0.25">
      <c r="A183" s="95">
        <v>41454</v>
      </c>
      <c r="B183" s="226">
        <v>11.42</v>
      </c>
      <c r="C183" s="227">
        <v>14200</v>
      </c>
      <c r="D183" s="94">
        <v>15</v>
      </c>
      <c r="E183" s="226">
        <v>67.25</v>
      </c>
      <c r="F183" s="223">
        <v>15</v>
      </c>
      <c r="G183" s="226">
        <v>63.89</v>
      </c>
      <c r="H183" s="115" t="s">
        <v>122</v>
      </c>
    </row>
    <row r="184" spans="1:8" ht="27.75" customHeight="1" x14ac:dyDescent="0.25">
      <c r="A184" s="95">
        <v>41455</v>
      </c>
      <c r="B184" s="94">
        <v>11.33</v>
      </c>
      <c r="C184" s="227">
        <v>14000</v>
      </c>
      <c r="D184" s="94"/>
      <c r="E184" s="226" t="s">
        <v>122</v>
      </c>
      <c r="F184" s="94"/>
      <c r="G184" s="226" t="s">
        <v>122</v>
      </c>
      <c r="H184" s="115" t="s">
        <v>122</v>
      </c>
    </row>
    <row r="185" spans="1:8" ht="27.75" customHeight="1" x14ac:dyDescent="0.25">
      <c r="A185" s="95">
        <v>41456</v>
      </c>
      <c r="B185" s="226">
        <v>11.33</v>
      </c>
      <c r="C185" s="227">
        <v>14000</v>
      </c>
      <c r="D185" s="94"/>
      <c r="E185" s="220" t="s">
        <v>122</v>
      </c>
      <c r="F185" s="94"/>
      <c r="G185" s="94" t="s">
        <v>122</v>
      </c>
      <c r="H185" s="115" t="s">
        <v>122</v>
      </c>
    </row>
    <row r="186" spans="1:8" ht="27.75" customHeight="1" x14ac:dyDescent="0.25">
      <c r="A186" s="95">
        <v>41457</v>
      </c>
      <c r="B186" s="226">
        <v>11.25</v>
      </c>
      <c r="C186" s="227">
        <v>13800</v>
      </c>
      <c r="D186" s="94">
        <v>15</v>
      </c>
      <c r="E186" s="226">
        <v>66.599999999999994</v>
      </c>
      <c r="F186" s="223">
        <v>15</v>
      </c>
      <c r="G186" s="220">
        <v>63.18</v>
      </c>
      <c r="H186" s="115" t="s">
        <v>122</v>
      </c>
    </row>
    <row r="187" spans="1:8" ht="27.75" customHeight="1" x14ac:dyDescent="0.25">
      <c r="A187" s="95">
        <v>41458</v>
      </c>
      <c r="B187" s="226">
        <v>11.08</v>
      </c>
      <c r="C187" s="227">
        <v>13600</v>
      </c>
      <c r="D187" s="94">
        <v>18</v>
      </c>
      <c r="E187" s="220">
        <v>78.23</v>
      </c>
      <c r="F187" s="223">
        <v>18</v>
      </c>
      <c r="G187" s="226">
        <v>74.040000000000006</v>
      </c>
      <c r="H187" s="115" t="s">
        <v>122</v>
      </c>
    </row>
    <row r="188" spans="1:8" ht="27.75" customHeight="1" x14ac:dyDescent="0.25">
      <c r="A188" s="95">
        <v>41459</v>
      </c>
      <c r="B188" s="226">
        <v>10.92</v>
      </c>
      <c r="C188" s="227">
        <v>13250</v>
      </c>
      <c r="D188" s="94">
        <v>18</v>
      </c>
      <c r="E188" s="220">
        <v>77.55</v>
      </c>
      <c r="F188" s="223">
        <v>18</v>
      </c>
      <c r="G188" s="220">
        <v>73.31</v>
      </c>
      <c r="H188" s="115" t="s">
        <v>122</v>
      </c>
    </row>
    <row r="189" spans="1:8" ht="27.75" customHeight="1" x14ac:dyDescent="0.25">
      <c r="A189" s="95">
        <v>41460</v>
      </c>
      <c r="B189" s="226">
        <v>10.75</v>
      </c>
      <c r="C189" s="227">
        <v>12900</v>
      </c>
      <c r="D189" s="94">
        <v>18</v>
      </c>
      <c r="E189" s="220">
        <v>76.86</v>
      </c>
      <c r="F189" s="223">
        <v>18</v>
      </c>
      <c r="G189" s="226">
        <v>72.58</v>
      </c>
      <c r="H189" s="115" t="s">
        <v>122</v>
      </c>
    </row>
    <row r="190" spans="1:8" ht="27.75" customHeight="1" x14ac:dyDescent="0.25">
      <c r="A190" s="95">
        <v>41461</v>
      </c>
      <c r="B190" s="226">
        <v>10.58</v>
      </c>
      <c r="C190" s="227">
        <v>12600</v>
      </c>
      <c r="D190" s="94">
        <v>18</v>
      </c>
      <c r="E190" s="220">
        <v>76.16</v>
      </c>
      <c r="F190" s="223">
        <v>18</v>
      </c>
      <c r="G190" s="220">
        <v>71.84</v>
      </c>
      <c r="H190" s="115" t="s">
        <v>122</v>
      </c>
    </row>
    <row r="191" spans="1:8" ht="27.75" customHeight="1" x14ac:dyDescent="0.25">
      <c r="A191" s="95">
        <v>41462</v>
      </c>
      <c r="B191" s="226">
        <v>10.33</v>
      </c>
      <c r="C191" s="227">
        <v>12300</v>
      </c>
      <c r="D191" s="94">
        <v>18</v>
      </c>
      <c r="E191" s="220">
        <v>75.11</v>
      </c>
      <c r="F191" s="223">
        <v>218</v>
      </c>
      <c r="G191" s="220">
        <v>70.72</v>
      </c>
      <c r="H191" s="115" t="s">
        <v>122</v>
      </c>
    </row>
    <row r="192" spans="1:8" ht="27.75" customHeight="1" x14ac:dyDescent="0.25">
      <c r="A192" s="95">
        <v>41463</v>
      </c>
      <c r="B192" s="226">
        <v>10.17</v>
      </c>
      <c r="C192" s="227">
        <v>12000</v>
      </c>
      <c r="D192" s="94">
        <v>14</v>
      </c>
      <c r="E192" s="226">
        <v>64.099999999999994</v>
      </c>
      <c r="F192" s="223">
        <v>15</v>
      </c>
      <c r="G192" s="220">
        <v>58.82</v>
      </c>
      <c r="H192" s="115" t="s">
        <v>122</v>
      </c>
    </row>
    <row r="193" spans="1:8" ht="27.75" customHeight="1" x14ac:dyDescent="0.25">
      <c r="A193" s="95">
        <v>41464</v>
      </c>
      <c r="B193" s="226">
        <v>10.08</v>
      </c>
      <c r="C193" s="227">
        <v>11800</v>
      </c>
      <c r="D193" s="94"/>
      <c r="E193" s="220" t="s">
        <v>122</v>
      </c>
      <c r="F193" s="223"/>
      <c r="G193" s="220" t="s">
        <v>122</v>
      </c>
      <c r="H193" s="115" t="s">
        <v>122</v>
      </c>
    </row>
    <row r="194" spans="1:8" ht="27.75" customHeight="1" x14ac:dyDescent="0.25">
      <c r="A194" s="95">
        <v>41465</v>
      </c>
      <c r="B194" s="226">
        <v>10.08</v>
      </c>
      <c r="C194" s="227">
        <v>11800</v>
      </c>
      <c r="D194" s="94"/>
      <c r="E194" s="220" t="s">
        <v>122</v>
      </c>
      <c r="F194" s="223"/>
      <c r="G194" s="220" t="s">
        <v>122</v>
      </c>
      <c r="H194" s="115" t="s">
        <v>122</v>
      </c>
    </row>
    <row r="195" spans="1:8" ht="27.75" customHeight="1" x14ac:dyDescent="0.25">
      <c r="A195" s="95">
        <v>41466</v>
      </c>
      <c r="B195" s="226">
        <v>10.08</v>
      </c>
      <c r="C195" s="227">
        <v>11800</v>
      </c>
      <c r="D195" s="94">
        <v>15</v>
      </c>
      <c r="E195" s="220">
        <v>62.6</v>
      </c>
      <c r="F195" s="223">
        <v>18</v>
      </c>
      <c r="G195" s="220">
        <v>69.58</v>
      </c>
      <c r="H195" s="115" t="s">
        <v>122</v>
      </c>
    </row>
    <row r="196" spans="1:8" ht="27.75" customHeight="1" x14ac:dyDescent="0.25">
      <c r="A196" s="95">
        <v>41467</v>
      </c>
      <c r="B196" s="226">
        <v>9.92</v>
      </c>
      <c r="C196" s="227">
        <v>11500</v>
      </c>
      <c r="D196" s="94">
        <v>15</v>
      </c>
      <c r="E196" s="220">
        <v>62</v>
      </c>
      <c r="F196" s="223">
        <v>18</v>
      </c>
      <c r="G196" s="220">
        <v>68.81</v>
      </c>
      <c r="H196" s="115" t="s">
        <v>122</v>
      </c>
    </row>
    <row r="197" spans="1:8" ht="27.75" customHeight="1" x14ac:dyDescent="0.25">
      <c r="A197" s="95">
        <v>41468</v>
      </c>
      <c r="B197" s="226">
        <v>9.7100000000000009</v>
      </c>
      <c r="C197" s="227">
        <v>11250</v>
      </c>
      <c r="D197" s="94">
        <v>15</v>
      </c>
      <c r="E197" s="220">
        <v>61.26</v>
      </c>
      <c r="F197" s="223">
        <v>18</v>
      </c>
      <c r="G197" s="220">
        <v>67.84</v>
      </c>
      <c r="H197" s="115" t="s">
        <v>122</v>
      </c>
    </row>
    <row r="198" spans="1:8" ht="27.75" customHeight="1" x14ac:dyDescent="0.25">
      <c r="A198" s="95">
        <v>41469</v>
      </c>
      <c r="B198" s="226">
        <v>9.5</v>
      </c>
      <c r="C198" s="227">
        <v>10800</v>
      </c>
      <c r="D198" s="94">
        <v>15</v>
      </c>
      <c r="E198" s="220">
        <v>60.49</v>
      </c>
      <c r="F198" s="223">
        <v>18</v>
      </c>
      <c r="G198" s="220">
        <v>66.849999999999994</v>
      </c>
      <c r="H198" s="115" t="s">
        <v>122</v>
      </c>
    </row>
    <row r="199" spans="1:8" ht="27.75" customHeight="1" x14ac:dyDescent="0.25">
      <c r="A199" s="95">
        <v>41470</v>
      </c>
      <c r="B199" s="226">
        <v>9.33</v>
      </c>
      <c r="C199" s="227">
        <v>10600</v>
      </c>
      <c r="D199" s="94">
        <v>15</v>
      </c>
      <c r="E199" s="220">
        <v>59.87</v>
      </c>
      <c r="F199" s="223">
        <v>18</v>
      </c>
      <c r="G199" s="220">
        <v>66.05</v>
      </c>
      <c r="H199" s="115" t="s">
        <v>122</v>
      </c>
    </row>
    <row r="200" spans="1:8" ht="27.75" customHeight="1" x14ac:dyDescent="0.25">
      <c r="A200" s="95">
        <v>41471</v>
      </c>
      <c r="B200" s="226">
        <v>9.17</v>
      </c>
      <c r="C200" s="227">
        <v>10400</v>
      </c>
      <c r="D200" s="94">
        <v>12</v>
      </c>
      <c r="E200" s="220">
        <v>48.15</v>
      </c>
      <c r="F200" s="223">
        <v>15</v>
      </c>
      <c r="G200" s="220">
        <v>55.38</v>
      </c>
      <c r="H200" s="115" t="s">
        <v>122</v>
      </c>
    </row>
    <row r="201" spans="1:8" ht="27.75" customHeight="1" x14ac:dyDescent="0.25">
      <c r="A201" s="95">
        <v>41472</v>
      </c>
      <c r="B201" s="226">
        <v>9.08</v>
      </c>
      <c r="C201" s="227">
        <v>10300</v>
      </c>
      <c r="D201" s="94"/>
      <c r="E201" s="220" t="s">
        <v>122</v>
      </c>
      <c r="F201" s="223"/>
      <c r="G201" s="220" t="s">
        <v>122</v>
      </c>
      <c r="H201" s="115" t="s">
        <v>122</v>
      </c>
    </row>
    <row r="202" spans="1:8" ht="27.75" customHeight="1" x14ac:dyDescent="0.25">
      <c r="A202" s="95">
        <v>41473</v>
      </c>
      <c r="B202" s="226">
        <v>9.08</v>
      </c>
      <c r="C202" s="227">
        <v>10300</v>
      </c>
      <c r="D202" s="94"/>
      <c r="E202" s="220" t="s">
        <v>122</v>
      </c>
      <c r="F202" s="223"/>
      <c r="G202" s="220" t="s">
        <v>122</v>
      </c>
      <c r="H202" s="115" t="s">
        <v>122</v>
      </c>
    </row>
    <row r="203" spans="1:8" ht="27.75" customHeight="1" x14ac:dyDescent="0.25">
      <c r="A203" s="95">
        <v>41474</v>
      </c>
      <c r="B203" s="226">
        <v>9.08</v>
      </c>
      <c r="C203" s="227">
        <v>10300</v>
      </c>
      <c r="D203" s="94"/>
      <c r="E203" s="220" t="s">
        <v>122</v>
      </c>
      <c r="F203" s="223"/>
      <c r="G203" s="220" t="s">
        <v>122</v>
      </c>
      <c r="H203" s="115" t="s">
        <v>122</v>
      </c>
    </row>
    <row r="204" spans="1:8" ht="27.75" customHeight="1" x14ac:dyDescent="0.25">
      <c r="A204" s="95">
        <v>41475</v>
      </c>
      <c r="B204" s="226">
        <v>9</v>
      </c>
      <c r="C204" s="227">
        <v>10200</v>
      </c>
      <c r="D204" s="94">
        <v>12</v>
      </c>
      <c r="E204" s="220">
        <v>47.41</v>
      </c>
      <c r="F204" s="223">
        <v>12</v>
      </c>
      <c r="G204" s="220">
        <v>44.31</v>
      </c>
      <c r="H204" s="115" t="s">
        <v>122</v>
      </c>
    </row>
    <row r="205" spans="1:8" ht="27.75" customHeight="1" x14ac:dyDescent="0.25">
      <c r="A205" s="95">
        <v>41476</v>
      </c>
      <c r="B205" s="226">
        <v>8.83</v>
      </c>
      <c r="C205" s="227">
        <v>10000</v>
      </c>
      <c r="D205" s="94">
        <v>6</v>
      </c>
      <c r="E205" s="226">
        <v>24.32</v>
      </c>
      <c r="F205" s="223">
        <v>6</v>
      </c>
      <c r="G205" s="220">
        <v>22.82</v>
      </c>
      <c r="H205" s="115" t="s">
        <v>122</v>
      </c>
    </row>
    <row r="206" spans="1:8" ht="27.75" customHeight="1" x14ac:dyDescent="0.25">
      <c r="A206" s="95">
        <v>41477</v>
      </c>
      <c r="B206" s="226">
        <v>8.75</v>
      </c>
      <c r="C206" s="227">
        <v>9900</v>
      </c>
      <c r="D206" s="94">
        <v>6</v>
      </c>
      <c r="E206" s="226">
        <v>24.2</v>
      </c>
      <c r="F206" s="223">
        <v>6</v>
      </c>
      <c r="G206" s="220">
        <v>22.69</v>
      </c>
      <c r="H206" s="115" t="s">
        <v>122</v>
      </c>
    </row>
    <row r="207" spans="1:8" ht="27.75" customHeight="1" x14ac:dyDescent="0.25">
      <c r="A207" s="95">
        <v>41478</v>
      </c>
      <c r="B207" s="226">
        <v>8.67</v>
      </c>
      <c r="C207" s="227">
        <v>9800</v>
      </c>
      <c r="D207" s="94">
        <v>6</v>
      </c>
      <c r="E207" s="226">
        <v>24.08</v>
      </c>
      <c r="F207" s="223">
        <v>6</v>
      </c>
      <c r="G207" s="220">
        <v>22.56</v>
      </c>
      <c r="H207" s="115" t="s">
        <v>122</v>
      </c>
    </row>
    <row r="208" spans="1:8" ht="27.75" customHeight="1" x14ac:dyDescent="0.25">
      <c r="A208" s="95">
        <v>41479</v>
      </c>
      <c r="B208" s="226">
        <v>8.58</v>
      </c>
      <c r="C208" s="227">
        <v>9700</v>
      </c>
      <c r="D208" s="94">
        <v>4</v>
      </c>
      <c r="E208" s="226">
        <v>16.13</v>
      </c>
      <c r="F208" s="223">
        <v>6</v>
      </c>
      <c r="G208" s="226">
        <v>22.42</v>
      </c>
      <c r="H208" s="115" t="s">
        <v>122</v>
      </c>
    </row>
    <row r="209" spans="1:8" ht="27.75" customHeight="1" x14ac:dyDescent="0.25">
      <c r="A209" s="95">
        <v>41480</v>
      </c>
      <c r="B209" s="226">
        <v>8.5</v>
      </c>
      <c r="C209" s="227">
        <v>9600</v>
      </c>
      <c r="D209" s="94"/>
      <c r="E209" s="226" t="s">
        <v>122</v>
      </c>
      <c r="F209" s="94"/>
      <c r="G209" s="226" t="s">
        <v>122</v>
      </c>
      <c r="H209" s="115" t="s">
        <v>122</v>
      </c>
    </row>
    <row r="210" spans="1:8" ht="27.75" customHeight="1" x14ac:dyDescent="0.25">
      <c r="A210" s="95">
        <v>41481</v>
      </c>
      <c r="B210" s="226">
        <v>8.5</v>
      </c>
      <c r="C210" s="227">
        <v>9600</v>
      </c>
      <c r="D210" s="94"/>
      <c r="E210" s="226" t="s">
        <v>122</v>
      </c>
      <c r="F210" s="94"/>
      <c r="G210" s="226" t="s">
        <v>122</v>
      </c>
      <c r="H210" s="115" t="s">
        <v>122</v>
      </c>
    </row>
    <row r="211" spans="1:8" ht="27.75" customHeight="1" x14ac:dyDescent="0.25">
      <c r="A211" s="95">
        <v>41482</v>
      </c>
      <c r="B211" s="226">
        <v>8.42</v>
      </c>
      <c r="C211" s="227">
        <v>9500</v>
      </c>
      <c r="D211" s="94"/>
      <c r="E211" s="226" t="s">
        <v>122</v>
      </c>
      <c r="F211" s="94"/>
      <c r="G211" s="226" t="s">
        <v>122</v>
      </c>
      <c r="H211" s="115" t="s">
        <v>122</v>
      </c>
    </row>
    <row r="212" spans="1:8" ht="27.75" customHeight="1" x14ac:dyDescent="0.25">
      <c r="A212" s="95">
        <v>41483</v>
      </c>
      <c r="B212" s="226">
        <v>8.42</v>
      </c>
      <c r="C212" s="227">
        <v>9500</v>
      </c>
      <c r="D212" s="94"/>
      <c r="E212" s="226" t="s">
        <v>122</v>
      </c>
      <c r="F212" s="94"/>
      <c r="G212" s="226" t="s">
        <v>122</v>
      </c>
      <c r="H212" s="115" t="s">
        <v>122</v>
      </c>
    </row>
    <row r="213" spans="1:8" ht="27.75" customHeight="1" x14ac:dyDescent="0.25">
      <c r="A213" s="95">
        <v>41484</v>
      </c>
      <c r="B213" s="226">
        <v>8.42</v>
      </c>
      <c r="C213" s="227">
        <v>9500</v>
      </c>
      <c r="D213" s="94"/>
      <c r="E213" s="226" t="s">
        <v>122</v>
      </c>
      <c r="F213" s="94"/>
      <c r="G213" s="226" t="s">
        <v>122</v>
      </c>
      <c r="H213" s="115" t="s">
        <v>122</v>
      </c>
    </row>
    <row r="214" spans="1:8" ht="27.75" customHeight="1" x14ac:dyDescent="0.25">
      <c r="A214" s="95">
        <v>41485</v>
      </c>
      <c r="B214" s="94">
        <v>8.42</v>
      </c>
      <c r="C214" s="227">
        <v>9500</v>
      </c>
      <c r="D214" s="94"/>
      <c r="E214" s="226" t="s">
        <v>122</v>
      </c>
      <c r="F214" s="94"/>
      <c r="G214" s="226" t="s">
        <v>122</v>
      </c>
      <c r="H214" s="115" t="s">
        <v>122</v>
      </c>
    </row>
    <row r="215" spans="1:8" ht="27.75" customHeight="1" x14ac:dyDescent="0.25">
      <c r="A215" s="95">
        <v>41486</v>
      </c>
      <c r="B215" s="226">
        <v>8.33</v>
      </c>
      <c r="C215" s="227">
        <v>9400</v>
      </c>
      <c r="D215" s="94"/>
      <c r="E215" s="226" t="s">
        <v>122</v>
      </c>
      <c r="F215" s="226" t="s">
        <v>122</v>
      </c>
      <c r="G215" s="226" t="s">
        <v>122</v>
      </c>
      <c r="H215" s="115" t="s">
        <v>122</v>
      </c>
    </row>
    <row r="216" spans="1:8" ht="27.75" customHeight="1" x14ac:dyDescent="0.25">
      <c r="A216" s="95">
        <v>41487</v>
      </c>
      <c r="B216" s="153">
        <v>8.33</v>
      </c>
      <c r="C216" s="94">
        <v>9400</v>
      </c>
      <c r="D216" s="94"/>
      <c r="E216" s="226" t="s">
        <v>122</v>
      </c>
      <c r="F216" s="226" t="s">
        <v>122</v>
      </c>
      <c r="G216" s="226" t="s">
        <v>122</v>
      </c>
      <c r="H216" s="115" t="s">
        <v>122</v>
      </c>
    </row>
    <row r="217" spans="1:8" ht="27.75" customHeight="1" x14ac:dyDescent="0.25">
      <c r="A217" s="95">
        <v>41488</v>
      </c>
      <c r="B217" s="153">
        <v>8.33</v>
      </c>
      <c r="C217" s="94">
        <v>9400</v>
      </c>
      <c r="D217" s="94"/>
      <c r="E217" s="226" t="s">
        <v>122</v>
      </c>
      <c r="F217" s="226" t="s">
        <v>122</v>
      </c>
      <c r="G217" s="226" t="s">
        <v>122</v>
      </c>
      <c r="H217" s="115" t="s">
        <v>122</v>
      </c>
    </row>
    <row r="218" spans="1:8" ht="27.75" customHeight="1" x14ac:dyDescent="0.25">
      <c r="A218" s="95">
        <v>41489</v>
      </c>
      <c r="B218" s="153">
        <v>8.33</v>
      </c>
      <c r="C218" s="94">
        <v>9400</v>
      </c>
      <c r="D218" s="94"/>
      <c r="E218" s="226" t="s">
        <v>122</v>
      </c>
      <c r="F218" s="226" t="s">
        <v>122</v>
      </c>
      <c r="G218" s="226" t="s">
        <v>122</v>
      </c>
      <c r="H218" s="115" t="s">
        <v>122</v>
      </c>
    </row>
    <row r="219" spans="1:8" ht="27.75" customHeight="1" x14ac:dyDescent="0.25">
      <c r="A219" s="95">
        <v>41490</v>
      </c>
      <c r="B219" s="153">
        <v>8.33</v>
      </c>
      <c r="C219" s="94">
        <v>9400</v>
      </c>
      <c r="D219" s="94"/>
      <c r="E219" s="226" t="s">
        <v>122</v>
      </c>
      <c r="F219" s="226" t="s">
        <v>122</v>
      </c>
      <c r="G219" s="226" t="s">
        <v>122</v>
      </c>
      <c r="H219" s="115" t="s">
        <v>122</v>
      </c>
    </row>
    <row r="220" spans="1:8" ht="27.75" customHeight="1" x14ac:dyDescent="0.25">
      <c r="A220" s="95">
        <v>41491</v>
      </c>
      <c r="B220" s="94">
        <v>8.25</v>
      </c>
      <c r="C220" s="94">
        <v>9300</v>
      </c>
      <c r="D220" s="94"/>
      <c r="E220" s="226" t="s">
        <v>122</v>
      </c>
      <c r="F220" s="226" t="s">
        <v>122</v>
      </c>
      <c r="G220" s="226" t="s">
        <v>122</v>
      </c>
      <c r="H220" s="115" t="s">
        <v>122</v>
      </c>
    </row>
    <row r="221" spans="1:8" ht="27.75" customHeight="1" x14ac:dyDescent="0.25">
      <c r="A221" s="95">
        <v>41492</v>
      </c>
      <c r="B221" s="153">
        <v>8.25</v>
      </c>
      <c r="C221" s="94">
        <v>9300</v>
      </c>
      <c r="D221" s="94"/>
      <c r="E221" s="226" t="s">
        <v>122</v>
      </c>
      <c r="F221" s="226" t="s">
        <v>122</v>
      </c>
      <c r="G221" s="226" t="s">
        <v>122</v>
      </c>
      <c r="H221" s="115" t="s">
        <v>122</v>
      </c>
    </row>
    <row r="222" spans="1:8" ht="27.75" customHeight="1" x14ac:dyDescent="0.25">
      <c r="A222" s="95">
        <v>41493</v>
      </c>
      <c r="B222" s="94">
        <v>8.25</v>
      </c>
      <c r="C222" s="94">
        <v>9300</v>
      </c>
      <c r="D222" s="94"/>
      <c r="E222" s="226" t="s">
        <v>122</v>
      </c>
      <c r="F222" s="226" t="s">
        <v>122</v>
      </c>
      <c r="G222" s="226" t="s">
        <v>122</v>
      </c>
      <c r="H222" s="115" t="s">
        <v>122</v>
      </c>
    </row>
    <row r="223" spans="1:8" ht="27.75" customHeight="1" x14ac:dyDescent="0.25">
      <c r="A223" s="95">
        <v>41494</v>
      </c>
      <c r="B223" s="94">
        <v>8.25</v>
      </c>
      <c r="C223" s="94">
        <v>9300</v>
      </c>
      <c r="D223" s="94"/>
      <c r="E223" s="226" t="s">
        <v>122</v>
      </c>
      <c r="F223" s="226" t="s">
        <v>122</v>
      </c>
      <c r="G223" s="226" t="s">
        <v>122</v>
      </c>
      <c r="H223" s="115" t="s">
        <v>122</v>
      </c>
    </row>
    <row r="224" spans="1:8" ht="27.75" customHeight="1" x14ac:dyDescent="0.25">
      <c r="A224" s="95">
        <v>41495</v>
      </c>
      <c r="B224" s="153">
        <v>8.17</v>
      </c>
      <c r="C224" s="94">
        <v>9200</v>
      </c>
      <c r="D224" s="94"/>
      <c r="E224" s="226" t="s">
        <v>122</v>
      </c>
      <c r="F224" s="226" t="s">
        <v>122</v>
      </c>
      <c r="G224" s="226" t="s">
        <v>122</v>
      </c>
      <c r="H224" s="115" t="s">
        <v>122</v>
      </c>
    </row>
    <row r="225" spans="1:8" ht="27.75" customHeight="1" x14ac:dyDescent="0.25">
      <c r="A225" s="95">
        <v>41496</v>
      </c>
      <c r="B225" s="94">
        <v>8.17</v>
      </c>
      <c r="C225" s="94">
        <v>9200</v>
      </c>
      <c r="D225" s="94"/>
      <c r="E225" s="226" t="s">
        <v>122</v>
      </c>
      <c r="F225" s="226" t="s">
        <v>122</v>
      </c>
      <c r="G225" s="226" t="s">
        <v>122</v>
      </c>
      <c r="H225" s="115" t="s">
        <v>122</v>
      </c>
    </row>
    <row r="226" spans="1:8" ht="27.75" customHeight="1" x14ac:dyDescent="0.25">
      <c r="A226" s="95">
        <v>41497</v>
      </c>
      <c r="B226" s="153">
        <v>8.17</v>
      </c>
      <c r="C226" s="94">
        <v>9200</v>
      </c>
      <c r="D226" s="94"/>
      <c r="E226" s="226" t="s">
        <v>122</v>
      </c>
      <c r="F226" s="226" t="s">
        <v>122</v>
      </c>
      <c r="G226" s="226" t="s">
        <v>122</v>
      </c>
      <c r="H226" s="115" t="s">
        <v>122</v>
      </c>
    </row>
    <row r="227" spans="1:8" ht="27.75" customHeight="1" x14ac:dyDescent="0.25">
      <c r="A227" s="95">
        <v>41498</v>
      </c>
      <c r="B227" s="153">
        <v>8.17</v>
      </c>
      <c r="C227" s="94">
        <v>9200</v>
      </c>
      <c r="D227" s="94"/>
      <c r="E227" s="226" t="s">
        <v>122</v>
      </c>
      <c r="F227" s="226" t="s">
        <v>122</v>
      </c>
      <c r="G227" s="226" t="s">
        <v>122</v>
      </c>
      <c r="H227" s="115" t="s">
        <v>122</v>
      </c>
    </row>
    <row r="228" spans="1:8" ht="27.75" customHeight="1" x14ac:dyDescent="0.25">
      <c r="A228" s="95">
        <v>41499</v>
      </c>
      <c r="B228" s="153">
        <v>8.08</v>
      </c>
      <c r="C228" s="94">
        <v>9100</v>
      </c>
      <c r="D228" s="94"/>
      <c r="E228" s="226" t="s">
        <v>122</v>
      </c>
      <c r="F228" s="226" t="s">
        <v>122</v>
      </c>
      <c r="G228" s="226" t="s">
        <v>122</v>
      </c>
      <c r="H228" s="115" t="s">
        <v>122</v>
      </c>
    </row>
    <row r="229" spans="1:8" ht="27.75" customHeight="1" x14ac:dyDescent="0.25">
      <c r="A229" s="95">
        <v>41500</v>
      </c>
      <c r="B229" s="153">
        <v>8.08</v>
      </c>
      <c r="C229" s="94">
        <v>9100</v>
      </c>
      <c r="D229" s="94"/>
      <c r="E229" s="226" t="s">
        <v>122</v>
      </c>
      <c r="F229" s="226" t="s">
        <v>122</v>
      </c>
      <c r="G229" s="226" t="s">
        <v>122</v>
      </c>
      <c r="H229" s="115" t="s">
        <v>122</v>
      </c>
    </row>
    <row r="230" spans="1:8" ht="27.75" customHeight="1" x14ac:dyDescent="0.25">
      <c r="A230" s="95">
        <v>41501</v>
      </c>
      <c r="B230" s="153">
        <v>8.08</v>
      </c>
      <c r="C230" s="94">
        <v>9100</v>
      </c>
      <c r="D230" s="94"/>
      <c r="E230" s="226" t="s">
        <v>122</v>
      </c>
      <c r="F230" s="226" t="s">
        <v>122</v>
      </c>
      <c r="G230" s="226" t="s">
        <v>122</v>
      </c>
      <c r="H230" s="115" t="s">
        <v>122</v>
      </c>
    </row>
    <row r="231" spans="1:8" ht="27.75" customHeight="1" x14ac:dyDescent="0.25">
      <c r="A231" s="95">
        <v>41502</v>
      </c>
      <c r="B231" s="153">
        <v>8.08</v>
      </c>
      <c r="C231" s="94">
        <v>9100</v>
      </c>
      <c r="D231" s="94"/>
      <c r="E231" s="226" t="s">
        <v>122</v>
      </c>
      <c r="F231" s="226" t="s">
        <v>122</v>
      </c>
      <c r="G231" s="226" t="s">
        <v>122</v>
      </c>
      <c r="H231" s="115" t="s">
        <v>122</v>
      </c>
    </row>
    <row r="232" spans="1:8" ht="27.75" customHeight="1" x14ac:dyDescent="0.25">
      <c r="A232" s="95">
        <v>41503</v>
      </c>
      <c r="B232" s="154">
        <v>8</v>
      </c>
      <c r="C232" s="94">
        <v>9000</v>
      </c>
      <c r="D232" s="94"/>
      <c r="E232" s="226" t="s">
        <v>122</v>
      </c>
      <c r="F232" s="226" t="s">
        <v>122</v>
      </c>
      <c r="G232" s="226" t="s">
        <v>122</v>
      </c>
      <c r="H232" s="115" t="s">
        <v>122</v>
      </c>
    </row>
    <row r="233" spans="1:8" ht="27.75" customHeight="1" x14ac:dyDescent="0.25">
      <c r="A233" s="95">
        <v>41504</v>
      </c>
      <c r="B233" s="154">
        <v>8</v>
      </c>
      <c r="C233" s="94">
        <v>9000</v>
      </c>
      <c r="D233" s="94"/>
      <c r="E233" s="226" t="s">
        <v>122</v>
      </c>
      <c r="F233" s="226" t="s">
        <v>122</v>
      </c>
      <c r="G233" s="226" t="s">
        <v>122</v>
      </c>
      <c r="H233" s="115" t="s">
        <v>122</v>
      </c>
    </row>
    <row r="234" spans="1:8" ht="27.75" customHeight="1" x14ac:dyDescent="0.25">
      <c r="A234" s="95">
        <v>41505</v>
      </c>
      <c r="B234" s="154">
        <v>8</v>
      </c>
      <c r="C234" s="94">
        <v>9000</v>
      </c>
      <c r="D234" s="94"/>
      <c r="E234" s="226" t="s">
        <v>122</v>
      </c>
      <c r="F234" s="226" t="s">
        <v>122</v>
      </c>
      <c r="G234" s="226" t="s">
        <v>122</v>
      </c>
      <c r="H234" s="115" t="s">
        <v>122</v>
      </c>
    </row>
    <row r="235" spans="1:8" ht="27.75" customHeight="1" x14ac:dyDescent="0.25">
      <c r="A235" s="95">
        <v>41506</v>
      </c>
      <c r="B235" s="153">
        <v>8</v>
      </c>
      <c r="C235" s="94">
        <v>9000</v>
      </c>
      <c r="D235" s="94"/>
      <c r="E235" s="226" t="s">
        <v>122</v>
      </c>
      <c r="F235" s="226" t="s">
        <v>122</v>
      </c>
      <c r="G235" s="226" t="s">
        <v>122</v>
      </c>
      <c r="H235" s="115" t="s">
        <v>122</v>
      </c>
    </row>
    <row r="236" spans="1:8" ht="27.75" customHeight="1" x14ac:dyDescent="0.25">
      <c r="A236" s="95">
        <v>41507</v>
      </c>
      <c r="B236" s="153">
        <v>7.92</v>
      </c>
      <c r="C236" s="94">
        <v>8900</v>
      </c>
      <c r="D236" s="94"/>
      <c r="E236" s="226" t="s">
        <v>122</v>
      </c>
      <c r="F236" s="226" t="s">
        <v>122</v>
      </c>
      <c r="G236" s="226" t="s">
        <v>122</v>
      </c>
      <c r="H236" s="115" t="s">
        <v>122</v>
      </c>
    </row>
    <row r="237" spans="1:8" ht="27.75" customHeight="1" x14ac:dyDescent="0.25">
      <c r="A237" s="95">
        <v>41508</v>
      </c>
      <c r="B237" s="153">
        <v>7.92</v>
      </c>
      <c r="C237" s="94">
        <v>8900</v>
      </c>
      <c r="D237" s="94"/>
      <c r="E237" s="226" t="s">
        <v>122</v>
      </c>
      <c r="F237" s="226" t="s">
        <v>122</v>
      </c>
      <c r="G237" s="226" t="s">
        <v>122</v>
      </c>
      <c r="H237" s="115" t="s">
        <v>122</v>
      </c>
    </row>
    <row r="238" spans="1:8" ht="27.75" customHeight="1" x14ac:dyDescent="0.25">
      <c r="A238" s="95">
        <v>41509</v>
      </c>
      <c r="B238" s="153">
        <v>7.92</v>
      </c>
      <c r="C238" s="94">
        <v>8900</v>
      </c>
      <c r="D238" s="94"/>
      <c r="E238" s="226" t="s">
        <v>122</v>
      </c>
      <c r="F238" s="226" t="s">
        <v>122</v>
      </c>
      <c r="G238" s="226" t="s">
        <v>122</v>
      </c>
      <c r="H238" s="115" t="s">
        <v>122</v>
      </c>
    </row>
    <row r="239" spans="1:8" ht="27.75" customHeight="1" x14ac:dyDescent="0.25">
      <c r="A239" s="95">
        <v>41510</v>
      </c>
      <c r="B239" s="153">
        <v>7.92</v>
      </c>
      <c r="C239" s="94">
        <v>8900</v>
      </c>
      <c r="D239" s="94"/>
      <c r="E239" s="226" t="s">
        <v>122</v>
      </c>
      <c r="F239" s="226" t="s">
        <v>122</v>
      </c>
      <c r="G239" s="226" t="s">
        <v>122</v>
      </c>
      <c r="H239" s="115" t="s">
        <v>122</v>
      </c>
    </row>
    <row r="240" spans="1:8" ht="27.75" customHeight="1" x14ac:dyDescent="0.25">
      <c r="A240" s="95">
        <v>41511</v>
      </c>
      <c r="B240" s="94">
        <v>7.83</v>
      </c>
      <c r="C240" s="94">
        <v>8800</v>
      </c>
      <c r="D240" s="94"/>
      <c r="E240" s="226" t="s">
        <v>122</v>
      </c>
      <c r="F240" s="226" t="s">
        <v>122</v>
      </c>
      <c r="G240" s="226" t="s">
        <v>122</v>
      </c>
      <c r="H240" s="115" t="s">
        <v>122</v>
      </c>
    </row>
    <row r="241" spans="1:8" ht="27.75" customHeight="1" x14ac:dyDescent="0.25">
      <c r="A241" s="95">
        <v>41512</v>
      </c>
      <c r="B241" s="94">
        <v>7.83</v>
      </c>
      <c r="C241" s="94">
        <v>8800</v>
      </c>
      <c r="D241" s="94"/>
      <c r="E241" s="226" t="s">
        <v>122</v>
      </c>
      <c r="F241" s="226" t="s">
        <v>122</v>
      </c>
      <c r="G241" s="226" t="s">
        <v>122</v>
      </c>
      <c r="H241" s="115" t="s">
        <v>122</v>
      </c>
    </row>
    <row r="242" spans="1:8" ht="27.75" customHeight="1" x14ac:dyDescent="0.25">
      <c r="A242" s="95">
        <v>41513</v>
      </c>
      <c r="B242" s="94">
        <v>7.83</v>
      </c>
      <c r="C242" s="94">
        <v>8800</v>
      </c>
      <c r="D242" s="94"/>
      <c r="E242" s="226" t="s">
        <v>122</v>
      </c>
      <c r="F242" s="226" t="s">
        <v>122</v>
      </c>
      <c r="G242" s="226" t="s">
        <v>122</v>
      </c>
      <c r="H242" s="115" t="s">
        <v>122</v>
      </c>
    </row>
    <row r="243" spans="1:8" ht="27.75" customHeight="1" x14ac:dyDescent="0.25">
      <c r="A243" s="95">
        <v>41514</v>
      </c>
      <c r="B243" s="94">
        <v>7.83</v>
      </c>
      <c r="C243" s="94">
        <v>8800</v>
      </c>
      <c r="D243" s="94"/>
      <c r="E243" s="226" t="s">
        <v>122</v>
      </c>
      <c r="F243" s="226" t="s">
        <v>122</v>
      </c>
      <c r="G243" s="226" t="s">
        <v>122</v>
      </c>
      <c r="H243" s="115" t="s">
        <v>122</v>
      </c>
    </row>
    <row r="244" spans="1:8" ht="27.75" customHeight="1" x14ac:dyDescent="0.25">
      <c r="A244" s="95">
        <v>41515</v>
      </c>
      <c r="B244" s="94">
        <v>7.75</v>
      </c>
      <c r="C244" s="94">
        <v>8700</v>
      </c>
      <c r="D244" s="94"/>
      <c r="E244" s="226" t="s">
        <v>122</v>
      </c>
      <c r="F244" s="226" t="s">
        <v>122</v>
      </c>
      <c r="G244" s="226" t="s">
        <v>122</v>
      </c>
      <c r="H244" s="115" t="s">
        <v>122</v>
      </c>
    </row>
    <row r="245" spans="1:8" ht="27.75" customHeight="1" x14ac:dyDescent="0.25">
      <c r="A245" s="95">
        <v>41516</v>
      </c>
      <c r="B245" s="94">
        <v>7.75</v>
      </c>
      <c r="C245" s="94">
        <v>8700</v>
      </c>
      <c r="D245" s="94"/>
      <c r="E245" s="226" t="s">
        <v>122</v>
      </c>
      <c r="F245" s="226" t="s">
        <v>122</v>
      </c>
      <c r="G245" s="226" t="s">
        <v>122</v>
      </c>
      <c r="H245" s="115" t="s">
        <v>122</v>
      </c>
    </row>
    <row r="246" spans="1:8" ht="27.75" customHeight="1" x14ac:dyDescent="0.25">
      <c r="A246" s="95">
        <v>41517</v>
      </c>
      <c r="B246" s="94">
        <v>7.92</v>
      </c>
      <c r="C246" s="94">
        <v>8900</v>
      </c>
      <c r="D246" s="94"/>
      <c r="E246" s="226" t="s">
        <v>122</v>
      </c>
      <c r="F246" s="226" t="s">
        <v>122</v>
      </c>
      <c r="G246" s="226" t="s">
        <v>122</v>
      </c>
      <c r="H246" s="115" t="s">
        <v>122</v>
      </c>
    </row>
    <row r="247" spans="1:8" ht="27.75" customHeight="1" x14ac:dyDescent="0.25">
      <c r="A247" s="95">
        <v>41518</v>
      </c>
      <c r="B247" s="154">
        <v>8</v>
      </c>
      <c r="C247" s="94">
        <v>9000</v>
      </c>
      <c r="D247" s="94"/>
      <c r="E247" s="226" t="s">
        <v>122</v>
      </c>
      <c r="F247" s="226" t="s">
        <v>122</v>
      </c>
      <c r="G247" s="226" t="s">
        <v>122</v>
      </c>
      <c r="H247" s="115" t="s">
        <v>122</v>
      </c>
    </row>
    <row r="248" spans="1:8" ht="27.75" customHeight="1" x14ac:dyDescent="0.25">
      <c r="A248" s="95">
        <v>41519</v>
      </c>
      <c r="B248" s="154">
        <v>8</v>
      </c>
      <c r="C248" s="94">
        <v>9000</v>
      </c>
      <c r="D248" s="94"/>
      <c r="E248" s="226" t="s">
        <v>122</v>
      </c>
      <c r="F248" s="226" t="s">
        <v>122</v>
      </c>
      <c r="G248" s="226" t="s">
        <v>122</v>
      </c>
      <c r="H248" s="115" t="s">
        <v>122</v>
      </c>
    </row>
    <row r="249" spans="1:8" ht="27.75" customHeight="1" x14ac:dyDescent="0.25">
      <c r="A249" s="95">
        <v>41520</v>
      </c>
      <c r="B249" s="154">
        <v>8</v>
      </c>
      <c r="C249" s="94">
        <v>9000</v>
      </c>
      <c r="D249" s="94"/>
      <c r="E249" s="226" t="s">
        <v>122</v>
      </c>
      <c r="F249" s="226" t="s">
        <v>122</v>
      </c>
      <c r="G249" s="226" t="s">
        <v>122</v>
      </c>
      <c r="H249" s="115" t="s">
        <v>122</v>
      </c>
    </row>
    <row r="250" spans="1:8" ht="27.75" customHeight="1" x14ac:dyDescent="0.25">
      <c r="A250" s="95">
        <v>41521</v>
      </c>
      <c r="B250" s="154">
        <v>8</v>
      </c>
      <c r="C250" s="94">
        <v>9000</v>
      </c>
      <c r="D250" s="94"/>
      <c r="E250" s="226" t="s">
        <v>122</v>
      </c>
      <c r="F250" s="226" t="s">
        <v>122</v>
      </c>
      <c r="G250" s="226" t="s">
        <v>122</v>
      </c>
      <c r="H250" s="115" t="s">
        <v>122</v>
      </c>
    </row>
    <row r="251" spans="1:8" ht="27.75" customHeight="1" x14ac:dyDescent="0.25">
      <c r="A251" s="95">
        <v>41522</v>
      </c>
      <c r="B251" s="154">
        <v>8</v>
      </c>
      <c r="C251" s="94">
        <v>9000</v>
      </c>
      <c r="D251" s="94"/>
      <c r="E251" s="226" t="s">
        <v>122</v>
      </c>
      <c r="F251" s="226" t="s">
        <v>122</v>
      </c>
      <c r="G251" s="226" t="s">
        <v>122</v>
      </c>
      <c r="H251" s="115" t="s">
        <v>122</v>
      </c>
    </row>
    <row r="252" spans="1:8" ht="27.75" customHeight="1" x14ac:dyDescent="0.25">
      <c r="A252" s="95">
        <v>41523</v>
      </c>
      <c r="B252" s="154">
        <v>8</v>
      </c>
      <c r="C252" s="94">
        <v>9000</v>
      </c>
      <c r="D252" s="94"/>
      <c r="E252" s="226" t="s">
        <v>122</v>
      </c>
      <c r="F252" s="226" t="s">
        <v>122</v>
      </c>
      <c r="G252" s="226" t="s">
        <v>122</v>
      </c>
      <c r="H252" s="115" t="s">
        <v>122</v>
      </c>
    </row>
    <row r="253" spans="1:8" ht="27.75" customHeight="1" x14ac:dyDescent="0.25">
      <c r="A253" s="95">
        <v>41524</v>
      </c>
      <c r="B253" s="154">
        <v>8</v>
      </c>
      <c r="C253" s="94">
        <v>9000</v>
      </c>
      <c r="D253" s="94"/>
      <c r="E253" s="226" t="s">
        <v>122</v>
      </c>
      <c r="F253" s="226" t="s">
        <v>122</v>
      </c>
      <c r="G253" s="226" t="s">
        <v>122</v>
      </c>
      <c r="H253" s="115" t="s">
        <v>122</v>
      </c>
    </row>
    <row r="254" spans="1:8" ht="27.75" customHeight="1" x14ac:dyDescent="0.25">
      <c r="A254" s="95">
        <v>41525</v>
      </c>
      <c r="B254" s="154">
        <v>8</v>
      </c>
      <c r="C254" s="94">
        <v>9000</v>
      </c>
      <c r="D254" s="94"/>
      <c r="E254" s="226" t="s">
        <v>122</v>
      </c>
      <c r="F254" s="226" t="s">
        <v>122</v>
      </c>
      <c r="G254" s="226" t="s">
        <v>122</v>
      </c>
      <c r="H254" s="115" t="s">
        <v>122</v>
      </c>
    </row>
    <row r="255" spans="1:8" ht="27.75" customHeight="1" x14ac:dyDescent="0.25">
      <c r="A255" s="95">
        <v>41526</v>
      </c>
      <c r="B255" s="154">
        <v>8</v>
      </c>
      <c r="C255" s="94">
        <v>9000</v>
      </c>
      <c r="D255" s="94"/>
      <c r="E255" s="226" t="s">
        <v>122</v>
      </c>
      <c r="F255" s="226" t="s">
        <v>122</v>
      </c>
      <c r="G255" s="226" t="s">
        <v>122</v>
      </c>
      <c r="H255" s="115" t="s">
        <v>122</v>
      </c>
    </row>
    <row r="256" spans="1:8" ht="27.75" customHeight="1" x14ac:dyDescent="0.25">
      <c r="A256" s="95">
        <v>41527</v>
      </c>
      <c r="B256" s="154">
        <v>8</v>
      </c>
      <c r="C256" s="94">
        <v>9000</v>
      </c>
      <c r="D256" s="94"/>
      <c r="E256" s="226" t="s">
        <v>122</v>
      </c>
      <c r="F256" s="226" t="s">
        <v>122</v>
      </c>
      <c r="G256" s="226" t="s">
        <v>122</v>
      </c>
      <c r="H256" s="115" t="s">
        <v>122</v>
      </c>
    </row>
    <row r="257" spans="1:8" ht="27.75" customHeight="1" x14ac:dyDescent="0.25">
      <c r="A257" s="95">
        <v>41528</v>
      </c>
      <c r="B257" s="154">
        <v>8</v>
      </c>
      <c r="C257" s="94">
        <v>9000</v>
      </c>
      <c r="D257" s="94"/>
      <c r="E257" s="226" t="s">
        <v>122</v>
      </c>
      <c r="F257" s="226" t="s">
        <v>122</v>
      </c>
      <c r="G257" s="226" t="s">
        <v>122</v>
      </c>
      <c r="H257" s="115" t="s">
        <v>122</v>
      </c>
    </row>
    <row r="258" spans="1:8" ht="27.75" customHeight="1" x14ac:dyDescent="0.25">
      <c r="A258" s="95">
        <v>41529</v>
      </c>
      <c r="B258" s="154">
        <v>8</v>
      </c>
      <c r="C258" s="94">
        <v>9000</v>
      </c>
      <c r="D258" s="94"/>
      <c r="E258" s="226" t="s">
        <v>122</v>
      </c>
      <c r="F258" s="226" t="s">
        <v>122</v>
      </c>
      <c r="G258" s="226" t="s">
        <v>122</v>
      </c>
      <c r="H258" s="115" t="s">
        <v>122</v>
      </c>
    </row>
    <row r="259" spans="1:8" ht="27.75" customHeight="1" x14ac:dyDescent="0.25">
      <c r="A259" s="95">
        <v>41530</v>
      </c>
      <c r="B259" s="154">
        <v>8</v>
      </c>
      <c r="C259" s="94">
        <v>9000</v>
      </c>
      <c r="D259" s="94"/>
      <c r="E259" s="226" t="s">
        <v>122</v>
      </c>
      <c r="F259" s="226" t="s">
        <v>122</v>
      </c>
      <c r="G259" s="226" t="s">
        <v>122</v>
      </c>
      <c r="H259" s="115" t="s">
        <v>122</v>
      </c>
    </row>
    <row r="260" spans="1:8" ht="27.75" customHeight="1" x14ac:dyDescent="0.25">
      <c r="A260" s="95">
        <v>41531</v>
      </c>
      <c r="B260" s="154">
        <v>8</v>
      </c>
      <c r="C260" s="94">
        <v>9000</v>
      </c>
      <c r="D260" s="94"/>
      <c r="E260" s="226" t="s">
        <v>122</v>
      </c>
      <c r="F260" s="226" t="s">
        <v>122</v>
      </c>
      <c r="G260" s="226" t="s">
        <v>122</v>
      </c>
      <c r="H260" s="115" t="s">
        <v>122</v>
      </c>
    </row>
    <row r="261" spans="1:8" ht="27.75" customHeight="1" x14ac:dyDescent="0.25">
      <c r="A261" s="95">
        <v>41532</v>
      </c>
      <c r="B261" s="154">
        <v>8</v>
      </c>
      <c r="C261" s="94">
        <v>9000</v>
      </c>
      <c r="D261" s="94"/>
      <c r="E261" s="226" t="s">
        <v>122</v>
      </c>
      <c r="F261" s="226" t="s">
        <v>122</v>
      </c>
      <c r="G261" s="226" t="s">
        <v>122</v>
      </c>
      <c r="H261" s="115" t="s">
        <v>122</v>
      </c>
    </row>
    <row r="262" spans="1:8" ht="27.75" customHeight="1" x14ac:dyDescent="0.25">
      <c r="A262" s="95">
        <v>41533</v>
      </c>
      <c r="B262" s="154">
        <v>8</v>
      </c>
      <c r="C262" s="94">
        <v>9000</v>
      </c>
      <c r="D262" s="94"/>
      <c r="E262" s="226" t="s">
        <v>122</v>
      </c>
      <c r="F262" s="226" t="s">
        <v>122</v>
      </c>
      <c r="G262" s="226" t="s">
        <v>122</v>
      </c>
      <c r="H262" s="115" t="s">
        <v>122</v>
      </c>
    </row>
    <row r="263" spans="1:8" ht="27.75" customHeight="1" x14ac:dyDescent="0.25">
      <c r="A263" s="95">
        <v>41534</v>
      </c>
      <c r="B263" s="154">
        <v>8</v>
      </c>
      <c r="C263" s="94">
        <v>9000</v>
      </c>
      <c r="D263" s="94"/>
      <c r="E263" s="226" t="s">
        <v>122</v>
      </c>
      <c r="F263" s="226" t="s">
        <v>122</v>
      </c>
      <c r="G263" s="226" t="s">
        <v>122</v>
      </c>
      <c r="H263" s="115" t="s">
        <v>122</v>
      </c>
    </row>
    <row r="264" spans="1:8" ht="27.75" customHeight="1" x14ac:dyDescent="0.25">
      <c r="A264" s="95">
        <v>41535</v>
      </c>
      <c r="B264" s="94">
        <v>7.92</v>
      </c>
      <c r="C264" s="94">
        <v>8900</v>
      </c>
      <c r="D264" s="94"/>
      <c r="E264" s="226" t="s">
        <v>122</v>
      </c>
      <c r="F264" s="226" t="s">
        <v>122</v>
      </c>
      <c r="G264" s="226" t="s">
        <v>122</v>
      </c>
      <c r="H264" s="115" t="s">
        <v>122</v>
      </c>
    </row>
    <row r="265" spans="1:8" ht="27.75" customHeight="1" x14ac:dyDescent="0.25">
      <c r="A265" s="95">
        <v>41536</v>
      </c>
      <c r="B265" s="94">
        <v>7.92</v>
      </c>
      <c r="C265" s="94">
        <v>8900</v>
      </c>
      <c r="D265" s="94"/>
      <c r="E265" s="226" t="s">
        <v>122</v>
      </c>
      <c r="F265" s="226" t="s">
        <v>122</v>
      </c>
      <c r="G265" s="226" t="s">
        <v>122</v>
      </c>
      <c r="H265" s="115" t="s">
        <v>122</v>
      </c>
    </row>
    <row r="266" spans="1:8" ht="27.75" customHeight="1" x14ac:dyDescent="0.25">
      <c r="A266" s="95">
        <v>41537</v>
      </c>
      <c r="B266" s="94">
        <v>7.92</v>
      </c>
      <c r="C266" s="94">
        <v>8900</v>
      </c>
      <c r="D266" s="94"/>
      <c r="E266" s="226" t="s">
        <v>122</v>
      </c>
      <c r="F266" s="226" t="s">
        <v>122</v>
      </c>
      <c r="G266" s="226" t="s">
        <v>122</v>
      </c>
      <c r="H266" s="115" t="s">
        <v>122</v>
      </c>
    </row>
    <row r="267" spans="1:8" ht="27.75" customHeight="1" x14ac:dyDescent="0.25">
      <c r="A267" s="95">
        <v>41538</v>
      </c>
      <c r="B267" s="94">
        <v>7.92</v>
      </c>
      <c r="C267" s="94">
        <v>8900</v>
      </c>
      <c r="D267" s="94"/>
      <c r="E267" s="226" t="s">
        <v>122</v>
      </c>
      <c r="F267" s="226" t="s">
        <v>122</v>
      </c>
      <c r="G267" s="226" t="s">
        <v>122</v>
      </c>
      <c r="H267" s="115" t="s">
        <v>122</v>
      </c>
    </row>
    <row r="268" spans="1:8" ht="27.75" customHeight="1" x14ac:dyDescent="0.25">
      <c r="A268" s="95">
        <v>41539</v>
      </c>
      <c r="B268" s="94">
        <v>7.83</v>
      </c>
      <c r="C268" s="94">
        <v>8800</v>
      </c>
      <c r="D268" s="94"/>
      <c r="E268" s="226" t="s">
        <v>122</v>
      </c>
      <c r="F268" s="226" t="s">
        <v>122</v>
      </c>
      <c r="G268" s="226" t="s">
        <v>122</v>
      </c>
      <c r="H268" s="115" t="s">
        <v>122</v>
      </c>
    </row>
    <row r="269" spans="1:8" ht="27.75" customHeight="1" x14ac:dyDescent="0.25">
      <c r="A269" s="95">
        <v>41540</v>
      </c>
      <c r="B269" s="94">
        <v>7.83</v>
      </c>
      <c r="C269" s="94">
        <v>8800</v>
      </c>
      <c r="D269" s="94"/>
      <c r="E269" s="226" t="s">
        <v>122</v>
      </c>
      <c r="F269" s="226" t="s">
        <v>122</v>
      </c>
      <c r="G269" s="226" t="s">
        <v>122</v>
      </c>
      <c r="H269" s="115" t="s">
        <v>122</v>
      </c>
    </row>
    <row r="270" spans="1:8" ht="27.75" customHeight="1" x14ac:dyDescent="0.25">
      <c r="A270" s="95">
        <v>41541</v>
      </c>
      <c r="B270" s="94">
        <v>7.83</v>
      </c>
      <c r="C270" s="94">
        <v>8800</v>
      </c>
      <c r="D270" s="94"/>
      <c r="E270" s="226" t="s">
        <v>122</v>
      </c>
      <c r="F270" s="226" t="s">
        <v>122</v>
      </c>
      <c r="G270" s="226" t="s">
        <v>122</v>
      </c>
      <c r="H270" s="115" t="s">
        <v>122</v>
      </c>
    </row>
    <row r="271" spans="1:8" ht="27.75" customHeight="1" x14ac:dyDescent="0.25">
      <c r="A271" s="95">
        <v>41542</v>
      </c>
      <c r="B271" s="94">
        <v>7.83</v>
      </c>
      <c r="C271" s="94">
        <v>8800</v>
      </c>
      <c r="D271" s="94"/>
      <c r="E271" s="226" t="s">
        <v>122</v>
      </c>
      <c r="F271" s="226" t="s">
        <v>122</v>
      </c>
      <c r="G271" s="226" t="s">
        <v>122</v>
      </c>
      <c r="H271" s="115" t="s">
        <v>122</v>
      </c>
    </row>
    <row r="272" spans="1:8" ht="27.75" customHeight="1" x14ac:dyDescent="0.25">
      <c r="A272" s="95">
        <v>41543</v>
      </c>
      <c r="B272" s="94">
        <v>7.83</v>
      </c>
      <c r="C272" s="94">
        <v>8800</v>
      </c>
      <c r="D272" s="94"/>
      <c r="E272" s="226" t="s">
        <v>122</v>
      </c>
      <c r="F272" s="226" t="s">
        <v>122</v>
      </c>
      <c r="G272" s="226" t="s">
        <v>122</v>
      </c>
      <c r="H272" s="115" t="s">
        <v>122</v>
      </c>
    </row>
    <row r="273" spans="1:8" ht="27.75" customHeight="1" x14ac:dyDescent="0.25">
      <c r="A273" s="95">
        <v>41544</v>
      </c>
      <c r="B273" s="94">
        <v>7.75</v>
      </c>
      <c r="C273" s="94">
        <v>8700</v>
      </c>
      <c r="D273" s="94"/>
      <c r="E273" s="226" t="s">
        <v>122</v>
      </c>
      <c r="F273" s="226" t="s">
        <v>122</v>
      </c>
      <c r="G273" s="226" t="s">
        <v>122</v>
      </c>
      <c r="H273" s="115" t="s">
        <v>122</v>
      </c>
    </row>
    <row r="274" spans="1:8" ht="27.75" customHeight="1" x14ac:dyDescent="0.25">
      <c r="A274" s="95">
        <v>41545</v>
      </c>
      <c r="B274" s="94">
        <v>7.75</v>
      </c>
      <c r="C274" s="94">
        <v>8700</v>
      </c>
      <c r="D274" s="94"/>
      <c r="E274" s="226" t="s">
        <v>122</v>
      </c>
      <c r="F274" s="226" t="s">
        <v>122</v>
      </c>
      <c r="G274" s="226" t="s">
        <v>122</v>
      </c>
      <c r="H274" s="115" t="s">
        <v>122</v>
      </c>
    </row>
    <row r="275" spans="1:8" ht="27.75" customHeight="1" x14ac:dyDescent="0.25">
      <c r="A275" s="95">
        <v>41546</v>
      </c>
      <c r="B275" s="94">
        <v>7.75</v>
      </c>
      <c r="C275" s="94">
        <v>8700</v>
      </c>
      <c r="D275" s="94"/>
      <c r="E275" s="226" t="s">
        <v>122</v>
      </c>
      <c r="F275" s="226" t="s">
        <v>122</v>
      </c>
      <c r="G275" s="226" t="s">
        <v>122</v>
      </c>
      <c r="H275" s="115" t="s">
        <v>122</v>
      </c>
    </row>
    <row r="276" spans="1:8" ht="27.75" customHeight="1" x14ac:dyDescent="0.25">
      <c r="A276" s="95">
        <v>41547</v>
      </c>
      <c r="B276" s="94">
        <v>7.67</v>
      </c>
      <c r="C276" s="94">
        <v>8600</v>
      </c>
      <c r="D276" s="94"/>
      <c r="E276" s="226" t="s">
        <v>122</v>
      </c>
      <c r="F276" s="226" t="s">
        <v>122</v>
      </c>
      <c r="G276" s="226" t="s">
        <v>122</v>
      </c>
      <c r="H276" s="115" t="s">
        <v>122</v>
      </c>
    </row>
    <row r="277" spans="1:8" ht="27.75" customHeight="1" x14ac:dyDescent="0.25">
      <c r="A277" s="95">
        <v>41548</v>
      </c>
      <c r="B277" s="153">
        <v>7.67</v>
      </c>
      <c r="C277" s="94">
        <v>8600</v>
      </c>
      <c r="D277" s="94"/>
      <c r="E277" s="226" t="s">
        <v>122</v>
      </c>
      <c r="F277" s="226" t="s">
        <v>122</v>
      </c>
      <c r="G277" s="226" t="s">
        <v>122</v>
      </c>
      <c r="H277" s="115" t="s">
        <v>122</v>
      </c>
    </row>
    <row r="278" spans="1:8" ht="27.75" customHeight="1" x14ac:dyDescent="0.25">
      <c r="A278" s="95">
        <v>41549</v>
      </c>
      <c r="B278" s="153">
        <v>7.67</v>
      </c>
      <c r="C278" s="94">
        <v>8600</v>
      </c>
      <c r="D278" s="94"/>
      <c r="E278" s="226" t="s">
        <v>122</v>
      </c>
      <c r="F278" s="226" t="s">
        <v>122</v>
      </c>
      <c r="G278" s="226" t="s">
        <v>122</v>
      </c>
      <c r="H278" s="115" t="s">
        <v>122</v>
      </c>
    </row>
    <row r="279" spans="1:8" ht="27.75" customHeight="1" x14ac:dyDescent="0.25">
      <c r="A279" s="95">
        <v>41550</v>
      </c>
      <c r="B279" s="153">
        <v>7.58</v>
      </c>
      <c r="C279" s="94">
        <v>8500</v>
      </c>
      <c r="D279" s="94"/>
      <c r="E279" s="226" t="s">
        <v>122</v>
      </c>
      <c r="F279" s="226" t="s">
        <v>122</v>
      </c>
      <c r="G279" s="226" t="s">
        <v>122</v>
      </c>
      <c r="H279" s="115" t="s">
        <v>122</v>
      </c>
    </row>
    <row r="280" spans="1:8" ht="27.75" customHeight="1" x14ac:dyDescent="0.25">
      <c r="A280" s="95">
        <v>41551</v>
      </c>
      <c r="B280" s="153">
        <v>7.58</v>
      </c>
      <c r="C280" s="94">
        <v>8500</v>
      </c>
      <c r="D280" s="94"/>
      <c r="E280" s="226" t="s">
        <v>122</v>
      </c>
      <c r="F280" s="226" t="s">
        <v>122</v>
      </c>
      <c r="G280" s="226" t="s">
        <v>122</v>
      </c>
      <c r="H280" s="115" t="s">
        <v>122</v>
      </c>
    </row>
    <row r="281" spans="1:8" ht="27.75" customHeight="1" x14ac:dyDescent="0.25">
      <c r="A281" s="95">
        <v>41552</v>
      </c>
      <c r="B281" s="153">
        <v>7.58</v>
      </c>
      <c r="C281" s="94">
        <v>8500</v>
      </c>
      <c r="D281" s="94"/>
      <c r="E281" s="226" t="s">
        <v>122</v>
      </c>
      <c r="F281" s="226" t="s">
        <v>122</v>
      </c>
      <c r="G281" s="226" t="s">
        <v>122</v>
      </c>
      <c r="H281" s="115" t="s">
        <v>122</v>
      </c>
    </row>
    <row r="282" spans="1:8" ht="27.75" customHeight="1" x14ac:dyDescent="0.25">
      <c r="A282" s="95">
        <v>41553</v>
      </c>
      <c r="B282" s="153">
        <v>7.5</v>
      </c>
      <c r="C282" s="94">
        <v>8400</v>
      </c>
      <c r="D282" s="94"/>
      <c r="E282" s="226" t="s">
        <v>122</v>
      </c>
      <c r="F282" s="226" t="s">
        <v>122</v>
      </c>
      <c r="G282" s="226" t="s">
        <v>122</v>
      </c>
      <c r="H282" s="115" t="s">
        <v>122</v>
      </c>
    </row>
    <row r="283" spans="1:8" ht="27.75" customHeight="1" x14ac:dyDescent="0.25">
      <c r="A283" s="95">
        <v>41554</v>
      </c>
      <c r="B283" s="153">
        <v>7.5</v>
      </c>
      <c r="C283" s="94">
        <v>8400</v>
      </c>
      <c r="D283" s="94"/>
      <c r="E283" s="226" t="s">
        <v>122</v>
      </c>
      <c r="F283" s="226" t="s">
        <v>122</v>
      </c>
      <c r="G283" s="226" t="s">
        <v>122</v>
      </c>
      <c r="H283" s="115" t="s">
        <v>122</v>
      </c>
    </row>
    <row r="284" spans="1:8" ht="27.75" customHeight="1" x14ac:dyDescent="0.25">
      <c r="A284" s="95">
        <v>41555</v>
      </c>
      <c r="B284" s="153">
        <v>7.5</v>
      </c>
      <c r="C284" s="94">
        <v>8400</v>
      </c>
      <c r="D284" s="94"/>
      <c r="E284" s="226" t="s">
        <v>122</v>
      </c>
      <c r="F284" s="226" t="s">
        <v>122</v>
      </c>
      <c r="G284" s="226" t="s">
        <v>122</v>
      </c>
      <c r="H284" s="115" t="s">
        <v>122</v>
      </c>
    </row>
    <row r="285" spans="1:8" ht="27.75" customHeight="1" x14ac:dyDescent="0.25">
      <c r="A285" s="95">
        <v>41556</v>
      </c>
      <c r="B285" s="153">
        <v>7.5</v>
      </c>
      <c r="C285" s="94">
        <v>8400</v>
      </c>
      <c r="D285" s="94"/>
      <c r="E285" s="226" t="s">
        <v>122</v>
      </c>
      <c r="F285" s="226" t="s">
        <v>122</v>
      </c>
      <c r="G285" s="226" t="s">
        <v>122</v>
      </c>
      <c r="H285" s="115" t="s">
        <v>122</v>
      </c>
    </row>
    <row r="286" spans="1:8" ht="27.75" customHeight="1" x14ac:dyDescent="0.25">
      <c r="A286" s="95">
        <v>41557</v>
      </c>
      <c r="B286" s="153">
        <v>7.42</v>
      </c>
      <c r="C286" s="94">
        <v>8300</v>
      </c>
      <c r="D286" s="94"/>
      <c r="E286" s="226" t="s">
        <v>122</v>
      </c>
      <c r="F286" s="226" t="s">
        <v>122</v>
      </c>
      <c r="G286" s="226" t="s">
        <v>122</v>
      </c>
      <c r="H286" s="115" t="s">
        <v>122</v>
      </c>
    </row>
    <row r="287" spans="1:8" ht="27.75" customHeight="1" x14ac:dyDescent="0.25">
      <c r="A287" s="95">
        <v>41558</v>
      </c>
      <c r="B287" s="153">
        <v>7.42</v>
      </c>
      <c r="C287" s="94">
        <v>8300</v>
      </c>
      <c r="D287" s="94"/>
      <c r="E287" s="226" t="s">
        <v>122</v>
      </c>
      <c r="F287" s="226" t="s">
        <v>122</v>
      </c>
      <c r="G287" s="226" t="s">
        <v>122</v>
      </c>
      <c r="H287" s="115" t="s">
        <v>122</v>
      </c>
    </row>
    <row r="288" spans="1:8" ht="27.75" customHeight="1" x14ac:dyDescent="0.25">
      <c r="A288" s="95">
        <v>41559</v>
      </c>
      <c r="B288" s="153">
        <v>7.42</v>
      </c>
      <c r="C288" s="94">
        <v>8300</v>
      </c>
      <c r="D288" s="94"/>
      <c r="E288" s="226" t="s">
        <v>122</v>
      </c>
      <c r="F288" s="226" t="s">
        <v>122</v>
      </c>
      <c r="G288" s="226" t="s">
        <v>122</v>
      </c>
      <c r="H288" s="115" t="s">
        <v>122</v>
      </c>
    </row>
    <row r="289" spans="1:8" ht="27.75" customHeight="1" x14ac:dyDescent="0.25">
      <c r="A289" s="95">
        <v>41560</v>
      </c>
      <c r="B289" s="153">
        <v>7.42</v>
      </c>
      <c r="C289" s="94">
        <v>8300</v>
      </c>
      <c r="D289" s="94"/>
      <c r="E289" s="226" t="s">
        <v>122</v>
      </c>
      <c r="F289" s="226" t="s">
        <v>122</v>
      </c>
      <c r="G289" s="226" t="s">
        <v>122</v>
      </c>
      <c r="H289" s="115" t="s">
        <v>122</v>
      </c>
    </row>
    <row r="290" spans="1:8" ht="27.75" customHeight="1" x14ac:dyDescent="0.25">
      <c r="A290" s="95">
        <v>41561</v>
      </c>
      <c r="B290" s="153">
        <v>7.33</v>
      </c>
      <c r="C290" s="94">
        <v>8250</v>
      </c>
      <c r="D290" s="94"/>
      <c r="E290" s="226" t="s">
        <v>122</v>
      </c>
      <c r="F290" s="226" t="s">
        <v>122</v>
      </c>
      <c r="G290" s="226" t="s">
        <v>122</v>
      </c>
      <c r="H290" s="115" t="s">
        <v>122</v>
      </c>
    </row>
    <row r="291" spans="1:8" ht="27.75" customHeight="1" x14ac:dyDescent="0.25">
      <c r="A291" s="95">
        <v>41562</v>
      </c>
      <c r="B291" s="153">
        <v>7.33</v>
      </c>
      <c r="C291" s="94">
        <v>8250</v>
      </c>
      <c r="D291" s="94"/>
      <c r="E291" s="226" t="s">
        <v>122</v>
      </c>
      <c r="F291" s="226" t="s">
        <v>122</v>
      </c>
      <c r="G291" s="226" t="s">
        <v>122</v>
      </c>
      <c r="H291" s="115" t="s">
        <v>122</v>
      </c>
    </row>
    <row r="292" spans="1:8" ht="27.75" customHeight="1" x14ac:dyDescent="0.25">
      <c r="A292" s="95">
        <v>41563</v>
      </c>
      <c r="B292" s="153">
        <v>7.33</v>
      </c>
      <c r="C292" s="94">
        <v>8250</v>
      </c>
      <c r="D292" s="94"/>
      <c r="E292" s="226" t="s">
        <v>122</v>
      </c>
      <c r="F292" s="226" t="s">
        <v>122</v>
      </c>
      <c r="G292" s="226" t="s">
        <v>122</v>
      </c>
      <c r="H292" s="115" t="s">
        <v>122</v>
      </c>
    </row>
    <row r="293" spans="1:8" ht="27.75" customHeight="1" x14ac:dyDescent="0.25">
      <c r="A293" s="95">
        <v>41564</v>
      </c>
      <c r="B293" s="94">
        <v>7.33</v>
      </c>
      <c r="C293" s="94">
        <v>8250</v>
      </c>
      <c r="D293" s="94"/>
      <c r="E293" s="226" t="s">
        <v>122</v>
      </c>
      <c r="F293" s="226" t="s">
        <v>122</v>
      </c>
      <c r="G293" s="226" t="s">
        <v>122</v>
      </c>
      <c r="H293" s="115" t="s">
        <v>122</v>
      </c>
    </row>
    <row r="294" spans="1:8" ht="27.75" customHeight="1" x14ac:dyDescent="0.25">
      <c r="A294" s="95">
        <v>41565</v>
      </c>
      <c r="B294" s="94">
        <v>7.33</v>
      </c>
      <c r="C294" s="94">
        <v>8250</v>
      </c>
      <c r="D294" s="94"/>
      <c r="E294" s="226" t="s">
        <v>122</v>
      </c>
      <c r="F294" s="226" t="s">
        <v>122</v>
      </c>
      <c r="G294" s="226" t="s">
        <v>122</v>
      </c>
      <c r="H294" s="115" t="s">
        <v>122</v>
      </c>
    </row>
    <row r="295" spans="1:8" ht="27.75" customHeight="1" x14ac:dyDescent="0.25">
      <c r="A295" s="95">
        <v>41566</v>
      </c>
      <c r="B295" s="153">
        <v>7.42</v>
      </c>
      <c r="C295" s="94">
        <v>8300</v>
      </c>
      <c r="D295" s="94"/>
      <c r="E295" s="226" t="s">
        <v>122</v>
      </c>
      <c r="F295" s="226" t="s">
        <v>122</v>
      </c>
      <c r="G295" s="226" t="s">
        <v>122</v>
      </c>
      <c r="H295" s="115" t="s">
        <v>122</v>
      </c>
    </row>
    <row r="296" spans="1:8" ht="27.75" customHeight="1" x14ac:dyDescent="0.25">
      <c r="A296" s="95">
        <v>41567</v>
      </c>
      <c r="B296" s="153">
        <v>7.5</v>
      </c>
      <c r="C296" s="94">
        <v>8400</v>
      </c>
      <c r="D296" s="94"/>
      <c r="E296" s="226" t="s">
        <v>122</v>
      </c>
      <c r="F296" s="226" t="s">
        <v>122</v>
      </c>
      <c r="G296" s="226" t="s">
        <v>122</v>
      </c>
      <c r="H296" s="115" t="s">
        <v>122</v>
      </c>
    </row>
    <row r="297" spans="1:8" ht="27.75" customHeight="1" x14ac:dyDescent="0.25">
      <c r="A297" s="95">
        <v>41568</v>
      </c>
      <c r="B297" s="153">
        <v>7.5</v>
      </c>
      <c r="C297" s="94">
        <v>8400</v>
      </c>
      <c r="D297" s="94"/>
      <c r="E297" s="226" t="s">
        <v>122</v>
      </c>
      <c r="F297" s="226" t="s">
        <v>122</v>
      </c>
      <c r="G297" s="226" t="s">
        <v>122</v>
      </c>
      <c r="H297" s="115" t="s">
        <v>122</v>
      </c>
    </row>
    <row r="298" spans="1:8" ht="27.75" customHeight="1" x14ac:dyDescent="0.25">
      <c r="A298" s="95">
        <v>41569</v>
      </c>
      <c r="B298" s="153">
        <v>7.5</v>
      </c>
      <c r="C298" s="94">
        <v>8400</v>
      </c>
      <c r="D298" s="94"/>
      <c r="E298" s="226" t="s">
        <v>122</v>
      </c>
      <c r="F298" s="226" t="s">
        <v>122</v>
      </c>
      <c r="G298" s="226" t="s">
        <v>122</v>
      </c>
      <c r="H298" s="115" t="s">
        <v>122</v>
      </c>
    </row>
    <row r="299" spans="1:8" ht="27.75" customHeight="1" x14ac:dyDescent="0.25">
      <c r="A299" s="95">
        <v>41570</v>
      </c>
      <c r="B299" s="153">
        <v>7.5</v>
      </c>
      <c r="C299" s="94">
        <v>8400</v>
      </c>
      <c r="D299" s="94"/>
      <c r="E299" s="226" t="s">
        <v>122</v>
      </c>
      <c r="F299" s="226" t="s">
        <v>122</v>
      </c>
      <c r="G299" s="226" t="s">
        <v>122</v>
      </c>
      <c r="H299" s="115" t="s">
        <v>122</v>
      </c>
    </row>
    <row r="300" spans="1:8" ht="27.75" customHeight="1" x14ac:dyDescent="0.25">
      <c r="A300" s="95">
        <v>41571</v>
      </c>
      <c r="B300" s="153">
        <v>7.5</v>
      </c>
      <c r="C300" s="94">
        <v>8400</v>
      </c>
      <c r="D300" s="94"/>
      <c r="E300" s="226" t="s">
        <v>122</v>
      </c>
      <c r="F300" s="226" t="s">
        <v>122</v>
      </c>
      <c r="G300" s="226" t="s">
        <v>122</v>
      </c>
      <c r="H300" s="115" t="s">
        <v>122</v>
      </c>
    </row>
    <row r="301" spans="1:8" ht="27.75" customHeight="1" x14ac:dyDescent="0.25">
      <c r="A301" s="95">
        <v>41572</v>
      </c>
      <c r="B301" s="153">
        <v>7.5</v>
      </c>
      <c r="C301" s="94">
        <v>8400</v>
      </c>
      <c r="D301" s="94"/>
      <c r="E301" s="226" t="s">
        <v>122</v>
      </c>
      <c r="F301" s="226" t="s">
        <v>122</v>
      </c>
      <c r="G301" s="226" t="s">
        <v>122</v>
      </c>
      <c r="H301" s="115" t="s">
        <v>122</v>
      </c>
    </row>
    <row r="302" spans="1:8" ht="27.75" customHeight="1" x14ac:dyDescent="0.25">
      <c r="A302" s="95">
        <v>41573</v>
      </c>
      <c r="B302" s="153">
        <v>7.5</v>
      </c>
      <c r="C302" s="94">
        <v>8400</v>
      </c>
      <c r="D302" s="94"/>
      <c r="E302" s="226" t="s">
        <v>122</v>
      </c>
      <c r="F302" s="226" t="s">
        <v>122</v>
      </c>
      <c r="G302" s="226" t="s">
        <v>122</v>
      </c>
      <c r="H302" s="115" t="s">
        <v>122</v>
      </c>
    </row>
    <row r="303" spans="1:8" ht="27.75" customHeight="1" x14ac:dyDescent="0.25">
      <c r="A303" s="95">
        <v>41574</v>
      </c>
      <c r="B303" s="153">
        <v>7.5</v>
      </c>
      <c r="C303" s="94">
        <v>8400</v>
      </c>
      <c r="D303" s="94"/>
      <c r="E303" s="226" t="s">
        <v>122</v>
      </c>
      <c r="F303" s="226" t="s">
        <v>122</v>
      </c>
      <c r="G303" s="226" t="s">
        <v>122</v>
      </c>
      <c r="H303" s="115" t="s">
        <v>122</v>
      </c>
    </row>
    <row r="304" spans="1:8" ht="27.75" customHeight="1" x14ac:dyDescent="0.25">
      <c r="A304" s="95">
        <v>41575</v>
      </c>
      <c r="B304" s="153">
        <v>7.5</v>
      </c>
      <c r="C304" s="94">
        <v>8400</v>
      </c>
      <c r="D304" s="94"/>
      <c r="E304" s="226" t="s">
        <v>122</v>
      </c>
      <c r="F304" s="226" t="s">
        <v>122</v>
      </c>
      <c r="G304" s="226" t="s">
        <v>122</v>
      </c>
      <c r="H304" s="115" t="s">
        <v>122</v>
      </c>
    </row>
    <row r="305" spans="1:8" ht="27.75" customHeight="1" x14ac:dyDescent="0.25">
      <c r="A305" s="95">
        <v>41576</v>
      </c>
      <c r="B305" s="153">
        <v>7.5</v>
      </c>
      <c r="C305" s="94">
        <v>8400</v>
      </c>
      <c r="D305" s="94"/>
      <c r="E305" s="226" t="s">
        <v>122</v>
      </c>
      <c r="F305" s="226" t="s">
        <v>122</v>
      </c>
      <c r="G305" s="226" t="s">
        <v>122</v>
      </c>
      <c r="H305" s="115" t="s">
        <v>122</v>
      </c>
    </row>
    <row r="306" spans="1:8" ht="27.75" customHeight="1" x14ac:dyDescent="0.25">
      <c r="A306" s="95">
        <v>41577</v>
      </c>
      <c r="B306" s="153">
        <v>7.5</v>
      </c>
      <c r="C306" s="94">
        <v>8400</v>
      </c>
      <c r="D306" s="94"/>
      <c r="E306" s="226" t="s">
        <v>122</v>
      </c>
      <c r="F306" s="226" t="s">
        <v>122</v>
      </c>
      <c r="G306" s="226" t="s">
        <v>122</v>
      </c>
      <c r="H306" s="115" t="s">
        <v>122</v>
      </c>
    </row>
    <row r="307" spans="1:8" ht="27.75" customHeight="1" x14ac:dyDescent="0.25">
      <c r="A307" s="95">
        <v>41578</v>
      </c>
      <c r="B307" s="153">
        <v>7.5</v>
      </c>
      <c r="C307" s="94">
        <v>8400</v>
      </c>
      <c r="D307" s="94"/>
      <c r="E307" s="226" t="s">
        <v>122</v>
      </c>
      <c r="F307" s="226" t="s">
        <v>122</v>
      </c>
      <c r="G307" s="226" t="s">
        <v>122</v>
      </c>
      <c r="H307" s="115" t="s">
        <v>122</v>
      </c>
    </row>
    <row r="308" spans="1:8" ht="27.75" customHeight="1" x14ac:dyDescent="0.25">
      <c r="A308" s="95">
        <v>41579</v>
      </c>
      <c r="B308" s="226">
        <v>7.5</v>
      </c>
      <c r="C308" s="227">
        <v>8400</v>
      </c>
      <c r="D308" s="94"/>
      <c r="E308" s="226" t="s">
        <v>122</v>
      </c>
      <c r="F308" s="226" t="s">
        <v>122</v>
      </c>
      <c r="G308" s="226" t="s">
        <v>122</v>
      </c>
      <c r="H308" s="115" t="s">
        <v>122</v>
      </c>
    </row>
    <row r="309" spans="1:8" ht="27.75" customHeight="1" x14ac:dyDescent="0.25">
      <c r="A309" s="95">
        <v>41580</v>
      </c>
      <c r="B309" s="226">
        <v>7.5</v>
      </c>
      <c r="C309" s="227">
        <v>8400</v>
      </c>
      <c r="D309" s="94"/>
      <c r="E309" s="226" t="s">
        <v>122</v>
      </c>
      <c r="F309" s="226" t="s">
        <v>122</v>
      </c>
      <c r="G309" s="226" t="s">
        <v>122</v>
      </c>
      <c r="H309" s="115" t="s">
        <v>122</v>
      </c>
    </row>
    <row r="310" spans="1:8" ht="27.75" customHeight="1" x14ac:dyDescent="0.25">
      <c r="A310" s="95">
        <v>41581</v>
      </c>
      <c r="B310" s="226">
        <v>7.5</v>
      </c>
      <c r="C310" s="227">
        <v>8400</v>
      </c>
      <c r="D310" s="94"/>
      <c r="E310" s="226" t="s">
        <v>122</v>
      </c>
      <c r="F310" s="226" t="s">
        <v>122</v>
      </c>
      <c r="G310" s="226" t="s">
        <v>122</v>
      </c>
      <c r="H310" s="115" t="s">
        <v>122</v>
      </c>
    </row>
    <row r="311" spans="1:8" ht="27.75" customHeight="1" x14ac:dyDescent="0.25">
      <c r="A311" s="95">
        <v>41582</v>
      </c>
      <c r="B311" s="226">
        <v>7.5</v>
      </c>
      <c r="C311" s="227">
        <v>8400</v>
      </c>
      <c r="D311" s="94"/>
      <c r="E311" s="226" t="s">
        <v>122</v>
      </c>
      <c r="F311" s="226" t="s">
        <v>122</v>
      </c>
      <c r="G311" s="226" t="s">
        <v>122</v>
      </c>
      <c r="H311" s="115" t="s">
        <v>122</v>
      </c>
    </row>
    <row r="312" spans="1:8" ht="27.75" customHeight="1" x14ac:dyDescent="0.25">
      <c r="A312" s="95">
        <v>41583</v>
      </c>
      <c r="B312" s="226">
        <v>7.5</v>
      </c>
      <c r="C312" s="227">
        <v>8400</v>
      </c>
      <c r="D312" s="94"/>
      <c r="E312" s="226" t="s">
        <v>122</v>
      </c>
      <c r="F312" s="226" t="s">
        <v>122</v>
      </c>
      <c r="G312" s="226" t="s">
        <v>122</v>
      </c>
      <c r="H312" s="115" t="s">
        <v>122</v>
      </c>
    </row>
    <row r="313" spans="1:8" ht="27.75" customHeight="1" x14ac:dyDescent="0.25">
      <c r="A313" s="95">
        <v>41584</v>
      </c>
      <c r="B313" s="226">
        <v>7.5</v>
      </c>
      <c r="C313" s="227">
        <v>8400</v>
      </c>
      <c r="D313" s="94"/>
      <c r="E313" s="226" t="s">
        <v>122</v>
      </c>
      <c r="F313" s="226" t="s">
        <v>122</v>
      </c>
      <c r="G313" s="226" t="s">
        <v>122</v>
      </c>
      <c r="H313" s="115" t="s">
        <v>122</v>
      </c>
    </row>
    <row r="314" spans="1:8" ht="27.75" customHeight="1" x14ac:dyDescent="0.25">
      <c r="A314" s="95">
        <v>41585</v>
      </c>
      <c r="B314" s="226">
        <v>7.5</v>
      </c>
      <c r="C314" s="227">
        <v>8400</v>
      </c>
      <c r="D314" s="94"/>
      <c r="E314" s="226" t="s">
        <v>122</v>
      </c>
      <c r="F314" s="226" t="s">
        <v>122</v>
      </c>
      <c r="G314" s="226" t="s">
        <v>122</v>
      </c>
      <c r="H314" s="115" t="s">
        <v>122</v>
      </c>
    </row>
    <row r="315" spans="1:8" ht="27.75" customHeight="1" x14ac:dyDescent="0.25">
      <c r="A315" s="95">
        <v>41586</v>
      </c>
      <c r="B315" s="226">
        <v>7.5</v>
      </c>
      <c r="C315" s="227">
        <v>8400</v>
      </c>
      <c r="D315" s="94"/>
      <c r="E315" s="226" t="s">
        <v>122</v>
      </c>
      <c r="F315" s="226" t="s">
        <v>122</v>
      </c>
      <c r="G315" s="226" t="s">
        <v>122</v>
      </c>
      <c r="H315" s="115" t="s">
        <v>122</v>
      </c>
    </row>
    <row r="316" spans="1:8" ht="27.75" customHeight="1" x14ac:dyDescent="0.25">
      <c r="A316" s="95">
        <v>41587</v>
      </c>
      <c r="B316" s="226">
        <v>7.5</v>
      </c>
      <c r="C316" s="227">
        <v>8400</v>
      </c>
      <c r="D316" s="94"/>
      <c r="E316" s="226" t="s">
        <v>122</v>
      </c>
      <c r="F316" s="226" t="s">
        <v>122</v>
      </c>
      <c r="G316" s="226" t="s">
        <v>122</v>
      </c>
      <c r="H316" s="115" t="s">
        <v>122</v>
      </c>
    </row>
    <row r="317" spans="1:8" ht="27.75" customHeight="1" x14ac:dyDescent="0.25">
      <c r="A317" s="95">
        <v>41588</v>
      </c>
      <c r="B317" s="226">
        <v>7.5</v>
      </c>
      <c r="C317" s="227">
        <v>8400</v>
      </c>
      <c r="D317" s="94"/>
      <c r="E317" s="226" t="s">
        <v>122</v>
      </c>
      <c r="F317" s="226" t="s">
        <v>122</v>
      </c>
      <c r="G317" s="226" t="s">
        <v>122</v>
      </c>
      <c r="H317" s="115" t="s">
        <v>122</v>
      </c>
    </row>
    <row r="318" spans="1:8" ht="27.75" customHeight="1" x14ac:dyDescent="0.25">
      <c r="A318" s="95">
        <v>41589</v>
      </c>
      <c r="B318" s="226">
        <v>7.5</v>
      </c>
      <c r="C318" s="227">
        <v>8400</v>
      </c>
      <c r="D318" s="94"/>
      <c r="E318" s="226" t="s">
        <v>122</v>
      </c>
      <c r="F318" s="226" t="s">
        <v>122</v>
      </c>
      <c r="G318" s="226" t="s">
        <v>122</v>
      </c>
      <c r="H318" s="115" t="s">
        <v>122</v>
      </c>
    </row>
    <row r="319" spans="1:8" ht="27.75" customHeight="1" x14ac:dyDescent="0.25">
      <c r="A319" s="95">
        <v>41590</v>
      </c>
      <c r="B319" s="226">
        <v>7.67</v>
      </c>
      <c r="C319" s="227">
        <v>8600</v>
      </c>
      <c r="D319" s="94"/>
      <c r="E319" s="226" t="s">
        <v>122</v>
      </c>
      <c r="F319" s="226" t="s">
        <v>122</v>
      </c>
      <c r="G319" s="226" t="s">
        <v>122</v>
      </c>
      <c r="H319" s="115" t="s">
        <v>122</v>
      </c>
    </row>
    <row r="320" spans="1:8" ht="27.75" customHeight="1" x14ac:dyDescent="0.25">
      <c r="A320" s="95">
        <v>41591</v>
      </c>
      <c r="B320" s="226">
        <v>7.67</v>
      </c>
      <c r="C320" s="227">
        <v>8600</v>
      </c>
      <c r="D320" s="94"/>
      <c r="E320" s="226" t="s">
        <v>122</v>
      </c>
      <c r="F320" s="226" t="s">
        <v>122</v>
      </c>
      <c r="G320" s="226" t="s">
        <v>122</v>
      </c>
      <c r="H320" s="115" t="s">
        <v>122</v>
      </c>
    </row>
    <row r="321" spans="1:8" ht="27.75" customHeight="1" x14ac:dyDescent="0.25">
      <c r="A321" s="95">
        <v>41592</v>
      </c>
      <c r="B321" s="226">
        <v>7.67</v>
      </c>
      <c r="C321" s="227">
        <v>8600</v>
      </c>
      <c r="D321" s="94"/>
      <c r="E321" s="226" t="s">
        <v>122</v>
      </c>
      <c r="F321" s="226" t="s">
        <v>122</v>
      </c>
      <c r="G321" s="226" t="s">
        <v>122</v>
      </c>
      <c r="H321" s="115" t="s">
        <v>122</v>
      </c>
    </row>
    <row r="322" spans="1:8" ht="27.75" customHeight="1" x14ac:dyDescent="0.25">
      <c r="A322" s="95">
        <v>41593</v>
      </c>
      <c r="B322" s="226">
        <v>7.67</v>
      </c>
      <c r="C322" s="227">
        <v>8600</v>
      </c>
      <c r="D322" s="94"/>
      <c r="E322" s="226" t="s">
        <v>122</v>
      </c>
      <c r="F322" s="226" t="s">
        <v>122</v>
      </c>
      <c r="G322" s="226" t="s">
        <v>122</v>
      </c>
      <c r="H322" s="115" t="s">
        <v>122</v>
      </c>
    </row>
    <row r="323" spans="1:8" ht="27.75" customHeight="1" x14ac:dyDescent="0.25">
      <c r="A323" s="95">
        <v>41594</v>
      </c>
      <c r="B323" s="226">
        <v>7.67</v>
      </c>
      <c r="C323" s="227">
        <v>8600</v>
      </c>
      <c r="D323" s="94"/>
      <c r="E323" s="226" t="s">
        <v>122</v>
      </c>
      <c r="F323" s="226" t="s">
        <v>122</v>
      </c>
      <c r="G323" s="226" t="s">
        <v>122</v>
      </c>
      <c r="H323" s="115" t="s">
        <v>122</v>
      </c>
    </row>
    <row r="324" spans="1:8" ht="27.75" customHeight="1" x14ac:dyDescent="0.25">
      <c r="A324" s="95">
        <v>41595</v>
      </c>
      <c r="B324" s="226">
        <v>7.67</v>
      </c>
      <c r="C324" s="227">
        <v>8600</v>
      </c>
      <c r="D324" s="94"/>
      <c r="E324" s="226" t="s">
        <v>122</v>
      </c>
      <c r="F324" s="226" t="s">
        <v>122</v>
      </c>
      <c r="G324" s="226" t="s">
        <v>122</v>
      </c>
      <c r="H324" s="115" t="s">
        <v>122</v>
      </c>
    </row>
    <row r="325" spans="1:8" ht="27.75" customHeight="1" x14ac:dyDescent="0.25">
      <c r="A325" s="95">
        <v>41596</v>
      </c>
      <c r="B325" s="226">
        <v>7.67</v>
      </c>
      <c r="C325" s="227">
        <v>8600</v>
      </c>
      <c r="D325" s="94"/>
      <c r="E325" s="226" t="s">
        <v>122</v>
      </c>
      <c r="F325" s="226" t="s">
        <v>122</v>
      </c>
      <c r="G325" s="226" t="s">
        <v>122</v>
      </c>
      <c r="H325" s="115" t="s">
        <v>122</v>
      </c>
    </row>
    <row r="326" spans="1:8" ht="27.75" customHeight="1" x14ac:dyDescent="0.25">
      <c r="A326" s="95">
        <v>41597</v>
      </c>
      <c r="B326" s="226">
        <v>7.67</v>
      </c>
      <c r="C326" s="227">
        <v>8600</v>
      </c>
      <c r="D326" s="94"/>
      <c r="E326" s="226" t="s">
        <v>122</v>
      </c>
      <c r="F326" s="226" t="s">
        <v>122</v>
      </c>
      <c r="G326" s="226" t="s">
        <v>122</v>
      </c>
      <c r="H326" s="115" t="s">
        <v>122</v>
      </c>
    </row>
    <row r="327" spans="1:8" ht="27.75" customHeight="1" x14ac:dyDescent="0.25">
      <c r="A327" s="95">
        <v>41598</v>
      </c>
      <c r="B327" s="226">
        <v>7.71</v>
      </c>
      <c r="C327" s="227">
        <v>8650</v>
      </c>
      <c r="D327" s="94"/>
      <c r="E327" s="226" t="s">
        <v>122</v>
      </c>
      <c r="F327" s="226" t="s">
        <v>122</v>
      </c>
      <c r="G327" s="226" t="s">
        <v>122</v>
      </c>
      <c r="H327" s="115" t="s">
        <v>122</v>
      </c>
    </row>
    <row r="328" spans="1:8" ht="27.75" customHeight="1" x14ac:dyDescent="0.25">
      <c r="A328" s="95">
        <v>41599</v>
      </c>
      <c r="B328" s="226">
        <v>7.71</v>
      </c>
      <c r="C328" s="227">
        <v>8650</v>
      </c>
      <c r="D328" s="94"/>
      <c r="E328" s="226" t="s">
        <v>122</v>
      </c>
      <c r="F328" s="226" t="s">
        <v>122</v>
      </c>
      <c r="G328" s="226" t="s">
        <v>122</v>
      </c>
      <c r="H328" s="115" t="s">
        <v>122</v>
      </c>
    </row>
    <row r="329" spans="1:8" ht="27.75" customHeight="1" x14ac:dyDescent="0.25">
      <c r="A329" s="95">
        <v>41600</v>
      </c>
      <c r="B329" s="226">
        <v>7.71</v>
      </c>
      <c r="C329" s="227">
        <v>8650</v>
      </c>
      <c r="D329" s="94"/>
      <c r="E329" s="226" t="s">
        <v>122</v>
      </c>
      <c r="F329" s="226" t="s">
        <v>122</v>
      </c>
      <c r="G329" s="226" t="s">
        <v>122</v>
      </c>
      <c r="H329" s="115" t="s">
        <v>122</v>
      </c>
    </row>
    <row r="330" spans="1:8" ht="27.75" customHeight="1" x14ac:dyDescent="0.25">
      <c r="A330" s="95">
        <v>41601</v>
      </c>
      <c r="B330" s="226">
        <v>7.71</v>
      </c>
      <c r="C330" s="227">
        <v>8650</v>
      </c>
      <c r="D330" s="94"/>
      <c r="E330" s="226" t="s">
        <v>122</v>
      </c>
      <c r="F330" s="226" t="s">
        <v>122</v>
      </c>
      <c r="G330" s="226" t="s">
        <v>122</v>
      </c>
      <c r="H330" s="115" t="s">
        <v>122</v>
      </c>
    </row>
    <row r="331" spans="1:8" ht="27.75" customHeight="1" x14ac:dyDescent="0.25">
      <c r="A331" s="95">
        <v>41602</v>
      </c>
      <c r="B331" s="226">
        <v>7.71</v>
      </c>
      <c r="C331" s="227">
        <v>8650</v>
      </c>
      <c r="D331" s="94"/>
      <c r="E331" s="226" t="s">
        <v>122</v>
      </c>
      <c r="F331" s="226" t="s">
        <v>122</v>
      </c>
      <c r="G331" s="226" t="s">
        <v>122</v>
      </c>
      <c r="H331" s="115" t="s">
        <v>122</v>
      </c>
    </row>
    <row r="332" spans="1:8" ht="27.75" customHeight="1" x14ac:dyDescent="0.25">
      <c r="A332" s="95">
        <v>41603</v>
      </c>
      <c r="B332" s="226">
        <v>7.71</v>
      </c>
      <c r="C332" s="227">
        <v>8650</v>
      </c>
      <c r="D332" s="94"/>
      <c r="E332" s="226" t="s">
        <v>122</v>
      </c>
      <c r="F332" s="226" t="s">
        <v>122</v>
      </c>
      <c r="G332" s="226" t="s">
        <v>122</v>
      </c>
      <c r="H332" s="115" t="s">
        <v>122</v>
      </c>
    </row>
    <row r="333" spans="1:8" ht="27.75" customHeight="1" x14ac:dyDescent="0.25">
      <c r="A333" s="95">
        <v>41604</v>
      </c>
      <c r="B333" s="226">
        <v>7.71</v>
      </c>
      <c r="C333" s="227">
        <v>8650</v>
      </c>
      <c r="D333" s="94"/>
      <c r="E333" s="226" t="s">
        <v>122</v>
      </c>
      <c r="F333" s="226" t="s">
        <v>122</v>
      </c>
      <c r="G333" s="226" t="s">
        <v>122</v>
      </c>
      <c r="H333" s="115" t="s">
        <v>122</v>
      </c>
    </row>
    <row r="334" spans="1:8" ht="27.75" customHeight="1" x14ac:dyDescent="0.25">
      <c r="A334" s="95">
        <v>41605</v>
      </c>
      <c r="B334" s="226">
        <v>7.71</v>
      </c>
      <c r="C334" s="227">
        <v>8650</v>
      </c>
      <c r="D334" s="94"/>
      <c r="E334" s="226" t="s">
        <v>122</v>
      </c>
      <c r="F334" s="226" t="s">
        <v>122</v>
      </c>
      <c r="G334" s="226" t="s">
        <v>122</v>
      </c>
      <c r="H334" s="115" t="s">
        <v>122</v>
      </c>
    </row>
    <row r="335" spans="1:8" ht="27.75" customHeight="1" x14ac:dyDescent="0.25">
      <c r="A335" s="95">
        <v>41606</v>
      </c>
      <c r="B335" s="226">
        <v>7.71</v>
      </c>
      <c r="C335" s="227">
        <v>8650</v>
      </c>
      <c r="D335" s="94"/>
      <c r="E335" s="226" t="s">
        <v>122</v>
      </c>
      <c r="F335" s="226" t="s">
        <v>122</v>
      </c>
      <c r="G335" s="226" t="s">
        <v>122</v>
      </c>
      <c r="H335" s="115" t="s">
        <v>122</v>
      </c>
    </row>
    <row r="336" spans="1:8" ht="27.75" customHeight="1" x14ac:dyDescent="0.25">
      <c r="A336" s="95">
        <v>41607</v>
      </c>
      <c r="B336" s="226">
        <v>7.71</v>
      </c>
      <c r="C336" s="227">
        <v>8650</v>
      </c>
      <c r="D336" s="94"/>
      <c r="E336" s="226" t="s">
        <v>122</v>
      </c>
      <c r="F336" s="226" t="s">
        <v>122</v>
      </c>
      <c r="G336" s="226" t="s">
        <v>122</v>
      </c>
      <c r="H336" s="115" t="s">
        <v>122</v>
      </c>
    </row>
    <row r="337" spans="1:8" ht="27.75" customHeight="1" x14ac:dyDescent="0.25">
      <c r="A337" s="95">
        <v>41608</v>
      </c>
      <c r="B337" s="226">
        <v>7.71</v>
      </c>
      <c r="C337" s="227">
        <v>8650</v>
      </c>
      <c r="D337" s="94"/>
      <c r="E337" s="226" t="s">
        <v>122</v>
      </c>
      <c r="F337" s="226" t="s">
        <v>122</v>
      </c>
      <c r="G337" s="226" t="s">
        <v>122</v>
      </c>
      <c r="H337" s="115" t="s">
        <v>122</v>
      </c>
    </row>
    <row r="338" spans="1:8" ht="27.75" customHeight="1" x14ac:dyDescent="0.25">
      <c r="A338" s="95">
        <v>41609</v>
      </c>
      <c r="B338" s="226">
        <v>7.71</v>
      </c>
      <c r="C338" s="227">
        <v>8650</v>
      </c>
      <c r="D338" s="94"/>
      <c r="E338" s="226" t="s">
        <v>122</v>
      </c>
      <c r="F338" s="226" t="s">
        <v>122</v>
      </c>
      <c r="G338" s="226" t="s">
        <v>122</v>
      </c>
      <c r="H338" s="115" t="s">
        <v>122</v>
      </c>
    </row>
    <row r="339" spans="1:8" ht="27.75" customHeight="1" x14ac:dyDescent="0.25">
      <c r="A339" s="95">
        <v>41610</v>
      </c>
      <c r="B339" s="226">
        <v>7.71</v>
      </c>
      <c r="C339" s="227">
        <v>8650</v>
      </c>
      <c r="D339" s="94"/>
      <c r="E339" s="226" t="s">
        <v>122</v>
      </c>
      <c r="F339" s="226" t="s">
        <v>122</v>
      </c>
      <c r="G339" s="226" t="s">
        <v>122</v>
      </c>
      <c r="H339" s="115" t="s">
        <v>122</v>
      </c>
    </row>
    <row r="340" spans="1:8" ht="27.75" customHeight="1" x14ac:dyDescent="0.25">
      <c r="A340" s="95">
        <v>41611</v>
      </c>
      <c r="B340" s="226">
        <v>7.92</v>
      </c>
      <c r="C340" s="227">
        <v>8900</v>
      </c>
      <c r="D340" s="94"/>
      <c r="E340" s="226" t="s">
        <v>122</v>
      </c>
      <c r="F340" s="226" t="s">
        <v>122</v>
      </c>
      <c r="G340" s="226" t="s">
        <v>122</v>
      </c>
      <c r="H340" s="115" t="s">
        <v>122</v>
      </c>
    </row>
    <row r="341" spans="1:8" ht="27.75" customHeight="1" x14ac:dyDescent="0.25">
      <c r="A341" s="95">
        <v>41612</v>
      </c>
      <c r="B341" s="226">
        <v>7.96</v>
      </c>
      <c r="C341" s="227">
        <v>8950</v>
      </c>
      <c r="D341" s="94"/>
      <c r="E341" s="226" t="s">
        <v>122</v>
      </c>
      <c r="F341" s="226" t="s">
        <v>122</v>
      </c>
      <c r="G341" s="226" t="s">
        <v>122</v>
      </c>
      <c r="H341" s="115" t="s">
        <v>122</v>
      </c>
    </row>
    <row r="342" spans="1:8" ht="27.75" customHeight="1" x14ac:dyDescent="0.25">
      <c r="A342" s="95">
        <v>41613</v>
      </c>
      <c r="B342" s="226">
        <v>8</v>
      </c>
      <c r="C342" s="227">
        <v>9000</v>
      </c>
      <c r="D342" s="94"/>
      <c r="E342" s="226" t="s">
        <v>122</v>
      </c>
      <c r="F342" s="226" t="s">
        <v>122</v>
      </c>
      <c r="G342" s="226" t="s">
        <v>122</v>
      </c>
      <c r="H342" s="115" t="s">
        <v>122</v>
      </c>
    </row>
    <row r="343" spans="1:8" ht="27.75" customHeight="1" x14ac:dyDescent="0.25">
      <c r="A343" s="95">
        <v>41614</v>
      </c>
      <c r="B343" s="226">
        <v>8.08</v>
      </c>
      <c r="C343" s="227">
        <v>9100</v>
      </c>
      <c r="D343" s="94"/>
      <c r="E343" s="226" t="s">
        <v>122</v>
      </c>
      <c r="F343" s="226" t="s">
        <v>122</v>
      </c>
      <c r="G343" s="226" t="s">
        <v>122</v>
      </c>
      <c r="H343" s="115" t="s">
        <v>122</v>
      </c>
    </row>
    <row r="344" spans="1:8" ht="27.75" customHeight="1" x14ac:dyDescent="0.25">
      <c r="A344" s="95">
        <v>41615</v>
      </c>
      <c r="B344" s="226">
        <v>8.08</v>
      </c>
      <c r="C344" s="227">
        <v>9100</v>
      </c>
      <c r="D344" s="94"/>
      <c r="E344" s="226" t="s">
        <v>122</v>
      </c>
      <c r="F344" s="226" t="s">
        <v>122</v>
      </c>
      <c r="G344" s="226" t="s">
        <v>122</v>
      </c>
      <c r="H344" s="115" t="s">
        <v>122</v>
      </c>
    </row>
    <row r="345" spans="1:8" ht="27.75" customHeight="1" x14ac:dyDescent="0.25">
      <c r="A345" s="95">
        <v>41616</v>
      </c>
      <c r="B345" s="226">
        <v>8.08</v>
      </c>
      <c r="C345" s="227">
        <v>9100</v>
      </c>
      <c r="D345" s="94"/>
      <c r="E345" s="226" t="s">
        <v>122</v>
      </c>
      <c r="F345" s="226" t="s">
        <v>122</v>
      </c>
      <c r="G345" s="226" t="s">
        <v>122</v>
      </c>
      <c r="H345" s="115" t="s">
        <v>122</v>
      </c>
    </row>
    <row r="346" spans="1:8" ht="27.75" customHeight="1" x14ac:dyDescent="0.25">
      <c r="A346" s="95">
        <v>41617</v>
      </c>
      <c r="B346" s="226">
        <v>8.1300000000000008</v>
      </c>
      <c r="C346" s="227">
        <v>9150</v>
      </c>
      <c r="D346" s="94"/>
      <c r="E346" s="226" t="s">
        <v>122</v>
      </c>
      <c r="F346" s="226" t="s">
        <v>122</v>
      </c>
      <c r="G346" s="226" t="s">
        <v>122</v>
      </c>
      <c r="H346" s="115" t="s">
        <v>122</v>
      </c>
    </row>
    <row r="347" spans="1:8" ht="27.75" customHeight="1" x14ac:dyDescent="0.25">
      <c r="A347" s="95">
        <v>41618</v>
      </c>
      <c r="B347" s="226">
        <v>8.1300000000000008</v>
      </c>
      <c r="C347" s="227">
        <v>9150</v>
      </c>
      <c r="D347" s="94"/>
      <c r="E347" s="226" t="s">
        <v>122</v>
      </c>
      <c r="F347" s="226" t="s">
        <v>122</v>
      </c>
      <c r="G347" s="226" t="s">
        <v>122</v>
      </c>
      <c r="H347" s="115" t="s">
        <v>122</v>
      </c>
    </row>
    <row r="348" spans="1:8" ht="27.75" customHeight="1" x14ac:dyDescent="0.25">
      <c r="A348" s="95">
        <v>41619</v>
      </c>
      <c r="B348" s="226">
        <v>8.1300000000000008</v>
      </c>
      <c r="C348" s="227">
        <v>9150</v>
      </c>
      <c r="D348" s="94"/>
      <c r="E348" s="226" t="s">
        <v>122</v>
      </c>
      <c r="F348" s="226" t="s">
        <v>122</v>
      </c>
      <c r="G348" s="226" t="s">
        <v>122</v>
      </c>
      <c r="H348" s="115" t="s">
        <v>122</v>
      </c>
    </row>
    <row r="349" spans="1:8" ht="27.75" customHeight="1" x14ac:dyDescent="0.25">
      <c r="A349" s="95">
        <v>41620</v>
      </c>
      <c r="B349" s="226">
        <v>8.1300000000000008</v>
      </c>
      <c r="C349" s="227">
        <v>9150</v>
      </c>
      <c r="D349" s="94"/>
      <c r="E349" s="226" t="s">
        <v>122</v>
      </c>
      <c r="F349" s="226" t="s">
        <v>122</v>
      </c>
      <c r="G349" s="226" t="s">
        <v>122</v>
      </c>
      <c r="H349" s="115" t="s">
        <v>122</v>
      </c>
    </row>
    <row r="350" spans="1:8" ht="27.75" customHeight="1" x14ac:dyDescent="0.25">
      <c r="A350" s="95">
        <v>41621</v>
      </c>
      <c r="B350" s="226">
        <v>8.17</v>
      </c>
      <c r="C350" s="227">
        <v>9200</v>
      </c>
      <c r="D350" s="94"/>
      <c r="E350" s="226" t="s">
        <v>122</v>
      </c>
      <c r="F350" s="226" t="s">
        <v>122</v>
      </c>
      <c r="G350" s="226" t="s">
        <v>122</v>
      </c>
      <c r="H350" s="115" t="s">
        <v>122</v>
      </c>
    </row>
    <row r="351" spans="1:8" ht="27.75" customHeight="1" x14ac:dyDescent="0.25">
      <c r="A351" s="95">
        <v>41622</v>
      </c>
      <c r="B351" s="226">
        <v>8.17</v>
      </c>
      <c r="C351" s="227">
        <v>9200</v>
      </c>
      <c r="D351" s="94"/>
      <c r="E351" s="226" t="s">
        <v>122</v>
      </c>
      <c r="F351" s="226" t="s">
        <v>122</v>
      </c>
      <c r="G351" s="226" t="s">
        <v>122</v>
      </c>
      <c r="H351" s="115" t="s">
        <v>122</v>
      </c>
    </row>
    <row r="352" spans="1:8" ht="27.75" customHeight="1" x14ac:dyDescent="0.25">
      <c r="A352" s="95">
        <v>41623</v>
      </c>
      <c r="B352" s="226">
        <v>8.17</v>
      </c>
      <c r="C352" s="227">
        <v>9200</v>
      </c>
      <c r="D352" s="94"/>
      <c r="E352" s="226" t="s">
        <v>122</v>
      </c>
      <c r="F352" s="226" t="s">
        <v>122</v>
      </c>
      <c r="G352" s="226" t="s">
        <v>122</v>
      </c>
      <c r="H352" s="115" t="s">
        <v>122</v>
      </c>
    </row>
    <row r="353" spans="1:8" ht="23.25" customHeight="1" x14ac:dyDescent="0.25">
      <c r="A353" s="95">
        <v>41624</v>
      </c>
      <c r="B353" s="226">
        <v>8.17</v>
      </c>
      <c r="C353" s="227">
        <v>9200</v>
      </c>
      <c r="D353" s="94"/>
      <c r="E353" s="226" t="s">
        <v>122</v>
      </c>
      <c r="F353" s="226" t="s">
        <v>122</v>
      </c>
      <c r="G353" s="226" t="s">
        <v>122</v>
      </c>
      <c r="H353" s="115" t="s">
        <v>122</v>
      </c>
    </row>
    <row r="354" spans="1:8" ht="23.25" customHeight="1" x14ac:dyDescent="0.25">
      <c r="A354" s="95">
        <v>41625</v>
      </c>
      <c r="B354" s="226">
        <v>8.17</v>
      </c>
      <c r="C354" s="227">
        <v>9200</v>
      </c>
      <c r="D354" s="94"/>
      <c r="E354" s="226" t="s">
        <v>122</v>
      </c>
      <c r="F354" s="226" t="s">
        <v>122</v>
      </c>
      <c r="G354" s="226" t="s">
        <v>122</v>
      </c>
      <c r="H354" s="115" t="s">
        <v>122</v>
      </c>
    </row>
    <row r="355" spans="1:8" ht="23.25" customHeight="1" x14ac:dyDescent="0.25">
      <c r="A355" s="95">
        <v>41626</v>
      </c>
      <c r="B355" s="226">
        <v>8.17</v>
      </c>
      <c r="C355" s="227">
        <v>9200</v>
      </c>
      <c r="D355" s="94"/>
      <c r="E355" s="226" t="s">
        <v>122</v>
      </c>
      <c r="F355" s="226" t="s">
        <v>122</v>
      </c>
      <c r="G355" s="226" t="s">
        <v>122</v>
      </c>
      <c r="H355" s="115" t="s">
        <v>122</v>
      </c>
    </row>
    <row r="356" spans="1:8" ht="23.25" customHeight="1" x14ac:dyDescent="0.25">
      <c r="A356" s="95">
        <v>41627</v>
      </c>
      <c r="B356" s="226">
        <v>8.17</v>
      </c>
      <c r="C356" s="227">
        <v>9200</v>
      </c>
      <c r="D356" s="94"/>
      <c r="E356" s="226" t="s">
        <v>122</v>
      </c>
      <c r="F356" s="226" t="s">
        <v>122</v>
      </c>
      <c r="G356" s="226" t="s">
        <v>122</v>
      </c>
      <c r="H356" s="115" t="s">
        <v>122</v>
      </c>
    </row>
    <row r="357" spans="1:8" ht="23.25" customHeight="1" x14ac:dyDescent="0.25">
      <c r="A357" s="95">
        <v>41628</v>
      </c>
      <c r="B357" s="226">
        <v>8.17</v>
      </c>
      <c r="C357" s="227">
        <v>9200</v>
      </c>
      <c r="D357" s="94"/>
      <c r="E357" s="226" t="s">
        <v>122</v>
      </c>
      <c r="F357" s="226" t="s">
        <v>122</v>
      </c>
      <c r="G357" s="226" t="s">
        <v>122</v>
      </c>
      <c r="H357" s="115" t="s">
        <v>122</v>
      </c>
    </row>
    <row r="358" spans="1:8" ht="23.25" customHeight="1" x14ac:dyDescent="0.25">
      <c r="A358" s="95">
        <v>41629</v>
      </c>
      <c r="B358" s="226">
        <v>8.17</v>
      </c>
      <c r="C358" s="227">
        <v>9200</v>
      </c>
      <c r="D358" s="94"/>
      <c r="E358" s="226" t="s">
        <v>122</v>
      </c>
      <c r="F358" s="226" t="s">
        <v>122</v>
      </c>
      <c r="G358" s="226" t="s">
        <v>122</v>
      </c>
      <c r="H358" s="115" t="s">
        <v>122</v>
      </c>
    </row>
    <row r="359" spans="1:8" ht="23.25" customHeight="1" x14ac:dyDescent="0.25">
      <c r="A359" s="95">
        <v>41630</v>
      </c>
      <c r="B359" s="226">
        <v>8.17</v>
      </c>
      <c r="C359" s="227">
        <v>9200</v>
      </c>
      <c r="D359" s="94"/>
      <c r="E359" s="226" t="s">
        <v>122</v>
      </c>
      <c r="F359" s="226" t="s">
        <v>122</v>
      </c>
      <c r="G359" s="226" t="s">
        <v>122</v>
      </c>
      <c r="H359" s="115" t="s">
        <v>122</v>
      </c>
    </row>
    <row r="360" spans="1:8" ht="23.25" customHeight="1" x14ac:dyDescent="0.25">
      <c r="A360" s="95">
        <v>41631</v>
      </c>
      <c r="B360" s="226">
        <v>8.17</v>
      </c>
      <c r="C360" s="227">
        <v>9200</v>
      </c>
      <c r="D360" s="94"/>
      <c r="E360" s="226" t="s">
        <v>122</v>
      </c>
      <c r="F360" s="226" t="s">
        <v>122</v>
      </c>
      <c r="G360" s="226" t="s">
        <v>122</v>
      </c>
      <c r="H360" s="115" t="s">
        <v>122</v>
      </c>
    </row>
    <row r="361" spans="1:8" ht="23.25" customHeight="1" x14ac:dyDescent="0.25">
      <c r="A361" s="95">
        <v>41632</v>
      </c>
      <c r="B361" s="226">
        <v>8.17</v>
      </c>
      <c r="C361" s="227">
        <v>9200</v>
      </c>
      <c r="D361" s="94"/>
      <c r="E361" s="226" t="s">
        <v>122</v>
      </c>
      <c r="F361" s="226" t="s">
        <v>122</v>
      </c>
      <c r="G361" s="226" t="s">
        <v>122</v>
      </c>
      <c r="H361" s="115" t="s">
        <v>122</v>
      </c>
    </row>
    <row r="362" spans="1:8" ht="23.25" customHeight="1" x14ac:dyDescent="0.25">
      <c r="A362" s="95">
        <v>41633</v>
      </c>
      <c r="B362" s="226">
        <v>8.17</v>
      </c>
      <c r="C362" s="227">
        <v>9200</v>
      </c>
      <c r="D362" s="94"/>
      <c r="E362" s="226" t="s">
        <v>122</v>
      </c>
      <c r="F362" s="226" t="s">
        <v>122</v>
      </c>
      <c r="G362" s="226" t="s">
        <v>122</v>
      </c>
      <c r="H362" s="115" t="s">
        <v>122</v>
      </c>
    </row>
    <row r="363" spans="1:8" ht="23.25" customHeight="1" x14ac:dyDescent="0.25">
      <c r="A363" s="95">
        <v>41634</v>
      </c>
      <c r="B363" s="226">
        <v>8.17</v>
      </c>
      <c r="C363" s="227">
        <v>9200</v>
      </c>
      <c r="D363" s="94"/>
      <c r="E363" s="226" t="s">
        <v>122</v>
      </c>
      <c r="F363" s="226" t="s">
        <v>122</v>
      </c>
      <c r="G363" s="226" t="s">
        <v>122</v>
      </c>
      <c r="H363" s="115" t="s">
        <v>122</v>
      </c>
    </row>
    <row r="364" spans="1:8" ht="23.25" customHeight="1" x14ac:dyDescent="0.25">
      <c r="A364" s="95">
        <v>41635</v>
      </c>
      <c r="B364" s="226">
        <v>8.17</v>
      </c>
      <c r="C364" s="227">
        <v>9200</v>
      </c>
      <c r="D364" s="94"/>
      <c r="E364" s="226" t="s">
        <v>122</v>
      </c>
      <c r="F364" s="226" t="s">
        <v>122</v>
      </c>
      <c r="G364" s="226" t="s">
        <v>122</v>
      </c>
      <c r="H364" s="115" t="s">
        <v>122</v>
      </c>
    </row>
    <row r="365" spans="1:8" ht="23.25" customHeight="1" x14ac:dyDescent="0.25">
      <c r="A365" s="95">
        <v>41636</v>
      </c>
      <c r="B365" s="226">
        <v>8.17</v>
      </c>
      <c r="C365" s="227">
        <v>9200</v>
      </c>
      <c r="D365" s="94"/>
      <c r="E365" s="226" t="s">
        <v>122</v>
      </c>
      <c r="F365" s="226" t="s">
        <v>122</v>
      </c>
      <c r="G365" s="226" t="s">
        <v>122</v>
      </c>
      <c r="H365" s="115" t="s">
        <v>122</v>
      </c>
    </row>
    <row r="366" spans="1:8" ht="23.25" customHeight="1" x14ac:dyDescent="0.25">
      <c r="A366" s="95">
        <v>41637</v>
      </c>
      <c r="B366" s="226">
        <v>8.17</v>
      </c>
      <c r="C366" s="227">
        <v>9200</v>
      </c>
      <c r="D366" s="94"/>
      <c r="E366" s="226" t="s">
        <v>122</v>
      </c>
      <c r="F366" s="226" t="s">
        <v>122</v>
      </c>
      <c r="G366" s="226" t="s">
        <v>122</v>
      </c>
      <c r="H366" s="115" t="s">
        <v>122</v>
      </c>
    </row>
    <row r="367" spans="1:8" ht="23.25" customHeight="1" x14ac:dyDescent="0.25">
      <c r="A367" s="95">
        <v>41638</v>
      </c>
      <c r="B367" s="226">
        <v>8.17</v>
      </c>
      <c r="C367" s="227">
        <v>9200</v>
      </c>
      <c r="D367" s="94"/>
      <c r="E367" s="226" t="s">
        <v>122</v>
      </c>
      <c r="F367" s="226" t="s">
        <v>122</v>
      </c>
      <c r="G367" s="226" t="s">
        <v>122</v>
      </c>
      <c r="H367" s="115" t="s">
        <v>122</v>
      </c>
    </row>
    <row r="368" spans="1:8" ht="23.25" customHeight="1" thickBot="1" x14ac:dyDescent="0.3">
      <c r="A368" s="97">
        <v>41639</v>
      </c>
      <c r="B368" s="228">
        <v>8.17</v>
      </c>
      <c r="C368" s="229">
        <v>9200</v>
      </c>
      <c r="D368" s="117"/>
      <c r="E368" s="117" t="s">
        <v>122</v>
      </c>
      <c r="F368" s="117" t="s">
        <v>122</v>
      </c>
      <c r="G368" s="117" t="s">
        <v>122</v>
      </c>
      <c r="H368" s="118" t="s">
        <v>122</v>
      </c>
    </row>
    <row r="369" spans="1:7" ht="13.9" x14ac:dyDescent="0.25">
      <c r="A369" s="409" t="s">
        <v>1759</v>
      </c>
      <c r="B369" s="410"/>
      <c r="C369" s="410"/>
      <c r="D369" s="410"/>
      <c r="E369" s="410"/>
      <c r="F369" s="410"/>
      <c r="G369" s="410"/>
    </row>
    <row r="382" spans="1:7" ht="13.9" x14ac:dyDescent="0.25">
      <c r="G382" s="14" t="s">
        <v>1751</v>
      </c>
    </row>
  </sheetData>
  <mergeCells count="7">
    <mergeCell ref="H2:H3"/>
    <mergeCell ref="A369:G369"/>
    <mergeCell ref="A1:G1"/>
    <mergeCell ref="B2:B3"/>
    <mergeCell ref="C2:C3"/>
    <mergeCell ref="A2:A3"/>
    <mergeCell ref="D2:G2"/>
  </mergeCells>
  <printOptions horizontalCentered="1"/>
  <pageMargins left="1" right="0.75" top="0.75" bottom="0.2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68"/>
  <sheetViews>
    <sheetView tabSelected="1" workbookViewId="0">
      <selection activeCell="L6" sqref="L6"/>
    </sheetView>
  </sheetViews>
  <sheetFormatPr defaultRowHeight="15" x14ac:dyDescent="0.25"/>
  <cols>
    <col min="1" max="1" width="11.42578125" customWidth="1"/>
    <col min="2" max="2" width="9.5703125" customWidth="1"/>
    <col min="3" max="3" width="9" customWidth="1"/>
    <col min="4" max="4" width="7.140625" customWidth="1"/>
    <col min="5" max="5" width="10.42578125" customWidth="1"/>
    <col min="6" max="6" width="7.7109375" customWidth="1"/>
    <col min="7" max="7" width="8.7109375" customWidth="1"/>
    <col min="8" max="8" width="11.7109375" customWidth="1"/>
  </cols>
  <sheetData>
    <row r="1" spans="1:12" ht="34.5" customHeight="1" thickBot="1" x14ac:dyDescent="0.35">
      <c r="A1" s="460" t="s">
        <v>1760</v>
      </c>
      <c r="B1" s="460"/>
      <c r="C1" s="460"/>
      <c r="D1" s="460"/>
      <c r="E1" s="460"/>
      <c r="F1" s="460"/>
      <c r="G1" s="460"/>
      <c r="H1" s="460"/>
      <c r="I1" s="230"/>
      <c r="J1" s="230"/>
      <c r="K1" s="230"/>
      <c r="L1" s="230"/>
    </row>
    <row r="2" spans="1:12" ht="24" customHeight="1" x14ac:dyDescent="0.25">
      <c r="A2" s="461" t="s">
        <v>1761</v>
      </c>
      <c r="B2" s="468" t="s">
        <v>2701</v>
      </c>
      <c r="C2" s="463" t="s">
        <v>2293</v>
      </c>
      <c r="D2" s="465" t="s">
        <v>1774</v>
      </c>
      <c r="E2" s="465"/>
      <c r="F2" s="465" t="s">
        <v>1775</v>
      </c>
      <c r="G2" s="465"/>
      <c r="H2" s="466" t="s">
        <v>2678</v>
      </c>
    </row>
    <row r="3" spans="1:12" ht="23.25" customHeight="1" thickBot="1" x14ac:dyDescent="0.3">
      <c r="A3" s="462"/>
      <c r="B3" s="469"/>
      <c r="C3" s="464"/>
      <c r="D3" s="231" t="s">
        <v>1776</v>
      </c>
      <c r="E3" s="231" t="s">
        <v>735</v>
      </c>
      <c r="F3" s="231" t="s">
        <v>1777</v>
      </c>
      <c r="G3" s="231" t="s">
        <v>735</v>
      </c>
      <c r="H3" s="467"/>
    </row>
    <row r="4" spans="1:12" ht="25.5" customHeight="1" x14ac:dyDescent="0.25">
      <c r="A4" s="91">
        <v>41640</v>
      </c>
      <c r="B4" s="232" t="s">
        <v>1762</v>
      </c>
      <c r="C4" s="233">
        <v>9200</v>
      </c>
      <c r="D4" s="234" t="s">
        <v>122</v>
      </c>
      <c r="E4" s="234" t="s">
        <v>122</v>
      </c>
      <c r="F4" s="234" t="s">
        <v>122</v>
      </c>
      <c r="G4" s="234" t="s">
        <v>122</v>
      </c>
      <c r="H4" s="235" t="s">
        <v>122</v>
      </c>
    </row>
    <row r="5" spans="1:12" ht="25.5" customHeight="1" x14ac:dyDescent="0.25">
      <c r="A5" s="86">
        <v>41641</v>
      </c>
      <c r="B5" s="236" t="s">
        <v>1762</v>
      </c>
      <c r="C5" s="237">
        <v>9200</v>
      </c>
      <c r="D5" s="238" t="s">
        <v>122</v>
      </c>
      <c r="E5" s="238" t="s">
        <v>122</v>
      </c>
      <c r="F5" s="238" t="s">
        <v>122</v>
      </c>
      <c r="G5" s="238" t="s">
        <v>122</v>
      </c>
      <c r="H5" s="239"/>
    </row>
    <row r="6" spans="1:12" ht="25.5" customHeight="1" x14ac:dyDescent="0.25">
      <c r="A6" s="86">
        <v>41642</v>
      </c>
      <c r="B6" s="236" t="s">
        <v>1762</v>
      </c>
      <c r="C6" s="237">
        <v>9200</v>
      </c>
      <c r="D6" s="238" t="s">
        <v>122</v>
      </c>
      <c r="E6" s="238" t="s">
        <v>122</v>
      </c>
      <c r="F6" s="238" t="s">
        <v>122</v>
      </c>
      <c r="G6" s="238" t="s">
        <v>122</v>
      </c>
      <c r="H6" s="239"/>
    </row>
    <row r="7" spans="1:12" ht="25.5" customHeight="1" x14ac:dyDescent="0.25">
      <c r="A7" s="86">
        <v>41643</v>
      </c>
      <c r="B7" s="236" t="s">
        <v>1762</v>
      </c>
      <c r="C7" s="237">
        <v>9200</v>
      </c>
      <c r="D7" s="238" t="s">
        <v>122</v>
      </c>
      <c r="E7" s="238" t="s">
        <v>122</v>
      </c>
      <c r="F7" s="238" t="s">
        <v>122</v>
      </c>
      <c r="G7" s="238" t="s">
        <v>122</v>
      </c>
      <c r="H7" s="239"/>
    </row>
    <row r="8" spans="1:12" ht="25.5" customHeight="1" x14ac:dyDescent="0.25">
      <c r="A8" s="86">
        <v>41644</v>
      </c>
      <c r="B8" s="236" t="s">
        <v>1763</v>
      </c>
      <c r="C8" s="237">
        <v>9250</v>
      </c>
      <c r="D8" s="238" t="s">
        <v>122</v>
      </c>
      <c r="E8" s="238" t="s">
        <v>122</v>
      </c>
      <c r="F8" s="238" t="s">
        <v>122</v>
      </c>
      <c r="G8" s="238" t="s">
        <v>122</v>
      </c>
      <c r="H8" s="239"/>
    </row>
    <row r="9" spans="1:12" ht="25.5" customHeight="1" x14ac:dyDescent="0.25">
      <c r="A9" s="86">
        <v>41645</v>
      </c>
      <c r="B9" s="236" t="s">
        <v>1764</v>
      </c>
      <c r="C9" s="237">
        <v>9300</v>
      </c>
      <c r="D9" s="238" t="s">
        <v>122</v>
      </c>
      <c r="E9" s="238" t="s">
        <v>122</v>
      </c>
      <c r="F9" s="238" t="s">
        <v>122</v>
      </c>
      <c r="G9" s="238" t="s">
        <v>122</v>
      </c>
      <c r="H9" s="239"/>
    </row>
    <row r="10" spans="1:12" ht="25.5" customHeight="1" x14ac:dyDescent="0.25">
      <c r="A10" s="86">
        <v>41646</v>
      </c>
      <c r="B10" s="236" t="s">
        <v>1765</v>
      </c>
      <c r="C10" s="237">
        <v>9400</v>
      </c>
      <c r="D10" s="238" t="s">
        <v>122</v>
      </c>
      <c r="E10" s="238" t="s">
        <v>122</v>
      </c>
      <c r="F10" s="238" t="s">
        <v>122</v>
      </c>
      <c r="G10" s="238" t="s">
        <v>122</v>
      </c>
      <c r="H10" s="239"/>
    </row>
    <row r="11" spans="1:12" ht="25.5" customHeight="1" x14ac:dyDescent="0.25">
      <c r="A11" s="86">
        <v>41647</v>
      </c>
      <c r="B11" s="236" t="s">
        <v>1766</v>
      </c>
      <c r="C11" s="237">
        <v>9500</v>
      </c>
      <c r="D11" s="238" t="s">
        <v>122</v>
      </c>
      <c r="E11" s="238" t="s">
        <v>122</v>
      </c>
      <c r="F11" s="238" t="s">
        <v>122</v>
      </c>
      <c r="G11" s="238" t="s">
        <v>122</v>
      </c>
      <c r="H11" s="239"/>
    </row>
    <row r="12" spans="1:12" ht="25.5" customHeight="1" x14ac:dyDescent="0.25">
      <c r="A12" s="86">
        <v>41648</v>
      </c>
      <c r="B12" s="236" t="s">
        <v>1766</v>
      </c>
      <c r="C12" s="237">
        <v>9500</v>
      </c>
      <c r="D12" s="238" t="s">
        <v>122</v>
      </c>
      <c r="E12" s="238" t="s">
        <v>122</v>
      </c>
      <c r="F12" s="238" t="s">
        <v>122</v>
      </c>
      <c r="G12" s="238" t="s">
        <v>122</v>
      </c>
      <c r="H12" s="239"/>
    </row>
    <row r="13" spans="1:12" ht="25.5" customHeight="1" x14ac:dyDescent="0.25">
      <c r="A13" s="86">
        <v>41649</v>
      </c>
      <c r="B13" s="236" t="s">
        <v>1766</v>
      </c>
      <c r="C13" s="237">
        <v>9500</v>
      </c>
      <c r="D13" s="238" t="s">
        <v>122</v>
      </c>
      <c r="E13" s="238" t="s">
        <v>122</v>
      </c>
      <c r="F13" s="238" t="s">
        <v>122</v>
      </c>
      <c r="G13" s="238" t="s">
        <v>122</v>
      </c>
      <c r="H13" s="239"/>
    </row>
    <row r="14" spans="1:12" ht="25.5" customHeight="1" x14ac:dyDescent="0.25">
      <c r="A14" s="86">
        <v>41650</v>
      </c>
      <c r="B14" s="236" t="s">
        <v>1766</v>
      </c>
      <c r="C14" s="237">
        <v>9500</v>
      </c>
      <c r="D14" s="238" t="s">
        <v>122</v>
      </c>
      <c r="E14" s="238" t="s">
        <v>122</v>
      </c>
      <c r="F14" s="238" t="s">
        <v>122</v>
      </c>
      <c r="G14" s="238" t="s">
        <v>122</v>
      </c>
      <c r="H14" s="239"/>
    </row>
    <row r="15" spans="1:12" ht="25.5" customHeight="1" x14ac:dyDescent="0.25">
      <c r="A15" s="86">
        <v>41651</v>
      </c>
      <c r="B15" s="236" t="s">
        <v>1766</v>
      </c>
      <c r="C15" s="237">
        <v>9500</v>
      </c>
      <c r="D15" s="238" t="s">
        <v>122</v>
      </c>
      <c r="E15" s="238" t="s">
        <v>122</v>
      </c>
      <c r="F15" s="238" t="s">
        <v>122</v>
      </c>
      <c r="G15" s="238" t="s">
        <v>122</v>
      </c>
      <c r="H15" s="239"/>
    </row>
    <row r="16" spans="1:12" ht="25.5" customHeight="1" x14ac:dyDescent="0.25">
      <c r="A16" s="86">
        <v>41652</v>
      </c>
      <c r="B16" s="236" t="s">
        <v>1766</v>
      </c>
      <c r="C16" s="237">
        <v>9500</v>
      </c>
      <c r="D16" s="238" t="s">
        <v>122</v>
      </c>
      <c r="E16" s="238" t="s">
        <v>122</v>
      </c>
      <c r="F16" s="238" t="s">
        <v>122</v>
      </c>
      <c r="G16" s="238" t="s">
        <v>122</v>
      </c>
      <c r="H16" s="239"/>
    </row>
    <row r="17" spans="1:8" ht="25.5" customHeight="1" x14ac:dyDescent="0.25">
      <c r="A17" s="86">
        <v>41653</v>
      </c>
      <c r="B17" s="236" t="s">
        <v>1766</v>
      </c>
      <c r="C17" s="237">
        <v>9500</v>
      </c>
      <c r="D17" s="238" t="s">
        <v>122</v>
      </c>
      <c r="E17" s="238" t="s">
        <v>122</v>
      </c>
      <c r="F17" s="238" t="s">
        <v>122</v>
      </c>
      <c r="G17" s="238" t="s">
        <v>122</v>
      </c>
      <c r="H17" s="239"/>
    </row>
    <row r="18" spans="1:8" ht="25.5" customHeight="1" x14ac:dyDescent="0.25">
      <c r="A18" s="86">
        <v>41654</v>
      </c>
      <c r="B18" s="236" t="s">
        <v>1767</v>
      </c>
      <c r="C18" s="237">
        <v>9600</v>
      </c>
      <c r="D18" s="238" t="s">
        <v>122</v>
      </c>
      <c r="E18" s="238" t="s">
        <v>122</v>
      </c>
      <c r="F18" s="238" t="s">
        <v>122</v>
      </c>
      <c r="G18" s="238" t="s">
        <v>122</v>
      </c>
      <c r="H18" s="239"/>
    </row>
    <row r="19" spans="1:8" ht="25.5" customHeight="1" x14ac:dyDescent="0.25">
      <c r="A19" s="86">
        <v>41655</v>
      </c>
      <c r="B19" s="236" t="s">
        <v>1768</v>
      </c>
      <c r="C19" s="237">
        <v>10400</v>
      </c>
      <c r="D19" s="238" t="s">
        <v>122</v>
      </c>
      <c r="E19" s="238" t="s">
        <v>122</v>
      </c>
      <c r="F19" s="238" t="s">
        <v>122</v>
      </c>
      <c r="G19" s="238" t="s">
        <v>122</v>
      </c>
      <c r="H19" s="239"/>
    </row>
    <row r="20" spans="1:8" ht="25.5" customHeight="1" x14ac:dyDescent="0.25">
      <c r="A20" s="86">
        <v>41656</v>
      </c>
      <c r="B20" s="236" t="s">
        <v>1769</v>
      </c>
      <c r="C20" s="237">
        <v>11200</v>
      </c>
      <c r="D20" s="238" t="s">
        <v>122</v>
      </c>
      <c r="E20" s="238" t="s">
        <v>122</v>
      </c>
      <c r="F20" s="238" t="s">
        <v>122</v>
      </c>
      <c r="G20" s="238" t="s">
        <v>122</v>
      </c>
      <c r="H20" s="239"/>
    </row>
    <row r="21" spans="1:8" ht="25.5" customHeight="1" x14ac:dyDescent="0.25">
      <c r="A21" s="86">
        <v>41657</v>
      </c>
      <c r="B21" s="236" t="s">
        <v>1770</v>
      </c>
      <c r="C21" s="237">
        <v>11300</v>
      </c>
      <c r="D21" s="238" t="s">
        <v>122</v>
      </c>
      <c r="E21" s="238" t="s">
        <v>122</v>
      </c>
      <c r="F21" s="238" t="s">
        <v>122</v>
      </c>
      <c r="G21" s="238" t="s">
        <v>122</v>
      </c>
      <c r="H21" s="239"/>
    </row>
    <row r="22" spans="1:8" ht="25.5" customHeight="1" x14ac:dyDescent="0.25">
      <c r="A22" s="86">
        <v>41658</v>
      </c>
      <c r="B22" s="236" t="s">
        <v>1771</v>
      </c>
      <c r="C22" s="237">
        <v>11400</v>
      </c>
      <c r="D22" s="238" t="s">
        <v>122</v>
      </c>
      <c r="E22" s="238" t="s">
        <v>122</v>
      </c>
      <c r="F22" s="238" t="s">
        <v>122</v>
      </c>
      <c r="G22" s="238" t="s">
        <v>122</v>
      </c>
      <c r="H22" s="239"/>
    </row>
    <row r="23" spans="1:8" ht="25.5" customHeight="1" x14ac:dyDescent="0.25">
      <c r="A23" s="86">
        <v>41659</v>
      </c>
      <c r="B23" s="236" t="s">
        <v>1771</v>
      </c>
      <c r="C23" s="237">
        <v>11400</v>
      </c>
      <c r="D23" s="238" t="s">
        <v>122</v>
      </c>
      <c r="E23" s="238" t="s">
        <v>122</v>
      </c>
      <c r="F23" s="238" t="s">
        <v>122</v>
      </c>
      <c r="G23" s="238" t="s">
        <v>122</v>
      </c>
      <c r="H23" s="239"/>
    </row>
    <row r="24" spans="1:8" ht="25.5" customHeight="1" x14ac:dyDescent="0.25">
      <c r="A24" s="86">
        <v>41660</v>
      </c>
      <c r="B24" s="236" t="s">
        <v>1771</v>
      </c>
      <c r="C24" s="237">
        <v>11400</v>
      </c>
      <c r="D24" s="238" t="s">
        <v>122</v>
      </c>
      <c r="E24" s="238" t="s">
        <v>122</v>
      </c>
      <c r="F24" s="238" t="s">
        <v>122</v>
      </c>
      <c r="G24" s="238" t="s">
        <v>122</v>
      </c>
      <c r="H24" s="239"/>
    </row>
    <row r="25" spans="1:8" ht="25.5" customHeight="1" x14ac:dyDescent="0.25">
      <c r="A25" s="86">
        <v>41661</v>
      </c>
      <c r="B25" s="236" t="s">
        <v>1771</v>
      </c>
      <c r="C25" s="237">
        <v>11400</v>
      </c>
      <c r="D25" s="238" t="s">
        <v>122</v>
      </c>
      <c r="E25" s="238" t="s">
        <v>122</v>
      </c>
      <c r="F25" s="238" t="s">
        <v>122</v>
      </c>
      <c r="G25" s="238" t="s">
        <v>122</v>
      </c>
      <c r="H25" s="239"/>
    </row>
    <row r="26" spans="1:8" ht="25.5" customHeight="1" x14ac:dyDescent="0.25">
      <c r="A26" s="86">
        <v>41662</v>
      </c>
      <c r="B26" s="236" t="s">
        <v>1771</v>
      </c>
      <c r="C26" s="237">
        <v>11400</v>
      </c>
      <c r="D26" s="238" t="s">
        <v>122</v>
      </c>
      <c r="E26" s="238" t="s">
        <v>122</v>
      </c>
      <c r="F26" s="238" t="s">
        <v>122</v>
      </c>
      <c r="G26" s="238" t="s">
        <v>122</v>
      </c>
      <c r="H26" s="239"/>
    </row>
    <row r="27" spans="1:8" ht="25.5" customHeight="1" x14ac:dyDescent="0.25">
      <c r="A27" s="86">
        <v>41663</v>
      </c>
      <c r="B27" s="236" t="s">
        <v>1771</v>
      </c>
      <c r="C27" s="237">
        <v>11400</v>
      </c>
      <c r="D27" s="238" t="s">
        <v>122</v>
      </c>
      <c r="E27" s="238" t="s">
        <v>122</v>
      </c>
      <c r="F27" s="238" t="s">
        <v>122</v>
      </c>
      <c r="G27" s="238" t="s">
        <v>122</v>
      </c>
      <c r="H27" s="239"/>
    </row>
    <row r="28" spans="1:8" ht="25.5" customHeight="1" x14ac:dyDescent="0.25">
      <c r="A28" s="86">
        <v>41664</v>
      </c>
      <c r="B28" s="236" t="s">
        <v>1771</v>
      </c>
      <c r="C28" s="237">
        <v>11400</v>
      </c>
      <c r="D28" s="238" t="s">
        <v>122</v>
      </c>
      <c r="E28" s="238" t="s">
        <v>122</v>
      </c>
      <c r="F28" s="238" t="s">
        <v>122</v>
      </c>
      <c r="G28" s="238" t="s">
        <v>122</v>
      </c>
      <c r="H28" s="239"/>
    </row>
    <row r="29" spans="1:8" ht="25.5" customHeight="1" x14ac:dyDescent="0.25">
      <c r="A29" s="86">
        <v>41665</v>
      </c>
      <c r="B29" s="236" t="s">
        <v>1771</v>
      </c>
      <c r="C29" s="237">
        <v>11400</v>
      </c>
      <c r="D29" s="238" t="s">
        <v>122</v>
      </c>
      <c r="E29" s="238" t="s">
        <v>122</v>
      </c>
      <c r="F29" s="238" t="s">
        <v>122</v>
      </c>
      <c r="G29" s="238" t="s">
        <v>122</v>
      </c>
      <c r="H29" s="239"/>
    </row>
    <row r="30" spans="1:8" ht="25.5" customHeight="1" x14ac:dyDescent="0.25">
      <c r="A30" s="86">
        <v>41666</v>
      </c>
      <c r="B30" s="236" t="s">
        <v>1772</v>
      </c>
      <c r="C30" s="237">
        <v>11350</v>
      </c>
      <c r="D30" s="238" t="s">
        <v>122</v>
      </c>
      <c r="E30" s="238" t="s">
        <v>122</v>
      </c>
      <c r="F30" s="238" t="s">
        <v>122</v>
      </c>
      <c r="G30" s="238" t="s">
        <v>122</v>
      </c>
      <c r="H30" s="239"/>
    </row>
    <row r="31" spans="1:8" ht="25.5" customHeight="1" x14ac:dyDescent="0.25">
      <c r="A31" s="86">
        <v>41667</v>
      </c>
      <c r="B31" s="236" t="s">
        <v>1772</v>
      </c>
      <c r="C31" s="237">
        <v>11350</v>
      </c>
      <c r="D31" s="238" t="s">
        <v>122</v>
      </c>
      <c r="E31" s="238" t="s">
        <v>122</v>
      </c>
      <c r="F31" s="238" t="s">
        <v>122</v>
      </c>
      <c r="G31" s="238" t="s">
        <v>122</v>
      </c>
      <c r="H31" s="239"/>
    </row>
    <row r="32" spans="1:8" ht="25.5" customHeight="1" x14ac:dyDescent="0.25">
      <c r="A32" s="86">
        <v>41668</v>
      </c>
      <c r="B32" s="236" t="s">
        <v>1772</v>
      </c>
      <c r="C32" s="237">
        <v>11350</v>
      </c>
      <c r="D32" s="238" t="s">
        <v>122</v>
      </c>
      <c r="E32" s="238" t="s">
        <v>122</v>
      </c>
      <c r="F32" s="238" t="s">
        <v>122</v>
      </c>
      <c r="G32" s="238" t="s">
        <v>122</v>
      </c>
      <c r="H32" s="239"/>
    </row>
    <row r="33" spans="1:8" ht="25.5" customHeight="1" x14ac:dyDescent="0.25">
      <c r="A33" s="86">
        <v>41669</v>
      </c>
      <c r="B33" s="236" t="s">
        <v>1772</v>
      </c>
      <c r="C33" s="237">
        <v>11350</v>
      </c>
      <c r="D33" s="238" t="s">
        <v>122</v>
      </c>
      <c r="E33" s="238" t="s">
        <v>122</v>
      </c>
      <c r="F33" s="238" t="s">
        <v>122</v>
      </c>
      <c r="G33" s="238" t="s">
        <v>122</v>
      </c>
      <c r="H33" s="239"/>
    </row>
    <row r="34" spans="1:8" ht="25.5" customHeight="1" x14ac:dyDescent="0.25">
      <c r="A34" s="86">
        <v>41670</v>
      </c>
      <c r="B34" s="236" t="s">
        <v>1772</v>
      </c>
      <c r="C34" s="237">
        <v>11350</v>
      </c>
      <c r="D34" s="238" t="s">
        <v>122</v>
      </c>
      <c r="E34" s="238" t="s">
        <v>122</v>
      </c>
      <c r="F34" s="238" t="s">
        <v>122</v>
      </c>
      <c r="G34" s="238" t="s">
        <v>122</v>
      </c>
      <c r="H34" s="239"/>
    </row>
    <row r="35" spans="1:8" ht="25.5" customHeight="1" x14ac:dyDescent="0.25">
      <c r="A35" s="86">
        <v>41671</v>
      </c>
      <c r="B35" s="236" t="s">
        <v>1772</v>
      </c>
      <c r="C35" s="237">
        <v>11350</v>
      </c>
      <c r="D35" s="238" t="s">
        <v>122</v>
      </c>
      <c r="E35" s="238" t="s">
        <v>122</v>
      </c>
      <c r="F35" s="238" t="s">
        <v>122</v>
      </c>
      <c r="G35" s="238" t="s">
        <v>122</v>
      </c>
      <c r="H35" s="239"/>
    </row>
    <row r="36" spans="1:8" ht="25.5" customHeight="1" x14ac:dyDescent="0.25">
      <c r="A36" s="86">
        <v>41672</v>
      </c>
      <c r="B36" s="236" t="s">
        <v>1772</v>
      </c>
      <c r="C36" s="237">
        <v>11350</v>
      </c>
      <c r="D36" s="238" t="s">
        <v>122</v>
      </c>
      <c r="E36" s="238" t="s">
        <v>122</v>
      </c>
      <c r="F36" s="238" t="s">
        <v>122</v>
      </c>
      <c r="G36" s="238" t="s">
        <v>122</v>
      </c>
      <c r="H36" s="239"/>
    </row>
    <row r="37" spans="1:8" ht="25.5" customHeight="1" x14ac:dyDescent="0.25">
      <c r="A37" s="86">
        <v>41673</v>
      </c>
      <c r="B37" s="236" t="s">
        <v>1772</v>
      </c>
      <c r="C37" s="237">
        <v>11350</v>
      </c>
      <c r="D37" s="238" t="s">
        <v>122</v>
      </c>
      <c r="E37" s="238" t="s">
        <v>122</v>
      </c>
      <c r="F37" s="238" t="s">
        <v>122</v>
      </c>
      <c r="G37" s="238" t="s">
        <v>122</v>
      </c>
      <c r="H37" s="239"/>
    </row>
    <row r="38" spans="1:8" ht="25.5" customHeight="1" x14ac:dyDescent="0.25">
      <c r="A38" s="86">
        <v>41674</v>
      </c>
      <c r="B38" s="236" t="s">
        <v>1772</v>
      </c>
      <c r="C38" s="237">
        <v>11350</v>
      </c>
      <c r="D38" s="238" t="s">
        <v>122</v>
      </c>
      <c r="E38" s="238" t="s">
        <v>122</v>
      </c>
      <c r="F38" s="238" t="s">
        <v>122</v>
      </c>
      <c r="G38" s="238" t="s">
        <v>122</v>
      </c>
      <c r="H38" s="239"/>
    </row>
    <row r="39" spans="1:8" ht="25.5" customHeight="1" x14ac:dyDescent="0.25">
      <c r="A39" s="86">
        <v>41675</v>
      </c>
      <c r="B39" s="236" t="s">
        <v>1772</v>
      </c>
      <c r="C39" s="237">
        <v>11350</v>
      </c>
      <c r="D39" s="238" t="s">
        <v>122</v>
      </c>
      <c r="E39" s="238" t="s">
        <v>122</v>
      </c>
      <c r="F39" s="238" t="s">
        <v>122</v>
      </c>
      <c r="G39" s="238" t="s">
        <v>122</v>
      </c>
      <c r="H39" s="239"/>
    </row>
    <row r="40" spans="1:8" ht="25.5" customHeight="1" x14ac:dyDescent="0.25">
      <c r="A40" s="86">
        <v>41676</v>
      </c>
      <c r="B40" s="236" t="s">
        <v>1770</v>
      </c>
      <c r="C40" s="237">
        <v>11300</v>
      </c>
      <c r="D40" s="238" t="s">
        <v>122</v>
      </c>
      <c r="E40" s="238" t="s">
        <v>122</v>
      </c>
      <c r="F40" s="238" t="s">
        <v>122</v>
      </c>
      <c r="G40" s="238" t="s">
        <v>122</v>
      </c>
      <c r="H40" s="239"/>
    </row>
    <row r="41" spans="1:8" ht="25.5" customHeight="1" x14ac:dyDescent="0.25">
      <c r="A41" s="86">
        <v>41677</v>
      </c>
      <c r="B41" s="236" t="s">
        <v>1770</v>
      </c>
      <c r="C41" s="237">
        <v>11300</v>
      </c>
      <c r="D41" s="238" t="s">
        <v>122</v>
      </c>
      <c r="E41" s="238" t="s">
        <v>122</v>
      </c>
      <c r="F41" s="238" t="s">
        <v>122</v>
      </c>
      <c r="G41" s="238" t="s">
        <v>122</v>
      </c>
      <c r="H41" s="239"/>
    </row>
    <row r="42" spans="1:8" ht="25.5" customHeight="1" x14ac:dyDescent="0.25">
      <c r="A42" s="86">
        <v>41678</v>
      </c>
      <c r="B42" s="236" t="s">
        <v>1770</v>
      </c>
      <c r="C42" s="237">
        <v>11300</v>
      </c>
      <c r="D42" s="238" t="s">
        <v>122</v>
      </c>
      <c r="E42" s="238" t="s">
        <v>122</v>
      </c>
      <c r="F42" s="238" t="s">
        <v>122</v>
      </c>
      <c r="G42" s="238" t="s">
        <v>122</v>
      </c>
      <c r="H42" s="239"/>
    </row>
    <row r="43" spans="1:8" ht="25.5" customHeight="1" x14ac:dyDescent="0.25">
      <c r="A43" s="86">
        <v>41679</v>
      </c>
      <c r="B43" s="236" t="s">
        <v>1770</v>
      </c>
      <c r="C43" s="237">
        <v>11300</v>
      </c>
      <c r="D43" s="238" t="s">
        <v>122</v>
      </c>
      <c r="E43" s="238" t="s">
        <v>122</v>
      </c>
      <c r="F43" s="238" t="s">
        <v>122</v>
      </c>
      <c r="G43" s="238" t="s">
        <v>122</v>
      </c>
      <c r="H43" s="239"/>
    </row>
    <row r="44" spans="1:8" ht="25.5" customHeight="1" x14ac:dyDescent="0.25">
      <c r="A44" s="86">
        <v>41680</v>
      </c>
      <c r="B44" s="236" t="s">
        <v>1770</v>
      </c>
      <c r="C44" s="237">
        <v>11300</v>
      </c>
      <c r="D44" s="238" t="s">
        <v>122</v>
      </c>
      <c r="E44" s="238" t="s">
        <v>122</v>
      </c>
      <c r="F44" s="238" t="s">
        <v>122</v>
      </c>
      <c r="G44" s="238" t="s">
        <v>122</v>
      </c>
      <c r="H44" s="239"/>
    </row>
    <row r="45" spans="1:8" ht="25.5" customHeight="1" x14ac:dyDescent="0.25">
      <c r="A45" s="86">
        <v>41681</v>
      </c>
      <c r="B45" s="236" t="s">
        <v>1769</v>
      </c>
      <c r="C45" s="237">
        <v>11200</v>
      </c>
      <c r="D45" s="238" t="s">
        <v>122</v>
      </c>
      <c r="E45" s="238" t="s">
        <v>122</v>
      </c>
      <c r="F45" s="238" t="s">
        <v>122</v>
      </c>
      <c r="G45" s="238" t="s">
        <v>122</v>
      </c>
      <c r="H45" s="239"/>
    </row>
    <row r="46" spans="1:8" ht="25.5" customHeight="1" x14ac:dyDescent="0.25">
      <c r="A46" s="86">
        <v>41682</v>
      </c>
      <c r="B46" s="236" t="s">
        <v>1769</v>
      </c>
      <c r="C46" s="237">
        <v>11200</v>
      </c>
      <c r="D46" s="238" t="s">
        <v>122</v>
      </c>
      <c r="E46" s="238" t="s">
        <v>122</v>
      </c>
      <c r="F46" s="238" t="s">
        <v>122</v>
      </c>
      <c r="G46" s="238" t="s">
        <v>122</v>
      </c>
      <c r="H46" s="239"/>
    </row>
    <row r="47" spans="1:8" ht="25.5" customHeight="1" x14ac:dyDescent="0.25">
      <c r="A47" s="86">
        <v>41683</v>
      </c>
      <c r="B47" s="236" t="s">
        <v>1769</v>
      </c>
      <c r="C47" s="237">
        <v>11200</v>
      </c>
      <c r="D47" s="238" t="s">
        <v>122</v>
      </c>
      <c r="E47" s="238" t="s">
        <v>122</v>
      </c>
      <c r="F47" s="238" t="s">
        <v>122</v>
      </c>
      <c r="G47" s="238" t="s">
        <v>122</v>
      </c>
      <c r="H47" s="239"/>
    </row>
    <row r="48" spans="1:8" ht="25.5" customHeight="1" x14ac:dyDescent="0.25">
      <c r="A48" s="86">
        <v>41684</v>
      </c>
      <c r="B48" s="236" t="s">
        <v>1769</v>
      </c>
      <c r="C48" s="237">
        <v>11200</v>
      </c>
      <c r="D48" s="238" t="s">
        <v>122</v>
      </c>
      <c r="E48" s="238" t="s">
        <v>122</v>
      </c>
      <c r="F48" s="238" t="s">
        <v>122</v>
      </c>
      <c r="G48" s="238" t="s">
        <v>122</v>
      </c>
      <c r="H48" s="239"/>
    </row>
    <row r="49" spans="1:8" ht="25.5" customHeight="1" x14ac:dyDescent="0.25">
      <c r="A49" s="86">
        <v>41685</v>
      </c>
      <c r="B49" s="236" t="s">
        <v>1769</v>
      </c>
      <c r="C49" s="237">
        <v>11200</v>
      </c>
      <c r="D49" s="238" t="s">
        <v>122</v>
      </c>
      <c r="E49" s="238" t="s">
        <v>122</v>
      </c>
      <c r="F49" s="238" t="s">
        <v>122</v>
      </c>
      <c r="G49" s="238" t="s">
        <v>122</v>
      </c>
      <c r="H49" s="239"/>
    </row>
    <row r="50" spans="1:8" ht="25.5" customHeight="1" x14ac:dyDescent="0.25">
      <c r="A50" s="86">
        <v>41686</v>
      </c>
      <c r="B50" s="236" t="s">
        <v>1769</v>
      </c>
      <c r="C50" s="237">
        <v>11200</v>
      </c>
      <c r="D50" s="238" t="s">
        <v>122</v>
      </c>
      <c r="E50" s="238" t="s">
        <v>122</v>
      </c>
      <c r="F50" s="238" t="s">
        <v>122</v>
      </c>
      <c r="G50" s="238" t="s">
        <v>122</v>
      </c>
      <c r="H50" s="239"/>
    </row>
    <row r="51" spans="1:8" ht="25.5" customHeight="1" x14ac:dyDescent="0.25">
      <c r="A51" s="86">
        <v>41687</v>
      </c>
      <c r="B51" s="236" t="s">
        <v>1769</v>
      </c>
      <c r="C51" s="237">
        <v>11200</v>
      </c>
      <c r="D51" s="238" t="s">
        <v>122</v>
      </c>
      <c r="E51" s="238" t="s">
        <v>122</v>
      </c>
      <c r="F51" s="238" t="s">
        <v>122</v>
      </c>
      <c r="G51" s="238" t="s">
        <v>122</v>
      </c>
      <c r="H51" s="239"/>
    </row>
    <row r="52" spans="1:8" ht="25.5" customHeight="1" x14ac:dyDescent="0.25">
      <c r="A52" s="86">
        <v>41688</v>
      </c>
      <c r="B52" s="236" t="s">
        <v>1769</v>
      </c>
      <c r="C52" s="237">
        <v>11200</v>
      </c>
      <c r="D52" s="238" t="s">
        <v>122</v>
      </c>
      <c r="E52" s="238" t="s">
        <v>122</v>
      </c>
      <c r="F52" s="238" t="s">
        <v>122</v>
      </c>
      <c r="G52" s="238" t="s">
        <v>122</v>
      </c>
      <c r="H52" s="239"/>
    </row>
    <row r="53" spans="1:8" ht="25.5" customHeight="1" x14ac:dyDescent="0.25">
      <c r="A53" s="86">
        <v>41689</v>
      </c>
      <c r="B53" s="236" t="s">
        <v>1769</v>
      </c>
      <c r="C53" s="237">
        <v>11200</v>
      </c>
      <c r="D53" s="238" t="s">
        <v>122</v>
      </c>
      <c r="E53" s="238" t="s">
        <v>122</v>
      </c>
      <c r="F53" s="238" t="s">
        <v>122</v>
      </c>
      <c r="G53" s="238" t="s">
        <v>122</v>
      </c>
      <c r="H53" s="239"/>
    </row>
    <row r="54" spans="1:8" ht="25.5" customHeight="1" x14ac:dyDescent="0.25">
      <c r="A54" s="86">
        <v>41690</v>
      </c>
      <c r="B54" s="236" t="s">
        <v>1769</v>
      </c>
      <c r="C54" s="237">
        <v>11200</v>
      </c>
      <c r="D54" s="238" t="s">
        <v>122</v>
      </c>
      <c r="E54" s="238" t="s">
        <v>122</v>
      </c>
      <c r="F54" s="238" t="s">
        <v>122</v>
      </c>
      <c r="G54" s="238" t="s">
        <v>122</v>
      </c>
      <c r="H54" s="239"/>
    </row>
    <row r="55" spans="1:8" ht="25.5" customHeight="1" x14ac:dyDescent="0.25">
      <c r="A55" s="86">
        <v>41691</v>
      </c>
      <c r="B55" s="236" t="s">
        <v>1778</v>
      </c>
      <c r="C55" s="237">
        <v>11100</v>
      </c>
      <c r="D55" s="238" t="s">
        <v>122</v>
      </c>
      <c r="E55" s="238" t="s">
        <v>122</v>
      </c>
      <c r="F55" s="238" t="s">
        <v>122</v>
      </c>
      <c r="G55" s="238" t="s">
        <v>122</v>
      </c>
      <c r="H55" s="239"/>
    </row>
    <row r="56" spans="1:8" ht="25.5" customHeight="1" x14ac:dyDescent="0.25">
      <c r="A56" s="86">
        <v>41692</v>
      </c>
      <c r="B56" s="236" t="s">
        <v>1778</v>
      </c>
      <c r="C56" s="237">
        <v>11100</v>
      </c>
      <c r="D56" s="238" t="s">
        <v>122</v>
      </c>
      <c r="E56" s="238" t="s">
        <v>122</v>
      </c>
      <c r="F56" s="238" t="s">
        <v>122</v>
      </c>
      <c r="G56" s="238" t="s">
        <v>122</v>
      </c>
      <c r="H56" s="239"/>
    </row>
    <row r="57" spans="1:8" ht="25.5" customHeight="1" x14ac:dyDescent="0.25">
      <c r="A57" s="86">
        <v>41693</v>
      </c>
      <c r="B57" s="236" t="s">
        <v>1778</v>
      </c>
      <c r="C57" s="237">
        <v>11100</v>
      </c>
      <c r="D57" s="238" t="s">
        <v>122</v>
      </c>
      <c r="E57" s="238" t="s">
        <v>122</v>
      </c>
      <c r="F57" s="238" t="s">
        <v>122</v>
      </c>
      <c r="G57" s="238" t="s">
        <v>122</v>
      </c>
      <c r="H57" s="239"/>
    </row>
    <row r="58" spans="1:8" ht="25.5" customHeight="1" x14ac:dyDescent="0.25">
      <c r="A58" s="86">
        <v>41694</v>
      </c>
      <c r="B58" s="236" t="s">
        <v>1778</v>
      </c>
      <c r="C58" s="237">
        <v>11100</v>
      </c>
      <c r="D58" s="238" t="s">
        <v>122</v>
      </c>
      <c r="E58" s="238" t="s">
        <v>122</v>
      </c>
      <c r="F58" s="238" t="s">
        <v>122</v>
      </c>
      <c r="G58" s="238" t="s">
        <v>122</v>
      </c>
      <c r="H58" s="239"/>
    </row>
    <row r="59" spans="1:8" ht="25.5" customHeight="1" x14ac:dyDescent="0.25">
      <c r="A59" s="86">
        <v>41695</v>
      </c>
      <c r="B59" s="236" t="s">
        <v>1778</v>
      </c>
      <c r="C59" s="237">
        <v>11100</v>
      </c>
      <c r="D59" s="238" t="s">
        <v>122</v>
      </c>
      <c r="E59" s="238" t="s">
        <v>122</v>
      </c>
      <c r="F59" s="238" t="s">
        <v>122</v>
      </c>
      <c r="G59" s="238" t="s">
        <v>122</v>
      </c>
      <c r="H59" s="239"/>
    </row>
    <row r="60" spans="1:8" ht="25.5" customHeight="1" x14ac:dyDescent="0.25">
      <c r="A60" s="86">
        <v>41696</v>
      </c>
      <c r="B60" s="236" t="s">
        <v>1778</v>
      </c>
      <c r="C60" s="237">
        <v>11100</v>
      </c>
      <c r="D60" s="238" t="s">
        <v>122</v>
      </c>
      <c r="E60" s="238" t="s">
        <v>122</v>
      </c>
      <c r="F60" s="238" t="s">
        <v>122</v>
      </c>
      <c r="G60" s="238" t="s">
        <v>122</v>
      </c>
      <c r="H60" s="239"/>
    </row>
    <row r="61" spans="1:8" ht="25.5" customHeight="1" x14ac:dyDescent="0.25">
      <c r="A61" s="86">
        <v>41697</v>
      </c>
      <c r="B61" s="236" t="s">
        <v>1778</v>
      </c>
      <c r="C61" s="237">
        <v>11100</v>
      </c>
      <c r="D61" s="238" t="s">
        <v>122</v>
      </c>
      <c r="E61" s="238" t="s">
        <v>122</v>
      </c>
      <c r="F61" s="238" t="s">
        <v>122</v>
      </c>
      <c r="G61" s="238" t="s">
        <v>122</v>
      </c>
      <c r="H61" s="239"/>
    </row>
    <row r="62" spans="1:8" ht="25.5" customHeight="1" x14ac:dyDescent="0.25">
      <c r="A62" s="86">
        <v>41698</v>
      </c>
      <c r="B62" s="236" t="s">
        <v>1778</v>
      </c>
      <c r="C62" s="237">
        <v>11100</v>
      </c>
      <c r="D62" s="238" t="s">
        <v>122</v>
      </c>
      <c r="E62" s="238" t="s">
        <v>122</v>
      </c>
      <c r="F62" s="238" t="s">
        <v>122</v>
      </c>
      <c r="G62" s="238" t="s">
        <v>122</v>
      </c>
      <c r="H62" s="239"/>
    </row>
    <row r="63" spans="1:8" ht="25.5" customHeight="1" x14ac:dyDescent="0.25">
      <c r="A63" s="86">
        <v>41699</v>
      </c>
      <c r="B63" s="236" t="s">
        <v>1778</v>
      </c>
      <c r="C63" s="87">
        <v>11100</v>
      </c>
      <c r="D63" s="238" t="s">
        <v>122</v>
      </c>
      <c r="E63" s="238" t="s">
        <v>122</v>
      </c>
      <c r="F63" s="238" t="s">
        <v>122</v>
      </c>
      <c r="G63" s="238" t="s">
        <v>122</v>
      </c>
      <c r="H63" s="239"/>
    </row>
    <row r="64" spans="1:8" ht="25.5" customHeight="1" x14ac:dyDescent="0.25">
      <c r="A64" s="86">
        <v>41700</v>
      </c>
      <c r="B64" s="236" t="s">
        <v>1778</v>
      </c>
      <c r="C64" s="87">
        <v>11100</v>
      </c>
      <c r="D64" s="238" t="s">
        <v>122</v>
      </c>
      <c r="E64" s="238" t="s">
        <v>122</v>
      </c>
      <c r="F64" s="238" t="s">
        <v>122</v>
      </c>
      <c r="G64" s="238" t="s">
        <v>122</v>
      </c>
      <c r="H64" s="239"/>
    </row>
    <row r="65" spans="1:8" ht="25.5" customHeight="1" x14ac:dyDescent="0.25">
      <c r="A65" s="86">
        <v>41701</v>
      </c>
      <c r="B65" s="236" t="s">
        <v>1778</v>
      </c>
      <c r="C65" s="87">
        <v>11100</v>
      </c>
      <c r="D65" s="238" t="s">
        <v>122</v>
      </c>
      <c r="E65" s="238" t="s">
        <v>122</v>
      </c>
      <c r="F65" s="238" t="s">
        <v>122</v>
      </c>
      <c r="G65" s="238" t="s">
        <v>122</v>
      </c>
      <c r="H65" s="239"/>
    </row>
    <row r="66" spans="1:8" ht="25.5" customHeight="1" x14ac:dyDescent="0.25">
      <c r="A66" s="86">
        <v>41702</v>
      </c>
      <c r="B66" s="236" t="s">
        <v>1778</v>
      </c>
      <c r="C66" s="87">
        <v>11100</v>
      </c>
      <c r="D66" s="238" t="s">
        <v>122</v>
      </c>
      <c r="E66" s="238" t="s">
        <v>122</v>
      </c>
      <c r="F66" s="238" t="s">
        <v>122</v>
      </c>
      <c r="G66" s="238" t="s">
        <v>122</v>
      </c>
      <c r="H66" s="239"/>
    </row>
    <row r="67" spans="1:8" ht="25.5" customHeight="1" x14ac:dyDescent="0.25">
      <c r="A67" s="86">
        <v>41703</v>
      </c>
      <c r="B67" s="236" t="s">
        <v>1778</v>
      </c>
      <c r="C67" s="87">
        <v>11100</v>
      </c>
      <c r="D67" s="238" t="s">
        <v>122</v>
      </c>
      <c r="E67" s="238" t="s">
        <v>122</v>
      </c>
      <c r="F67" s="238" t="s">
        <v>122</v>
      </c>
      <c r="G67" s="238" t="s">
        <v>122</v>
      </c>
      <c r="H67" s="239"/>
    </row>
    <row r="68" spans="1:8" ht="25.5" customHeight="1" x14ac:dyDescent="0.25">
      <c r="A68" s="86">
        <v>41704</v>
      </c>
      <c r="B68" s="236" t="s">
        <v>1779</v>
      </c>
      <c r="C68" s="87">
        <v>10800</v>
      </c>
      <c r="D68" s="238" t="s">
        <v>122</v>
      </c>
      <c r="E68" s="238" t="s">
        <v>122</v>
      </c>
      <c r="F68" s="238" t="s">
        <v>122</v>
      </c>
      <c r="G68" s="238" t="s">
        <v>122</v>
      </c>
      <c r="H68" s="239"/>
    </row>
    <row r="69" spans="1:8" ht="25.5" customHeight="1" x14ac:dyDescent="0.25">
      <c r="A69" s="86">
        <v>41705</v>
      </c>
      <c r="B69" s="236" t="s">
        <v>1779</v>
      </c>
      <c r="C69" s="87">
        <v>10800</v>
      </c>
      <c r="D69" s="238" t="s">
        <v>122</v>
      </c>
      <c r="E69" s="238" t="s">
        <v>122</v>
      </c>
      <c r="F69" s="238" t="s">
        <v>122</v>
      </c>
      <c r="G69" s="238" t="s">
        <v>122</v>
      </c>
      <c r="H69" s="239"/>
    </row>
    <row r="70" spans="1:8" ht="25.5" customHeight="1" x14ac:dyDescent="0.25">
      <c r="A70" s="86">
        <v>41706</v>
      </c>
      <c r="B70" s="236" t="s">
        <v>1779</v>
      </c>
      <c r="C70" s="87">
        <v>10800</v>
      </c>
      <c r="D70" s="238" t="s">
        <v>122</v>
      </c>
      <c r="E70" s="238" t="s">
        <v>122</v>
      </c>
      <c r="F70" s="238" t="s">
        <v>122</v>
      </c>
      <c r="G70" s="238" t="s">
        <v>122</v>
      </c>
      <c r="H70" s="239"/>
    </row>
    <row r="71" spans="1:8" ht="25.5" customHeight="1" x14ac:dyDescent="0.25">
      <c r="A71" s="86">
        <v>41707</v>
      </c>
      <c r="B71" s="236" t="s">
        <v>1779</v>
      </c>
      <c r="C71" s="87">
        <v>10800</v>
      </c>
      <c r="D71" s="238" t="s">
        <v>122</v>
      </c>
      <c r="E71" s="238" t="s">
        <v>122</v>
      </c>
      <c r="F71" s="238" t="s">
        <v>122</v>
      </c>
      <c r="G71" s="238" t="s">
        <v>122</v>
      </c>
      <c r="H71" s="239"/>
    </row>
    <row r="72" spans="1:8" ht="25.5" customHeight="1" x14ac:dyDescent="0.25">
      <c r="A72" s="86">
        <v>41708</v>
      </c>
      <c r="B72" s="236" t="s">
        <v>1779</v>
      </c>
      <c r="C72" s="87">
        <v>10800</v>
      </c>
      <c r="D72" s="238" t="s">
        <v>122</v>
      </c>
      <c r="E72" s="238" t="s">
        <v>122</v>
      </c>
      <c r="F72" s="238" t="s">
        <v>122</v>
      </c>
      <c r="G72" s="238" t="s">
        <v>122</v>
      </c>
      <c r="H72" s="239"/>
    </row>
    <row r="73" spans="1:8" ht="25.5" customHeight="1" x14ac:dyDescent="0.25">
      <c r="A73" s="86">
        <v>41709</v>
      </c>
      <c r="B73" s="236" t="s">
        <v>1779</v>
      </c>
      <c r="C73" s="87">
        <v>10800</v>
      </c>
      <c r="D73" s="238" t="s">
        <v>122</v>
      </c>
      <c r="E73" s="238" t="s">
        <v>122</v>
      </c>
      <c r="F73" s="238" t="s">
        <v>122</v>
      </c>
      <c r="G73" s="238" t="s">
        <v>122</v>
      </c>
      <c r="H73" s="239"/>
    </row>
    <row r="74" spans="1:8" ht="25.5" customHeight="1" x14ac:dyDescent="0.25">
      <c r="A74" s="86">
        <v>41710</v>
      </c>
      <c r="B74" s="236" t="s">
        <v>1779</v>
      </c>
      <c r="C74" s="87">
        <v>10800</v>
      </c>
      <c r="D74" s="238" t="s">
        <v>122</v>
      </c>
      <c r="E74" s="238" t="s">
        <v>122</v>
      </c>
      <c r="F74" s="238" t="s">
        <v>122</v>
      </c>
      <c r="G74" s="238" t="s">
        <v>122</v>
      </c>
      <c r="H74" s="239"/>
    </row>
    <row r="75" spans="1:8" ht="25.5" customHeight="1" x14ac:dyDescent="0.25">
      <c r="A75" s="86">
        <v>41711</v>
      </c>
      <c r="B75" s="236" t="s">
        <v>1779</v>
      </c>
      <c r="C75" s="87">
        <v>10800</v>
      </c>
      <c r="D75" s="238" t="s">
        <v>122</v>
      </c>
      <c r="E75" s="238" t="s">
        <v>122</v>
      </c>
      <c r="F75" s="238" t="s">
        <v>122</v>
      </c>
      <c r="G75" s="238" t="s">
        <v>122</v>
      </c>
      <c r="H75" s="239"/>
    </row>
    <row r="76" spans="1:8" ht="25.5" customHeight="1" x14ac:dyDescent="0.25">
      <c r="A76" s="86">
        <v>41712</v>
      </c>
      <c r="B76" s="236" t="s">
        <v>1780</v>
      </c>
      <c r="C76" s="87">
        <v>10700</v>
      </c>
      <c r="D76" s="238" t="s">
        <v>122</v>
      </c>
      <c r="E76" s="238" t="s">
        <v>122</v>
      </c>
      <c r="F76" s="238" t="s">
        <v>122</v>
      </c>
      <c r="G76" s="238" t="s">
        <v>122</v>
      </c>
      <c r="H76" s="239"/>
    </row>
    <row r="77" spans="1:8" ht="25.5" customHeight="1" x14ac:dyDescent="0.25">
      <c r="A77" s="86">
        <v>41713</v>
      </c>
      <c r="B77" s="236" t="s">
        <v>1780</v>
      </c>
      <c r="C77" s="87">
        <v>10700</v>
      </c>
      <c r="D77" s="238" t="s">
        <v>122</v>
      </c>
      <c r="E77" s="238" t="s">
        <v>122</v>
      </c>
      <c r="F77" s="238" t="s">
        <v>122</v>
      </c>
      <c r="G77" s="238" t="s">
        <v>122</v>
      </c>
      <c r="H77" s="239"/>
    </row>
    <row r="78" spans="1:8" ht="25.5" customHeight="1" x14ac:dyDescent="0.25">
      <c r="A78" s="86">
        <v>41714</v>
      </c>
      <c r="B78" s="236" t="s">
        <v>1780</v>
      </c>
      <c r="C78" s="87">
        <v>10700</v>
      </c>
      <c r="D78" s="238" t="s">
        <v>122</v>
      </c>
      <c r="E78" s="238" t="s">
        <v>122</v>
      </c>
      <c r="F78" s="238" t="s">
        <v>122</v>
      </c>
      <c r="G78" s="238" t="s">
        <v>122</v>
      </c>
      <c r="H78" s="239"/>
    </row>
    <row r="79" spans="1:8" ht="25.5" customHeight="1" x14ac:dyDescent="0.25">
      <c r="A79" s="86">
        <v>41715</v>
      </c>
      <c r="B79" s="236" t="s">
        <v>1780</v>
      </c>
      <c r="C79" s="87">
        <v>10700</v>
      </c>
      <c r="D79" s="238" t="s">
        <v>122</v>
      </c>
      <c r="E79" s="238" t="s">
        <v>122</v>
      </c>
      <c r="F79" s="238" t="s">
        <v>122</v>
      </c>
      <c r="G79" s="238" t="s">
        <v>122</v>
      </c>
      <c r="H79" s="239"/>
    </row>
    <row r="80" spans="1:8" ht="25.5" customHeight="1" x14ac:dyDescent="0.25">
      <c r="A80" s="86">
        <v>41716</v>
      </c>
      <c r="B80" s="236" t="s">
        <v>1780</v>
      </c>
      <c r="C80" s="87">
        <v>10700</v>
      </c>
      <c r="D80" s="238" t="s">
        <v>122</v>
      </c>
      <c r="E80" s="238" t="s">
        <v>122</v>
      </c>
      <c r="F80" s="238" t="s">
        <v>122</v>
      </c>
      <c r="G80" s="238" t="s">
        <v>122</v>
      </c>
      <c r="H80" s="239"/>
    </row>
    <row r="81" spans="1:8" ht="25.5" customHeight="1" x14ac:dyDescent="0.25">
      <c r="A81" s="86">
        <v>41717</v>
      </c>
      <c r="B81" s="236" t="s">
        <v>1780</v>
      </c>
      <c r="C81" s="87">
        <v>10700</v>
      </c>
      <c r="D81" s="238" t="s">
        <v>122</v>
      </c>
      <c r="E81" s="238" t="s">
        <v>122</v>
      </c>
      <c r="F81" s="238" t="s">
        <v>122</v>
      </c>
      <c r="G81" s="238" t="s">
        <v>122</v>
      </c>
      <c r="H81" s="239"/>
    </row>
    <row r="82" spans="1:8" ht="25.5" customHeight="1" x14ac:dyDescent="0.25">
      <c r="A82" s="86">
        <v>41718</v>
      </c>
      <c r="B82" s="236" t="s">
        <v>1781</v>
      </c>
      <c r="C82" s="237">
        <v>10600</v>
      </c>
      <c r="D82" s="238" t="s">
        <v>122</v>
      </c>
      <c r="E82" s="238" t="s">
        <v>122</v>
      </c>
      <c r="F82" s="238" t="s">
        <v>122</v>
      </c>
      <c r="G82" s="238" t="s">
        <v>122</v>
      </c>
      <c r="H82" s="239"/>
    </row>
    <row r="83" spans="1:8" ht="25.5" customHeight="1" x14ac:dyDescent="0.25">
      <c r="A83" s="86">
        <v>41719</v>
      </c>
      <c r="B83" s="236" t="s">
        <v>1781</v>
      </c>
      <c r="C83" s="237">
        <v>10600</v>
      </c>
      <c r="D83" s="238" t="s">
        <v>122</v>
      </c>
      <c r="E83" s="238" t="s">
        <v>122</v>
      </c>
      <c r="F83" s="240">
        <v>0.83</v>
      </c>
      <c r="G83" s="240">
        <v>40.94</v>
      </c>
      <c r="H83" s="239"/>
    </row>
    <row r="84" spans="1:8" ht="25.5" customHeight="1" x14ac:dyDescent="0.25">
      <c r="A84" s="86">
        <v>41720</v>
      </c>
      <c r="B84" s="236" t="s">
        <v>1781</v>
      </c>
      <c r="C84" s="87">
        <v>10600</v>
      </c>
      <c r="D84" s="238" t="s">
        <v>122</v>
      </c>
      <c r="E84" s="238" t="s">
        <v>122</v>
      </c>
      <c r="F84" s="240">
        <v>0.83</v>
      </c>
      <c r="G84" s="240">
        <v>40.92</v>
      </c>
      <c r="H84" s="239"/>
    </row>
    <row r="85" spans="1:8" ht="25.5" customHeight="1" x14ac:dyDescent="0.25">
      <c r="A85" s="86">
        <v>41721</v>
      </c>
      <c r="B85" s="236" t="s">
        <v>1782</v>
      </c>
      <c r="C85" s="237">
        <v>10500</v>
      </c>
      <c r="D85" s="238" t="s">
        <v>122</v>
      </c>
      <c r="E85" s="238" t="s">
        <v>122</v>
      </c>
      <c r="F85" s="240">
        <v>0.83</v>
      </c>
      <c r="G85" s="240">
        <v>40.729999999999997</v>
      </c>
      <c r="H85" s="239"/>
    </row>
    <row r="86" spans="1:8" ht="25.5" customHeight="1" x14ac:dyDescent="0.25">
      <c r="A86" s="86">
        <v>41722</v>
      </c>
      <c r="B86" s="236" t="s">
        <v>1768</v>
      </c>
      <c r="C86" s="237">
        <v>10400</v>
      </c>
      <c r="D86" s="238" t="s">
        <v>122</v>
      </c>
      <c r="E86" s="238" t="s">
        <v>122</v>
      </c>
      <c r="F86" s="240">
        <v>0.83</v>
      </c>
      <c r="G86" s="240">
        <v>40.549999999999997</v>
      </c>
      <c r="H86" s="239"/>
    </row>
    <row r="87" spans="1:8" ht="25.5" customHeight="1" x14ac:dyDescent="0.25">
      <c r="A87" s="86">
        <v>41723</v>
      </c>
      <c r="B87" s="236" t="s">
        <v>1783</v>
      </c>
      <c r="C87" s="237">
        <v>10300</v>
      </c>
      <c r="D87" s="238" t="s">
        <v>122</v>
      </c>
      <c r="E87" s="238" t="s">
        <v>122</v>
      </c>
      <c r="F87" s="240">
        <v>0.83</v>
      </c>
      <c r="G87" s="240">
        <v>40.33</v>
      </c>
      <c r="H87" s="239"/>
    </row>
    <row r="88" spans="1:8" ht="25.5" customHeight="1" x14ac:dyDescent="0.25">
      <c r="A88" s="86">
        <v>41724</v>
      </c>
      <c r="B88" s="236" t="s">
        <v>1784</v>
      </c>
      <c r="C88" s="237">
        <v>10200</v>
      </c>
      <c r="D88" s="238" t="s">
        <v>122</v>
      </c>
      <c r="E88" s="238" t="s">
        <v>122</v>
      </c>
      <c r="F88" s="240">
        <v>0.83</v>
      </c>
      <c r="G88" s="240">
        <v>40.119999999999997</v>
      </c>
      <c r="H88" s="239"/>
    </row>
    <row r="89" spans="1:8" ht="25.5" customHeight="1" x14ac:dyDescent="0.25">
      <c r="A89" s="86">
        <v>41725</v>
      </c>
      <c r="B89" s="236" t="s">
        <v>1785</v>
      </c>
      <c r="C89" s="237">
        <v>10100</v>
      </c>
      <c r="D89" s="238" t="s">
        <v>122</v>
      </c>
      <c r="E89" s="238" t="s">
        <v>122</v>
      </c>
      <c r="F89" s="240">
        <v>0.83</v>
      </c>
      <c r="G89" s="87">
        <v>39.92</v>
      </c>
      <c r="H89" s="239"/>
    </row>
    <row r="90" spans="1:8" ht="25.5" customHeight="1" x14ac:dyDescent="0.25">
      <c r="A90" s="86">
        <v>41726</v>
      </c>
      <c r="B90" s="236" t="s">
        <v>1786</v>
      </c>
      <c r="C90" s="237">
        <v>10000</v>
      </c>
      <c r="D90" s="238" t="s">
        <v>122</v>
      </c>
      <c r="E90" s="238" t="s">
        <v>122</v>
      </c>
      <c r="F90" s="240">
        <v>0.83</v>
      </c>
      <c r="G90" s="87">
        <v>39.72</v>
      </c>
      <c r="H90" s="239"/>
    </row>
    <row r="91" spans="1:8" ht="25.5" customHeight="1" x14ac:dyDescent="0.25">
      <c r="A91" s="86">
        <v>41727</v>
      </c>
      <c r="B91" s="236" t="s">
        <v>1787</v>
      </c>
      <c r="C91" s="237">
        <v>9900</v>
      </c>
      <c r="D91" s="238" t="s">
        <v>122</v>
      </c>
      <c r="E91" s="238" t="s">
        <v>122</v>
      </c>
      <c r="F91" s="240">
        <v>0.83</v>
      </c>
      <c r="G91" s="87">
        <v>39.51</v>
      </c>
      <c r="H91" s="239"/>
    </row>
    <row r="92" spans="1:8" ht="25.5" customHeight="1" x14ac:dyDescent="0.25">
      <c r="A92" s="86">
        <v>41728</v>
      </c>
      <c r="B92" s="236" t="s">
        <v>1788</v>
      </c>
      <c r="C92" s="237">
        <v>9800</v>
      </c>
      <c r="D92" s="238" t="s">
        <v>122</v>
      </c>
      <c r="E92" s="238" t="s">
        <v>122</v>
      </c>
      <c r="F92" s="240">
        <v>0.75</v>
      </c>
      <c r="G92" s="87">
        <f>(35.65+35.84)/2</f>
        <v>35.745000000000005</v>
      </c>
      <c r="H92" s="239"/>
    </row>
    <row r="93" spans="1:8" ht="25.5" customHeight="1" x14ac:dyDescent="0.25">
      <c r="A93" s="86">
        <v>41729</v>
      </c>
      <c r="B93" s="236" t="s">
        <v>1789</v>
      </c>
      <c r="C93" s="237">
        <v>9700</v>
      </c>
      <c r="D93" s="238" t="s">
        <v>122</v>
      </c>
      <c r="E93" s="238" t="s">
        <v>122</v>
      </c>
      <c r="F93" s="240">
        <v>0.75</v>
      </c>
      <c r="G93" s="87">
        <f>(35.28+35.47)/2</f>
        <v>35.375</v>
      </c>
      <c r="H93" s="239"/>
    </row>
    <row r="94" spans="1:8" ht="25.5" customHeight="1" x14ac:dyDescent="0.25">
      <c r="A94" s="86">
        <v>41730</v>
      </c>
      <c r="B94" s="236" t="s">
        <v>1767</v>
      </c>
      <c r="C94" s="237">
        <v>9600</v>
      </c>
      <c r="D94" s="238" t="s">
        <v>122</v>
      </c>
      <c r="E94" s="238" t="s">
        <v>122</v>
      </c>
      <c r="F94" s="240">
        <v>0.67</v>
      </c>
      <c r="G94" s="238">
        <v>31.44</v>
      </c>
      <c r="H94" s="239"/>
    </row>
    <row r="95" spans="1:8" ht="25.5" customHeight="1" x14ac:dyDescent="0.25">
      <c r="A95" s="86">
        <v>41731</v>
      </c>
      <c r="B95" s="236" t="s">
        <v>1766</v>
      </c>
      <c r="C95" s="237">
        <v>9500</v>
      </c>
      <c r="D95" s="238" t="s">
        <v>122</v>
      </c>
      <c r="E95" s="238" t="s">
        <v>122</v>
      </c>
      <c r="F95" s="240">
        <v>0.57999999999999996</v>
      </c>
      <c r="G95" s="241">
        <f>(27.59+27.44)/2</f>
        <v>27.515000000000001</v>
      </c>
      <c r="H95" s="239"/>
    </row>
    <row r="96" spans="1:8" ht="25.5" customHeight="1" x14ac:dyDescent="0.25">
      <c r="A96" s="86">
        <v>41732</v>
      </c>
      <c r="B96" s="236" t="s">
        <v>1765</v>
      </c>
      <c r="C96" s="237">
        <v>9400</v>
      </c>
      <c r="D96" s="238" t="s">
        <v>122</v>
      </c>
      <c r="E96" s="238" t="s">
        <v>122</v>
      </c>
      <c r="F96" s="240">
        <v>0.5</v>
      </c>
      <c r="G96" s="87">
        <v>23.58</v>
      </c>
      <c r="H96" s="239"/>
    </row>
    <row r="97" spans="1:8" ht="25.5" customHeight="1" x14ac:dyDescent="0.25">
      <c r="A97" s="86">
        <v>41733</v>
      </c>
      <c r="B97" s="236" t="s">
        <v>1790</v>
      </c>
      <c r="C97" s="237">
        <v>9350</v>
      </c>
      <c r="D97" s="238" t="s">
        <v>122</v>
      </c>
      <c r="E97" s="238" t="s">
        <v>122</v>
      </c>
      <c r="F97" s="240">
        <v>0.5</v>
      </c>
      <c r="G97" s="240">
        <f>(23.58+23.46)/2</f>
        <v>23.52</v>
      </c>
      <c r="H97" s="239"/>
    </row>
    <row r="98" spans="1:8" ht="25.5" customHeight="1" x14ac:dyDescent="0.25">
      <c r="A98" s="86">
        <v>41734</v>
      </c>
      <c r="B98" s="236" t="s">
        <v>1790</v>
      </c>
      <c r="C98" s="237">
        <v>9350</v>
      </c>
      <c r="D98" s="238" t="s">
        <v>122</v>
      </c>
      <c r="E98" s="238" t="s">
        <v>122</v>
      </c>
      <c r="F98" s="240">
        <v>0.33</v>
      </c>
      <c r="G98" s="240">
        <f>(15.89+15.81)/2</f>
        <v>15.850000000000001</v>
      </c>
      <c r="H98" s="239"/>
    </row>
    <row r="99" spans="1:8" ht="25.5" customHeight="1" x14ac:dyDescent="0.25">
      <c r="A99" s="86">
        <v>41735</v>
      </c>
      <c r="B99" s="236" t="s">
        <v>1764</v>
      </c>
      <c r="C99" s="237">
        <v>9300</v>
      </c>
      <c r="D99" s="238" t="s">
        <v>122</v>
      </c>
      <c r="E99" s="238" t="s">
        <v>122</v>
      </c>
      <c r="F99" s="240">
        <v>0.28999999999999998</v>
      </c>
      <c r="G99" s="87">
        <v>14.85</v>
      </c>
      <c r="H99" s="239"/>
    </row>
    <row r="100" spans="1:8" ht="25.5" customHeight="1" x14ac:dyDescent="0.25">
      <c r="A100" s="86">
        <v>41736</v>
      </c>
      <c r="B100" s="236" t="s">
        <v>1764</v>
      </c>
      <c r="C100" s="237">
        <v>9300</v>
      </c>
      <c r="D100" s="238" t="s">
        <v>122</v>
      </c>
      <c r="E100" s="238" t="s">
        <v>122</v>
      </c>
      <c r="F100" s="240">
        <v>0.28999999999999998</v>
      </c>
      <c r="G100" s="240">
        <v>14.85</v>
      </c>
      <c r="H100" s="239"/>
    </row>
    <row r="101" spans="1:8" ht="25.5" customHeight="1" x14ac:dyDescent="0.25">
      <c r="A101" s="86">
        <v>41737</v>
      </c>
      <c r="B101" s="236" t="s">
        <v>1763</v>
      </c>
      <c r="C101" s="237">
        <v>9250</v>
      </c>
      <c r="D101" s="238" t="s">
        <v>122</v>
      </c>
      <c r="E101" s="238" t="s">
        <v>122</v>
      </c>
      <c r="F101" s="240">
        <v>0.28999999999999998</v>
      </c>
      <c r="G101" s="87">
        <v>13.85</v>
      </c>
      <c r="H101" s="239"/>
    </row>
    <row r="102" spans="1:8" ht="25.5" customHeight="1" x14ac:dyDescent="0.25">
      <c r="A102" s="86">
        <v>41738</v>
      </c>
      <c r="B102" s="236" t="s">
        <v>1790</v>
      </c>
      <c r="C102" s="237">
        <v>9350</v>
      </c>
      <c r="D102" s="238" t="s">
        <v>122</v>
      </c>
      <c r="E102" s="238" t="s">
        <v>122</v>
      </c>
      <c r="F102" s="240" t="s">
        <v>122</v>
      </c>
      <c r="G102" s="240" t="s">
        <v>122</v>
      </c>
      <c r="H102" s="239"/>
    </row>
    <row r="103" spans="1:8" ht="25.5" customHeight="1" x14ac:dyDescent="0.25">
      <c r="A103" s="86">
        <v>41739</v>
      </c>
      <c r="B103" s="236" t="s">
        <v>1790</v>
      </c>
      <c r="C103" s="237">
        <v>9350</v>
      </c>
      <c r="D103" s="238" t="s">
        <v>122</v>
      </c>
      <c r="E103" s="238" t="s">
        <v>122</v>
      </c>
      <c r="F103" s="240" t="s">
        <v>122</v>
      </c>
      <c r="G103" s="240" t="s">
        <v>122</v>
      </c>
      <c r="H103" s="239"/>
    </row>
    <row r="104" spans="1:8" ht="25.5" customHeight="1" x14ac:dyDescent="0.25">
      <c r="A104" s="86">
        <v>41740</v>
      </c>
      <c r="B104" s="236" t="s">
        <v>1790</v>
      </c>
      <c r="C104" s="237">
        <v>9350</v>
      </c>
      <c r="D104" s="238" t="s">
        <v>122</v>
      </c>
      <c r="E104" s="238" t="s">
        <v>122</v>
      </c>
      <c r="F104" s="240" t="s">
        <v>122</v>
      </c>
      <c r="G104" s="240" t="s">
        <v>122</v>
      </c>
      <c r="H104" s="239"/>
    </row>
    <row r="105" spans="1:8" ht="25.5" customHeight="1" x14ac:dyDescent="0.25">
      <c r="A105" s="86">
        <v>41741</v>
      </c>
      <c r="B105" s="236" t="s">
        <v>1790</v>
      </c>
      <c r="C105" s="237">
        <v>9350</v>
      </c>
      <c r="D105" s="238" t="s">
        <v>122</v>
      </c>
      <c r="E105" s="238" t="s">
        <v>122</v>
      </c>
      <c r="F105" s="240">
        <v>0.5</v>
      </c>
      <c r="G105" s="240">
        <v>23.52</v>
      </c>
      <c r="H105" s="239"/>
    </row>
    <row r="106" spans="1:8" ht="25.5" customHeight="1" x14ac:dyDescent="0.25">
      <c r="A106" s="86">
        <v>41742</v>
      </c>
      <c r="B106" s="236" t="s">
        <v>1764</v>
      </c>
      <c r="C106" s="237">
        <v>9300</v>
      </c>
      <c r="D106" s="238" t="s">
        <v>122</v>
      </c>
      <c r="E106" s="238" t="s">
        <v>122</v>
      </c>
      <c r="F106" s="240">
        <v>0.5</v>
      </c>
      <c r="G106" s="240">
        <v>23.46</v>
      </c>
      <c r="H106" s="239"/>
    </row>
    <row r="107" spans="1:8" ht="25.5" customHeight="1" x14ac:dyDescent="0.25">
      <c r="A107" s="86">
        <v>41743</v>
      </c>
      <c r="B107" s="236" t="s">
        <v>1763</v>
      </c>
      <c r="C107" s="237">
        <v>9250</v>
      </c>
      <c r="D107" s="238" t="s">
        <v>122</v>
      </c>
      <c r="E107" s="238" t="s">
        <v>122</v>
      </c>
      <c r="F107" s="240"/>
      <c r="G107" s="240" t="s">
        <v>122</v>
      </c>
      <c r="H107" s="239"/>
    </row>
    <row r="108" spans="1:8" ht="25.5" customHeight="1" x14ac:dyDescent="0.25">
      <c r="A108" s="86">
        <v>41744</v>
      </c>
      <c r="B108" s="236" t="s">
        <v>1763</v>
      </c>
      <c r="C108" s="237">
        <v>9250</v>
      </c>
      <c r="D108" s="238" t="s">
        <v>122</v>
      </c>
      <c r="E108" s="238" t="s">
        <v>122</v>
      </c>
      <c r="F108" s="240">
        <v>0.57999999999999996</v>
      </c>
      <c r="G108" s="240">
        <v>27.14</v>
      </c>
      <c r="H108" s="239"/>
    </row>
    <row r="109" spans="1:8" ht="25.5" customHeight="1" x14ac:dyDescent="0.25">
      <c r="A109" s="86">
        <v>41745</v>
      </c>
      <c r="B109" s="236" t="s">
        <v>1791</v>
      </c>
      <c r="C109" s="237">
        <v>9150</v>
      </c>
      <c r="D109" s="238" t="s">
        <v>122</v>
      </c>
      <c r="E109" s="238" t="s">
        <v>122</v>
      </c>
      <c r="F109" s="240">
        <v>0.57999999999999996</v>
      </c>
      <c r="G109" s="240">
        <v>27.01</v>
      </c>
      <c r="H109" s="239"/>
    </row>
    <row r="110" spans="1:8" ht="25.5" customHeight="1" x14ac:dyDescent="0.25">
      <c r="A110" s="86">
        <v>41746</v>
      </c>
      <c r="B110" s="236" t="s">
        <v>1792</v>
      </c>
      <c r="C110" s="237">
        <v>9100</v>
      </c>
      <c r="D110" s="238" t="s">
        <v>122</v>
      </c>
      <c r="E110" s="238" t="s">
        <v>122</v>
      </c>
      <c r="F110" s="240">
        <v>0.25</v>
      </c>
      <c r="G110" s="240">
        <f>(11.76+11.82)/2</f>
        <v>11.79</v>
      </c>
      <c r="H110" s="239"/>
    </row>
    <row r="111" spans="1:8" ht="25.5" customHeight="1" x14ac:dyDescent="0.25">
      <c r="A111" s="86">
        <v>41747</v>
      </c>
      <c r="B111" s="236" t="s">
        <v>1767</v>
      </c>
      <c r="C111" s="237">
        <v>9600</v>
      </c>
      <c r="D111" s="238" t="s">
        <v>122</v>
      </c>
      <c r="E111" s="238" t="s">
        <v>122</v>
      </c>
      <c r="F111" s="240"/>
      <c r="G111" s="240" t="s">
        <v>122</v>
      </c>
      <c r="H111" s="239"/>
    </row>
    <row r="112" spans="1:8" ht="25.5" customHeight="1" x14ac:dyDescent="0.25">
      <c r="A112" s="86">
        <v>41748</v>
      </c>
      <c r="B112" s="236" t="s">
        <v>1767</v>
      </c>
      <c r="C112" s="237">
        <v>9600</v>
      </c>
      <c r="D112" s="238" t="s">
        <v>122</v>
      </c>
      <c r="E112" s="238" t="s">
        <v>122</v>
      </c>
      <c r="F112" s="240"/>
      <c r="G112" s="240" t="s">
        <v>122</v>
      </c>
      <c r="H112" s="239"/>
    </row>
    <row r="113" spans="1:8" ht="25.5" customHeight="1" x14ac:dyDescent="0.25">
      <c r="A113" s="86">
        <v>41749</v>
      </c>
      <c r="B113" s="236" t="s">
        <v>1767</v>
      </c>
      <c r="C113" s="237">
        <v>9600</v>
      </c>
      <c r="D113" s="238" t="s">
        <v>122</v>
      </c>
      <c r="E113" s="238" t="s">
        <v>122</v>
      </c>
      <c r="F113" s="240">
        <v>0.25</v>
      </c>
      <c r="G113" s="87">
        <f>(12.07+12.13)/2</f>
        <v>12.100000000000001</v>
      </c>
      <c r="H113" s="239"/>
    </row>
    <row r="114" spans="1:8" ht="25.5" customHeight="1" x14ac:dyDescent="0.25">
      <c r="A114" s="86">
        <v>41750</v>
      </c>
      <c r="B114" s="236" t="s">
        <v>1793</v>
      </c>
      <c r="C114" s="237">
        <v>9550</v>
      </c>
      <c r="D114" s="238" t="s">
        <v>122</v>
      </c>
      <c r="E114" s="238" t="s">
        <v>122</v>
      </c>
      <c r="F114" s="240">
        <v>0.33</v>
      </c>
      <c r="G114" s="240">
        <f>(15.97+16.05)/2</f>
        <v>16.010000000000002</v>
      </c>
      <c r="H114" s="239"/>
    </row>
    <row r="115" spans="1:8" ht="25.5" customHeight="1" x14ac:dyDescent="0.25">
      <c r="A115" s="86">
        <v>41751</v>
      </c>
      <c r="B115" s="236" t="s">
        <v>1794</v>
      </c>
      <c r="C115" s="237">
        <v>9450</v>
      </c>
      <c r="D115" s="238" t="s">
        <v>122</v>
      </c>
      <c r="E115" s="238" t="s">
        <v>122</v>
      </c>
      <c r="F115" s="240">
        <v>0.33</v>
      </c>
      <c r="G115" s="240">
        <f>(15.89+15.97)/2</f>
        <v>15.93</v>
      </c>
      <c r="H115" s="239"/>
    </row>
    <row r="116" spans="1:8" ht="25.5" customHeight="1" x14ac:dyDescent="0.25">
      <c r="A116" s="86">
        <v>41752</v>
      </c>
      <c r="B116" s="236" t="s">
        <v>1794</v>
      </c>
      <c r="C116" s="237">
        <v>9450</v>
      </c>
      <c r="D116" s="238" t="s">
        <v>122</v>
      </c>
      <c r="E116" s="238" t="s">
        <v>122</v>
      </c>
      <c r="F116" s="240">
        <v>0.21</v>
      </c>
      <c r="G116" s="240">
        <v>10.039999999999999</v>
      </c>
      <c r="H116" s="239"/>
    </row>
    <row r="117" spans="1:8" ht="25.5" customHeight="1" x14ac:dyDescent="0.25">
      <c r="A117" s="86">
        <v>41753</v>
      </c>
      <c r="B117" s="236" t="s">
        <v>1794</v>
      </c>
      <c r="C117" s="237">
        <v>9450</v>
      </c>
      <c r="D117" s="238" t="s">
        <v>122</v>
      </c>
      <c r="E117" s="238" t="s">
        <v>122</v>
      </c>
      <c r="F117" s="240">
        <v>0.13</v>
      </c>
      <c r="G117" s="240">
        <v>6.05</v>
      </c>
      <c r="H117" s="239"/>
    </row>
    <row r="118" spans="1:8" ht="25.5" customHeight="1" x14ac:dyDescent="0.25">
      <c r="A118" s="86">
        <v>41754</v>
      </c>
      <c r="B118" s="236" t="s">
        <v>1794</v>
      </c>
      <c r="C118" s="237">
        <v>9450</v>
      </c>
      <c r="D118" s="238" t="s">
        <v>122</v>
      </c>
      <c r="E118" s="238" t="s">
        <v>122</v>
      </c>
      <c r="F118" s="240">
        <v>0.13</v>
      </c>
      <c r="G118" s="240">
        <v>6.05</v>
      </c>
      <c r="H118" s="239"/>
    </row>
    <row r="119" spans="1:8" ht="25.5" customHeight="1" x14ac:dyDescent="0.25">
      <c r="A119" s="86">
        <v>41755</v>
      </c>
      <c r="B119" s="236" t="s">
        <v>1794</v>
      </c>
      <c r="C119" s="237">
        <v>9450</v>
      </c>
      <c r="D119" s="238" t="s">
        <v>122</v>
      </c>
      <c r="E119" s="238" t="s">
        <v>122</v>
      </c>
      <c r="F119" s="240">
        <v>0.13</v>
      </c>
      <c r="G119" s="240">
        <v>6.05</v>
      </c>
      <c r="H119" s="239"/>
    </row>
    <row r="120" spans="1:8" ht="25.5" customHeight="1" x14ac:dyDescent="0.25">
      <c r="A120" s="86">
        <v>41756</v>
      </c>
      <c r="B120" s="236" t="s">
        <v>1794</v>
      </c>
      <c r="C120" s="237">
        <v>9450</v>
      </c>
      <c r="D120" s="238" t="s">
        <v>122</v>
      </c>
      <c r="E120" s="238" t="s">
        <v>122</v>
      </c>
      <c r="F120" s="240" t="s">
        <v>122</v>
      </c>
      <c r="G120" s="87" t="s">
        <v>122</v>
      </c>
      <c r="H120" s="239"/>
    </row>
    <row r="121" spans="1:8" ht="25.5" customHeight="1" x14ac:dyDescent="0.25">
      <c r="A121" s="86">
        <v>41757</v>
      </c>
      <c r="B121" s="236" t="s">
        <v>1794</v>
      </c>
      <c r="C121" s="237">
        <v>9450</v>
      </c>
      <c r="D121" s="238" t="s">
        <v>122</v>
      </c>
      <c r="E121" s="238" t="s">
        <v>122</v>
      </c>
      <c r="F121" s="240" t="s">
        <v>122</v>
      </c>
      <c r="G121" s="87" t="s">
        <v>122</v>
      </c>
      <c r="H121" s="239"/>
    </row>
    <row r="122" spans="1:8" ht="25.5" customHeight="1" x14ac:dyDescent="0.25">
      <c r="A122" s="86">
        <v>41758</v>
      </c>
      <c r="B122" s="236" t="s">
        <v>1794</v>
      </c>
      <c r="C122" s="237">
        <v>9450</v>
      </c>
      <c r="D122" s="238" t="s">
        <v>122</v>
      </c>
      <c r="E122" s="238" t="s">
        <v>122</v>
      </c>
      <c r="F122" s="240" t="s">
        <v>122</v>
      </c>
      <c r="G122" s="87" t="s">
        <v>122</v>
      </c>
      <c r="H122" s="239"/>
    </row>
    <row r="123" spans="1:8" ht="25.5" customHeight="1" x14ac:dyDescent="0.25">
      <c r="A123" s="86">
        <v>41759</v>
      </c>
      <c r="B123" s="236" t="s">
        <v>1794</v>
      </c>
      <c r="C123" s="237">
        <v>9450</v>
      </c>
      <c r="D123" s="238" t="s">
        <v>122</v>
      </c>
      <c r="E123" s="238" t="s">
        <v>122</v>
      </c>
      <c r="F123" s="240" t="s">
        <v>122</v>
      </c>
      <c r="G123" s="87" t="s">
        <v>122</v>
      </c>
      <c r="H123" s="239"/>
    </row>
    <row r="124" spans="1:8" ht="25.5" customHeight="1" x14ac:dyDescent="0.25">
      <c r="A124" s="86">
        <v>41760</v>
      </c>
      <c r="B124" s="236" t="s">
        <v>1794</v>
      </c>
      <c r="C124" s="237">
        <v>9450</v>
      </c>
      <c r="D124" s="238" t="s">
        <v>122</v>
      </c>
      <c r="E124" s="238" t="s">
        <v>122</v>
      </c>
      <c r="F124" s="240" t="s">
        <v>122</v>
      </c>
      <c r="G124" s="240" t="s">
        <v>122</v>
      </c>
      <c r="H124" s="239"/>
    </row>
    <row r="125" spans="1:8" ht="25.5" customHeight="1" x14ac:dyDescent="0.25">
      <c r="A125" s="86">
        <v>41761</v>
      </c>
      <c r="B125" s="236" t="s">
        <v>1794</v>
      </c>
      <c r="C125" s="237">
        <v>9450</v>
      </c>
      <c r="D125" s="238" t="s">
        <v>122</v>
      </c>
      <c r="E125" s="238" t="s">
        <v>122</v>
      </c>
      <c r="F125" s="240" t="s">
        <v>122</v>
      </c>
      <c r="G125" s="240" t="s">
        <v>122</v>
      </c>
      <c r="H125" s="239"/>
    </row>
    <row r="126" spans="1:8" ht="25.5" customHeight="1" x14ac:dyDescent="0.25">
      <c r="A126" s="86">
        <v>41762</v>
      </c>
      <c r="B126" s="236" t="s">
        <v>1786</v>
      </c>
      <c r="C126" s="237">
        <v>10000</v>
      </c>
      <c r="D126" s="238" t="s">
        <v>122</v>
      </c>
      <c r="E126" s="238" t="s">
        <v>122</v>
      </c>
      <c r="F126" s="240" t="s">
        <v>122</v>
      </c>
      <c r="G126" s="240" t="s">
        <v>122</v>
      </c>
      <c r="H126" s="239"/>
    </row>
    <row r="127" spans="1:8" ht="25.5" customHeight="1" x14ac:dyDescent="0.25">
      <c r="A127" s="86">
        <v>41763</v>
      </c>
      <c r="B127" s="236" t="s">
        <v>1768</v>
      </c>
      <c r="C127" s="237">
        <v>10400</v>
      </c>
      <c r="D127" s="238" t="s">
        <v>122</v>
      </c>
      <c r="E127" s="238" t="s">
        <v>122</v>
      </c>
      <c r="F127" s="240" t="s">
        <v>122</v>
      </c>
      <c r="G127" s="240" t="s">
        <v>122</v>
      </c>
      <c r="H127" s="239"/>
    </row>
    <row r="128" spans="1:8" ht="25.5" customHeight="1" x14ac:dyDescent="0.25">
      <c r="A128" s="86">
        <v>41764</v>
      </c>
      <c r="B128" s="236" t="s">
        <v>1795</v>
      </c>
      <c r="C128" s="237">
        <v>10800</v>
      </c>
      <c r="D128" s="238" t="s">
        <v>122</v>
      </c>
      <c r="E128" s="238" t="s">
        <v>122</v>
      </c>
      <c r="F128" s="240" t="s">
        <v>122</v>
      </c>
      <c r="G128" s="240" t="s">
        <v>122</v>
      </c>
      <c r="H128" s="239"/>
    </row>
    <row r="129" spans="1:8" ht="25.5" customHeight="1" x14ac:dyDescent="0.25">
      <c r="A129" s="86">
        <v>41765</v>
      </c>
      <c r="B129" s="236" t="s">
        <v>1778</v>
      </c>
      <c r="C129" s="237">
        <v>11100</v>
      </c>
      <c r="D129" s="238" t="s">
        <v>122</v>
      </c>
      <c r="E129" s="238" t="s">
        <v>122</v>
      </c>
      <c r="F129" s="240" t="s">
        <v>122</v>
      </c>
      <c r="G129" s="240" t="s">
        <v>122</v>
      </c>
      <c r="H129" s="239"/>
    </row>
    <row r="130" spans="1:8" ht="25.5" customHeight="1" x14ac:dyDescent="0.25">
      <c r="A130" s="86">
        <v>41766</v>
      </c>
      <c r="B130" s="236" t="s">
        <v>1796</v>
      </c>
      <c r="C130" s="237">
        <v>11500</v>
      </c>
      <c r="D130" s="238" t="s">
        <v>122</v>
      </c>
      <c r="E130" s="238" t="s">
        <v>122</v>
      </c>
      <c r="F130" s="240" t="s">
        <v>122</v>
      </c>
      <c r="G130" s="240" t="s">
        <v>122</v>
      </c>
      <c r="H130" s="239"/>
    </row>
    <row r="131" spans="1:8" ht="25.5" customHeight="1" x14ac:dyDescent="0.25">
      <c r="A131" s="86">
        <v>41767</v>
      </c>
      <c r="B131" s="236" t="s">
        <v>1797</v>
      </c>
      <c r="C131" s="237">
        <v>11600</v>
      </c>
      <c r="D131" s="238" t="s">
        <v>122</v>
      </c>
      <c r="E131" s="238" t="s">
        <v>122</v>
      </c>
      <c r="F131" s="240" t="s">
        <v>122</v>
      </c>
      <c r="G131" s="240" t="s">
        <v>122</v>
      </c>
      <c r="H131" s="239"/>
    </row>
    <row r="132" spans="1:8" ht="25.5" customHeight="1" x14ac:dyDescent="0.25">
      <c r="A132" s="86">
        <v>41768</v>
      </c>
      <c r="B132" s="236" t="s">
        <v>1798</v>
      </c>
      <c r="C132" s="237">
        <v>11700</v>
      </c>
      <c r="D132" s="238" t="s">
        <v>122</v>
      </c>
      <c r="E132" s="238" t="s">
        <v>122</v>
      </c>
      <c r="F132" s="240" t="s">
        <v>122</v>
      </c>
      <c r="G132" s="240" t="s">
        <v>122</v>
      </c>
      <c r="H132" s="239"/>
    </row>
    <row r="133" spans="1:8" ht="25.5" customHeight="1" x14ac:dyDescent="0.25">
      <c r="A133" s="86">
        <v>41769</v>
      </c>
      <c r="B133" s="236" t="s">
        <v>1798</v>
      </c>
      <c r="C133" s="237">
        <v>11700</v>
      </c>
      <c r="D133" s="238" t="s">
        <v>122</v>
      </c>
      <c r="E133" s="238" t="s">
        <v>122</v>
      </c>
      <c r="F133" s="240" t="s">
        <v>122</v>
      </c>
      <c r="G133" s="240" t="s">
        <v>122</v>
      </c>
      <c r="H133" s="239"/>
    </row>
    <row r="134" spans="1:8" ht="25.5" customHeight="1" x14ac:dyDescent="0.25">
      <c r="A134" s="86">
        <v>41770</v>
      </c>
      <c r="B134" s="236" t="s">
        <v>1798</v>
      </c>
      <c r="C134" s="237">
        <v>11700</v>
      </c>
      <c r="D134" s="238" t="s">
        <v>122</v>
      </c>
      <c r="E134" s="238" t="s">
        <v>122</v>
      </c>
      <c r="F134" s="240" t="s">
        <v>122</v>
      </c>
      <c r="G134" s="240" t="s">
        <v>122</v>
      </c>
      <c r="H134" s="239"/>
    </row>
    <row r="135" spans="1:8" ht="25.5" customHeight="1" x14ac:dyDescent="0.25">
      <c r="A135" s="86">
        <v>41771</v>
      </c>
      <c r="B135" s="236" t="s">
        <v>1798</v>
      </c>
      <c r="C135" s="237">
        <v>11700</v>
      </c>
      <c r="D135" s="238" t="s">
        <v>122</v>
      </c>
      <c r="E135" s="238" t="s">
        <v>122</v>
      </c>
      <c r="F135" s="240">
        <v>0.5</v>
      </c>
      <c r="G135" s="87">
        <f>(25.86+25.97)/2</f>
        <v>25.914999999999999</v>
      </c>
      <c r="H135" s="239"/>
    </row>
    <row r="136" spans="1:8" ht="25.5" customHeight="1" x14ac:dyDescent="0.25">
      <c r="A136" s="86">
        <v>41772</v>
      </c>
      <c r="B136" s="236" t="s">
        <v>1797</v>
      </c>
      <c r="C136" s="237">
        <v>11600</v>
      </c>
      <c r="D136" s="238" t="s">
        <v>122</v>
      </c>
      <c r="E136" s="238" t="s">
        <v>122</v>
      </c>
      <c r="F136" s="240">
        <v>0.5</v>
      </c>
      <c r="G136" s="240">
        <v>25.97</v>
      </c>
      <c r="H136" s="239"/>
    </row>
    <row r="137" spans="1:8" ht="25.5" customHeight="1" x14ac:dyDescent="0.25">
      <c r="A137" s="86">
        <v>41773</v>
      </c>
      <c r="B137" s="236" t="s">
        <v>1796</v>
      </c>
      <c r="C137" s="237">
        <v>11500</v>
      </c>
      <c r="D137" s="238" t="s">
        <v>122</v>
      </c>
      <c r="E137" s="238" t="s">
        <v>122</v>
      </c>
      <c r="F137" s="240">
        <v>0.57999999999999996</v>
      </c>
      <c r="G137" s="240">
        <f>(30.1+29.96)/2</f>
        <v>30.03</v>
      </c>
      <c r="H137" s="239"/>
    </row>
    <row r="138" spans="1:8" ht="25.5" customHeight="1" x14ac:dyDescent="0.25">
      <c r="A138" s="86">
        <v>41774</v>
      </c>
      <c r="B138" s="236" t="s">
        <v>1771</v>
      </c>
      <c r="C138" s="237">
        <v>11400</v>
      </c>
      <c r="D138" s="238" t="s">
        <v>122</v>
      </c>
      <c r="E138" s="238" t="s">
        <v>122</v>
      </c>
      <c r="F138" s="240">
        <v>0.57999999999999996</v>
      </c>
      <c r="G138" s="240">
        <v>29.89</v>
      </c>
      <c r="H138" s="239"/>
    </row>
    <row r="139" spans="1:8" ht="25.5" customHeight="1" x14ac:dyDescent="0.25">
      <c r="A139" s="86">
        <v>41775</v>
      </c>
      <c r="B139" s="236" t="s">
        <v>1770</v>
      </c>
      <c r="C139" s="237">
        <v>11300</v>
      </c>
      <c r="D139" s="238" t="s">
        <v>122</v>
      </c>
      <c r="E139" s="238" t="s">
        <v>122</v>
      </c>
      <c r="F139" s="240">
        <v>0.42</v>
      </c>
      <c r="G139" s="240">
        <v>21.45</v>
      </c>
      <c r="H139" s="239"/>
    </row>
    <row r="140" spans="1:8" ht="25.5" customHeight="1" x14ac:dyDescent="0.25">
      <c r="A140" s="86">
        <v>41776</v>
      </c>
      <c r="B140" s="236" t="s">
        <v>1769</v>
      </c>
      <c r="C140" s="237">
        <v>11200</v>
      </c>
      <c r="D140" s="238" t="s">
        <v>122</v>
      </c>
      <c r="E140" s="238" t="s">
        <v>122</v>
      </c>
      <c r="F140" s="240" t="s">
        <v>122</v>
      </c>
      <c r="G140" s="240"/>
      <c r="H140" s="239"/>
    </row>
    <row r="141" spans="1:8" ht="25.5" customHeight="1" x14ac:dyDescent="0.25">
      <c r="A141" s="86">
        <v>41777</v>
      </c>
      <c r="B141" s="236" t="s">
        <v>1769</v>
      </c>
      <c r="C141" s="237">
        <v>11200</v>
      </c>
      <c r="D141" s="238" t="s">
        <v>122</v>
      </c>
      <c r="E141" s="238" t="s">
        <v>122</v>
      </c>
      <c r="F141" s="240" t="s">
        <v>122</v>
      </c>
      <c r="G141" s="240" t="s">
        <v>122</v>
      </c>
      <c r="H141" s="239"/>
    </row>
    <row r="142" spans="1:8" ht="25.5" customHeight="1" x14ac:dyDescent="0.25">
      <c r="A142" s="86">
        <v>41778</v>
      </c>
      <c r="B142" s="236" t="s">
        <v>1769</v>
      </c>
      <c r="C142" s="237">
        <v>11200</v>
      </c>
      <c r="D142" s="238" t="s">
        <v>122</v>
      </c>
      <c r="E142" s="238" t="s">
        <v>122</v>
      </c>
      <c r="F142" s="240" t="s">
        <v>122</v>
      </c>
      <c r="G142" s="240" t="s">
        <v>122</v>
      </c>
      <c r="H142" s="239"/>
    </row>
    <row r="143" spans="1:8" ht="25.5" customHeight="1" x14ac:dyDescent="0.25">
      <c r="A143" s="86">
        <v>41779</v>
      </c>
      <c r="B143" s="236" t="s">
        <v>1769</v>
      </c>
      <c r="C143" s="237">
        <v>11200</v>
      </c>
      <c r="D143" s="238" t="s">
        <v>122</v>
      </c>
      <c r="E143" s="238" t="s">
        <v>122</v>
      </c>
      <c r="F143" s="240" t="s">
        <v>122</v>
      </c>
      <c r="G143" s="87" t="s">
        <v>122</v>
      </c>
      <c r="H143" s="239"/>
    </row>
    <row r="144" spans="1:8" ht="25.5" customHeight="1" x14ac:dyDescent="0.25">
      <c r="A144" s="86">
        <v>41780</v>
      </c>
      <c r="B144" s="236" t="s">
        <v>1778</v>
      </c>
      <c r="C144" s="237">
        <v>11100</v>
      </c>
      <c r="D144" s="238" t="s">
        <v>122</v>
      </c>
      <c r="E144" s="238" t="s">
        <v>122</v>
      </c>
      <c r="F144" s="240">
        <v>0.75</v>
      </c>
      <c r="G144" s="240">
        <v>37.56</v>
      </c>
      <c r="H144" s="239"/>
    </row>
    <row r="145" spans="1:8" ht="25.5" customHeight="1" x14ac:dyDescent="0.25">
      <c r="A145" s="86">
        <v>41781</v>
      </c>
      <c r="B145" s="236" t="s">
        <v>1795</v>
      </c>
      <c r="C145" s="237">
        <v>10800</v>
      </c>
      <c r="D145" s="238" t="s">
        <v>122</v>
      </c>
      <c r="E145" s="238" t="s">
        <v>122</v>
      </c>
      <c r="F145" s="240">
        <v>0.67</v>
      </c>
      <c r="G145" s="240">
        <v>33.39</v>
      </c>
      <c r="H145" s="239"/>
    </row>
    <row r="146" spans="1:8" ht="25.5" customHeight="1" x14ac:dyDescent="0.25">
      <c r="A146" s="86">
        <v>41782</v>
      </c>
      <c r="B146" s="236" t="s">
        <v>1799</v>
      </c>
      <c r="C146" s="237">
        <v>10700</v>
      </c>
      <c r="D146" s="238" t="s">
        <v>122</v>
      </c>
      <c r="E146" s="238" t="s">
        <v>122</v>
      </c>
      <c r="F146" s="240">
        <v>0.67</v>
      </c>
      <c r="G146" s="240">
        <v>33.229999999999997</v>
      </c>
      <c r="H146" s="239"/>
    </row>
    <row r="147" spans="1:8" ht="25.5" customHeight="1" x14ac:dyDescent="0.25">
      <c r="A147" s="86">
        <v>41783</v>
      </c>
      <c r="B147" s="236" t="s">
        <v>1781</v>
      </c>
      <c r="C147" s="237">
        <v>10600</v>
      </c>
      <c r="D147" s="238" t="s">
        <v>122</v>
      </c>
      <c r="E147" s="238" t="s">
        <v>122</v>
      </c>
      <c r="F147" s="240">
        <v>0.67</v>
      </c>
      <c r="G147" s="240">
        <v>33.07</v>
      </c>
      <c r="H147" s="239"/>
    </row>
    <row r="148" spans="1:8" ht="25.5" customHeight="1" x14ac:dyDescent="0.25">
      <c r="A148" s="86">
        <v>41784</v>
      </c>
      <c r="B148" s="236" t="s">
        <v>1800</v>
      </c>
      <c r="C148" s="237">
        <v>10550</v>
      </c>
      <c r="D148" s="238" t="s">
        <v>122</v>
      </c>
      <c r="E148" s="238" t="s">
        <v>122</v>
      </c>
      <c r="F148" s="240">
        <v>0.33</v>
      </c>
      <c r="G148" s="240">
        <f>(16.77+16.85)/2</f>
        <v>16.810000000000002</v>
      </c>
      <c r="H148" s="239"/>
    </row>
    <row r="149" spans="1:8" ht="25.5" customHeight="1" x14ac:dyDescent="0.25">
      <c r="A149" s="86">
        <v>41785</v>
      </c>
      <c r="B149" s="236" t="s">
        <v>1782</v>
      </c>
      <c r="C149" s="237">
        <v>10500</v>
      </c>
      <c r="D149" s="238" t="s">
        <v>122</v>
      </c>
      <c r="E149" s="238" t="s">
        <v>122</v>
      </c>
      <c r="F149" s="240">
        <v>0.33</v>
      </c>
      <c r="G149" s="240">
        <v>16.77</v>
      </c>
      <c r="H149" s="239"/>
    </row>
    <row r="150" spans="1:8" ht="25.5" customHeight="1" x14ac:dyDescent="0.25">
      <c r="A150" s="86">
        <v>41786</v>
      </c>
      <c r="B150" s="236" t="s">
        <v>1782</v>
      </c>
      <c r="C150" s="237">
        <v>10500</v>
      </c>
      <c r="D150" s="238" t="s">
        <v>122</v>
      </c>
      <c r="E150" s="238" t="s">
        <v>122</v>
      </c>
      <c r="F150" s="240" t="s">
        <v>122</v>
      </c>
      <c r="G150" s="87" t="s">
        <v>122</v>
      </c>
      <c r="H150" s="239"/>
    </row>
    <row r="151" spans="1:8" ht="25.5" customHeight="1" x14ac:dyDescent="0.25">
      <c r="A151" s="86">
        <v>41787</v>
      </c>
      <c r="B151" s="236" t="s">
        <v>1782</v>
      </c>
      <c r="C151" s="237">
        <v>10500</v>
      </c>
      <c r="D151" s="238" t="s">
        <v>122</v>
      </c>
      <c r="E151" s="238" t="s">
        <v>122</v>
      </c>
      <c r="F151" s="240" t="s">
        <v>122</v>
      </c>
      <c r="G151" s="87" t="s">
        <v>122</v>
      </c>
      <c r="H151" s="239"/>
    </row>
    <row r="152" spans="1:8" ht="25.5" customHeight="1" x14ac:dyDescent="0.25">
      <c r="A152" s="86">
        <v>41788</v>
      </c>
      <c r="B152" s="236" t="s">
        <v>1782</v>
      </c>
      <c r="C152" s="237">
        <v>10500</v>
      </c>
      <c r="D152" s="238" t="s">
        <v>122</v>
      </c>
      <c r="E152" s="238" t="s">
        <v>122</v>
      </c>
      <c r="F152" s="240">
        <v>0.25</v>
      </c>
      <c r="G152" s="87">
        <f>(12.67+12.61)/2</f>
        <v>12.64</v>
      </c>
      <c r="H152" s="239"/>
    </row>
    <row r="153" spans="1:8" ht="25.5" customHeight="1" x14ac:dyDescent="0.25">
      <c r="A153" s="86">
        <v>41789</v>
      </c>
      <c r="B153" s="236" t="s">
        <v>1801</v>
      </c>
      <c r="C153" s="237">
        <v>10450</v>
      </c>
      <c r="D153" s="238" t="s">
        <v>122</v>
      </c>
      <c r="E153" s="238" t="s">
        <v>122</v>
      </c>
      <c r="F153" s="240">
        <v>0.25</v>
      </c>
      <c r="G153" s="87">
        <f>(12.67+12.61)/2</f>
        <v>12.64</v>
      </c>
      <c r="H153" s="239"/>
    </row>
    <row r="154" spans="1:8" ht="25.5" customHeight="1" x14ac:dyDescent="0.25">
      <c r="A154" s="86">
        <v>41790</v>
      </c>
      <c r="B154" s="236" t="s">
        <v>1802</v>
      </c>
      <c r="C154" s="237">
        <v>10350</v>
      </c>
      <c r="D154" s="238" t="s">
        <v>122</v>
      </c>
      <c r="E154" s="238" t="s">
        <v>122</v>
      </c>
      <c r="F154" s="240">
        <v>0.67</v>
      </c>
      <c r="G154" s="87">
        <f>(32.75+32.59)/2</f>
        <v>32.67</v>
      </c>
      <c r="H154" s="239"/>
    </row>
    <row r="155" spans="1:8" ht="25.5" customHeight="1" x14ac:dyDescent="0.25">
      <c r="A155" s="86">
        <v>41791</v>
      </c>
      <c r="B155" s="236" t="s">
        <v>1803</v>
      </c>
      <c r="C155" s="237">
        <v>10250</v>
      </c>
      <c r="D155" s="238" t="s">
        <v>122</v>
      </c>
      <c r="E155" s="238" t="s">
        <v>122</v>
      </c>
      <c r="F155" s="240">
        <v>0.67</v>
      </c>
      <c r="G155" s="240">
        <f>(32.43+32.59)/2</f>
        <v>32.510000000000005</v>
      </c>
      <c r="H155" s="239"/>
    </row>
    <row r="156" spans="1:8" ht="25.5" customHeight="1" x14ac:dyDescent="0.25">
      <c r="A156" s="86">
        <v>41792</v>
      </c>
      <c r="B156" s="236" t="s">
        <v>1804</v>
      </c>
      <c r="C156" s="237">
        <v>10150</v>
      </c>
      <c r="D156" s="238" t="s">
        <v>122</v>
      </c>
      <c r="E156" s="238" t="s">
        <v>122</v>
      </c>
      <c r="F156" s="240">
        <v>0.67</v>
      </c>
      <c r="G156" s="240">
        <f>(32.27+32.43)/2</f>
        <v>32.35</v>
      </c>
      <c r="H156" s="239"/>
    </row>
    <row r="157" spans="1:8" ht="25.5" customHeight="1" x14ac:dyDescent="0.25">
      <c r="A157" s="86">
        <v>41793</v>
      </c>
      <c r="B157" s="236" t="s">
        <v>1805</v>
      </c>
      <c r="C157" s="237">
        <v>10050</v>
      </c>
      <c r="D157" s="238" t="s">
        <v>122</v>
      </c>
      <c r="E157" s="238" t="s">
        <v>122</v>
      </c>
      <c r="F157" s="240">
        <v>0.5</v>
      </c>
      <c r="G157" s="240">
        <f>(24.44+24.32)/2</f>
        <v>24.380000000000003</v>
      </c>
      <c r="H157" s="239"/>
    </row>
    <row r="158" spans="1:8" ht="25.5" customHeight="1" x14ac:dyDescent="0.25">
      <c r="A158" s="86">
        <v>41794</v>
      </c>
      <c r="B158" s="236" t="s">
        <v>1786</v>
      </c>
      <c r="C158" s="237">
        <v>10000</v>
      </c>
      <c r="D158" s="238" t="s">
        <v>122</v>
      </c>
      <c r="E158" s="238" t="s">
        <v>122</v>
      </c>
      <c r="F158" s="240" t="s">
        <v>122</v>
      </c>
      <c r="G158" s="240" t="s">
        <v>122</v>
      </c>
      <c r="H158" s="239"/>
    </row>
    <row r="159" spans="1:8" ht="25.5" customHeight="1" x14ac:dyDescent="0.25">
      <c r="A159" s="86">
        <v>41795</v>
      </c>
      <c r="B159" s="236" t="s">
        <v>1786</v>
      </c>
      <c r="C159" s="237">
        <v>10000</v>
      </c>
      <c r="D159" s="238" t="s">
        <v>122</v>
      </c>
      <c r="E159" s="238" t="s">
        <v>122</v>
      </c>
      <c r="F159" s="240" t="s">
        <v>122</v>
      </c>
      <c r="G159" s="240" t="s">
        <v>122</v>
      </c>
      <c r="H159" s="239"/>
    </row>
    <row r="160" spans="1:8" ht="25.5" customHeight="1" x14ac:dyDescent="0.25">
      <c r="A160" s="86">
        <v>41796</v>
      </c>
      <c r="B160" s="236" t="s">
        <v>1786</v>
      </c>
      <c r="C160" s="237">
        <v>10000</v>
      </c>
      <c r="D160" s="238" t="s">
        <v>122</v>
      </c>
      <c r="E160" s="238" t="s">
        <v>122</v>
      </c>
      <c r="F160" s="240" t="s">
        <v>122</v>
      </c>
      <c r="G160" s="240" t="s">
        <v>122</v>
      </c>
      <c r="H160" s="239"/>
    </row>
    <row r="161" spans="1:8" ht="25.5" customHeight="1" x14ac:dyDescent="0.25">
      <c r="A161" s="86">
        <v>41797</v>
      </c>
      <c r="B161" s="236" t="s">
        <v>1786</v>
      </c>
      <c r="C161" s="237">
        <v>10000</v>
      </c>
      <c r="D161" s="238" t="s">
        <v>122</v>
      </c>
      <c r="E161" s="238" t="s">
        <v>122</v>
      </c>
      <c r="F161" s="240">
        <v>0.67</v>
      </c>
      <c r="G161" s="240">
        <v>32.1</v>
      </c>
      <c r="H161" s="239"/>
    </row>
    <row r="162" spans="1:8" ht="25.5" customHeight="1" x14ac:dyDescent="0.25">
      <c r="A162" s="86">
        <v>41798</v>
      </c>
      <c r="B162" s="236" t="s">
        <v>1787</v>
      </c>
      <c r="C162" s="237">
        <v>9900</v>
      </c>
      <c r="D162" s="238" t="s">
        <v>122</v>
      </c>
      <c r="E162" s="238" t="s">
        <v>122</v>
      </c>
      <c r="F162" s="240">
        <v>0.67</v>
      </c>
      <c r="G162" s="240">
        <v>31.94</v>
      </c>
      <c r="H162" s="239"/>
    </row>
    <row r="163" spans="1:8" ht="25.5" customHeight="1" x14ac:dyDescent="0.25">
      <c r="A163" s="86">
        <v>41799</v>
      </c>
      <c r="B163" s="236" t="s">
        <v>1788</v>
      </c>
      <c r="C163" s="237">
        <v>9800</v>
      </c>
      <c r="D163" s="238" t="s">
        <v>122</v>
      </c>
      <c r="E163" s="238" t="s">
        <v>122</v>
      </c>
      <c r="F163" s="240">
        <v>0.67</v>
      </c>
      <c r="G163" s="240">
        <v>31.77</v>
      </c>
      <c r="H163" s="239"/>
    </row>
    <row r="164" spans="1:8" ht="25.5" customHeight="1" x14ac:dyDescent="0.25">
      <c r="A164" s="86">
        <v>41800</v>
      </c>
      <c r="B164" s="236" t="s">
        <v>1789</v>
      </c>
      <c r="C164" s="237">
        <v>9700</v>
      </c>
      <c r="D164" s="238" t="s">
        <v>122</v>
      </c>
      <c r="E164" s="238" t="s">
        <v>122</v>
      </c>
      <c r="F164" s="240">
        <v>0.67</v>
      </c>
      <c r="G164" s="240">
        <v>31.61</v>
      </c>
      <c r="H164" s="239"/>
    </row>
    <row r="165" spans="1:8" ht="25.5" customHeight="1" x14ac:dyDescent="0.25">
      <c r="A165" s="86">
        <v>41801</v>
      </c>
      <c r="B165" s="236" t="s">
        <v>1767</v>
      </c>
      <c r="C165" s="237">
        <v>9600</v>
      </c>
      <c r="D165" s="238" t="s">
        <v>122</v>
      </c>
      <c r="E165" s="238" t="s">
        <v>122</v>
      </c>
      <c r="F165" s="240">
        <v>0.5</v>
      </c>
      <c r="G165" s="240">
        <v>23.83</v>
      </c>
      <c r="H165" s="239"/>
    </row>
    <row r="166" spans="1:8" ht="25.5" customHeight="1" x14ac:dyDescent="0.25">
      <c r="A166" s="86">
        <v>41802</v>
      </c>
      <c r="B166" s="236" t="s">
        <v>1766</v>
      </c>
      <c r="C166" s="237">
        <v>9500</v>
      </c>
      <c r="D166" s="238" t="s">
        <v>122</v>
      </c>
      <c r="E166" s="238" t="s">
        <v>122</v>
      </c>
      <c r="F166" s="240" t="s">
        <v>122</v>
      </c>
      <c r="G166" s="240" t="s">
        <v>122</v>
      </c>
      <c r="H166" s="239"/>
    </row>
    <row r="167" spans="1:8" ht="25.5" customHeight="1" x14ac:dyDescent="0.25">
      <c r="A167" s="86">
        <v>41803</v>
      </c>
      <c r="B167" s="236" t="s">
        <v>1766</v>
      </c>
      <c r="C167" s="237">
        <v>9500</v>
      </c>
      <c r="D167" s="238" t="s">
        <v>122</v>
      </c>
      <c r="E167" s="238" t="s">
        <v>122</v>
      </c>
      <c r="F167" s="240" t="s">
        <v>122</v>
      </c>
      <c r="G167" s="240" t="s">
        <v>122</v>
      </c>
      <c r="H167" s="239"/>
    </row>
    <row r="168" spans="1:8" ht="25.5" customHeight="1" x14ac:dyDescent="0.25">
      <c r="A168" s="86">
        <v>41804</v>
      </c>
      <c r="B168" s="236" t="s">
        <v>1766</v>
      </c>
      <c r="C168" s="237">
        <v>9500</v>
      </c>
      <c r="D168" s="238" t="s">
        <v>122</v>
      </c>
      <c r="E168" s="238" t="s">
        <v>122</v>
      </c>
      <c r="F168" s="240" t="s">
        <v>122</v>
      </c>
      <c r="G168" s="240" t="s">
        <v>122</v>
      </c>
      <c r="H168" s="239"/>
    </row>
    <row r="169" spans="1:8" ht="25.5" customHeight="1" x14ac:dyDescent="0.25">
      <c r="A169" s="86">
        <v>41805</v>
      </c>
      <c r="B169" s="236" t="s">
        <v>1765</v>
      </c>
      <c r="C169" s="237">
        <v>9400</v>
      </c>
      <c r="D169" s="238" t="s">
        <v>122</v>
      </c>
      <c r="E169" s="238" t="s">
        <v>122</v>
      </c>
      <c r="F169" s="240">
        <v>0.67</v>
      </c>
      <c r="G169" s="240">
        <v>31.11</v>
      </c>
      <c r="H169" s="239"/>
    </row>
    <row r="170" spans="1:8" ht="25.5" customHeight="1" x14ac:dyDescent="0.25">
      <c r="A170" s="86">
        <v>41806</v>
      </c>
      <c r="B170" s="236" t="s">
        <v>1790</v>
      </c>
      <c r="C170" s="237">
        <v>9350</v>
      </c>
      <c r="D170" s="238" t="s">
        <v>122</v>
      </c>
      <c r="E170" s="238" t="s">
        <v>122</v>
      </c>
      <c r="F170" s="240">
        <v>0.67</v>
      </c>
      <c r="G170" s="87">
        <f>(30.94+31.11)/2</f>
        <v>31.024999999999999</v>
      </c>
      <c r="H170" s="239"/>
    </row>
    <row r="171" spans="1:8" ht="25.5" customHeight="1" x14ac:dyDescent="0.25">
      <c r="A171" s="86">
        <v>41807</v>
      </c>
      <c r="B171" s="236" t="s">
        <v>1762</v>
      </c>
      <c r="C171" s="237">
        <v>9200</v>
      </c>
      <c r="D171" s="238" t="s">
        <v>122</v>
      </c>
      <c r="E171" s="238" t="s">
        <v>122</v>
      </c>
      <c r="F171" s="240">
        <v>0.75</v>
      </c>
      <c r="G171" s="240">
        <v>34.42</v>
      </c>
      <c r="H171" s="239"/>
    </row>
    <row r="172" spans="1:8" ht="25.5" customHeight="1" x14ac:dyDescent="0.25">
      <c r="A172" s="86">
        <v>41808</v>
      </c>
      <c r="B172" s="236" t="s">
        <v>1792</v>
      </c>
      <c r="C172" s="237">
        <v>9100</v>
      </c>
      <c r="D172" s="238" t="s">
        <v>122</v>
      </c>
      <c r="E172" s="238" t="s">
        <v>122</v>
      </c>
      <c r="F172" s="240">
        <v>0.75</v>
      </c>
      <c r="G172" s="87">
        <f>(34.13+34.32)/2</f>
        <v>34.225000000000001</v>
      </c>
      <c r="H172" s="239"/>
    </row>
    <row r="173" spans="1:8" ht="25.5" customHeight="1" x14ac:dyDescent="0.25">
      <c r="A173" s="86">
        <v>41809</v>
      </c>
      <c r="B173" s="236" t="s">
        <v>1806</v>
      </c>
      <c r="C173" s="237">
        <v>9000</v>
      </c>
      <c r="D173" s="238" t="s">
        <v>122</v>
      </c>
      <c r="E173" s="238" t="s">
        <v>122</v>
      </c>
      <c r="F173" s="240">
        <v>0.57999999999999996</v>
      </c>
      <c r="G173" s="87">
        <f>(26.7+26.85)/2</f>
        <v>26.774999999999999</v>
      </c>
      <c r="H173" s="239"/>
    </row>
    <row r="174" spans="1:8" ht="25.5" customHeight="1" x14ac:dyDescent="0.25">
      <c r="A174" s="86">
        <v>41810</v>
      </c>
      <c r="B174" s="236" t="s">
        <v>1807</v>
      </c>
      <c r="C174" s="237">
        <v>8900</v>
      </c>
      <c r="D174" s="238" t="s">
        <v>122</v>
      </c>
      <c r="E174" s="238" t="s">
        <v>122</v>
      </c>
      <c r="F174" s="240">
        <v>0.5</v>
      </c>
      <c r="G174" s="87">
        <v>22.95</v>
      </c>
      <c r="H174" s="239"/>
    </row>
    <row r="175" spans="1:8" ht="25.5" customHeight="1" x14ac:dyDescent="0.25">
      <c r="A175" s="86">
        <v>41811</v>
      </c>
      <c r="B175" s="236" t="s">
        <v>1807</v>
      </c>
      <c r="C175" s="237">
        <v>8900</v>
      </c>
      <c r="D175" s="238" t="s">
        <v>122</v>
      </c>
      <c r="E175" s="238" t="s">
        <v>122</v>
      </c>
      <c r="F175" s="240">
        <v>0.5</v>
      </c>
      <c r="G175" s="240">
        <v>22.95</v>
      </c>
      <c r="H175" s="239"/>
    </row>
    <row r="176" spans="1:8" ht="25.5" customHeight="1" x14ac:dyDescent="0.25">
      <c r="A176" s="86">
        <v>41812</v>
      </c>
      <c r="B176" s="236" t="s">
        <v>1808</v>
      </c>
      <c r="C176" s="237">
        <v>8800</v>
      </c>
      <c r="D176" s="238" t="s">
        <v>122</v>
      </c>
      <c r="E176" s="238" t="s">
        <v>122</v>
      </c>
      <c r="F176" s="240" t="s">
        <v>122</v>
      </c>
      <c r="G176" s="240" t="s">
        <v>122</v>
      </c>
      <c r="H176" s="239"/>
    </row>
    <row r="177" spans="1:8" ht="25.5" customHeight="1" x14ac:dyDescent="0.25">
      <c r="A177" s="86">
        <v>41813</v>
      </c>
      <c r="B177" s="236" t="s">
        <v>1808</v>
      </c>
      <c r="C177" s="237">
        <v>8800</v>
      </c>
      <c r="D177" s="238" t="s">
        <v>122</v>
      </c>
      <c r="E177" s="238" t="s">
        <v>122</v>
      </c>
      <c r="F177" s="240" t="s">
        <v>122</v>
      </c>
      <c r="G177" s="240" t="s">
        <v>122</v>
      </c>
      <c r="H177" s="239"/>
    </row>
    <row r="178" spans="1:8" ht="25.5" customHeight="1" x14ac:dyDescent="0.25">
      <c r="A178" s="86">
        <v>41814</v>
      </c>
      <c r="B178" s="236" t="s">
        <v>1808</v>
      </c>
      <c r="C178" s="237">
        <v>8800</v>
      </c>
      <c r="D178" s="238" t="s">
        <v>122</v>
      </c>
      <c r="E178" s="238" t="s">
        <v>122</v>
      </c>
      <c r="F178" s="240" t="s">
        <v>122</v>
      </c>
      <c r="G178" s="240" t="s">
        <v>122</v>
      </c>
      <c r="H178" s="239"/>
    </row>
    <row r="179" spans="1:8" ht="25.5" customHeight="1" x14ac:dyDescent="0.25">
      <c r="A179" s="86">
        <v>41815</v>
      </c>
      <c r="B179" s="236" t="s">
        <v>1809</v>
      </c>
      <c r="C179" s="237">
        <v>8750</v>
      </c>
      <c r="D179" s="238" t="s">
        <v>122</v>
      </c>
      <c r="E179" s="238" t="s">
        <v>122</v>
      </c>
      <c r="F179" s="240">
        <v>0.83</v>
      </c>
      <c r="G179" s="87">
        <f>((36.93+37.15)/2)</f>
        <v>37.04</v>
      </c>
      <c r="H179" s="239"/>
    </row>
    <row r="180" spans="1:8" ht="25.5" customHeight="1" x14ac:dyDescent="0.25">
      <c r="A180" s="86">
        <v>41816</v>
      </c>
      <c r="B180" s="236" t="s">
        <v>1810</v>
      </c>
      <c r="C180" s="237">
        <v>8600</v>
      </c>
      <c r="D180" s="238" t="s">
        <v>122</v>
      </c>
      <c r="E180" s="238" t="s">
        <v>122</v>
      </c>
      <c r="F180" s="240">
        <v>0.83</v>
      </c>
      <c r="G180" s="240">
        <v>36.71</v>
      </c>
      <c r="H180" s="239"/>
    </row>
    <row r="181" spans="1:8" ht="25.5" customHeight="1" x14ac:dyDescent="0.25">
      <c r="A181" s="86">
        <v>41817</v>
      </c>
      <c r="B181" s="236" t="s">
        <v>1811</v>
      </c>
      <c r="C181" s="237">
        <v>8500</v>
      </c>
      <c r="D181" s="238" t="s">
        <v>122</v>
      </c>
      <c r="E181" s="238" t="s">
        <v>122</v>
      </c>
      <c r="F181" s="240">
        <v>0.83</v>
      </c>
      <c r="G181" s="87">
        <v>36.479999999999997</v>
      </c>
      <c r="H181" s="239"/>
    </row>
    <row r="182" spans="1:8" ht="25.5" customHeight="1" x14ac:dyDescent="0.25">
      <c r="A182" s="86">
        <v>41818</v>
      </c>
      <c r="B182" s="236" t="s">
        <v>1812</v>
      </c>
      <c r="C182" s="237">
        <v>8400</v>
      </c>
      <c r="D182" s="238" t="s">
        <v>122</v>
      </c>
      <c r="E182" s="238" t="s">
        <v>122</v>
      </c>
      <c r="F182" s="240">
        <v>0.67</v>
      </c>
      <c r="G182" s="87">
        <v>29.37</v>
      </c>
      <c r="H182" s="239"/>
    </row>
    <row r="183" spans="1:8" ht="25.5" customHeight="1" x14ac:dyDescent="0.25">
      <c r="A183" s="86">
        <v>41819</v>
      </c>
      <c r="B183" s="236" t="s">
        <v>1813</v>
      </c>
      <c r="C183" s="237">
        <v>8300</v>
      </c>
      <c r="D183" s="238" t="s">
        <v>122</v>
      </c>
      <c r="E183" s="238" t="s">
        <v>122</v>
      </c>
      <c r="F183" s="240">
        <v>0.67</v>
      </c>
      <c r="G183" s="87">
        <v>29.19</v>
      </c>
      <c r="H183" s="239"/>
    </row>
    <row r="184" spans="1:8" ht="25.5" customHeight="1" x14ac:dyDescent="0.25">
      <c r="A184" s="86">
        <v>41820</v>
      </c>
      <c r="B184" s="236" t="s">
        <v>1813</v>
      </c>
      <c r="C184" s="237">
        <v>8300</v>
      </c>
      <c r="D184" s="238" t="s">
        <v>122</v>
      </c>
      <c r="E184" s="238" t="s">
        <v>122</v>
      </c>
      <c r="F184" s="240" t="s">
        <v>122</v>
      </c>
      <c r="G184" s="87" t="s">
        <v>122</v>
      </c>
      <c r="H184" s="239"/>
    </row>
    <row r="185" spans="1:8" ht="25.5" customHeight="1" x14ac:dyDescent="0.25">
      <c r="A185" s="86">
        <v>41821</v>
      </c>
      <c r="B185" s="236" t="s">
        <v>1813</v>
      </c>
      <c r="C185" s="237">
        <v>8300</v>
      </c>
      <c r="D185" s="238" t="s">
        <v>122</v>
      </c>
      <c r="E185" s="238" t="s">
        <v>122</v>
      </c>
      <c r="F185" s="240" t="s">
        <v>122</v>
      </c>
      <c r="G185" s="240" t="s">
        <v>122</v>
      </c>
      <c r="H185" s="239"/>
    </row>
    <row r="186" spans="1:8" ht="25.5" customHeight="1" x14ac:dyDescent="0.25">
      <c r="A186" s="86">
        <v>41822</v>
      </c>
      <c r="B186" s="236" t="s">
        <v>1813</v>
      </c>
      <c r="C186" s="237">
        <v>8300</v>
      </c>
      <c r="D186" s="238" t="s">
        <v>122</v>
      </c>
      <c r="E186" s="238" t="s">
        <v>122</v>
      </c>
      <c r="F186" s="240" t="s">
        <v>122</v>
      </c>
      <c r="G186" s="240" t="s">
        <v>122</v>
      </c>
      <c r="H186" s="239"/>
    </row>
    <row r="187" spans="1:8" ht="25.5" customHeight="1" x14ac:dyDescent="0.25">
      <c r="A187" s="86">
        <v>41823</v>
      </c>
      <c r="B187" s="236" t="s">
        <v>1813</v>
      </c>
      <c r="C187" s="237">
        <v>8300</v>
      </c>
      <c r="D187" s="238" t="s">
        <v>122</v>
      </c>
      <c r="E187" s="238" t="s">
        <v>122</v>
      </c>
      <c r="F187" s="240" t="s">
        <v>122</v>
      </c>
      <c r="G187" s="240" t="s">
        <v>122</v>
      </c>
      <c r="H187" s="239"/>
    </row>
    <row r="188" spans="1:8" ht="25.5" customHeight="1" x14ac:dyDescent="0.25">
      <c r="A188" s="86">
        <v>41824</v>
      </c>
      <c r="B188" s="236" t="s">
        <v>1814</v>
      </c>
      <c r="C188" s="237">
        <v>8275</v>
      </c>
      <c r="D188" s="238" t="s">
        <v>122</v>
      </c>
      <c r="E188" s="238" t="s">
        <v>122</v>
      </c>
      <c r="F188" s="240">
        <v>0.67</v>
      </c>
      <c r="G188" s="240">
        <v>29.19</v>
      </c>
      <c r="H188" s="239"/>
    </row>
    <row r="189" spans="1:8" ht="25.5" customHeight="1" x14ac:dyDescent="0.25">
      <c r="A189" s="86">
        <v>41825</v>
      </c>
      <c r="B189" s="236" t="s">
        <v>1815</v>
      </c>
      <c r="C189" s="237">
        <v>8200</v>
      </c>
      <c r="D189" s="238" t="s">
        <v>122</v>
      </c>
      <c r="E189" s="238" t="s">
        <v>122</v>
      </c>
      <c r="F189" s="240">
        <v>0.67</v>
      </c>
      <c r="G189" s="240">
        <v>28.82</v>
      </c>
      <c r="H189" s="239"/>
    </row>
    <row r="190" spans="1:8" ht="25.5" customHeight="1" x14ac:dyDescent="0.25">
      <c r="A190" s="86">
        <v>41826</v>
      </c>
      <c r="B190" s="236" t="s">
        <v>1816</v>
      </c>
      <c r="C190" s="237">
        <v>8100</v>
      </c>
      <c r="D190" s="238" t="s">
        <v>122</v>
      </c>
      <c r="E190" s="238" t="s">
        <v>122</v>
      </c>
      <c r="F190" s="240">
        <v>0.5</v>
      </c>
      <c r="G190" s="240">
        <v>21.76</v>
      </c>
      <c r="H190" s="239"/>
    </row>
    <row r="191" spans="1:8" ht="25.5" customHeight="1" x14ac:dyDescent="0.25">
      <c r="A191" s="86">
        <v>41827</v>
      </c>
      <c r="B191" s="236" t="s">
        <v>1817</v>
      </c>
      <c r="C191" s="237">
        <v>8050</v>
      </c>
      <c r="D191" s="238" t="s">
        <v>122</v>
      </c>
      <c r="E191" s="238" t="s">
        <v>122</v>
      </c>
      <c r="F191" s="240">
        <v>0.5</v>
      </c>
      <c r="G191" s="240">
        <f>(21.76+21.62)/2</f>
        <v>21.69</v>
      </c>
      <c r="H191" s="239"/>
    </row>
    <row r="192" spans="1:8" ht="25.5" customHeight="1" x14ac:dyDescent="0.25">
      <c r="A192" s="86">
        <v>41828</v>
      </c>
      <c r="B192" s="236" t="s">
        <v>1818</v>
      </c>
      <c r="C192" s="237">
        <v>8000</v>
      </c>
      <c r="D192" s="238" t="s">
        <v>122</v>
      </c>
      <c r="E192" s="238" t="s">
        <v>122</v>
      </c>
      <c r="F192" s="240">
        <v>0.33</v>
      </c>
      <c r="G192" s="240">
        <v>14.59</v>
      </c>
      <c r="H192" s="239"/>
    </row>
    <row r="193" spans="1:8" ht="25.5" customHeight="1" x14ac:dyDescent="0.25">
      <c r="A193" s="86">
        <v>41829</v>
      </c>
      <c r="B193" s="236" t="s">
        <v>1819</v>
      </c>
      <c r="C193" s="237">
        <v>7900</v>
      </c>
      <c r="D193" s="238" t="s">
        <v>122</v>
      </c>
      <c r="E193" s="238" t="s">
        <v>122</v>
      </c>
      <c r="F193" s="240" t="s">
        <v>122</v>
      </c>
      <c r="G193" s="240" t="s">
        <v>122</v>
      </c>
      <c r="H193" s="239"/>
    </row>
    <row r="194" spans="1:8" ht="25.5" customHeight="1" x14ac:dyDescent="0.25">
      <c r="A194" s="86">
        <v>41830</v>
      </c>
      <c r="B194" s="236" t="s">
        <v>1819</v>
      </c>
      <c r="C194" s="237">
        <v>7900</v>
      </c>
      <c r="D194" s="238" t="s">
        <v>122</v>
      </c>
      <c r="E194" s="238" t="s">
        <v>122</v>
      </c>
      <c r="F194" s="240" t="s">
        <v>122</v>
      </c>
      <c r="G194" s="240" t="s">
        <v>122</v>
      </c>
      <c r="H194" s="239"/>
    </row>
    <row r="195" spans="1:8" ht="25.5" customHeight="1" x14ac:dyDescent="0.25">
      <c r="A195" s="86">
        <v>41831</v>
      </c>
      <c r="B195" s="236" t="s">
        <v>1819</v>
      </c>
      <c r="C195" s="237">
        <v>7900</v>
      </c>
      <c r="D195" s="238" t="s">
        <v>122</v>
      </c>
      <c r="E195" s="238" t="s">
        <v>122</v>
      </c>
      <c r="F195" s="240" t="s">
        <v>122</v>
      </c>
      <c r="G195" s="240" t="s">
        <v>122</v>
      </c>
      <c r="H195" s="239"/>
    </row>
    <row r="196" spans="1:8" ht="25.5" customHeight="1" x14ac:dyDescent="0.25">
      <c r="A196" s="86">
        <v>41832</v>
      </c>
      <c r="B196" s="236" t="s">
        <v>1819</v>
      </c>
      <c r="C196" s="237">
        <v>7900</v>
      </c>
      <c r="D196" s="238" t="s">
        <v>122</v>
      </c>
      <c r="E196" s="238" t="s">
        <v>122</v>
      </c>
      <c r="F196" s="240" t="s">
        <v>122</v>
      </c>
      <c r="G196" s="240" t="s">
        <v>122</v>
      </c>
      <c r="H196" s="239"/>
    </row>
    <row r="197" spans="1:8" ht="25.5" customHeight="1" x14ac:dyDescent="0.25">
      <c r="A197" s="86">
        <v>41833</v>
      </c>
      <c r="B197" s="236" t="s">
        <v>1820</v>
      </c>
      <c r="C197" s="237">
        <v>7800</v>
      </c>
      <c r="D197" s="238" t="s">
        <v>122</v>
      </c>
      <c r="E197" s="238" t="s">
        <v>122</v>
      </c>
      <c r="F197" s="240" t="s">
        <v>122</v>
      </c>
      <c r="G197" s="240" t="s">
        <v>122</v>
      </c>
      <c r="H197" s="239"/>
    </row>
    <row r="198" spans="1:8" ht="25.5" customHeight="1" x14ac:dyDescent="0.25">
      <c r="A198" s="86">
        <v>41834</v>
      </c>
      <c r="B198" s="236" t="s">
        <v>1820</v>
      </c>
      <c r="C198" s="237">
        <v>7800</v>
      </c>
      <c r="D198" s="238" t="s">
        <v>122</v>
      </c>
      <c r="E198" s="238" t="s">
        <v>122</v>
      </c>
      <c r="F198" s="240" t="s">
        <v>122</v>
      </c>
      <c r="G198" s="240" t="s">
        <v>122</v>
      </c>
      <c r="H198" s="239"/>
    </row>
    <row r="199" spans="1:8" ht="25.5" customHeight="1" x14ac:dyDescent="0.25">
      <c r="A199" s="86">
        <v>41835</v>
      </c>
      <c r="B199" s="236" t="s">
        <v>1820</v>
      </c>
      <c r="C199" s="237">
        <v>7800</v>
      </c>
      <c r="D199" s="238" t="s">
        <v>122</v>
      </c>
      <c r="E199" s="238" t="s">
        <v>122</v>
      </c>
      <c r="F199" s="240" t="s">
        <v>122</v>
      </c>
      <c r="G199" s="240" t="s">
        <v>122</v>
      </c>
      <c r="H199" s="239"/>
    </row>
    <row r="200" spans="1:8" ht="25.5" customHeight="1" x14ac:dyDescent="0.25">
      <c r="A200" s="86">
        <v>41836</v>
      </c>
      <c r="B200" s="236" t="s">
        <v>1821</v>
      </c>
      <c r="C200" s="237">
        <v>7700</v>
      </c>
      <c r="D200" s="238" t="s">
        <v>122</v>
      </c>
      <c r="E200" s="238" t="s">
        <v>122</v>
      </c>
      <c r="F200" s="240" t="s">
        <v>122</v>
      </c>
      <c r="G200" s="240" t="s">
        <v>122</v>
      </c>
      <c r="H200" s="239"/>
    </row>
    <row r="201" spans="1:8" ht="25.5" customHeight="1" x14ac:dyDescent="0.25">
      <c r="A201" s="86">
        <v>41837</v>
      </c>
      <c r="B201" s="236" t="s">
        <v>1821</v>
      </c>
      <c r="C201" s="237">
        <v>7700</v>
      </c>
      <c r="D201" s="238" t="s">
        <v>122</v>
      </c>
      <c r="E201" s="238" t="s">
        <v>122</v>
      </c>
      <c r="F201" s="240" t="s">
        <v>122</v>
      </c>
      <c r="G201" s="240" t="s">
        <v>122</v>
      </c>
      <c r="H201" s="239"/>
    </row>
    <row r="202" spans="1:8" ht="25.5" customHeight="1" x14ac:dyDescent="0.25">
      <c r="A202" s="86">
        <v>41838</v>
      </c>
      <c r="B202" s="236" t="s">
        <v>1821</v>
      </c>
      <c r="C202" s="237">
        <v>7700</v>
      </c>
      <c r="D202" s="238" t="s">
        <v>122</v>
      </c>
      <c r="E202" s="238" t="s">
        <v>122</v>
      </c>
      <c r="F202" s="240" t="s">
        <v>122</v>
      </c>
      <c r="G202" s="240" t="s">
        <v>122</v>
      </c>
      <c r="H202" s="239"/>
    </row>
    <row r="203" spans="1:8" ht="25.5" customHeight="1" x14ac:dyDescent="0.25">
      <c r="A203" s="86">
        <v>41839</v>
      </c>
      <c r="B203" s="236" t="s">
        <v>1821</v>
      </c>
      <c r="C203" s="237">
        <v>7700</v>
      </c>
      <c r="D203" s="238" t="s">
        <v>122</v>
      </c>
      <c r="E203" s="238" t="s">
        <v>122</v>
      </c>
      <c r="F203" s="240" t="s">
        <v>122</v>
      </c>
      <c r="G203" s="240" t="s">
        <v>122</v>
      </c>
      <c r="H203" s="239"/>
    </row>
    <row r="204" spans="1:8" ht="25.5" customHeight="1" x14ac:dyDescent="0.25">
      <c r="A204" s="86">
        <v>41840</v>
      </c>
      <c r="B204" s="236" t="s">
        <v>1822</v>
      </c>
      <c r="C204" s="237">
        <v>7600</v>
      </c>
      <c r="D204" s="238" t="s">
        <v>122</v>
      </c>
      <c r="E204" s="238" t="s">
        <v>122</v>
      </c>
      <c r="F204" s="240" t="s">
        <v>122</v>
      </c>
      <c r="G204" s="240" t="s">
        <v>122</v>
      </c>
      <c r="H204" s="239"/>
    </row>
    <row r="205" spans="1:8" ht="25.5" customHeight="1" x14ac:dyDescent="0.25">
      <c r="A205" s="86">
        <v>41841</v>
      </c>
      <c r="B205" s="236" t="s">
        <v>1822</v>
      </c>
      <c r="C205" s="237">
        <v>7600</v>
      </c>
      <c r="D205" s="238" t="s">
        <v>122</v>
      </c>
      <c r="E205" s="238" t="s">
        <v>122</v>
      </c>
      <c r="F205" s="240" t="s">
        <v>122</v>
      </c>
      <c r="G205" s="240" t="s">
        <v>122</v>
      </c>
      <c r="H205" s="239"/>
    </row>
    <row r="206" spans="1:8" ht="25.5" customHeight="1" x14ac:dyDescent="0.25">
      <c r="A206" s="86">
        <v>41842</v>
      </c>
      <c r="B206" s="236" t="s">
        <v>1822</v>
      </c>
      <c r="C206" s="237">
        <v>7600</v>
      </c>
      <c r="D206" s="238" t="s">
        <v>122</v>
      </c>
      <c r="E206" s="238" t="s">
        <v>122</v>
      </c>
      <c r="F206" s="240" t="s">
        <v>122</v>
      </c>
      <c r="G206" s="240" t="s">
        <v>122</v>
      </c>
      <c r="H206" s="239"/>
    </row>
    <row r="207" spans="1:8" ht="25.5" customHeight="1" x14ac:dyDescent="0.25">
      <c r="A207" s="86">
        <v>41843</v>
      </c>
      <c r="B207" s="236" t="s">
        <v>1822</v>
      </c>
      <c r="C207" s="237">
        <v>7600</v>
      </c>
      <c r="D207" s="238" t="s">
        <v>122</v>
      </c>
      <c r="E207" s="238" t="s">
        <v>122</v>
      </c>
      <c r="F207" s="240" t="s">
        <v>122</v>
      </c>
      <c r="G207" s="240" t="s">
        <v>122</v>
      </c>
      <c r="H207" s="239"/>
    </row>
    <row r="208" spans="1:8" ht="25.5" customHeight="1" x14ac:dyDescent="0.25">
      <c r="A208" s="86">
        <v>41844</v>
      </c>
      <c r="B208" s="236" t="s">
        <v>1823</v>
      </c>
      <c r="C208" s="237">
        <v>7500</v>
      </c>
      <c r="D208" s="238" t="s">
        <v>122</v>
      </c>
      <c r="E208" s="238" t="s">
        <v>122</v>
      </c>
      <c r="F208" s="240" t="s">
        <v>122</v>
      </c>
      <c r="G208" s="240" t="s">
        <v>122</v>
      </c>
      <c r="H208" s="239"/>
    </row>
    <row r="209" spans="1:8" ht="25.5" customHeight="1" x14ac:dyDescent="0.25">
      <c r="A209" s="86">
        <v>41845</v>
      </c>
      <c r="B209" s="236" t="s">
        <v>1823</v>
      </c>
      <c r="C209" s="237">
        <v>7500</v>
      </c>
      <c r="D209" s="238" t="s">
        <v>122</v>
      </c>
      <c r="E209" s="238" t="s">
        <v>122</v>
      </c>
      <c r="F209" s="240" t="s">
        <v>122</v>
      </c>
      <c r="G209" s="240" t="s">
        <v>122</v>
      </c>
      <c r="H209" s="239"/>
    </row>
    <row r="210" spans="1:8" ht="25.5" customHeight="1" x14ac:dyDescent="0.25">
      <c r="A210" s="86">
        <v>41846</v>
      </c>
      <c r="B210" s="236" t="s">
        <v>1823</v>
      </c>
      <c r="C210" s="237">
        <v>7500</v>
      </c>
      <c r="D210" s="238" t="s">
        <v>122</v>
      </c>
      <c r="E210" s="238" t="s">
        <v>122</v>
      </c>
      <c r="F210" s="240" t="s">
        <v>122</v>
      </c>
      <c r="G210" s="240" t="s">
        <v>122</v>
      </c>
      <c r="H210" s="239"/>
    </row>
    <row r="211" spans="1:8" ht="25.5" customHeight="1" x14ac:dyDescent="0.25">
      <c r="A211" s="86">
        <v>41847</v>
      </c>
      <c r="B211" s="236" t="s">
        <v>1823</v>
      </c>
      <c r="C211" s="237">
        <v>7500</v>
      </c>
      <c r="D211" s="238" t="s">
        <v>122</v>
      </c>
      <c r="E211" s="238" t="s">
        <v>122</v>
      </c>
      <c r="F211" s="240" t="s">
        <v>122</v>
      </c>
      <c r="G211" s="240" t="s">
        <v>122</v>
      </c>
      <c r="H211" s="239"/>
    </row>
    <row r="212" spans="1:8" ht="25.5" customHeight="1" x14ac:dyDescent="0.25">
      <c r="A212" s="86">
        <v>41848</v>
      </c>
      <c r="B212" s="236" t="s">
        <v>1824</v>
      </c>
      <c r="C212" s="237">
        <v>7450</v>
      </c>
      <c r="D212" s="238" t="s">
        <v>122</v>
      </c>
      <c r="E212" s="238" t="s">
        <v>122</v>
      </c>
      <c r="F212" s="240" t="s">
        <v>122</v>
      </c>
      <c r="G212" s="240" t="s">
        <v>122</v>
      </c>
      <c r="H212" s="239"/>
    </row>
    <row r="213" spans="1:8" ht="25.5" customHeight="1" x14ac:dyDescent="0.25">
      <c r="A213" s="86">
        <v>41849</v>
      </c>
      <c r="B213" s="236" t="s">
        <v>1824</v>
      </c>
      <c r="C213" s="237">
        <v>7450</v>
      </c>
      <c r="D213" s="238" t="s">
        <v>122</v>
      </c>
      <c r="E213" s="238" t="s">
        <v>122</v>
      </c>
      <c r="F213" s="240" t="s">
        <v>122</v>
      </c>
      <c r="G213" s="240" t="s">
        <v>122</v>
      </c>
      <c r="H213" s="239"/>
    </row>
    <row r="214" spans="1:8" ht="25.5" customHeight="1" x14ac:dyDescent="0.25">
      <c r="A214" s="86">
        <v>41850</v>
      </c>
      <c r="B214" s="236" t="s">
        <v>1824</v>
      </c>
      <c r="C214" s="237">
        <v>7450</v>
      </c>
      <c r="D214" s="238" t="s">
        <v>122</v>
      </c>
      <c r="E214" s="238" t="s">
        <v>122</v>
      </c>
      <c r="F214" s="240" t="s">
        <v>122</v>
      </c>
      <c r="G214" s="240" t="s">
        <v>122</v>
      </c>
      <c r="H214" s="239"/>
    </row>
    <row r="215" spans="1:8" ht="25.5" customHeight="1" x14ac:dyDescent="0.25">
      <c r="A215" s="86">
        <v>41851</v>
      </c>
      <c r="B215" s="236" t="s">
        <v>1824</v>
      </c>
      <c r="C215" s="237">
        <v>7450</v>
      </c>
      <c r="D215" s="238" t="s">
        <v>122</v>
      </c>
      <c r="E215" s="238" t="s">
        <v>122</v>
      </c>
      <c r="F215" s="240" t="s">
        <v>122</v>
      </c>
      <c r="G215" s="240" t="s">
        <v>122</v>
      </c>
      <c r="H215" s="239"/>
    </row>
    <row r="216" spans="1:8" ht="25.5" customHeight="1" x14ac:dyDescent="0.25">
      <c r="A216" s="242">
        <v>41852</v>
      </c>
      <c r="B216" s="243" t="s">
        <v>1824</v>
      </c>
      <c r="C216" s="244">
        <v>7450</v>
      </c>
      <c r="D216" s="238" t="s">
        <v>122</v>
      </c>
      <c r="E216" s="238" t="s">
        <v>122</v>
      </c>
      <c r="F216" s="240" t="s">
        <v>122</v>
      </c>
      <c r="G216" s="240" t="s">
        <v>122</v>
      </c>
      <c r="H216" s="239"/>
    </row>
    <row r="217" spans="1:8" ht="25.5" customHeight="1" x14ac:dyDescent="0.25">
      <c r="A217" s="242">
        <v>41853</v>
      </c>
      <c r="B217" s="243" t="s">
        <v>1825</v>
      </c>
      <c r="C217" s="244">
        <v>7450</v>
      </c>
      <c r="D217" s="238" t="s">
        <v>122</v>
      </c>
      <c r="E217" s="238" t="s">
        <v>122</v>
      </c>
      <c r="F217" s="240" t="s">
        <v>122</v>
      </c>
      <c r="G217" s="240" t="s">
        <v>122</v>
      </c>
      <c r="H217" s="239"/>
    </row>
    <row r="218" spans="1:8" ht="25.5" customHeight="1" x14ac:dyDescent="0.25">
      <c r="A218" s="242">
        <v>41854</v>
      </c>
      <c r="B218" s="243" t="s">
        <v>1825</v>
      </c>
      <c r="C218" s="244">
        <v>7400</v>
      </c>
      <c r="D218" s="238" t="s">
        <v>122</v>
      </c>
      <c r="E218" s="238" t="s">
        <v>122</v>
      </c>
      <c r="F218" s="240" t="s">
        <v>122</v>
      </c>
      <c r="G218" s="240" t="s">
        <v>122</v>
      </c>
      <c r="H218" s="239"/>
    </row>
    <row r="219" spans="1:8" ht="25.5" customHeight="1" x14ac:dyDescent="0.25">
      <c r="A219" s="242">
        <v>41855</v>
      </c>
      <c r="B219" s="243" t="s">
        <v>1825</v>
      </c>
      <c r="C219" s="244">
        <v>7400</v>
      </c>
      <c r="D219" s="238" t="s">
        <v>122</v>
      </c>
      <c r="E219" s="238" t="s">
        <v>122</v>
      </c>
      <c r="F219" s="240" t="s">
        <v>122</v>
      </c>
      <c r="G219" s="240" t="s">
        <v>122</v>
      </c>
      <c r="H219" s="239"/>
    </row>
    <row r="220" spans="1:8" ht="25.5" customHeight="1" x14ac:dyDescent="0.25">
      <c r="A220" s="242">
        <v>41856</v>
      </c>
      <c r="B220" s="243" t="s">
        <v>1826</v>
      </c>
      <c r="C220" s="244">
        <v>7300</v>
      </c>
      <c r="D220" s="238" t="s">
        <v>122</v>
      </c>
      <c r="E220" s="238" t="s">
        <v>122</v>
      </c>
      <c r="F220" s="240" t="s">
        <v>122</v>
      </c>
      <c r="G220" s="240" t="s">
        <v>122</v>
      </c>
      <c r="H220" s="239"/>
    </row>
    <row r="221" spans="1:8" ht="25.5" customHeight="1" x14ac:dyDescent="0.25">
      <c r="A221" s="242">
        <v>41857</v>
      </c>
      <c r="B221" s="243" t="s">
        <v>1826</v>
      </c>
      <c r="C221" s="244">
        <v>7300</v>
      </c>
      <c r="D221" s="238" t="s">
        <v>122</v>
      </c>
      <c r="E221" s="238" t="s">
        <v>122</v>
      </c>
      <c r="F221" s="240" t="s">
        <v>122</v>
      </c>
      <c r="G221" s="240" t="s">
        <v>122</v>
      </c>
      <c r="H221" s="239"/>
    </row>
    <row r="222" spans="1:8" ht="25.5" customHeight="1" x14ac:dyDescent="0.25">
      <c r="A222" s="242">
        <v>41858</v>
      </c>
      <c r="B222" s="243" t="s">
        <v>1826</v>
      </c>
      <c r="C222" s="244">
        <v>7300</v>
      </c>
      <c r="D222" s="238" t="s">
        <v>122</v>
      </c>
      <c r="E222" s="238" t="s">
        <v>122</v>
      </c>
      <c r="F222" s="240" t="s">
        <v>122</v>
      </c>
      <c r="G222" s="240" t="s">
        <v>122</v>
      </c>
      <c r="H222" s="239"/>
    </row>
    <row r="223" spans="1:8" ht="25.5" customHeight="1" x14ac:dyDescent="0.25">
      <c r="A223" s="242">
        <v>41859</v>
      </c>
      <c r="B223" s="243" t="s">
        <v>1826</v>
      </c>
      <c r="C223" s="244">
        <v>7300</v>
      </c>
      <c r="D223" s="238" t="s">
        <v>122</v>
      </c>
      <c r="E223" s="238" t="s">
        <v>122</v>
      </c>
      <c r="F223" s="240" t="s">
        <v>122</v>
      </c>
      <c r="G223" s="240" t="s">
        <v>122</v>
      </c>
      <c r="H223" s="239"/>
    </row>
    <row r="224" spans="1:8" ht="25.5" customHeight="1" x14ac:dyDescent="0.25">
      <c r="A224" s="242">
        <v>41860</v>
      </c>
      <c r="B224" s="243" t="s">
        <v>1827</v>
      </c>
      <c r="C224" s="244">
        <v>7200</v>
      </c>
      <c r="D224" s="238" t="s">
        <v>122</v>
      </c>
      <c r="E224" s="238" t="s">
        <v>122</v>
      </c>
      <c r="F224" s="240" t="s">
        <v>122</v>
      </c>
      <c r="G224" s="240" t="s">
        <v>122</v>
      </c>
      <c r="H224" s="239"/>
    </row>
    <row r="225" spans="1:8" ht="25.5" customHeight="1" x14ac:dyDescent="0.25">
      <c r="A225" s="242">
        <v>41861</v>
      </c>
      <c r="B225" s="243" t="s">
        <v>1827</v>
      </c>
      <c r="C225" s="244">
        <v>7200</v>
      </c>
      <c r="D225" s="238" t="s">
        <v>122</v>
      </c>
      <c r="E225" s="238" t="s">
        <v>122</v>
      </c>
      <c r="F225" s="240" t="s">
        <v>122</v>
      </c>
      <c r="G225" s="240" t="s">
        <v>122</v>
      </c>
      <c r="H225" s="239"/>
    </row>
    <row r="226" spans="1:8" ht="25.5" customHeight="1" x14ac:dyDescent="0.25">
      <c r="A226" s="242">
        <v>41862</v>
      </c>
      <c r="B226" s="243" t="s">
        <v>1827</v>
      </c>
      <c r="C226" s="244">
        <v>7200</v>
      </c>
      <c r="D226" s="238" t="s">
        <v>122</v>
      </c>
      <c r="E226" s="238" t="s">
        <v>122</v>
      </c>
      <c r="F226" s="240" t="s">
        <v>122</v>
      </c>
      <c r="G226" s="240" t="s">
        <v>122</v>
      </c>
      <c r="H226" s="239"/>
    </row>
    <row r="227" spans="1:8" ht="25.5" customHeight="1" x14ac:dyDescent="0.25">
      <c r="A227" s="242">
        <v>41863</v>
      </c>
      <c r="B227" s="243" t="s">
        <v>1827</v>
      </c>
      <c r="C227" s="244">
        <v>7200</v>
      </c>
      <c r="D227" s="238" t="s">
        <v>122</v>
      </c>
      <c r="E227" s="238" t="s">
        <v>122</v>
      </c>
      <c r="F227" s="240" t="s">
        <v>122</v>
      </c>
      <c r="G227" s="240" t="s">
        <v>122</v>
      </c>
      <c r="H227" s="239"/>
    </row>
    <row r="228" spans="1:8" ht="25.5" customHeight="1" x14ac:dyDescent="0.25">
      <c r="A228" s="242">
        <v>41864</v>
      </c>
      <c r="B228" s="243" t="s">
        <v>1828</v>
      </c>
      <c r="C228" s="244">
        <v>7100</v>
      </c>
      <c r="D228" s="238" t="s">
        <v>122</v>
      </c>
      <c r="E228" s="238" t="s">
        <v>122</v>
      </c>
      <c r="F228" s="240" t="s">
        <v>122</v>
      </c>
      <c r="G228" s="240" t="s">
        <v>122</v>
      </c>
      <c r="H228" s="239"/>
    </row>
    <row r="229" spans="1:8" ht="25.5" customHeight="1" x14ac:dyDescent="0.25">
      <c r="A229" s="242">
        <v>41865</v>
      </c>
      <c r="B229" s="243" t="s">
        <v>1828</v>
      </c>
      <c r="C229" s="244">
        <v>7100</v>
      </c>
      <c r="D229" s="238" t="s">
        <v>122</v>
      </c>
      <c r="E229" s="238" t="s">
        <v>122</v>
      </c>
      <c r="F229" s="240" t="s">
        <v>122</v>
      </c>
      <c r="G229" s="240" t="s">
        <v>122</v>
      </c>
      <c r="H229" s="239"/>
    </row>
    <row r="230" spans="1:8" ht="25.5" customHeight="1" x14ac:dyDescent="0.25">
      <c r="A230" s="242">
        <v>41866</v>
      </c>
      <c r="B230" s="243" t="s">
        <v>1828</v>
      </c>
      <c r="C230" s="244">
        <v>7100</v>
      </c>
      <c r="D230" s="238" t="s">
        <v>122</v>
      </c>
      <c r="E230" s="238" t="s">
        <v>122</v>
      </c>
      <c r="F230" s="240" t="s">
        <v>122</v>
      </c>
      <c r="G230" s="240" t="s">
        <v>122</v>
      </c>
      <c r="H230" s="239"/>
    </row>
    <row r="231" spans="1:8" ht="25.5" customHeight="1" x14ac:dyDescent="0.25">
      <c r="A231" s="242">
        <v>41867</v>
      </c>
      <c r="B231" s="243" t="s">
        <v>1828</v>
      </c>
      <c r="C231" s="244">
        <v>7100</v>
      </c>
      <c r="D231" s="238" t="s">
        <v>122</v>
      </c>
      <c r="E231" s="238" t="s">
        <v>122</v>
      </c>
      <c r="F231" s="240" t="s">
        <v>122</v>
      </c>
      <c r="G231" s="240" t="s">
        <v>122</v>
      </c>
      <c r="H231" s="239"/>
    </row>
    <row r="232" spans="1:8" ht="25.5" customHeight="1" x14ac:dyDescent="0.25">
      <c r="A232" s="242">
        <v>41868</v>
      </c>
      <c r="B232" s="243" t="s">
        <v>1827</v>
      </c>
      <c r="C232" s="244">
        <v>7200</v>
      </c>
      <c r="D232" s="238" t="s">
        <v>122</v>
      </c>
      <c r="E232" s="238" t="s">
        <v>122</v>
      </c>
      <c r="F232" s="240" t="s">
        <v>122</v>
      </c>
      <c r="G232" s="240" t="s">
        <v>122</v>
      </c>
      <c r="H232" s="239"/>
    </row>
    <row r="233" spans="1:8" ht="25.5" customHeight="1" x14ac:dyDescent="0.25">
      <c r="A233" s="242">
        <v>41869</v>
      </c>
      <c r="B233" s="243" t="s">
        <v>1827</v>
      </c>
      <c r="C233" s="244">
        <v>7200</v>
      </c>
      <c r="D233" s="238" t="s">
        <v>122</v>
      </c>
      <c r="E233" s="238" t="s">
        <v>122</v>
      </c>
      <c r="F233" s="240" t="s">
        <v>122</v>
      </c>
      <c r="G233" s="240" t="s">
        <v>122</v>
      </c>
      <c r="H233" s="239"/>
    </row>
    <row r="234" spans="1:8" ht="25.5" customHeight="1" x14ac:dyDescent="0.25">
      <c r="A234" s="242">
        <v>41870</v>
      </c>
      <c r="B234" s="243" t="s">
        <v>1827</v>
      </c>
      <c r="C234" s="244">
        <v>7200</v>
      </c>
      <c r="D234" s="238" t="s">
        <v>122</v>
      </c>
      <c r="E234" s="238" t="s">
        <v>122</v>
      </c>
      <c r="F234" s="240" t="s">
        <v>122</v>
      </c>
      <c r="G234" s="240" t="s">
        <v>122</v>
      </c>
      <c r="H234" s="239"/>
    </row>
    <row r="235" spans="1:8" ht="25.5" customHeight="1" x14ac:dyDescent="0.25">
      <c r="A235" s="242">
        <v>41871</v>
      </c>
      <c r="B235" s="243" t="s">
        <v>1827</v>
      </c>
      <c r="C235" s="244">
        <v>7200</v>
      </c>
      <c r="D235" s="238" t="s">
        <v>122</v>
      </c>
      <c r="E235" s="238" t="s">
        <v>122</v>
      </c>
      <c r="F235" s="240" t="s">
        <v>122</v>
      </c>
      <c r="G235" s="240" t="s">
        <v>122</v>
      </c>
      <c r="H235" s="239"/>
    </row>
    <row r="236" spans="1:8" ht="25.5" customHeight="1" x14ac:dyDescent="0.25">
      <c r="A236" s="242">
        <v>41872</v>
      </c>
      <c r="B236" s="243" t="s">
        <v>1827</v>
      </c>
      <c r="C236" s="244">
        <v>7200</v>
      </c>
      <c r="D236" s="238" t="s">
        <v>122</v>
      </c>
      <c r="E236" s="238" t="s">
        <v>122</v>
      </c>
      <c r="F236" s="240" t="s">
        <v>122</v>
      </c>
      <c r="G236" s="240" t="s">
        <v>122</v>
      </c>
      <c r="H236" s="239"/>
    </row>
    <row r="237" spans="1:8" ht="25.5" customHeight="1" x14ac:dyDescent="0.25">
      <c r="A237" s="242">
        <v>41873</v>
      </c>
      <c r="B237" s="243" t="s">
        <v>1827</v>
      </c>
      <c r="C237" s="244">
        <v>7200</v>
      </c>
      <c r="D237" s="238" t="s">
        <v>122</v>
      </c>
      <c r="E237" s="238" t="s">
        <v>122</v>
      </c>
      <c r="F237" s="240" t="s">
        <v>122</v>
      </c>
      <c r="G237" s="240" t="s">
        <v>122</v>
      </c>
      <c r="H237" s="239"/>
    </row>
    <row r="238" spans="1:8" ht="25.5" customHeight="1" x14ac:dyDescent="0.25">
      <c r="A238" s="242">
        <v>41874</v>
      </c>
      <c r="B238" s="243" t="s">
        <v>1827</v>
      </c>
      <c r="C238" s="244">
        <v>7200</v>
      </c>
      <c r="D238" s="238" t="s">
        <v>122</v>
      </c>
      <c r="E238" s="238" t="s">
        <v>122</v>
      </c>
      <c r="F238" s="240" t="s">
        <v>122</v>
      </c>
      <c r="G238" s="240" t="s">
        <v>122</v>
      </c>
      <c r="H238" s="239"/>
    </row>
    <row r="239" spans="1:8" ht="25.5" customHeight="1" x14ac:dyDescent="0.25">
      <c r="A239" s="242">
        <v>41875</v>
      </c>
      <c r="B239" s="243" t="s">
        <v>1827</v>
      </c>
      <c r="C239" s="244">
        <v>7200</v>
      </c>
      <c r="D239" s="238" t="s">
        <v>122</v>
      </c>
      <c r="E239" s="238" t="s">
        <v>122</v>
      </c>
      <c r="F239" s="240" t="s">
        <v>122</v>
      </c>
      <c r="G239" s="240" t="s">
        <v>122</v>
      </c>
      <c r="H239" s="239"/>
    </row>
    <row r="240" spans="1:8" ht="25.5" customHeight="1" x14ac:dyDescent="0.25">
      <c r="A240" s="242">
        <v>41876</v>
      </c>
      <c r="B240" s="243" t="s">
        <v>1827</v>
      </c>
      <c r="C240" s="244">
        <v>7200</v>
      </c>
      <c r="D240" s="238" t="s">
        <v>122</v>
      </c>
      <c r="E240" s="238" t="s">
        <v>122</v>
      </c>
      <c r="F240" s="240" t="s">
        <v>122</v>
      </c>
      <c r="G240" s="240" t="s">
        <v>122</v>
      </c>
      <c r="H240" s="239"/>
    </row>
    <row r="241" spans="1:8" ht="25.5" customHeight="1" x14ac:dyDescent="0.25">
      <c r="A241" s="242">
        <v>41877</v>
      </c>
      <c r="B241" s="243" t="s">
        <v>1827</v>
      </c>
      <c r="C241" s="244">
        <v>7200</v>
      </c>
      <c r="D241" s="238" t="s">
        <v>122</v>
      </c>
      <c r="E241" s="238" t="s">
        <v>122</v>
      </c>
      <c r="F241" s="240" t="s">
        <v>122</v>
      </c>
      <c r="G241" s="240" t="s">
        <v>122</v>
      </c>
      <c r="H241" s="239"/>
    </row>
    <row r="242" spans="1:8" ht="25.5" customHeight="1" x14ac:dyDescent="0.25">
      <c r="A242" s="242">
        <v>41878</v>
      </c>
      <c r="B242" s="243" t="s">
        <v>1828</v>
      </c>
      <c r="C242" s="244">
        <v>7100</v>
      </c>
      <c r="D242" s="238" t="s">
        <v>122</v>
      </c>
      <c r="E242" s="238" t="s">
        <v>122</v>
      </c>
      <c r="F242" s="240" t="s">
        <v>122</v>
      </c>
      <c r="G242" s="240" t="s">
        <v>122</v>
      </c>
      <c r="H242" s="239"/>
    </row>
    <row r="243" spans="1:8" ht="25.5" customHeight="1" x14ac:dyDescent="0.25">
      <c r="A243" s="242">
        <v>41879</v>
      </c>
      <c r="B243" s="243" t="s">
        <v>1828</v>
      </c>
      <c r="C243" s="244">
        <v>7100</v>
      </c>
      <c r="D243" s="238" t="s">
        <v>122</v>
      </c>
      <c r="E243" s="238" t="s">
        <v>122</v>
      </c>
      <c r="F243" s="240" t="s">
        <v>122</v>
      </c>
      <c r="G243" s="240" t="s">
        <v>122</v>
      </c>
      <c r="H243" s="239"/>
    </row>
    <row r="244" spans="1:8" ht="25.5" customHeight="1" x14ac:dyDescent="0.25">
      <c r="A244" s="242">
        <v>41880</v>
      </c>
      <c r="B244" s="243" t="s">
        <v>1828</v>
      </c>
      <c r="C244" s="244">
        <v>7100</v>
      </c>
      <c r="D244" s="238" t="s">
        <v>122</v>
      </c>
      <c r="E244" s="238" t="s">
        <v>122</v>
      </c>
      <c r="F244" s="240" t="s">
        <v>122</v>
      </c>
      <c r="G244" s="240" t="s">
        <v>122</v>
      </c>
      <c r="H244" s="239"/>
    </row>
    <row r="245" spans="1:8" ht="25.5" customHeight="1" x14ac:dyDescent="0.25">
      <c r="A245" s="242">
        <v>41881</v>
      </c>
      <c r="B245" s="243" t="s">
        <v>1828</v>
      </c>
      <c r="C245" s="244">
        <v>7100</v>
      </c>
      <c r="D245" s="238" t="s">
        <v>122</v>
      </c>
      <c r="E245" s="238" t="s">
        <v>122</v>
      </c>
      <c r="F245" s="240" t="s">
        <v>122</v>
      </c>
      <c r="G245" s="240" t="s">
        <v>122</v>
      </c>
      <c r="H245" s="239"/>
    </row>
    <row r="246" spans="1:8" ht="25.5" customHeight="1" x14ac:dyDescent="0.25">
      <c r="A246" s="242">
        <v>41882</v>
      </c>
      <c r="B246" s="243" t="s">
        <v>1828</v>
      </c>
      <c r="C246" s="244">
        <v>7100</v>
      </c>
      <c r="D246" s="238" t="s">
        <v>122</v>
      </c>
      <c r="E246" s="238" t="s">
        <v>122</v>
      </c>
      <c r="F246" s="240" t="s">
        <v>122</v>
      </c>
      <c r="G246" s="240" t="s">
        <v>122</v>
      </c>
      <c r="H246" s="239"/>
    </row>
    <row r="247" spans="1:8" ht="25.5" customHeight="1" x14ac:dyDescent="0.25">
      <c r="A247" s="86">
        <v>41883</v>
      </c>
      <c r="B247" s="236" t="s">
        <v>1829</v>
      </c>
      <c r="C247" s="87">
        <v>7000</v>
      </c>
      <c r="D247" s="238" t="s">
        <v>122</v>
      </c>
      <c r="E247" s="238" t="s">
        <v>122</v>
      </c>
      <c r="F247" s="240" t="s">
        <v>122</v>
      </c>
      <c r="G247" s="240" t="s">
        <v>122</v>
      </c>
      <c r="H247" s="239"/>
    </row>
    <row r="248" spans="1:8" ht="25.5" customHeight="1" x14ac:dyDescent="0.25">
      <c r="A248" s="86">
        <v>41884</v>
      </c>
      <c r="B248" s="236" t="s">
        <v>1829</v>
      </c>
      <c r="C248" s="87">
        <v>7000</v>
      </c>
      <c r="D248" s="238" t="s">
        <v>122</v>
      </c>
      <c r="E248" s="238" t="s">
        <v>122</v>
      </c>
      <c r="F248" s="240" t="s">
        <v>122</v>
      </c>
      <c r="G248" s="240" t="s">
        <v>122</v>
      </c>
      <c r="H248" s="239"/>
    </row>
    <row r="249" spans="1:8" ht="25.5" customHeight="1" x14ac:dyDescent="0.25">
      <c r="A249" s="86">
        <v>41885</v>
      </c>
      <c r="B249" s="236" t="s">
        <v>1829</v>
      </c>
      <c r="C249" s="87">
        <v>7000</v>
      </c>
      <c r="D249" s="238" t="s">
        <v>122</v>
      </c>
      <c r="E249" s="238" t="s">
        <v>122</v>
      </c>
      <c r="F249" s="240" t="s">
        <v>122</v>
      </c>
      <c r="G249" s="240" t="s">
        <v>122</v>
      </c>
      <c r="H249" s="239"/>
    </row>
    <row r="250" spans="1:8" ht="25.5" customHeight="1" x14ac:dyDescent="0.25">
      <c r="A250" s="86">
        <v>41886</v>
      </c>
      <c r="B250" s="236" t="s">
        <v>1830</v>
      </c>
      <c r="C250" s="87">
        <v>6950</v>
      </c>
      <c r="D250" s="238" t="s">
        <v>122</v>
      </c>
      <c r="E250" s="238" t="s">
        <v>122</v>
      </c>
      <c r="F250" s="240" t="s">
        <v>122</v>
      </c>
      <c r="G250" s="240" t="s">
        <v>122</v>
      </c>
      <c r="H250" s="239"/>
    </row>
    <row r="251" spans="1:8" ht="25.5" customHeight="1" x14ac:dyDescent="0.25">
      <c r="A251" s="86">
        <v>41887</v>
      </c>
      <c r="B251" s="236" t="s">
        <v>1830</v>
      </c>
      <c r="C251" s="87">
        <v>6950</v>
      </c>
      <c r="D251" s="238" t="s">
        <v>122</v>
      </c>
      <c r="E251" s="238" t="s">
        <v>122</v>
      </c>
      <c r="F251" s="240" t="s">
        <v>122</v>
      </c>
      <c r="G251" s="240" t="s">
        <v>122</v>
      </c>
      <c r="H251" s="239"/>
    </row>
    <row r="252" spans="1:8" ht="25.5" customHeight="1" x14ac:dyDescent="0.25">
      <c r="A252" s="86">
        <v>41888</v>
      </c>
      <c r="B252" s="236" t="s">
        <v>1830</v>
      </c>
      <c r="C252" s="87">
        <v>6950</v>
      </c>
      <c r="D252" s="238" t="s">
        <v>122</v>
      </c>
      <c r="E252" s="238" t="s">
        <v>122</v>
      </c>
      <c r="F252" s="240" t="s">
        <v>122</v>
      </c>
      <c r="G252" s="240" t="s">
        <v>122</v>
      </c>
      <c r="H252" s="239"/>
    </row>
    <row r="253" spans="1:8" ht="25.5" customHeight="1" x14ac:dyDescent="0.25">
      <c r="A253" s="86">
        <v>41889</v>
      </c>
      <c r="B253" s="236" t="s">
        <v>1830</v>
      </c>
      <c r="C253" s="87">
        <v>6950</v>
      </c>
      <c r="D253" s="238" t="s">
        <v>122</v>
      </c>
      <c r="E253" s="238" t="s">
        <v>122</v>
      </c>
      <c r="F253" s="240" t="s">
        <v>122</v>
      </c>
      <c r="G253" s="240" t="s">
        <v>122</v>
      </c>
      <c r="H253" s="239"/>
    </row>
    <row r="254" spans="1:8" ht="25.5" customHeight="1" x14ac:dyDescent="0.25">
      <c r="A254" s="86">
        <v>41890</v>
      </c>
      <c r="B254" s="236" t="s">
        <v>1830</v>
      </c>
      <c r="C254" s="87">
        <v>6950</v>
      </c>
      <c r="D254" s="238" t="s">
        <v>122</v>
      </c>
      <c r="E254" s="238" t="s">
        <v>122</v>
      </c>
      <c r="F254" s="240" t="s">
        <v>122</v>
      </c>
      <c r="G254" s="240" t="s">
        <v>122</v>
      </c>
      <c r="H254" s="239"/>
    </row>
    <row r="255" spans="1:8" ht="25.5" customHeight="1" x14ac:dyDescent="0.25">
      <c r="A255" s="86">
        <v>41891</v>
      </c>
      <c r="B255" s="236" t="s">
        <v>1831</v>
      </c>
      <c r="C255" s="87">
        <v>6900</v>
      </c>
      <c r="D255" s="238" t="s">
        <v>122</v>
      </c>
      <c r="E255" s="238" t="s">
        <v>122</v>
      </c>
      <c r="F255" s="240" t="s">
        <v>122</v>
      </c>
      <c r="G255" s="240" t="s">
        <v>122</v>
      </c>
      <c r="H255" s="239"/>
    </row>
    <row r="256" spans="1:8" ht="25.5" customHeight="1" x14ac:dyDescent="0.25">
      <c r="A256" s="86">
        <v>41892</v>
      </c>
      <c r="B256" s="236" t="s">
        <v>1831</v>
      </c>
      <c r="C256" s="87">
        <v>6900</v>
      </c>
      <c r="D256" s="238" t="s">
        <v>122</v>
      </c>
      <c r="E256" s="238" t="s">
        <v>122</v>
      </c>
      <c r="F256" s="240" t="s">
        <v>122</v>
      </c>
      <c r="G256" s="240" t="s">
        <v>122</v>
      </c>
      <c r="H256" s="239"/>
    </row>
    <row r="257" spans="1:8" ht="25.5" customHeight="1" x14ac:dyDescent="0.25">
      <c r="A257" s="86">
        <v>41893</v>
      </c>
      <c r="B257" s="236" t="s">
        <v>1831</v>
      </c>
      <c r="C257" s="87">
        <v>6900</v>
      </c>
      <c r="D257" s="238" t="s">
        <v>122</v>
      </c>
      <c r="E257" s="238" t="s">
        <v>122</v>
      </c>
      <c r="F257" s="240" t="s">
        <v>122</v>
      </c>
      <c r="G257" s="240" t="s">
        <v>122</v>
      </c>
      <c r="H257" s="239"/>
    </row>
    <row r="258" spans="1:8" ht="25.5" customHeight="1" x14ac:dyDescent="0.25">
      <c r="A258" s="86">
        <v>41894</v>
      </c>
      <c r="B258" s="236" t="s">
        <v>1831</v>
      </c>
      <c r="C258" s="87">
        <v>6900</v>
      </c>
      <c r="D258" s="238" t="s">
        <v>122</v>
      </c>
      <c r="E258" s="238" t="s">
        <v>122</v>
      </c>
      <c r="F258" s="240" t="s">
        <v>122</v>
      </c>
      <c r="G258" s="240" t="s">
        <v>122</v>
      </c>
      <c r="H258" s="239"/>
    </row>
    <row r="259" spans="1:8" ht="25.5" customHeight="1" x14ac:dyDescent="0.25">
      <c r="A259" s="86">
        <v>41895</v>
      </c>
      <c r="B259" s="236" t="s">
        <v>1832</v>
      </c>
      <c r="C259" s="87">
        <v>6800</v>
      </c>
      <c r="D259" s="238" t="s">
        <v>122</v>
      </c>
      <c r="E259" s="238" t="s">
        <v>122</v>
      </c>
      <c r="F259" s="240" t="s">
        <v>122</v>
      </c>
      <c r="G259" s="240" t="s">
        <v>122</v>
      </c>
      <c r="H259" s="239"/>
    </row>
    <row r="260" spans="1:8" ht="25.5" customHeight="1" x14ac:dyDescent="0.25">
      <c r="A260" s="86">
        <v>41896</v>
      </c>
      <c r="B260" s="236" t="s">
        <v>1832</v>
      </c>
      <c r="C260" s="87">
        <v>6800</v>
      </c>
      <c r="D260" s="238" t="s">
        <v>122</v>
      </c>
      <c r="E260" s="238" t="s">
        <v>122</v>
      </c>
      <c r="F260" s="240" t="s">
        <v>122</v>
      </c>
      <c r="G260" s="240" t="s">
        <v>122</v>
      </c>
      <c r="H260" s="239"/>
    </row>
    <row r="261" spans="1:8" ht="25.5" customHeight="1" x14ac:dyDescent="0.25">
      <c r="A261" s="86">
        <v>41897</v>
      </c>
      <c r="B261" s="236" t="s">
        <v>1832</v>
      </c>
      <c r="C261" s="87">
        <v>6800</v>
      </c>
      <c r="D261" s="238" t="s">
        <v>122</v>
      </c>
      <c r="E261" s="238" t="s">
        <v>122</v>
      </c>
      <c r="F261" s="240" t="s">
        <v>122</v>
      </c>
      <c r="G261" s="240" t="s">
        <v>122</v>
      </c>
      <c r="H261" s="239"/>
    </row>
    <row r="262" spans="1:8" ht="25.5" customHeight="1" x14ac:dyDescent="0.25">
      <c r="A262" s="86">
        <v>41898</v>
      </c>
      <c r="B262" s="236" t="s">
        <v>1832</v>
      </c>
      <c r="C262" s="87">
        <v>6800</v>
      </c>
      <c r="D262" s="238" t="s">
        <v>122</v>
      </c>
      <c r="E262" s="238" t="s">
        <v>122</v>
      </c>
      <c r="F262" s="240" t="s">
        <v>122</v>
      </c>
      <c r="G262" s="240" t="s">
        <v>122</v>
      </c>
      <c r="H262" s="239"/>
    </row>
    <row r="263" spans="1:8" ht="25.5" customHeight="1" x14ac:dyDescent="0.25">
      <c r="A263" s="86">
        <v>41899</v>
      </c>
      <c r="B263" s="236" t="s">
        <v>1832</v>
      </c>
      <c r="C263" s="87">
        <v>6800</v>
      </c>
      <c r="D263" s="238" t="s">
        <v>122</v>
      </c>
      <c r="E263" s="238" t="s">
        <v>122</v>
      </c>
      <c r="F263" s="240" t="s">
        <v>122</v>
      </c>
      <c r="G263" s="240" t="s">
        <v>122</v>
      </c>
      <c r="H263" s="239"/>
    </row>
    <row r="264" spans="1:8" ht="25.5" customHeight="1" x14ac:dyDescent="0.25">
      <c r="A264" s="86">
        <v>41900</v>
      </c>
      <c r="B264" s="236" t="s">
        <v>1833</v>
      </c>
      <c r="C264" s="87">
        <v>6700</v>
      </c>
      <c r="D264" s="238" t="s">
        <v>122</v>
      </c>
      <c r="E264" s="238" t="s">
        <v>122</v>
      </c>
      <c r="F264" s="240" t="s">
        <v>122</v>
      </c>
      <c r="G264" s="240" t="s">
        <v>122</v>
      </c>
      <c r="H264" s="239"/>
    </row>
    <row r="265" spans="1:8" ht="25.5" customHeight="1" x14ac:dyDescent="0.25">
      <c r="A265" s="86">
        <v>41901</v>
      </c>
      <c r="B265" s="236" t="s">
        <v>1833</v>
      </c>
      <c r="C265" s="87">
        <v>6700</v>
      </c>
      <c r="D265" s="238" t="s">
        <v>122</v>
      </c>
      <c r="E265" s="238" t="s">
        <v>122</v>
      </c>
      <c r="F265" s="240" t="s">
        <v>122</v>
      </c>
      <c r="G265" s="240" t="s">
        <v>122</v>
      </c>
      <c r="H265" s="239"/>
    </row>
    <row r="266" spans="1:8" ht="25.5" customHeight="1" x14ac:dyDescent="0.25">
      <c r="A266" s="86">
        <v>41902</v>
      </c>
      <c r="B266" s="236" t="s">
        <v>1833</v>
      </c>
      <c r="C266" s="87">
        <v>6700</v>
      </c>
      <c r="D266" s="238" t="s">
        <v>122</v>
      </c>
      <c r="E266" s="238" t="s">
        <v>122</v>
      </c>
      <c r="F266" s="240" t="s">
        <v>122</v>
      </c>
      <c r="G266" s="240" t="s">
        <v>122</v>
      </c>
      <c r="H266" s="239"/>
    </row>
    <row r="267" spans="1:8" ht="25.5" customHeight="1" x14ac:dyDescent="0.25">
      <c r="A267" s="86">
        <v>41903</v>
      </c>
      <c r="B267" s="236" t="s">
        <v>1833</v>
      </c>
      <c r="C267" s="87">
        <v>6700</v>
      </c>
      <c r="D267" s="238" t="s">
        <v>122</v>
      </c>
      <c r="E267" s="238" t="s">
        <v>122</v>
      </c>
      <c r="F267" s="240" t="s">
        <v>122</v>
      </c>
      <c r="G267" s="240" t="s">
        <v>122</v>
      </c>
      <c r="H267" s="239"/>
    </row>
    <row r="268" spans="1:8" ht="25.5" customHeight="1" x14ac:dyDescent="0.25">
      <c r="A268" s="86">
        <v>41904</v>
      </c>
      <c r="B268" s="236" t="s">
        <v>1834</v>
      </c>
      <c r="C268" s="87">
        <v>6600</v>
      </c>
      <c r="D268" s="238" t="s">
        <v>122</v>
      </c>
      <c r="E268" s="238" t="s">
        <v>122</v>
      </c>
      <c r="F268" s="240" t="s">
        <v>122</v>
      </c>
      <c r="G268" s="240" t="s">
        <v>122</v>
      </c>
      <c r="H268" s="239"/>
    </row>
    <row r="269" spans="1:8" ht="25.5" customHeight="1" x14ac:dyDescent="0.25">
      <c r="A269" s="86">
        <v>41905</v>
      </c>
      <c r="B269" s="236" t="s">
        <v>1834</v>
      </c>
      <c r="C269" s="87">
        <v>6600</v>
      </c>
      <c r="D269" s="238" t="s">
        <v>122</v>
      </c>
      <c r="E269" s="238" t="s">
        <v>122</v>
      </c>
      <c r="F269" s="240" t="s">
        <v>122</v>
      </c>
      <c r="G269" s="240" t="s">
        <v>122</v>
      </c>
      <c r="H269" s="239"/>
    </row>
    <row r="270" spans="1:8" ht="25.5" customHeight="1" x14ac:dyDescent="0.25">
      <c r="A270" s="86">
        <v>41906</v>
      </c>
      <c r="B270" s="236" t="s">
        <v>1834</v>
      </c>
      <c r="C270" s="87">
        <v>6600</v>
      </c>
      <c r="D270" s="238" t="s">
        <v>122</v>
      </c>
      <c r="E270" s="238" t="s">
        <v>122</v>
      </c>
      <c r="F270" s="240" t="s">
        <v>122</v>
      </c>
      <c r="G270" s="240" t="s">
        <v>122</v>
      </c>
      <c r="H270" s="239"/>
    </row>
    <row r="271" spans="1:8" ht="25.5" customHeight="1" x14ac:dyDescent="0.25">
      <c r="A271" s="86">
        <v>41907</v>
      </c>
      <c r="B271" s="236" t="s">
        <v>1834</v>
      </c>
      <c r="C271" s="87">
        <v>6600</v>
      </c>
      <c r="D271" s="238" t="s">
        <v>122</v>
      </c>
      <c r="E271" s="238" t="s">
        <v>122</v>
      </c>
      <c r="F271" s="240" t="s">
        <v>122</v>
      </c>
      <c r="G271" s="240" t="s">
        <v>122</v>
      </c>
      <c r="H271" s="239"/>
    </row>
    <row r="272" spans="1:8" ht="25.5" customHeight="1" x14ac:dyDescent="0.25">
      <c r="A272" s="86">
        <v>41908</v>
      </c>
      <c r="B272" s="236" t="s">
        <v>1829</v>
      </c>
      <c r="C272" s="87">
        <v>7000</v>
      </c>
      <c r="D272" s="238" t="s">
        <v>122</v>
      </c>
      <c r="E272" s="238" t="s">
        <v>122</v>
      </c>
      <c r="F272" s="240" t="s">
        <v>122</v>
      </c>
      <c r="G272" s="240" t="s">
        <v>122</v>
      </c>
      <c r="H272" s="239"/>
    </row>
    <row r="273" spans="1:8" ht="25.5" customHeight="1" x14ac:dyDescent="0.25">
      <c r="A273" s="86">
        <v>41909</v>
      </c>
      <c r="B273" s="236" t="s">
        <v>1824</v>
      </c>
      <c r="C273" s="87">
        <v>7450</v>
      </c>
      <c r="D273" s="238" t="s">
        <v>122</v>
      </c>
      <c r="E273" s="238" t="s">
        <v>122</v>
      </c>
      <c r="F273" s="240" t="s">
        <v>122</v>
      </c>
      <c r="G273" s="240" t="s">
        <v>122</v>
      </c>
      <c r="H273" s="239"/>
    </row>
    <row r="274" spans="1:8" ht="25.5" customHeight="1" x14ac:dyDescent="0.25">
      <c r="A274" s="86">
        <v>41910</v>
      </c>
      <c r="B274" s="236" t="s">
        <v>1821</v>
      </c>
      <c r="C274" s="87">
        <v>7700</v>
      </c>
      <c r="D274" s="238" t="s">
        <v>122</v>
      </c>
      <c r="E274" s="238" t="s">
        <v>122</v>
      </c>
      <c r="F274" s="240" t="s">
        <v>122</v>
      </c>
      <c r="G274" s="240" t="s">
        <v>122</v>
      </c>
      <c r="H274" s="239"/>
    </row>
    <row r="275" spans="1:8" ht="25.5" customHeight="1" x14ac:dyDescent="0.25">
      <c r="A275" s="86">
        <v>41911</v>
      </c>
      <c r="B275" s="236" t="s">
        <v>1821</v>
      </c>
      <c r="C275" s="87">
        <v>7700</v>
      </c>
      <c r="D275" s="238" t="s">
        <v>122</v>
      </c>
      <c r="E275" s="238" t="s">
        <v>122</v>
      </c>
      <c r="F275" s="240" t="s">
        <v>122</v>
      </c>
      <c r="G275" s="240" t="s">
        <v>122</v>
      </c>
      <c r="H275" s="239"/>
    </row>
    <row r="276" spans="1:8" ht="25.5" customHeight="1" x14ac:dyDescent="0.25">
      <c r="A276" s="86">
        <v>41912</v>
      </c>
      <c r="B276" s="236" t="s">
        <v>1820</v>
      </c>
      <c r="C276" s="87">
        <v>7800</v>
      </c>
      <c r="D276" s="238" t="s">
        <v>122</v>
      </c>
      <c r="E276" s="238" t="s">
        <v>122</v>
      </c>
      <c r="F276" s="240" t="s">
        <v>122</v>
      </c>
      <c r="G276" s="240" t="s">
        <v>122</v>
      </c>
      <c r="H276" s="239"/>
    </row>
    <row r="277" spans="1:8" ht="25.5" customHeight="1" x14ac:dyDescent="0.25">
      <c r="A277" s="242">
        <v>41913</v>
      </c>
      <c r="B277" s="243" t="s">
        <v>1820</v>
      </c>
      <c r="C277" s="244">
        <v>7800</v>
      </c>
      <c r="D277" s="238" t="s">
        <v>122</v>
      </c>
      <c r="E277" s="238" t="s">
        <v>122</v>
      </c>
      <c r="F277" s="240" t="s">
        <v>122</v>
      </c>
      <c r="G277" s="240" t="s">
        <v>122</v>
      </c>
      <c r="H277" s="239"/>
    </row>
    <row r="278" spans="1:8" ht="25.5" customHeight="1" x14ac:dyDescent="0.25">
      <c r="A278" s="242">
        <v>41914</v>
      </c>
      <c r="B278" s="243" t="s">
        <v>1820</v>
      </c>
      <c r="C278" s="244">
        <v>7800</v>
      </c>
      <c r="D278" s="238" t="s">
        <v>122</v>
      </c>
      <c r="E278" s="238" t="s">
        <v>122</v>
      </c>
      <c r="F278" s="240" t="s">
        <v>122</v>
      </c>
      <c r="G278" s="240" t="s">
        <v>122</v>
      </c>
      <c r="H278" s="239"/>
    </row>
    <row r="279" spans="1:8" ht="25.5" customHeight="1" x14ac:dyDescent="0.25">
      <c r="A279" s="242">
        <v>41915</v>
      </c>
      <c r="B279" s="243" t="s">
        <v>1820</v>
      </c>
      <c r="C279" s="244">
        <v>7800</v>
      </c>
      <c r="D279" s="238" t="s">
        <v>122</v>
      </c>
      <c r="E279" s="238" t="s">
        <v>122</v>
      </c>
      <c r="F279" s="240" t="s">
        <v>122</v>
      </c>
      <c r="G279" s="240" t="s">
        <v>122</v>
      </c>
      <c r="H279" s="239"/>
    </row>
    <row r="280" spans="1:8" ht="25.5" customHeight="1" x14ac:dyDescent="0.25">
      <c r="A280" s="242">
        <v>41916</v>
      </c>
      <c r="B280" s="243" t="s">
        <v>1819</v>
      </c>
      <c r="C280" s="244">
        <v>7900</v>
      </c>
      <c r="D280" s="238" t="s">
        <v>122</v>
      </c>
      <c r="E280" s="238" t="s">
        <v>122</v>
      </c>
      <c r="F280" s="240" t="s">
        <v>122</v>
      </c>
      <c r="G280" s="240" t="s">
        <v>122</v>
      </c>
      <c r="H280" s="239"/>
    </row>
    <row r="281" spans="1:8" ht="25.5" customHeight="1" x14ac:dyDescent="0.25">
      <c r="A281" s="242">
        <v>41917</v>
      </c>
      <c r="B281" s="243" t="s">
        <v>1819</v>
      </c>
      <c r="C281" s="244">
        <v>7900</v>
      </c>
      <c r="D281" s="238" t="s">
        <v>122</v>
      </c>
      <c r="E281" s="238" t="s">
        <v>122</v>
      </c>
      <c r="F281" s="240" t="s">
        <v>122</v>
      </c>
      <c r="G281" s="240" t="s">
        <v>122</v>
      </c>
      <c r="H281" s="239"/>
    </row>
    <row r="282" spans="1:8" ht="25.5" customHeight="1" x14ac:dyDescent="0.25">
      <c r="A282" s="242">
        <v>41918</v>
      </c>
      <c r="B282" s="243" t="s">
        <v>1819</v>
      </c>
      <c r="C282" s="244">
        <v>7900</v>
      </c>
      <c r="D282" s="238" t="s">
        <v>122</v>
      </c>
      <c r="E282" s="238" t="s">
        <v>122</v>
      </c>
      <c r="F282" s="240" t="s">
        <v>122</v>
      </c>
      <c r="G282" s="240" t="s">
        <v>122</v>
      </c>
      <c r="H282" s="239"/>
    </row>
    <row r="283" spans="1:8" ht="25.5" customHeight="1" x14ac:dyDescent="0.25">
      <c r="A283" s="242">
        <v>41919</v>
      </c>
      <c r="B283" s="243" t="s">
        <v>1819</v>
      </c>
      <c r="C283" s="244">
        <v>7900</v>
      </c>
      <c r="D283" s="238" t="s">
        <v>122</v>
      </c>
      <c r="E283" s="238" t="s">
        <v>122</v>
      </c>
      <c r="F283" s="240" t="s">
        <v>122</v>
      </c>
      <c r="G283" s="240" t="s">
        <v>122</v>
      </c>
      <c r="H283" s="239"/>
    </row>
    <row r="284" spans="1:8" ht="25.5" customHeight="1" x14ac:dyDescent="0.25">
      <c r="A284" s="242">
        <v>41920</v>
      </c>
      <c r="B284" s="243" t="s">
        <v>1819</v>
      </c>
      <c r="C284" s="244">
        <v>7900</v>
      </c>
      <c r="D284" s="238" t="s">
        <v>122</v>
      </c>
      <c r="E284" s="238" t="s">
        <v>122</v>
      </c>
      <c r="F284" s="240" t="s">
        <v>122</v>
      </c>
      <c r="G284" s="240" t="s">
        <v>122</v>
      </c>
      <c r="H284" s="239"/>
    </row>
    <row r="285" spans="1:8" ht="25.5" customHeight="1" x14ac:dyDescent="0.25">
      <c r="A285" s="242">
        <v>41921</v>
      </c>
      <c r="B285" s="243" t="s">
        <v>1819</v>
      </c>
      <c r="C285" s="244">
        <v>7900</v>
      </c>
      <c r="D285" s="238" t="s">
        <v>122</v>
      </c>
      <c r="E285" s="238" t="s">
        <v>122</v>
      </c>
      <c r="F285" s="240" t="s">
        <v>122</v>
      </c>
      <c r="G285" s="240" t="s">
        <v>122</v>
      </c>
      <c r="H285" s="239"/>
    </row>
    <row r="286" spans="1:8" ht="25.5" customHeight="1" x14ac:dyDescent="0.25">
      <c r="A286" s="242">
        <v>41922</v>
      </c>
      <c r="B286" s="243" t="s">
        <v>1819</v>
      </c>
      <c r="C286" s="244">
        <v>7900</v>
      </c>
      <c r="D286" s="238" t="s">
        <v>122</v>
      </c>
      <c r="E286" s="238" t="s">
        <v>122</v>
      </c>
      <c r="F286" s="240" t="s">
        <v>122</v>
      </c>
      <c r="G286" s="240" t="s">
        <v>122</v>
      </c>
      <c r="H286" s="239"/>
    </row>
    <row r="287" spans="1:8" ht="25.5" customHeight="1" x14ac:dyDescent="0.25">
      <c r="A287" s="242">
        <v>41923</v>
      </c>
      <c r="B287" s="243" t="s">
        <v>1819</v>
      </c>
      <c r="C287" s="244">
        <v>7900</v>
      </c>
      <c r="D287" s="238" t="s">
        <v>122</v>
      </c>
      <c r="E287" s="238" t="s">
        <v>122</v>
      </c>
      <c r="F287" s="240" t="s">
        <v>122</v>
      </c>
      <c r="G287" s="240" t="s">
        <v>122</v>
      </c>
      <c r="H287" s="239"/>
    </row>
    <row r="288" spans="1:8" ht="25.5" customHeight="1" x14ac:dyDescent="0.25">
      <c r="A288" s="242">
        <v>41924</v>
      </c>
      <c r="B288" s="243" t="s">
        <v>1819</v>
      </c>
      <c r="C288" s="244">
        <v>7900</v>
      </c>
      <c r="D288" s="238" t="s">
        <v>122</v>
      </c>
      <c r="E288" s="238" t="s">
        <v>122</v>
      </c>
      <c r="F288" s="240" t="s">
        <v>122</v>
      </c>
      <c r="G288" s="240" t="s">
        <v>122</v>
      </c>
      <c r="H288" s="239"/>
    </row>
    <row r="289" spans="1:8" ht="25.5" customHeight="1" x14ac:dyDescent="0.25">
      <c r="A289" s="242">
        <v>41925</v>
      </c>
      <c r="B289" s="243" t="s">
        <v>1819</v>
      </c>
      <c r="C289" s="244">
        <v>7900</v>
      </c>
      <c r="D289" s="238" t="s">
        <v>122</v>
      </c>
      <c r="E289" s="238" t="s">
        <v>122</v>
      </c>
      <c r="F289" s="240" t="s">
        <v>122</v>
      </c>
      <c r="G289" s="240" t="s">
        <v>122</v>
      </c>
      <c r="H289" s="239"/>
    </row>
    <row r="290" spans="1:8" ht="25.5" customHeight="1" x14ac:dyDescent="0.25">
      <c r="A290" s="242">
        <v>41926</v>
      </c>
      <c r="B290" s="243" t="s">
        <v>1819</v>
      </c>
      <c r="C290" s="244">
        <v>7900</v>
      </c>
      <c r="D290" s="238" t="s">
        <v>122</v>
      </c>
      <c r="E290" s="238" t="s">
        <v>122</v>
      </c>
      <c r="F290" s="240" t="s">
        <v>122</v>
      </c>
      <c r="G290" s="240" t="s">
        <v>122</v>
      </c>
      <c r="H290" s="239"/>
    </row>
    <row r="291" spans="1:8" ht="25.5" customHeight="1" x14ac:dyDescent="0.25">
      <c r="A291" s="242">
        <v>41927</v>
      </c>
      <c r="B291" s="243" t="s">
        <v>1812</v>
      </c>
      <c r="C291" s="244">
        <v>8400</v>
      </c>
      <c r="D291" s="238" t="s">
        <v>122</v>
      </c>
      <c r="E291" s="238" t="s">
        <v>122</v>
      </c>
      <c r="F291" s="240" t="s">
        <v>122</v>
      </c>
      <c r="G291" s="240" t="s">
        <v>122</v>
      </c>
      <c r="H291" s="239"/>
    </row>
    <row r="292" spans="1:8" ht="25.5" customHeight="1" x14ac:dyDescent="0.25">
      <c r="A292" s="242">
        <v>41928</v>
      </c>
      <c r="B292" s="243" t="s">
        <v>1811</v>
      </c>
      <c r="C292" s="244">
        <v>8500</v>
      </c>
      <c r="D292" s="238" t="s">
        <v>122</v>
      </c>
      <c r="E292" s="238" t="s">
        <v>122</v>
      </c>
      <c r="F292" s="240" t="s">
        <v>122</v>
      </c>
      <c r="G292" s="240" t="s">
        <v>122</v>
      </c>
      <c r="H292" s="239"/>
    </row>
    <row r="293" spans="1:8" ht="25.5" customHeight="1" x14ac:dyDescent="0.25">
      <c r="A293" s="242">
        <v>41929</v>
      </c>
      <c r="B293" s="243" t="s">
        <v>1811</v>
      </c>
      <c r="C293" s="244">
        <v>8500</v>
      </c>
      <c r="D293" s="238" t="s">
        <v>122</v>
      </c>
      <c r="E293" s="238" t="s">
        <v>122</v>
      </c>
      <c r="F293" s="240" t="s">
        <v>122</v>
      </c>
      <c r="G293" s="240" t="s">
        <v>122</v>
      </c>
      <c r="H293" s="239"/>
    </row>
    <row r="294" spans="1:8" ht="25.5" customHeight="1" x14ac:dyDescent="0.25">
      <c r="A294" s="242">
        <v>41930</v>
      </c>
      <c r="B294" s="243" t="s">
        <v>1811</v>
      </c>
      <c r="C294" s="244">
        <v>8500</v>
      </c>
      <c r="D294" s="238" t="s">
        <v>122</v>
      </c>
      <c r="E294" s="238" t="s">
        <v>122</v>
      </c>
      <c r="F294" s="240" t="s">
        <v>122</v>
      </c>
      <c r="G294" s="240" t="s">
        <v>122</v>
      </c>
      <c r="H294" s="239"/>
    </row>
    <row r="295" spans="1:8" ht="25.5" customHeight="1" x14ac:dyDescent="0.25">
      <c r="A295" s="242">
        <v>41931</v>
      </c>
      <c r="B295" s="243" t="s">
        <v>1811</v>
      </c>
      <c r="C295" s="244">
        <v>8500</v>
      </c>
      <c r="D295" s="238" t="s">
        <v>122</v>
      </c>
      <c r="E295" s="238" t="s">
        <v>122</v>
      </c>
      <c r="F295" s="240" t="s">
        <v>122</v>
      </c>
      <c r="G295" s="240" t="s">
        <v>122</v>
      </c>
      <c r="H295" s="239"/>
    </row>
    <row r="296" spans="1:8" ht="25.5" customHeight="1" x14ac:dyDescent="0.25">
      <c r="A296" s="242">
        <v>41932</v>
      </c>
      <c r="B296" s="243" t="s">
        <v>1810</v>
      </c>
      <c r="C296" s="244">
        <v>8600</v>
      </c>
      <c r="D296" s="238" t="s">
        <v>122</v>
      </c>
      <c r="E296" s="238" t="s">
        <v>122</v>
      </c>
      <c r="F296" s="240" t="s">
        <v>122</v>
      </c>
      <c r="G296" s="240" t="s">
        <v>122</v>
      </c>
      <c r="H296" s="239"/>
    </row>
    <row r="297" spans="1:8" ht="25.5" customHeight="1" x14ac:dyDescent="0.25">
      <c r="A297" s="242">
        <v>41933</v>
      </c>
      <c r="B297" s="243" t="s">
        <v>1810</v>
      </c>
      <c r="C297" s="244">
        <v>8600</v>
      </c>
      <c r="D297" s="238" t="s">
        <v>122</v>
      </c>
      <c r="E297" s="238" t="s">
        <v>122</v>
      </c>
      <c r="F297" s="240" t="s">
        <v>122</v>
      </c>
      <c r="G297" s="240" t="s">
        <v>122</v>
      </c>
      <c r="H297" s="239"/>
    </row>
    <row r="298" spans="1:8" ht="25.5" customHeight="1" x14ac:dyDescent="0.25">
      <c r="A298" s="242">
        <v>41934</v>
      </c>
      <c r="B298" s="243" t="s">
        <v>1767</v>
      </c>
      <c r="C298" s="244">
        <v>9600</v>
      </c>
      <c r="D298" s="238" t="s">
        <v>122</v>
      </c>
      <c r="E298" s="238" t="s">
        <v>122</v>
      </c>
      <c r="F298" s="240" t="s">
        <v>122</v>
      </c>
      <c r="G298" s="240" t="s">
        <v>122</v>
      </c>
      <c r="H298" s="239"/>
    </row>
    <row r="299" spans="1:8" ht="25.5" customHeight="1" x14ac:dyDescent="0.25">
      <c r="A299" s="242">
        <v>41935</v>
      </c>
      <c r="B299" s="243" t="s">
        <v>1788</v>
      </c>
      <c r="C299" s="244">
        <v>9800</v>
      </c>
      <c r="D299" s="238" t="s">
        <v>122</v>
      </c>
      <c r="E299" s="238" t="s">
        <v>122</v>
      </c>
      <c r="F299" s="240" t="s">
        <v>122</v>
      </c>
      <c r="G299" s="240" t="s">
        <v>122</v>
      </c>
      <c r="H299" s="239"/>
    </row>
    <row r="300" spans="1:8" ht="25.5" customHeight="1" x14ac:dyDescent="0.25">
      <c r="A300" s="242">
        <v>41936</v>
      </c>
      <c r="B300" s="243" t="s">
        <v>1768</v>
      </c>
      <c r="C300" s="244">
        <v>10400</v>
      </c>
      <c r="D300" s="238" t="s">
        <v>122</v>
      </c>
      <c r="E300" s="238" t="s">
        <v>122</v>
      </c>
      <c r="F300" s="240" t="s">
        <v>122</v>
      </c>
      <c r="G300" s="240" t="s">
        <v>122</v>
      </c>
      <c r="H300" s="239"/>
    </row>
    <row r="301" spans="1:8" ht="25.5" customHeight="1" x14ac:dyDescent="0.25">
      <c r="A301" s="242">
        <v>41937</v>
      </c>
      <c r="B301" s="243" t="s">
        <v>1782</v>
      </c>
      <c r="C301" s="244">
        <v>10500</v>
      </c>
      <c r="D301" s="238" t="s">
        <v>122</v>
      </c>
      <c r="E301" s="238" t="s">
        <v>122</v>
      </c>
      <c r="F301" s="240" t="s">
        <v>122</v>
      </c>
      <c r="G301" s="240" t="s">
        <v>122</v>
      </c>
      <c r="H301" s="239"/>
    </row>
    <row r="302" spans="1:8" ht="25.5" customHeight="1" x14ac:dyDescent="0.25">
      <c r="A302" s="242">
        <v>41938</v>
      </c>
      <c r="B302" s="243" t="s">
        <v>1771</v>
      </c>
      <c r="C302" s="244">
        <v>11400</v>
      </c>
      <c r="D302" s="238" t="s">
        <v>122</v>
      </c>
      <c r="E302" s="238" t="s">
        <v>122</v>
      </c>
      <c r="F302" s="240" t="s">
        <v>122</v>
      </c>
      <c r="G302" s="240" t="s">
        <v>122</v>
      </c>
      <c r="H302" s="239"/>
    </row>
    <row r="303" spans="1:8" ht="25.5" customHeight="1" x14ac:dyDescent="0.25">
      <c r="A303" s="242">
        <v>41939</v>
      </c>
      <c r="B303" s="243" t="s">
        <v>1796</v>
      </c>
      <c r="C303" s="244">
        <v>11500</v>
      </c>
      <c r="D303" s="238" t="s">
        <v>122</v>
      </c>
      <c r="E303" s="238" t="s">
        <v>122</v>
      </c>
      <c r="F303" s="240" t="s">
        <v>122</v>
      </c>
      <c r="G303" s="240" t="s">
        <v>122</v>
      </c>
      <c r="H303" s="239"/>
    </row>
    <row r="304" spans="1:8" ht="25.5" customHeight="1" x14ac:dyDescent="0.25">
      <c r="A304" s="242">
        <v>41940</v>
      </c>
      <c r="B304" s="243" t="s">
        <v>1835</v>
      </c>
      <c r="C304" s="244">
        <v>12200</v>
      </c>
      <c r="D304" s="238" t="s">
        <v>122</v>
      </c>
      <c r="E304" s="238" t="s">
        <v>122</v>
      </c>
      <c r="F304" s="240" t="s">
        <v>122</v>
      </c>
      <c r="G304" s="240" t="s">
        <v>122</v>
      </c>
      <c r="H304" s="239"/>
    </row>
    <row r="305" spans="1:8" ht="25.5" customHeight="1" x14ac:dyDescent="0.25">
      <c r="A305" s="242">
        <v>41941</v>
      </c>
      <c r="B305" s="243" t="s">
        <v>1835</v>
      </c>
      <c r="C305" s="244">
        <v>12200</v>
      </c>
      <c r="D305" s="238" t="s">
        <v>122</v>
      </c>
      <c r="E305" s="238" t="s">
        <v>122</v>
      </c>
      <c r="F305" s="240" t="s">
        <v>122</v>
      </c>
      <c r="G305" s="240" t="s">
        <v>122</v>
      </c>
      <c r="H305" s="239"/>
    </row>
    <row r="306" spans="1:8" ht="25.5" customHeight="1" x14ac:dyDescent="0.25">
      <c r="A306" s="242">
        <v>41942</v>
      </c>
      <c r="B306" s="243" t="s">
        <v>1836</v>
      </c>
      <c r="C306" s="244">
        <v>12300</v>
      </c>
      <c r="D306" s="238" t="s">
        <v>122</v>
      </c>
      <c r="E306" s="238" t="s">
        <v>122</v>
      </c>
      <c r="F306" s="240" t="s">
        <v>122</v>
      </c>
      <c r="G306" s="240" t="s">
        <v>122</v>
      </c>
      <c r="H306" s="239"/>
    </row>
    <row r="307" spans="1:8" ht="25.5" customHeight="1" x14ac:dyDescent="0.25">
      <c r="A307" s="242">
        <v>41943</v>
      </c>
      <c r="B307" s="243" t="s">
        <v>1836</v>
      </c>
      <c r="C307" s="244">
        <v>12300</v>
      </c>
      <c r="D307" s="238" t="s">
        <v>122</v>
      </c>
      <c r="E307" s="238" t="s">
        <v>122</v>
      </c>
      <c r="F307" s="240" t="s">
        <v>122</v>
      </c>
      <c r="G307" s="240" t="s">
        <v>122</v>
      </c>
      <c r="H307" s="239"/>
    </row>
    <row r="308" spans="1:8" ht="25.5" customHeight="1" x14ac:dyDescent="0.25">
      <c r="A308" s="242">
        <v>41944</v>
      </c>
      <c r="B308" s="243" t="s">
        <v>1836</v>
      </c>
      <c r="C308" s="244">
        <v>12300</v>
      </c>
      <c r="D308" s="238" t="s">
        <v>122</v>
      </c>
      <c r="E308" s="238" t="s">
        <v>122</v>
      </c>
      <c r="F308" s="240" t="s">
        <v>122</v>
      </c>
      <c r="G308" s="240" t="s">
        <v>122</v>
      </c>
      <c r="H308" s="239"/>
    </row>
    <row r="309" spans="1:8" ht="25.5" customHeight="1" x14ac:dyDescent="0.25">
      <c r="A309" s="242">
        <v>41945</v>
      </c>
      <c r="B309" s="243" t="s">
        <v>1837</v>
      </c>
      <c r="C309" s="244">
        <v>12500</v>
      </c>
      <c r="D309" s="238" t="s">
        <v>122</v>
      </c>
      <c r="E309" s="238" t="s">
        <v>122</v>
      </c>
      <c r="F309" s="240" t="s">
        <v>122</v>
      </c>
      <c r="G309" s="240" t="s">
        <v>122</v>
      </c>
      <c r="H309" s="239"/>
    </row>
    <row r="310" spans="1:8" ht="25.5" customHeight="1" x14ac:dyDescent="0.25">
      <c r="A310" s="242">
        <v>41946</v>
      </c>
      <c r="B310" s="243" t="s">
        <v>1838</v>
      </c>
      <c r="C310" s="244">
        <v>12900</v>
      </c>
      <c r="D310" s="238" t="s">
        <v>122</v>
      </c>
      <c r="E310" s="238" t="s">
        <v>122</v>
      </c>
      <c r="F310" s="240" t="s">
        <v>122</v>
      </c>
      <c r="G310" s="240" t="s">
        <v>122</v>
      </c>
      <c r="H310" s="239"/>
    </row>
    <row r="311" spans="1:8" ht="25.5" customHeight="1" x14ac:dyDescent="0.25">
      <c r="A311" s="242">
        <v>41947</v>
      </c>
      <c r="B311" s="243" t="s">
        <v>1839</v>
      </c>
      <c r="C311" s="244">
        <v>13000</v>
      </c>
      <c r="D311" s="238" t="s">
        <v>122</v>
      </c>
      <c r="E311" s="238" t="s">
        <v>122</v>
      </c>
      <c r="F311" s="240" t="s">
        <v>122</v>
      </c>
      <c r="G311" s="240" t="s">
        <v>122</v>
      </c>
      <c r="H311" s="239"/>
    </row>
    <row r="312" spans="1:8" ht="25.5" customHeight="1" x14ac:dyDescent="0.25">
      <c r="A312" s="242">
        <v>41948</v>
      </c>
      <c r="B312" s="243" t="s">
        <v>1840</v>
      </c>
      <c r="C312" s="244">
        <v>13250</v>
      </c>
      <c r="D312" s="238" t="s">
        <v>122</v>
      </c>
      <c r="E312" s="238" t="s">
        <v>122</v>
      </c>
      <c r="F312" s="240" t="s">
        <v>122</v>
      </c>
      <c r="G312" s="240" t="s">
        <v>122</v>
      </c>
      <c r="H312" s="239"/>
    </row>
    <row r="313" spans="1:8" ht="25.5" customHeight="1" x14ac:dyDescent="0.25">
      <c r="A313" s="242">
        <v>41949</v>
      </c>
      <c r="B313" s="243" t="s">
        <v>1841</v>
      </c>
      <c r="C313" s="244">
        <v>13500</v>
      </c>
      <c r="D313" s="238" t="s">
        <v>122</v>
      </c>
      <c r="E313" s="238" t="s">
        <v>122</v>
      </c>
      <c r="F313" s="240" t="s">
        <v>122</v>
      </c>
      <c r="G313" s="240" t="s">
        <v>122</v>
      </c>
      <c r="H313" s="239"/>
    </row>
    <row r="314" spans="1:8" ht="25.5" customHeight="1" x14ac:dyDescent="0.25">
      <c r="A314" s="242">
        <v>41950</v>
      </c>
      <c r="B314" s="243" t="s">
        <v>1841</v>
      </c>
      <c r="C314" s="244">
        <v>13500</v>
      </c>
      <c r="D314" s="238" t="s">
        <v>122</v>
      </c>
      <c r="E314" s="238" t="s">
        <v>122</v>
      </c>
      <c r="F314" s="240" t="s">
        <v>122</v>
      </c>
      <c r="G314" s="240" t="s">
        <v>122</v>
      </c>
      <c r="H314" s="239"/>
    </row>
    <row r="315" spans="1:8" ht="25.5" customHeight="1" x14ac:dyDescent="0.25">
      <c r="A315" s="242">
        <v>41951</v>
      </c>
      <c r="B315" s="243" t="s">
        <v>1841</v>
      </c>
      <c r="C315" s="244">
        <v>13500</v>
      </c>
      <c r="D315" s="238" t="s">
        <v>122</v>
      </c>
      <c r="E315" s="238" t="s">
        <v>122</v>
      </c>
      <c r="F315" s="240" t="s">
        <v>122</v>
      </c>
      <c r="G315" s="240" t="s">
        <v>122</v>
      </c>
      <c r="H315" s="239"/>
    </row>
    <row r="316" spans="1:8" ht="25.5" customHeight="1" x14ac:dyDescent="0.25">
      <c r="A316" s="242">
        <v>41952</v>
      </c>
      <c r="B316" s="243" t="s">
        <v>1841</v>
      </c>
      <c r="C316" s="244">
        <v>13500</v>
      </c>
      <c r="D316" s="238" t="s">
        <v>122</v>
      </c>
      <c r="E316" s="238" t="s">
        <v>122</v>
      </c>
      <c r="F316" s="245" t="s">
        <v>122</v>
      </c>
      <c r="G316" s="245" t="s">
        <v>122</v>
      </c>
      <c r="H316" s="239"/>
    </row>
    <row r="317" spans="1:8" ht="25.5" customHeight="1" x14ac:dyDescent="0.25">
      <c r="A317" s="242">
        <v>41953</v>
      </c>
      <c r="B317" s="243" t="s">
        <v>1841</v>
      </c>
      <c r="C317" s="244">
        <v>13500</v>
      </c>
      <c r="D317" s="238" t="s">
        <v>122</v>
      </c>
      <c r="E317" s="238" t="s">
        <v>122</v>
      </c>
      <c r="F317" s="245" t="s">
        <v>122</v>
      </c>
      <c r="G317" s="245" t="s">
        <v>122</v>
      </c>
      <c r="H317" s="239"/>
    </row>
    <row r="318" spans="1:8" ht="25.5" customHeight="1" x14ac:dyDescent="0.25">
      <c r="A318" s="242">
        <v>41954</v>
      </c>
      <c r="B318" s="243" t="s">
        <v>1841</v>
      </c>
      <c r="C318" s="244">
        <v>13500</v>
      </c>
      <c r="D318" s="245">
        <v>1.08</v>
      </c>
      <c r="E318" s="245">
        <v>54.510000000000005</v>
      </c>
      <c r="F318" s="245">
        <v>1.08</v>
      </c>
      <c r="G318" s="244">
        <v>57.484999999999999</v>
      </c>
      <c r="H318" s="239"/>
    </row>
    <row r="319" spans="1:8" ht="25.5" customHeight="1" x14ac:dyDescent="0.25">
      <c r="A319" s="242">
        <v>41955</v>
      </c>
      <c r="B319" s="243" t="s">
        <v>1839</v>
      </c>
      <c r="C319" s="244">
        <v>13000</v>
      </c>
      <c r="D319" s="245">
        <v>1.08</v>
      </c>
      <c r="E319" s="244">
        <v>53.994999999999997</v>
      </c>
      <c r="F319" s="245">
        <v>1.08</v>
      </c>
      <c r="G319" s="244">
        <v>57</v>
      </c>
      <c r="H319" s="239"/>
    </row>
    <row r="320" spans="1:8" ht="25.5" customHeight="1" x14ac:dyDescent="0.25">
      <c r="A320" s="242">
        <v>41956</v>
      </c>
      <c r="B320" s="243" t="s">
        <v>1838</v>
      </c>
      <c r="C320" s="244">
        <v>12900</v>
      </c>
      <c r="D320" s="245">
        <v>1.08</v>
      </c>
      <c r="E320" s="245">
        <v>53.739999999999995</v>
      </c>
      <c r="F320" s="245">
        <v>1.08</v>
      </c>
      <c r="G320" s="244">
        <v>56.755000000000003</v>
      </c>
      <c r="H320" s="239"/>
    </row>
    <row r="321" spans="1:8" ht="25.5" customHeight="1" x14ac:dyDescent="0.25">
      <c r="A321" s="242">
        <v>41957</v>
      </c>
      <c r="B321" s="243" t="s">
        <v>1841</v>
      </c>
      <c r="C321" s="244">
        <v>13500</v>
      </c>
      <c r="D321" s="245">
        <v>0.5</v>
      </c>
      <c r="E321" s="245">
        <v>21.69</v>
      </c>
      <c r="F321" s="245">
        <v>0.57999999999999996</v>
      </c>
      <c r="G321" s="244">
        <v>31.725000000000001</v>
      </c>
      <c r="H321" s="239"/>
    </row>
    <row r="322" spans="1:8" ht="25.5" customHeight="1" x14ac:dyDescent="0.25">
      <c r="A322" s="242">
        <v>41958</v>
      </c>
      <c r="B322" s="243" t="s">
        <v>1841</v>
      </c>
      <c r="C322" s="244">
        <v>13500</v>
      </c>
      <c r="D322" s="245">
        <v>0.83</v>
      </c>
      <c r="E322" s="245">
        <v>42.52</v>
      </c>
      <c r="F322" s="245">
        <v>0.42</v>
      </c>
      <c r="G322" s="244">
        <v>22.844999999999999</v>
      </c>
      <c r="H322" s="239"/>
    </row>
    <row r="323" spans="1:8" ht="25.5" customHeight="1" x14ac:dyDescent="0.25">
      <c r="A323" s="242">
        <v>41959</v>
      </c>
      <c r="B323" s="243" t="s">
        <v>1841</v>
      </c>
      <c r="C323" s="244">
        <v>13500</v>
      </c>
      <c r="D323" s="245">
        <v>0.83</v>
      </c>
      <c r="E323" s="245">
        <v>42.52</v>
      </c>
      <c r="F323" s="245">
        <v>0.17</v>
      </c>
      <c r="G323" s="245">
        <v>9.24</v>
      </c>
      <c r="H323" s="239"/>
    </row>
    <row r="324" spans="1:8" ht="25.5" customHeight="1" x14ac:dyDescent="0.25">
      <c r="A324" s="242">
        <v>41960</v>
      </c>
      <c r="B324" s="243" t="s">
        <v>1841</v>
      </c>
      <c r="C324" s="244">
        <v>13500</v>
      </c>
      <c r="D324" s="245">
        <v>0.83</v>
      </c>
      <c r="E324" s="245">
        <v>42.52</v>
      </c>
      <c r="F324" s="245" t="s">
        <v>122</v>
      </c>
      <c r="G324" s="245" t="s">
        <v>122</v>
      </c>
      <c r="H324" s="239"/>
    </row>
    <row r="325" spans="1:8" ht="25.5" customHeight="1" x14ac:dyDescent="0.25">
      <c r="A325" s="242">
        <v>41961</v>
      </c>
      <c r="B325" s="243" t="s">
        <v>1841</v>
      </c>
      <c r="C325" s="244">
        <v>13500</v>
      </c>
      <c r="D325" s="245">
        <v>0.67</v>
      </c>
      <c r="E325" s="245">
        <v>34.32</v>
      </c>
      <c r="F325" s="245" t="s">
        <v>122</v>
      </c>
      <c r="G325" s="245" t="s">
        <v>122</v>
      </c>
      <c r="H325" s="239"/>
    </row>
    <row r="326" spans="1:8" ht="25.5" customHeight="1" x14ac:dyDescent="0.25">
      <c r="A326" s="242">
        <v>41962</v>
      </c>
      <c r="B326" s="243" t="s">
        <v>1842</v>
      </c>
      <c r="C326" s="244">
        <v>14400</v>
      </c>
      <c r="D326" s="245">
        <v>0.42</v>
      </c>
      <c r="E326" s="244">
        <v>22.295000000000002</v>
      </c>
      <c r="F326" s="245" t="s">
        <v>122</v>
      </c>
      <c r="G326" s="245" t="s">
        <v>122</v>
      </c>
      <c r="H326" s="239"/>
    </row>
    <row r="327" spans="1:8" ht="25.5" customHeight="1" x14ac:dyDescent="0.25">
      <c r="A327" s="242">
        <v>41963</v>
      </c>
      <c r="B327" s="243" t="s">
        <v>1843</v>
      </c>
      <c r="C327" s="244">
        <v>14600</v>
      </c>
      <c r="D327" s="245" t="s">
        <v>122</v>
      </c>
      <c r="E327" s="245" t="s">
        <v>122</v>
      </c>
      <c r="F327" s="245" t="s">
        <v>122</v>
      </c>
      <c r="G327" s="245" t="s">
        <v>122</v>
      </c>
      <c r="H327" s="239"/>
    </row>
    <row r="328" spans="1:8" ht="25.5" customHeight="1" x14ac:dyDescent="0.25">
      <c r="A328" s="242">
        <v>41964</v>
      </c>
      <c r="B328" s="243" t="s">
        <v>1844</v>
      </c>
      <c r="C328" s="244">
        <v>15600</v>
      </c>
      <c r="D328" s="245" t="s">
        <v>122</v>
      </c>
      <c r="E328" s="245" t="s">
        <v>122</v>
      </c>
      <c r="F328" s="245" t="s">
        <v>122</v>
      </c>
      <c r="G328" s="245" t="s">
        <v>122</v>
      </c>
      <c r="H328" s="239"/>
    </row>
    <row r="329" spans="1:8" ht="25.5" customHeight="1" x14ac:dyDescent="0.25">
      <c r="A329" s="242">
        <v>41965</v>
      </c>
      <c r="B329" s="243" t="s">
        <v>1845</v>
      </c>
      <c r="C329" s="244">
        <v>16700</v>
      </c>
      <c r="D329" s="245" t="s">
        <v>122</v>
      </c>
      <c r="E329" s="245" t="s">
        <v>122</v>
      </c>
      <c r="F329" s="245" t="s">
        <v>122</v>
      </c>
      <c r="G329" s="245" t="s">
        <v>122</v>
      </c>
      <c r="H329" s="239"/>
    </row>
    <row r="330" spans="1:8" ht="25.5" customHeight="1" x14ac:dyDescent="0.25">
      <c r="A330" s="242">
        <v>41966</v>
      </c>
      <c r="B330" s="243" t="s">
        <v>1846</v>
      </c>
      <c r="C330" s="244">
        <v>20650</v>
      </c>
      <c r="D330" s="245" t="s">
        <v>122</v>
      </c>
      <c r="E330" s="245" t="s">
        <v>122</v>
      </c>
      <c r="F330" s="245" t="s">
        <v>122</v>
      </c>
      <c r="G330" s="245" t="s">
        <v>122</v>
      </c>
      <c r="H330" s="239"/>
    </row>
    <row r="331" spans="1:8" ht="25.5" customHeight="1" x14ac:dyDescent="0.25">
      <c r="A331" s="242">
        <v>41967</v>
      </c>
      <c r="B331" s="243" t="s">
        <v>1847</v>
      </c>
      <c r="C331" s="244">
        <v>23500</v>
      </c>
      <c r="D331" s="245" t="s">
        <v>122</v>
      </c>
      <c r="E331" s="245" t="s">
        <v>122</v>
      </c>
      <c r="F331" s="245" t="s">
        <v>122</v>
      </c>
      <c r="G331" s="245" t="s">
        <v>122</v>
      </c>
      <c r="H331" s="239"/>
    </row>
    <row r="332" spans="1:8" ht="25.5" customHeight="1" x14ac:dyDescent="0.25">
      <c r="A332" s="242">
        <v>41968</v>
      </c>
      <c r="B332" s="243" t="s">
        <v>1848</v>
      </c>
      <c r="C332" s="244">
        <v>26750</v>
      </c>
      <c r="D332" s="245" t="s">
        <v>122</v>
      </c>
      <c r="E332" s="245" t="s">
        <v>122</v>
      </c>
      <c r="F332" s="245" t="s">
        <v>122</v>
      </c>
      <c r="G332" s="245" t="s">
        <v>122</v>
      </c>
      <c r="H332" s="239"/>
    </row>
    <row r="333" spans="1:8" ht="25.5" customHeight="1" x14ac:dyDescent="0.25">
      <c r="A333" s="242">
        <v>41969</v>
      </c>
      <c r="B333" s="243" t="s">
        <v>1849</v>
      </c>
      <c r="C333" s="244">
        <v>28850</v>
      </c>
      <c r="D333" s="245" t="s">
        <v>122</v>
      </c>
      <c r="E333" s="245" t="s">
        <v>122</v>
      </c>
      <c r="F333" s="245" t="s">
        <v>122</v>
      </c>
      <c r="G333" s="245" t="s">
        <v>122</v>
      </c>
      <c r="H333" s="239"/>
    </row>
    <row r="334" spans="1:8" ht="25.5" customHeight="1" x14ac:dyDescent="0.25">
      <c r="A334" s="242">
        <v>41970</v>
      </c>
      <c r="B334" s="243" t="s">
        <v>1850</v>
      </c>
      <c r="C334" s="244">
        <v>32100</v>
      </c>
      <c r="D334" s="245" t="s">
        <v>122</v>
      </c>
      <c r="E334" s="245" t="s">
        <v>122</v>
      </c>
      <c r="F334" s="245" t="s">
        <v>122</v>
      </c>
      <c r="G334" s="245" t="s">
        <v>122</v>
      </c>
      <c r="H334" s="239"/>
    </row>
    <row r="335" spans="1:8" ht="25.5" customHeight="1" x14ac:dyDescent="0.25">
      <c r="A335" s="242">
        <v>41971</v>
      </c>
      <c r="B335" s="243" t="s">
        <v>1851</v>
      </c>
      <c r="C335" s="244">
        <v>36250</v>
      </c>
      <c r="D335" s="245" t="s">
        <v>122</v>
      </c>
      <c r="E335" s="245" t="s">
        <v>122</v>
      </c>
      <c r="F335" s="245" t="s">
        <v>122</v>
      </c>
      <c r="G335" s="245" t="s">
        <v>122</v>
      </c>
      <c r="H335" s="239"/>
    </row>
    <row r="336" spans="1:8" ht="25.5" customHeight="1" x14ac:dyDescent="0.25">
      <c r="A336" s="242">
        <v>41972</v>
      </c>
      <c r="B336" s="243" t="s">
        <v>1852</v>
      </c>
      <c r="C336" s="244" t="s">
        <v>1854</v>
      </c>
      <c r="D336" s="245" t="s">
        <v>122</v>
      </c>
      <c r="E336" s="245" t="s">
        <v>122</v>
      </c>
      <c r="F336" s="245" t="s">
        <v>122</v>
      </c>
      <c r="G336" s="245" t="s">
        <v>122</v>
      </c>
      <c r="H336" s="239"/>
    </row>
    <row r="337" spans="1:8" ht="25.5" customHeight="1" x14ac:dyDescent="0.25">
      <c r="A337" s="242">
        <v>41973</v>
      </c>
      <c r="B337" s="243" t="s">
        <v>1853</v>
      </c>
      <c r="C337" s="244" t="s">
        <v>1855</v>
      </c>
      <c r="D337" s="245" t="s">
        <v>122</v>
      </c>
      <c r="E337" s="245" t="s">
        <v>122</v>
      </c>
      <c r="F337" s="245" t="s">
        <v>122</v>
      </c>
      <c r="G337" s="245" t="s">
        <v>122</v>
      </c>
      <c r="H337" s="239"/>
    </row>
    <row r="338" spans="1:8" ht="25.5" customHeight="1" x14ac:dyDescent="0.25">
      <c r="A338" s="242">
        <v>41974</v>
      </c>
      <c r="B338" s="243" t="s">
        <v>1856</v>
      </c>
      <c r="C338" s="244">
        <v>35750</v>
      </c>
      <c r="D338" s="245" t="s">
        <v>122</v>
      </c>
      <c r="E338" s="245" t="s">
        <v>122</v>
      </c>
      <c r="F338" s="245" t="s">
        <v>122</v>
      </c>
      <c r="G338" s="245" t="s">
        <v>122</v>
      </c>
      <c r="H338" s="239"/>
    </row>
    <row r="339" spans="1:8" ht="25.5" customHeight="1" x14ac:dyDescent="0.25">
      <c r="A339" s="242">
        <v>41975</v>
      </c>
      <c r="B339" s="243" t="s">
        <v>1857</v>
      </c>
      <c r="C339" s="244">
        <v>35250</v>
      </c>
      <c r="D339" s="245">
        <v>0.5</v>
      </c>
      <c r="E339" s="245">
        <v>35.04</v>
      </c>
      <c r="F339" s="245" t="s">
        <v>122</v>
      </c>
      <c r="G339" s="245" t="s">
        <v>122</v>
      </c>
      <c r="H339" s="239"/>
    </row>
    <row r="340" spans="1:8" ht="25.5" customHeight="1" x14ac:dyDescent="0.25">
      <c r="A340" s="242">
        <v>41976</v>
      </c>
      <c r="B340" s="243" t="s">
        <v>1858</v>
      </c>
      <c r="C340" s="244">
        <v>34750</v>
      </c>
      <c r="D340" s="245">
        <v>0.5</v>
      </c>
      <c r="E340" s="245">
        <v>29.2</v>
      </c>
      <c r="F340" s="245">
        <v>0.33</v>
      </c>
      <c r="G340" s="245">
        <v>24.11</v>
      </c>
      <c r="H340" s="239"/>
    </row>
    <row r="341" spans="1:8" ht="25.5" customHeight="1" x14ac:dyDescent="0.25">
      <c r="A341" s="242">
        <v>41977</v>
      </c>
      <c r="B341" s="243" t="s">
        <v>1859</v>
      </c>
      <c r="C341" s="244">
        <v>34075</v>
      </c>
      <c r="D341" s="245">
        <v>0.5</v>
      </c>
      <c r="E341" s="245">
        <v>34.869999999999997</v>
      </c>
      <c r="F341" s="245">
        <v>0.42</v>
      </c>
      <c r="G341" s="245">
        <v>29.96</v>
      </c>
      <c r="H341" s="239"/>
    </row>
    <row r="342" spans="1:8" ht="25.5" customHeight="1" x14ac:dyDescent="0.25">
      <c r="A342" s="242">
        <v>41978</v>
      </c>
      <c r="B342" s="243" t="s">
        <v>1859</v>
      </c>
      <c r="C342" s="244">
        <v>34075</v>
      </c>
      <c r="D342" s="245">
        <v>1</v>
      </c>
      <c r="E342" s="245">
        <v>68.710000000000008</v>
      </c>
      <c r="F342" s="245">
        <v>0.42</v>
      </c>
      <c r="G342" s="245">
        <v>29.96</v>
      </c>
      <c r="H342" s="239"/>
    </row>
    <row r="343" spans="1:8" ht="25.5" customHeight="1" x14ac:dyDescent="0.25">
      <c r="A343" s="242">
        <v>41979</v>
      </c>
      <c r="B343" s="243" t="s">
        <v>1860</v>
      </c>
      <c r="C343" s="244">
        <v>33900</v>
      </c>
      <c r="D343" s="245">
        <v>1</v>
      </c>
      <c r="E343" s="245">
        <v>68.62</v>
      </c>
      <c r="F343" s="245">
        <v>0.42</v>
      </c>
      <c r="G343" s="245">
        <v>29.925000000000001</v>
      </c>
      <c r="H343" s="239"/>
    </row>
    <row r="344" spans="1:8" ht="25.5" customHeight="1" x14ac:dyDescent="0.25">
      <c r="A344" s="242">
        <v>41980</v>
      </c>
      <c r="B344" s="243" t="s">
        <v>1860</v>
      </c>
      <c r="C344" s="244">
        <v>33900</v>
      </c>
      <c r="D344" s="245">
        <v>0.83</v>
      </c>
      <c r="E344" s="245">
        <v>57.47</v>
      </c>
      <c r="F344" s="245">
        <v>0.33</v>
      </c>
      <c r="G344" s="245">
        <v>24</v>
      </c>
      <c r="H344" s="239"/>
    </row>
    <row r="345" spans="1:8" ht="25.5" customHeight="1" x14ac:dyDescent="0.25">
      <c r="A345" s="242">
        <v>41981</v>
      </c>
      <c r="B345" s="243" t="s">
        <v>1859</v>
      </c>
      <c r="C345" s="244">
        <v>34075</v>
      </c>
      <c r="D345" s="245" t="s">
        <v>122</v>
      </c>
      <c r="E345" s="245" t="s">
        <v>122</v>
      </c>
      <c r="F345" s="245" t="s">
        <v>122</v>
      </c>
      <c r="G345" s="245" t="s">
        <v>122</v>
      </c>
      <c r="H345" s="239"/>
    </row>
    <row r="346" spans="1:8" ht="25.5" customHeight="1" x14ac:dyDescent="0.25">
      <c r="A346" s="242">
        <v>41982</v>
      </c>
      <c r="B346" s="243" t="s">
        <v>1861</v>
      </c>
      <c r="C346" s="244">
        <v>35750</v>
      </c>
      <c r="D346" s="245" t="s">
        <v>122</v>
      </c>
      <c r="E346" s="245" t="s">
        <v>122</v>
      </c>
      <c r="F346" s="245" t="s">
        <v>122</v>
      </c>
      <c r="G346" s="245" t="s">
        <v>122</v>
      </c>
      <c r="H346" s="239"/>
    </row>
    <row r="347" spans="1:8" ht="25.5" customHeight="1" x14ac:dyDescent="0.25">
      <c r="A347" s="242">
        <v>41983</v>
      </c>
      <c r="B347" s="243" t="s">
        <v>1862</v>
      </c>
      <c r="C347" s="244" t="s">
        <v>1876</v>
      </c>
      <c r="D347" s="245">
        <v>0.33</v>
      </c>
      <c r="E347" s="245">
        <v>23.67</v>
      </c>
      <c r="F347" s="245">
        <v>0.33</v>
      </c>
      <c r="G347" s="245">
        <v>24.32</v>
      </c>
      <c r="H347" s="239">
        <v>378.28</v>
      </c>
    </row>
    <row r="348" spans="1:8" ht="25.5" customHeight="1" x14ac:dyDescent="0.25">
      <c r="A348" s="242">
        <v>41984</v>
      </c>
      <c r="B348" s="243" t="s">
        <v>1852</v>
      </c>
      <c r="C348" s="244" t="s">
        <v>1877</v>
      </c>
      <c r="D348" s="245">
        <v>0.33</v>
      </c>
      <c r="E348" s="245">
        <v>23.83</v>
      </c>
      <c r="F348" s="245">
        <v>0.33</v>
      </c>
      <c r="G348" s="245">
        <v>24.38</v>
      </c>
      <c r="H348" s="239">
        <v>1225.6500000000001</v>
      </c>
    </row>
    <row r="349" spans="1:8" ht="25.5" customHeight="1" x14ac:dyDescent="0.3">
      <c r="A349" s="242">
        <v>41985</v>
      </c>
      <c r="B349" s="243" t="s">
        <v>1863</v>
      </c>
      <c r="C349" s="244" t="s">
        <v>1878</v>
      </c>
      <c r="D349" s="245">
        <v>0.42</v>
      </c>
      <c r="E349" s="245">
        <v>29.69</v>
      </c>
      <c r="F349" s="245" t="s">
        <v>122</v>
      </c>
      <c r="G349" s="245" t="s">
        <v>122</v>
      </c>
      <c r="H349" s="239">
        <v>1408.22</v>
      </c>
    </row>
    <row r="350" spans="1:8" ht="25.5" customHeight="1" x14ac:dyDescent="0.25">
      <c r="A350" s="242">
        <v>41986</v>
      </c>
      <c r="B350" s="243" t="s">
        <v>1864</v>
      </c>
      <c r="C350" s="244" t="s">
        <v>1879</v>
      </c>
      <c r="D350" s="245" t="s">
        <v>122</v>
      </c>
      <c r="E350" s="245" t="s">
        <v>122</v>
      </c>
      <c r="F350" s="245" t="s">
        <v>122</v>
      </c>
      <c r="G350" s="245" t="s">
        <v>122</v>
      </c>
      <c r="H350" s="239">
        <v>2059.6799999999998</v>
      </c>
    </row>
    <row r="351" spans="1:8" ht="25.5" customHeight="1" x14ac:dyDescent="0.3">
      <c r="A351" s="242">
        <v>41987</v>
      </c>
      <c r="B351" s="243" t="s">
        <v>1865</v>
      </c>
      <c r="C351" s="244" t="s">
        <v>1880</v>
      </c>
      <c r="D351" s="245" t="s">
        <v>122</v>
      </c>
      <c r="E351" s="245" t="s">
        <v>122</v>
      </c>
      <c r="F351" s="245" t="s">
        <v>122</v>
      </c>
      <c r="G351" s="245" t="s">
        <v>122</v>
      </c>
      <c r="H351" s="239">
        <v>2202.17</v>
      </c>
    </row>
    <row r="352" spans="1:8" ht="25.5" customHeight="1" x14ac:dyDescent="0.25">
      <c r="A352" s="242">
        <v>41988</v>
      </c>
      <c r="B352" s="243" t="s">
        <v>1853</v>
      </c>
      <c r="C352" s="244" t="s">
        <v>1881</v>
      </c>
      <c r="D352" s="245">
        <v>0.67</v>
      </c>
      <c r="E352" s="245" t="s">
        <v>122</v>
      </c>
      <c r="F352" s="245">
        <v>0.25</v>
      </c>
      <c r="G352" s="245" t="s">
        <v>122</v>
      </c>
      <c r="H352" s="239">
        <v>4613.88</v>
      </c>
    </row>
    <row r="353" spans="1:8" ht="25.5" customHeight="1" x14ac:dyDescent="0.25">
      <c r="A353" s="242">
        <v>41989</v>
      </c>
      <c r="B353" s="243" t="s">
        <v>1851</v>
      </c>
      <c r="C353" s="244">
        <v>36250</v>
      </c>
      <c r="D353" s="245">
        <v>1</v>
      </c>
      <c r="E353" s="245" t="s">
        <v>122</v>
      </c>
      <c r="F353" s="245">
        <v>0.42</v>
      </c>
      <c r="G353" s="245" t="s">
        <v>122</v>
      </c>
      <c r="H353" s="239">
        <v>4174.21</v>
      </c>
    </row>
    <row r="354" spans="1:8" ht="25.5" customHeight="1" x14ac:dyDescent="0.25">
      <c r="A354" s="242">
        <v>41990</v>
      </c>
      <c r="B354" s="243" t="s">
        <v>1866</v>
      </c>
      <c r="C354" s="244" t="s">
        <v>1882</v>
      </c>
      <c r="D354" s="245" t="s">
        <v>122</v>
      </c>
      <c r="E354" s="245" t="s">
        <v>122</v>
      </c>
      <c r="F354" s="245" t="s">
        <v>122</v>
      </c>
      <c r="G354" s="245" t="s">
        <v>122</v>
      </c>
      <c r="H354" s="239">
        <v>5585.55</v>
      </c>
    </row>
    <row r="355" spans="1:8" ht="25.5" customHeight="1" x14ac:dyDescent="0.3">
      <c r="A355" s="242">
        <v>41991</v>
      </c>
      <c r="B355" s="243" t="s">
        <v>1867</v>
      </c>
      <c r="C355" s="244" t="s">
        <v>1883</v>
      </c>
      <c r="D355" s="245" t="s">
        <v>122</v>
      </c>
      <c r="E355" s="245" t="s">
        <v>122</v>
      </c>
      <c r="F355" s="245" t="s">
        <v>122</v>
      </c>
      <c r="G355" s="245" t="s">
        <v>122</v>
      </c>
      <c r="H355" s="239">
        <v>9519.85</v>
      </c>
    </row>
    <row r="356" spans="1:8" ht="25.5" customHeight="1" x14ac:dyDescent="0.25">
      <c r="A356" s="242">
        <v>41992</v>
      </c>
      <c r="B356" s="243" t="s">
        <v>1868</v>
      </c>
      <c r="C356" s="244" t="s">
        <v>1884</v>
      </c>
      <c r="D356" s="245" t="s">
        <v>122</v>
      </c>
      <c r="E356" s="245" t="s">
        <v>122</v>
      </c>
      <c r="F356" s="245" t="s">
        <v>122</v>
      </c>
      <c r="G356" s="245" t="s">
        <v>122</v>
      </c>
      <c r="H356" s="239">
        <v>8696.1200000000008</v>
      </c>
    </row>
    <row r="357" spans="1:8" ht="25.5" customHeight="1" x14ac:dyDescent="0.25">
      <c r="A357" s="242">
        <v>41993</v>
      </c>
      <c r="B357" s="243" t="s">
        <v>1869</v>
      </c>
      <c r="C357" s="244" t="s">
        <v>1885</v>
      </c>
      <c r="D357" s="245" t="s">
        <v>122</v>
      </c>
      <c r="E357" s="245" t="s">
        <v>122</v>
      </c>
      <c r="F357" s="245" t="s">
        <v>122</v>
      </c>
      <c r="G357" s="245" t="s">
        <v>122</v>
      </c>
      <c r="H357" s="239">
        <v>12075.34</v>
      </c>
    </row>
    <row r="358" spans="1:8" ht="25.5" customHeight="1" x14ac:dyDescent="0.25">
      <c r="A358" s="242">
        <v>41994</v>
      </c>
      <c r="B358" s="243" t="s">
        <v>1870</v>
      </c>
      <c r="C358" s="244" t="s">
        <v>1886</v>
      </c>
      <c r="D358" s="245" t="s">
        <v>122</v>
      </c>
      <c r="E358" s="245" t="s">
        <v>122</v>
      </c>
      <c r="F358" s="245" t="s">
        <v>122</v>
      </c>
      <c r="G358" s="245" t="s">
        <v>122</v>
      </c>
      <c r="H358" s="239">
        <v>16636.43</v>
      </c>
    </row>
    <row r="359" spans="1:8" ht="25.5" customHeight="1" x14ac:dyDescent="0.25">
      <c r="A359" s="242">
        <v>41995</v>
      </c>
      <c r="B359" s="243" t="s">
        <v>1869</v>
      </c>
      <c r="C359" s="244" t="s">
        <v>1885</v>
      </c>
      <c r="D359" s="245" t="s">
        <v>122</v>
      </c>
      <c r="E359" s="245" t="s">
        <v>122</v>
      </c>
      <c r="F359" s="245" t="s">
        <v>122</v>
      </c>
      <c r="G359" s="245" t="s">
        <v>122</v>
      </c>
      <c r="H359" s="239">
        <v>12075.34</v>
      </c>
    </row>
    <row r="360" spans="1:8" ht="25.5" customHeight="1" x14ac:dyDescent="0.25">
      <c r="A360" s="242">
        <v>41996</v>
      </c>
      <c r="B360" s="243" t="s">
        <v>1868</v>
      </c>
      <c r="C360" s="244" t="s">
        <v>1887</v>
      </c>
      <c r="D360" s="245" t="s">
        <v>122</v>
      </c>
      <c r="E360" s="245" t="s">
        <v>122</v>
      </c>
      <c r="F360" s="245" t="s">
        <v>122</v>
      </c>
      <c r="G360" s="245" t="s">
        <v>122</v>
      </c>
      <c r="H360" s="239">
        <v>8696.1200000000008</v>
      </c>
    </row>
    <row r="361" spans="1:8" ht="25.5" customHeight="1" x14ac:dyDescent="0.25">
      <c r="A361" s="242">
        <v>41997</v>
      </c>
      <c r="B361" s="243" t="s">
        <v>1864</v>
      </c>
      <c r="C361" s="244" t="s">
        <v>1888</v>
      </c>
      <c r="D361" s="245"/>
      <c r="E361" s="245" t="s">
        <v>122</v>
      </c>
      <c r="F361" s="245" t="s">
        <v>122</v>
      </c>
      <c r="G361" s="245" t="s">
        <v>122</v>
      </c>
      <c r="H361" s="239">
        <v>5951.55</v>
      </c>
    </row>
    <row r="362" spans="1:8" ht="25.5" customHeight="1" x14ac:dyDescent="0.25">
      <c r="A362" s="242">
        <v>41998</v>
      </c>
      <c r="B362" s="243" t="s">
        <v>1864</v>
      </c>
      <c r="C362" s="244" t="s">
        <v>1888</v>
      </c>
      <c r="D362" s="245"/>
      <c r="E362" s="245" t="s">
        <v>122</v>
      </c>
      <c r="F362" s="245" t="s">
        <v>122</v>
      </c>
      <c r="G362" s="245" t="s">
        <v>122</v>
      </c>
      <c r="H362" s="239">
        <v>5951.55</v>
      </c>
    </row>
    <row r="363" spans="1:8" ht="25.5" customHeight="1" x14ac:dyDescent="0.25">
      <c r="A363" s="242">
        <v>41999</v>
      </c>
      <c r="B363" s="243" t="s">
        <v>1871</v>
      </c>
      <c r="C363" s="244" t="s">
        <v>1889</v>
      </c>
      <c r="D363" s="245"/>
      <c r="E363" s="245" t="s">
        <v>122</v>
      </c>
      <c r="F363" s="245" t="s">
        <v>122</v>
      </c>
      <c r="G363" s="245" t="s">
        <v>122</v>
      </c>
      <c r="H363" s="239">
        <v>7683.13</v>
      </c>
    </row>
    <row r="364" spans="1:8" ht="25.5" customHeight="1" x14ac:dyDescent="0.25">
      <c r="A364" s="242">
        <v>42000</v>
      </c>
      <c r="B364" s="243" t="s">
        <v>1872</v>
      </c>
      <c r="C364" s="244" t="s">
        <v>1890</v>
      </c>
      <c r="D364" s="245"/>
      <c r="E364" s="245" t="s">
        <v>122</v>
      </c>
      <c r="F364" s="245" t="s">
        <v>122</v>
      </c>
      <c r="G364" s="245" t="s">
        <v>122</v>
      </c>
      <c r="H364" s="239">
        <v>6383.3</v>
      </c>
    </row>
    <row r="365" spans="1:8" ht="25.5" customHeight="1" x14ac:dyDescent="0.3">
      <c r="A365" s="242">
        <v>42001</v>
      </c>
      <c r="B365" s="243" t="s">
        <v>1873</v>
      </c>
      <c r="C365" s="244" t="s">
        <v>1891</v>
      </c>
      <c r="D365" s="245"/>
      <c r="E365" s="245" t="s">
        <v>122</v>
      </c>
      <c r="F365" s="245" t="s">
        <v>122</v>
      </c>
      <c r="G365" s="245" t="s">
        <v>122</v>
      </c>
      <c r="H365" s="239">
        <v>5806.7</v>
      </c>
    </row>
    <row r="366" spans="1:8" ht="25.5" customHeight="1" x14ac:dyDescent="0.3">
      <c r="A366" s="242">
        <v>42002</v>
      </c>
      <c r="B366" s="243" t="s">
        <v>1873</v>
      </c>
      <c r="C366" s="244" t="s">
        <v>1891</v>
      </c>
      <c r="D366" s="245"/>
      <c r="E366" s="245" t="s">
        <v>122</v>
      </c>
      <c r="F366" s="245" t="s">
        <v>122</v>
      </c>
      <c r="G366" s="245" t="s">
        <v>122</v>
      </c>
      <c r="H366" s="239">
        <v>5806.7</v>
      </c>
    </row>
    <row r="367" spans="1:8" ht="25.5" customHeight="1" x14ac:dyDescent="0.25">
      <c r="A367" s="242">
        <v>42003</v>
      </c>
      <c r="B367" s="243" t="s">
        <v>1874</v>
      </c>
      <c r="C367" s="246">
        <v>35000</v>
      </c>
      <c r="D367" s="245"/>
      <c r="E367" s="245" t="s">
        <v>122</v>
      </c>
      <c r="F367" s="245" t="s">
        <v>122</v>
      </c>
      <c r="G367" s="245" t="s">
        <v>122</v>
      </c>
      <c r="H367" s="239">
        <v>4343.6099999999997</v>
      </c>
    </row>
    <row r="368" spans="1:8" ht="25.5" customHeight="1" thickBot="1" x14ac:dyDescent="0.3">
      <c r="A368" s="247">
        <v>42004</v>
      </c>
      <c r="B368" s="248" t="s">
        <v>1875</v>
      </c>
      <c r="C368" s="249" t="s">
        <v>1892</v>
      </c>
      <c r="D368" s="250"/>
      <c r="E368" s="250" t="s">
        <v>122</v>
      </c>
      <c r="F368" s="250" t="s">
        <v>122</v>
      </c>
      <c r="G368" s="250" t="s">
        <v>122</v>
      </c>
      <c r="H368" s="251">
        <v>4713.7299999999996</v>
      </c>
    </row>
  </sheetData>
  <mergeCells count="7">
    <mergeCell ref="A1:H1"/>
    <mergeCell ref="A2:A3"/>
    <mergeCell ref="C2:C3"/>
    <mergeCell ref="D2:E2"/>
    <mergeCell ref="F2:G2"/>
    <mergeCell ref="H2:H3"/>
    <mergeCell ref="B2:B3"/>
  </mergeCells>
  <printOptions horizontalCentered="1"/>
  <pageMargins left="1.2"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69"/>
  <sheetViews>
    <sheetView topLeftCell="A255" workbookViewId="0">
      <selection activeCell="C263" sqref="C263"/>
    </sheetView>
  </sheetViews>
  <sheetFormatPr defaultColWidth="9.140625" defaultRowHeight="15" x14ac:dyDescent="0.25"/>
  <cols>
    <col min="1" max="1" width="10.28515625" style="27" customWidth="1"/>
    <col min="2" max="2" width="12.28515625" style="27" customWidth="1"/>
    <col min="3" max="3" width="9.7109375" style="27" customWidth="1"/>
    <col min="4" max="4" width="10" style="27" customWidth="1"/>
    <col min="5" max="5" width="10.28515625" style="27" customWidth="1"/>
    <col min="6" max="6" width="12.28515625" style="14" customWidth="1"/>
    <col min="7" max="16384" width="9.140625" style="14"/>
  </cols>
  <sheetData>
    <row r="1" spans="1:8" ht="29.25" customHeight="1" x14ac:dyDescent="0.25">
      <c r="A1" s="470" t="s">
        <v>2702</v>
      </c>
      <c r="B1" s="470"/>
      <c r="C1" s="470"/>
      <c r="D1" s="470"/>
      <c r="E1" s="470"/>
      <c r="F1" s="470"/>
      <c r="G1" s="253"/>
      <c r="H1" s="252"/>
    </row>
    <row r="2" spans="1:8" ht="18.75" customHeight="1" thickBot="1" x14ac:dyDescent="0.3">
      <c r="A2" s="124" t="s">
        <v>2677</v>
      </c>
      <c r="B2" s="125"/>
      <c r="C2" s="125"/>
      <c r="D2" s="125"/>
      <c r="E2" s="125"/>
      <c r="F2" s="125"/>
      <c r="G2" s="253"/>
    </row>
    <row r="3" spans="1:8" ht="21" customHeight="1" x14ac:dyDescent="0.25">
      <c r="A3" s="474" t="s">
        <v>0</v>
      </c>
      <c r="B3" s="476" t="s">
        <v>2701</v>
      </c>
      <c r="C3" s="478" t="s">
        <v>2293</v>
      </c>
      <c r="D3" s="480" t="s">
        <v>1893</v>
      </c>
      <c r="E3" s="481"/>
      <c r="F3" s="454" t="s">
        <v>2676</v>
      </c>
      <c r="G3" s="119"/>
    </row>
    <row r="4" spans="1:8" ht="28.5" customHeight="1" thickBot="1" x14ac:dyDescent="0.3">
      <c r="A4" s="475"/>
      <c r="B4" s="477"/>
      <c r="C4" s="479"/>
      <c r="D4" s="98" t="s">
        <v>1775</v>
      </c>
      <c r="E4" s="98" t="s">
        <v>1774</v>
      </c>
      <c r="F4" s="455"/>
    </row>
    <row r="5" spans="1:8" ht="21.75" customHeight="1" x14ac:dyDescent="0.25">
      <c r="A5" s="120">
        <v>42005</v>
      </c>
      <c r="B5" s="112" t="s">
        <v>2153</v>
      </c>
      <c r="C5" s="112" t="s">
        <v>2173</v>
      </c>
      <c r="D5" s="113" t="s">
        <v>122</v>
      </c>
      <c r="E5" s="113" t="s">
        <v>122</v>
      </c>
      <c r="F5" s="121"/>
    </row>
    <row r="6" spans="1:8" ht="21.75" customHeight="1" x14ac:dyDescent="0.25">
      <c r="A6" s="95">
        <v>42006</v>
      </c>
      <c r="B6" s="96" t="s">
        <v>2153</v>
      </c>
      <c r="C6" s="96" t="s">
        <v>2173</v>
      </c>
      <c r="D6" s="94" t="s">
        <v>2152</v>
      </c>
      <c r="E6" s="94" t="s">
        <v>2174</v>
      </c>
      <c r="F6" s="122"/>
    </row>
    <row r="7" spans="1:8" ht="21.75" customHeight="1" x14ac:dyDescent="0.25">
      <c r="A7" s="95">
        <v>42007</v>
      </c>
      <c r="B7" s="96" t="s">
        <v>2153</v>
      </c>
      <c r="C7" s="96" t="s">
        <v>2173</v>
      </c>
      <c r="D7" s="94" t="s">
        <v>2175</v>
      </c>
      <c r="E7" s="94" t="s">
        <v>2176</v>
      </c>
      <c r="F7" s="122"/>
    </row>
    <row r="8" spans="1:8" ht="21.75" customHeight="1" x14ac:dyDescent="0.25">
      <c r="A8" s="95">
        <v>42008</v>
      </c>
      <c r="B8" s="96" t="s">
        <v>2153</v>
      </c>
      <c r="C8" s="96" t="s">
        <v>2173</v>
      </c>
      <c r="D8" s="94" t="s">
        <v>2177</v>
      </c>
      <c r="E8" s="94" t="s">
        <v>2176</v>
      </c>
      <c r="F8" s="122"/>
    </row>
    <row r="9" spans="1:8" ht="21.75" customHeight="1" x14ac:dyDescent="0.25">
      <c r="A9" s="95">
        <v>42009</v>
      </c>
      <c r="B9" s="96" t="s">
        <v>2154</v>
      </c>
      <c r="C9" s="96" t="s">
        <v>2173</v>
      </c>
      <c r="D9" s="94" t="s">
        <v>2177</v>
      </c>
      <c r="E9" s="94" t="s">
        <v>2176</v>
      </c>
      <c r="F9" s="122"/>
    </row>
    <row r="10" spans="1:8" ht="21.75" customHeight="1" x14ac:dyDescent="0.25">
      <c r="A10" s="95">
        <v>42010</v>
      </c>
      <c r="B10" s="96" t="s">
        <v>2178</v>
      </c>
      <c r="C10" s="96" t="s">
        <v>2173</v>
      </c>
      <c r="D10" s="94" t="s">
        <v>2179</v>
      </c>
      <c r="E10" s="94" t="s">
        <v>2180</v>
      </c>
      <c r="F10" s="122"/>
    </row>
    <row r="11" spans="1:8" ht="21.75" customHeight="1" x14ac:dyDescent="0.25">
      <c r="A11" s="95">
        <v>42011</v>
      </c>
      <c r="B11" s="96" t="s">
        <v>2181</v>
      </c>
      <c r="C11" s="96" t="s">
        <v>2173</v>
      </c>
      <c r="D11" s="94" t="s">
        <v>2179</v>
      </c>
      <c r="E11" s="94" t="s">
        <v>2180</v>
      </c>
      <c r="F11" s="122"/>
    </row>
    <row r="12" spans="1:8" ht="21.75" customHeight="1" x14ac:dyDescent="0.25">
      <c r="A12" s="95">
        <v>42012</v>
      </c>
      <c r="B12" s="96" t="s">
        <v>2155</v>
      </c>
      <c r="C12" s="96" t="s">
        <v>2182</v>
      </c>
      <c r="D12" s="94" t="s">
        <v>2179</v>
      </c>
      <c r="E12" s="94" t="s">
        <v>2180</v>
      </c>
      <c r="F12" s="122"/>
    </row>
    <row r="13" spans="1:8" ht="21.75" customHeight="1" x14ac:dyDescent="0.25">
      <c r="A13" s="95">
        <v>42013</v>
      </c>
      <c r="B13" s="96" t="s">
        <v>2156</v>
      </c>
      <c r="C13" s="96" t="s">
        <v>769</v>
      </c>
      <c r="D13" s="94" t="s">
        <v>2179</v>
      </c>
      <c r="E13" s="94" t="s">
        <v>2180</v>
      </c>
      <c r="F13" s="122"/>
    </row>
    <row r="14" spans="1:8" ht="21.75" customHeight="1" x14ac:dyDescent="0.25">
      <c r="A14" s="95">
        <v>42014</v>
      </c>
      <c r="B14" s="96" t="s">
        <v>2157</v>
      </c>
      <c r="C14" s="96" t="s">
        <v>2183</v>
      </c>
      <c r="D14" s="94" t="s">
        <v>2179</v>
      </c>
      <c r="E14" s="94" t="s">
        <v>2180</v>
      </c>
      <c r="F14" s="122"/>
    </row>
    <row r="15" spans="1:8" ht="21.75" customHeight="1" x14ac:dyDescent="0.25">
      <c r="A15" s="95">
        <v>42015</v>
      </c>
      <c r="B15" s="96" t="s">
        <v>2184</v>
      </c>
      <c r="C15" s="96" t="s">
        <v>2185</v>
      </c>
      <c r="D15" s="94" t="s">
        <v>2186</v>
      </c>
      <c r="E15" s="94" t="s">
        <v>2177</v>
      </c>
      <c r="F15" s="122"/>
    </row>
    <row r="16" spans="1:8" ht="21.75" customHeight="1" x14ac:dyDescent="0.25">
      <c r="A16" s="95">
        <v>42016</v>
      </c>
      <c r="B16" s="96" t="s">
        <v>2187</v>
      </c>
      <c r="C16" s="96" t="s">
        <v>758</v>
      </c>
      <c r="D16" s="94" t="s">
        <v>122</v>
      </c>
      <c r="E16" s="94" t="s">
        <v>2186</v>
      </c>
      <c r="F16" s="122"/>
    </row>
    <row r="17" spans="1:6" ht="21.75" customHeight="1" x14ac:dyDescent="0.25">
      <c r="A17" s="95">
        <v>42017</v>
      </c>
      <c r="B17" s="96" t="s">
        <v>2187</v>
      </c>
      <c r="C17" s="96" t="s">
        <v>758</v>
      </c>
      <c r="D17" s="94" t="s">
        <v>122</v>
      </c>
      <c r="E17" s="94" t="s">
        <v>122</v>
      </c>
      <c r="F17" s="122"/>
    </row>
    <row r="18" spans="1:6" ht="21.75" customHeight="1" x14ac:dyDescent="0.25">
      <c r="A18" s="95">
        <v>42018</v>
      </c>
      <c r="B18" s="96" t="s">
        <v>2187</v>
      </c>
      <c r="C18" s="96" t="s">
        <v>758</v>
      </c>
      <c r="D18" s="94" t="s">
        <v>122</v>
      </c>
      <c r="E18" s="94" t="s">
        <v>122</v>
      </c>
      <c r="F18" s="122"/>
    </row>
    <row r="19" spans="1:6" ht="21.75" customHeight="1" x14ac:dyDescent="0.25">
      <c r="A19" s="95">
        <v>42019</v>
      </c>
      <c r="B19" s="96" t="s">
        <v>2187</v>
      </c>
      <c r="C19" s="96" t="s">
        <v>758</v>
      </c>
      <c r="D19" s="94" t="s">
        <v>2188</v>
      </c>
      <c r="E19" s="94" t="s">
        <v>122</v>
      </c>
      <c r="F19" s="122"/>
    </row>
    <row r="20" spans="1:6" ht="21.75" customHeight="1" x14ac:dyDescent="0.25">
      <c r="A20" s="95">
        <v>42020</v>
      </c>
      <c r="B20" s="96" t="s">
        <v>2189</v>
      </c>
      <c r="C20" s="96" t="s">
        <v>2190</v>
      </c>
      <c r="D20" s="94" t="s">
        <v>2174</v>
      </c>
      <c r="E20" s="94" t="s">
        <v>2177</v>
      </c>
      <c r="F20" s="122"/>
    </row>
    <row r="21" spans="1:6" ht="21.75" customHeight="1" x14ac:dyDescent="0.25">
      <c r="A21" s="95">
        <v>42021</v>
      </c>
      <c r="B21" s="96" t="s">
        <v>2191</v>
      </c>
      <c r="C21" s="96" t="s">
        <v>2192</v>
      </c>
      <c r="D21" s="94" t="s">
        <v>2179</v>
      </c>
      <c r="E21" s="94" t="s">
        <v>2179</v>
      </c>
      <c r="F21" s="122"/>
    </row>
    <row r="22" spans="1:6" ht="21.75" customHeight="1" x14ac:dyDescent="0.25">
      <c r="A22" s="95">
        <v>42022</v>
      </c>
      <c r="B22" s="96" t="s">
        <v>2193</v>
      </c>
      <c r="C22" s="96" t="s">
        <v>2194</v>
      </c>
      <c r="D22" s="94" t="s">
        <v>2179</v>
      </c>
      <c r="E22" s="94" t="s">
        <v>2179</v>
      </c>
      <c r="F22" s="122"/>
    </row>
    <row r="23" spans="1:6" ht="21.75" customHeight="1" x14ac:dyDescent="0.25">
      <c r="A23" s="95">
        <v>42023</v>
      </c>
      <c r="B23" s="96" t="s">
        <v>2158</v>
      </c>
      <c r="C23" s="96" t="s">
        <v>2195</v>
      </c>
      <c r="D23" s="94" t="s">
        <v>2196</v>
      </c>
      <c r="E23" s="94" t="s">
        <v>2179</v>
      </c>
      <c r="F23" s="122"/>
    </row>
    <row r="24" spans="1:6" ht="21.75" customHeight="1" x14ac:dyDescent="0.25">
      <c r="A24" s="95">
        <v>42024</v>
      </c>
      <c r="B24" s="96" t="s">
        <v>2159</v>
      </c>
      <c r="C24" s="96" t="s">
        <v>777</v>
      </c>
      <c r="D24" s="94" t="s">
        <v>2179</v>
      </c>
      <c r="E24" s="94" t="s">
        <v>2177</v>
      </c>
      <c r="F24" s="122"/>
    </row>
    <row r="25" spans="1:6" ht="21.75" customHeight="1" x14ac:dyDescent="0.25">
      <c r="A25" s="95">
        <v>42025</v>
      </c>
      <c r="B25" s="96" t="s">
        <v>2160</v>
      </c>
      <c r="C25" s="96" t="s">
        <v>2197</v>
      </c>
      <c r="D25" s="94" t="s">
        <v>2177</v>
      </c>
      <c r="E25" s="94" t="s">
        <v>2179</v>
      </c>
      <c r="F25" s="122"/>
    </row>
    <row r="26" spans="1:6" ht="21.75" customHeight="1" x14ac:dyDescent="0.25">
      <c r="A26" s="95">
        <v>42026</v>
      </c>
      <c r="B26" s="96" t="s">
        <v>1902</v>
      </c>
      <c r="C26" s="96" t="s">
        <v>1903</v>
      </c>
      <c r="D26" s="94" t="s">
        <v>122</v>
      </c>
      <c r="E26" s="94" t="s">
        <v>122</v>
      </c>
      <c r="F26" s="122"/>
    </row>
    <row r="27" spans="1:6" ht="21.75" customHeight="1" x14ac:dyDescent="0.25">
      <c r="A27" s="95">
        <v>42027</v>
      </c>
      <c r="B27" s="96" t="s">
        <v>1902</v>
      </c>
      <c r="C27" s="96" t="s">
        <v>1903</v>
      </c>
      <c r="D27" s="94" t="s">
        <v>122</v>
      </c>
      <c r="E27" s="94" t="s">
        <v>122</v>
      </c>
      <c r="F27" s="122"/>
    </row>
    <row r="28" spans="1:6" ht="21.75" customHeight="1" x14ac:dyDescent="0.25">
      <c r="A28" s="95">
        <v>42028</v>
      </c>
      <c r="B28" s="96" t="s">
        <v>1902</v>
      </c>
      <c r="C28" s="96" t="s">
        <v>1903</v>
      </c>
      <c r="D28" s="94" t="s">
        <v>122</v>
      </c>
      <c r="E28" s="94" t="s">
        <v>122</v>
      </c>
      <c r="F28" s="122"/>
    </row>
    <row r="29" spans="1:6" ht="21.75" customHeight="1" x14ac:dyDescent="0.25">
      <c r="A29" s="95">
        <v>42029</v>
      </c>
      <c r="B29" s="96" t="s">
        <v>1902</v>
      </c>
      <c r="C29" s="96" t="s">
        <v>1903</v>
      </c>
      <c r="D29" s="94" t="s">
        <v>122</v>
      </c>
      <c r="E29" s="94" t="s">
        <v>122</v>
      </c>
      <c r="F29" s="122"/>
    </row>
    <row r="30" spans="1:6" ht="21.75" customHeight="1" x14ac:dyDescent="0.25">
      <c r="A30" s="95">
        <v>42030</v>
      </c>
      <c r="B30" s="96" t="s">
        <v>1902</v>
      </c>
      <c r="C30" s="96" t="s">
        <v>1903</v>
      </c>
      <c r="D30" s="94" t="s">
        <v>122</v>
      </c>
      <c r="E30" s="94" t="s">
        <v>2177</v>
      </c>
      <c r="F30" s="122"/>
    </row>
    <row r="31" spans="1:6" ht="21.75" customHeight="1" x14ac:dyDescent="0.25">
      <c r="A31" s="95">
        <v>42031</v>
      </c>
      <c r="B31" s="96" t="s">
        <v>2198</v>
      </c>
      <c r="C31" s="96" t="s">
        <v>2199</v>
      </c>
      <c r="D31" s="94" t="s">
        <v>2174</v>
      </c>
      <c r="E31" s="94" t="s">
        <v>2179</v>
      </c>
      <c r="F31" s="122"/>
    </row>
    <row r="32" spans="1:6" ht="21.75" customHeight="1" x14ac:dyDescent="0.25">
      <c r="A32" s="95">
        <v>42032</v>
      </c>
      <c r="B32" s="96" t="s">
        <v>2200</v>
      </c>
      <c r="C32" s="96" t="s">
        <v>2201</v>
      </c>
      <c r="D32" s="94" t="s">
        <v>2179</v>
      </c>
      <c r="E32" s="94" t="s">
        <v>2180</v>
      </c>
      <c r="F32" s="122"/>
    </row>
    <row r="33" spans="1:6" ht="21.75" customHeight="1" x14ac:dyDescent="0.25">
      <c r="A33" s="95">
        <v>42033</v>
      </c>
      <c r="B33" s="96" t="s">
        <v>2202</v>
      </c>
      <c r="C33" s="96" t="s">
        <v>2203</v>
      </c>
      <c r="D33" s="94" t="s">
        <v>2179</v>
      </c>
      <c r="E33" s="94" t="s">
        <v>2177</v>
      </c>
      <c r="F33" s="122"/>
    </row>
    <row r="34" spans="1:6" ht="21.75" customHeight="1" x14ac:dyDescent="0.25">
      <c r="A34" s="95">
        <v>42034</v>
      </c>
      <c r="B34" s="96" t="s">
        <v>2204</v>
      </c>
      <c r="C34" s="96" t="s">
        <v>2205</v>
      </c>
      <c r="D34" s="94" t="s">
        <v>2174</v>
      </c>
      <c r="E34" s="94" t="s">
        <v>2179</v>
      </c>
      <c r="F34" s="122"/>
    </row>
    <row r="35" spans="1:6" ht="21.75" customHeight="1" x14ac:dyDescent="0.25">
      <c r="A35" s="95">
        <v>42035</v>
      </c>
      <c r="B35" s="96" t="s">
        <v>2206</v>
      </c>
      <c r="C35" s="96" t="s">
        <v>2207</v>
      </c>
      <c r="D35" s="94" t="s">
        <v>2174</v>
      </c>
      <c r="E35" s="94" t="s">
        <v>2179</v>
      </c>
      <c r="F35" s="122"/>
    </row>
    <row r="36" spans="1:6" ht="21.75" customHeight="1" x14ac:dyDescent="0.25">
      <c r="A36" s="95">
        <v>42036</v>
      </c>
      <c r="B36" s="96" t="s">
        <v>2208</v>
      </c>
      <c r="C36" s="96" t="s">
        <v>2209</v>
      </c>
      <c r="D36" s="94" t="s">
        <v>122</v>
      </c>
      <c r="E36" s="94" t="s">
        <v>2179</v>
      </c>
      <c r="F36" s="122"/>
    </row>
    <row r="37" spans="1:6" ht="21.75" customHeight="1" x14ac:dyDescent="0.25">
      <c r="A37" s="95">
        <v>42037</v>
      </c>
      <c r="B37" s="96" t="s">
        <v>1904</v>
      </c>
      <c r="C37" s="96" t="s">
        <v>782</v>
      </c>
      <c r="D37" s="94" t="s">
        <v>122</v>
      </c>
      <c r="E37" s="94" t="s">
        <v>122</v>
      </c>
      <c r="F37" s="122"/>
    </row>
    <row r="38" spans="1:6" ht="21.75" customHeight="1" x14ac:dyDescent="0.25">
      <c r="A38" s="95">
        <v>42038</v>
      </c>
      <c r="B38" s="96" t="s">
        <v>1904</v>
      </c>
      <c r="C38" s="96" t="s">
        <v>782</v>
      </c>
      <c r="D38" s="94" t="s">
        <v>122</v>
      </c>
      <c r="E38" s="94" t="s">
        <v>122</v>
      </c>
      <c r="F38" s="122"/>
    </row>
    <row r="39" spans="1:6" ht="21.75" customHeight="1" x14ac:dyDescent="0.25">
      <c r="A39" s="95">
        <v>42039</v>
      </c>
      <c r="B39" s="96" t="s">
        <v>1905</v>
      </c>
      <c r="C39" s="96" t="s">
        <v>781</v>
      </c>
      <c r="D39" s="94" t="s">
        <v>122</v>
      </c>
      <c r="E39" s="94" t="s">
        <v>122</v>
      </c>
      <c r="F39" s="122"/>
    </row>
    <row r="40" spans="1:6" ht="21.75" customHeight="1" x14ac:dyDescent="0.25">
      <c r="A40" s="95">
        <v>42040</v>
      </c>
      <c r="B40" s="96" t="s">
        <v>1905</v>
      </c>
      <c r="C40" s="96" t="s">
        <v>781</v>
      </c>
      <c r="D40" s="94" t="s">
        <v>122</v>
      </c>
      <c r="E40" s="94" t="s">
        <v>122</v>
      </c>
      <c r="F40" s="122"/>
    </row>
    <row r="41" spans="1:6" ht="21.75" customHeight="1" x14ac:dyDescent="0.25">
      <c r="A41" s="95">
        <v>42041</v>
      </c>
      <c r="B41" s="96" t="s">
        <v>2210</v>
      </c>
      <c r="C41" s="96" t="s">
        <v>2203</v>
      </c>
      <c r="D41" s="94" t="s">
        <v>122</v>
      </c>
      <c r="E41" s="94" t="s">
        <v>122</v>
      </c>
      <c r="F41" s="122"/>
    </row>
    <row r="42" spans="1:6" ht="21.75" customHeight="1" x14ac:dyDescent="0.25">
      <c r="A42" s="95">
        <v>42042</v>
      </c>
      <c r="B42" s="96" t="s">
        <v>1894</v>
      </c>
      <c r="C42" s="96" t="s">
        <v>1906</v>
      </c>
      <c r="D42" s="94" t="s">
        <v>122</v>
      </c>
      <c r="E42" s="94" t="s">
        <v>122</v>
      </c>
      <c r="F42" s="122"/>
    </row>
    <row r="43" spans="1:6" ht="21.75" customHeight="1" x14ac:dyDescent="0.25">
      <c r="A43" s="95">
        <v>42043</v>
      </c>
      <c r="B43" s="96" t="s">
        <v>1894</v>
      </c>
      <c r="C43" s="96" t="s">
        <v>1906</v>
      </c>
      <c r="D43" s="94" t="s">
        <v>122</v>
      </c>
      <c r="E43" s="94" t="s">
        <v>122</v>
      </c>
      <c r="F43" s="122"/>
    </row>
    <row r="44" spans="1:6" ht="21.75" customHeight="1" x14ac:dyDescent="0.25">
      <c r="A44" s="95">
        <v>42044</v>
      </c>
      <c r="B44" s="96" t="s">
        <v>2211</v>
      </c>
      <c r="C44" s="96" t="s">
        <v>1906</v>
      </c>
      <c r="D44" s="94" t="s">
        <v>122</v>
      </c>
      <c r="E44" s="94" t="s">
        <v>122</v>
      </c>
      <c r="F44" s="122"/>
    </row>
    <row r="45" spans="1:6" ht="21.75" customHeight="1" x14ac:dyDescent="0.25">
      <c r="A45" s="95">
        <v>42045</v>
      </c>
      <c r="B45" s="96" t="s">
        <v>2164</v>
      </c>
      <c r="C45" s="96" t="s">
        <v>2212</v>
      </c>
      <c r="D45" s="94" t="s">
        <v>122</v>
      </c>
      <c r="E45" s="94" t="s">
        <v>122</v>
      </c>
      <c r="F45" s="122"/>
    </row>
    <row r="46" spans="1:6" ht="21.75" customHeight="1" x14ac:dyDescent="0.25">
      <c r="A46" s="95">
        <v>42046</v>
      </c>
      <c r="B46" s="96" t="s">
        <v>2181</v>
      </c>
      <c r="C46" s="96" t="s">
        <v>2173</v>
      </c>
      <c r="D46" s="94" t="s">
        <v>122</v>
      </c>
      <c r="E46" s="94" t="s">
        <v>122</v>
      </c>
      <c r="F46" s="122"/>
    </row>
    <row r="47" spans="1:6" ht="21.75" customHeight="1" x14ac:dyDescent="0.25">
      <c r="A47" s="95">
        <v>42047</v>
      </c>
      <c r="B47" s="96" t="s">
        <v>2153</v>
      </c>
      <c r="C47" s="123" t="s">
        <v>539</v>
      </c>
      <c r="D47" s="94" t="s">
        <v>122</v>
      </c>
      <c r="E47" s="94" t="s">
        <v>122</v>
      </c>
      <c r="F47" s="122">
        <v>4739.1099999999997</v>
      </c>
    </row>
    <row r="48" spans="1:6" ht="21.75" customHeight="1" x14ac:dyDescent="0.25">
      <c r="A48" s="95">
        <v>42048</v>
      </c>
      <c r="B48" s="96" t="s">
        <v>2153</v>
      </c>
      <c r="C48" s="123" t="s">
        <v>539</v>
      </c>
      <c r="D48" s="94" t="s">
        <v>122</v>
      </c>
      <c r="E48" s="94" t="s">
        <v>122</v>
      </c>
      <c r="F48" s="122">
        <v>4739.1099999999997</v>
      </c>
    </row>
    <row r="49" spans="1:6" ht="21.75" customHeight="1" x14ac:dyDescent="0.25">
      <c r="A49" s="95">
        <v>42049</v>
      </c>
      <c r="B49" s="96" t="s">
        <v>2213</v>
      </c>
      <c r="C49" s="123" t="s">
        <v>539</v>
      </c>
      <c r="D49" s="94" t="s">
        <v>122</v>
      </c>
      <c r="E49" s="94" t="s">
        <v>122</v>
      </c>
      <c r="F49" s="122">
        <v>4298.1400000000003</v>
      </c>
    </row>
    <row r="50" spans="1:6" ht="21.75" customHeight="1" x14ac:dyDescent="0.25">
      <c r="A50" s="95">
        <v>42050</v>
      </c>
      <c r="B50" s="96" t="s">
        <v>2181</v>
      </c>
      <c r="C50" s="96" t="s">
        <v>2173</v>
      </c>
      <c r="D50" s="94" t="s">
        <v>122</v>
      </c>
      <c r="E50" s="94" t="s">
        <v>122</v>
      </c>
      <c r="F50" s="122"/>
    </row>
    <row r="51" spans="1:6" ht="21.75" customHeight="1" x14ac:dyDescent="0.25">
      <c r="A51" s="95">
        <v>42051</v>
      </c>
      <c r="B51" s="96" t="s">
        <v>2214</v>
      </c>
      <c r="C51" s="96" t="s">
        <v>2173</v>
      </c>
      <c r="D51" s="94" t="s">
        <v>122</v>
      </c>
      <c r="E51" s="94" t="s">
        <v>122</v>
      </c>
      <c r="F51" s="122"/>
    </row>
    <row r="52" spans="1:6" ht="21.75" customHeight="1" x14ac:dyDescent="0.25">
      <c r="A52" s="95">
        <v>42052</v>
      </c>
      <c r="B52" s="96" t="s">
        <v>2215</v>
      </c>
      <c r="C52" s="96" t="s">
        <v>2182</v>
      </c>
      <c r="D52" s="94">
        <v>8</v>
      </c>
      <c r="E52" s="94">
        <v>10</v>
      </c>
      <c r="F52" s="122"/>
    </row>
    <row r="53" spans="1:6" ht="21.75" customHeight="1" x14ac:dyDescent="0.25">
      <c r="A53" s="95">
        <v>42053</v>
      </c>
      <c r="B53" s="96" t="s">
        <v>2163</v>
      </c>
      <c r="C53" s="96" t="s">
        <v>2216</v>
      </c>
      <c r="D53" s="94">
        <v>8</v>
      </c>
      <c r="E53" s="94">
        <v>8</v>
      </c>
      <c r="F53" s="122"/>
    </row>
    <row r="54" spans="1:6" ht="21.75" customHeight="1" x14ac:dyDescent="0.25">
      <c r="A54" s="95">
        <v>42054</v>
      </c>
      <c r="B54" s="96" t="s">
        <v>2157</v>
      </c>
      <c r="C54" s="96" t="s">
        <v>2183</v>
      </c>
      <c r="D54" s="94">
        <v>8</v>
      </c>
      <c r="E54" s="94">
        <v>8</v>
      </c>
      <c r="F54" s="122"/>
    </row>
    <row r="55" spans="1:6" ht="21.75" customHeight="1" x14ac:dyDescent="0.25">
      <c r="A55" s="95">
        <v>42055</v>
      </c>
      <c r="B55" s="96" t="s">
        <v>2157</v>
      </c>
      <c r="C55" s="96" t="s">
        <v>2183</v>
      </c>
      <c r="D55" s="94">
        <v>8</v>
      </c>
      <c r="E55" s="94">
        <v>8</v>
      </c>
      <c r="F55" s="122"/>
    </row>
    <row r="56" spans="1:6" ht="21.75" customHeight="1" x14ac:dyDescent="0.25">
      <c r="A56" s="95">
        <v>42056</v>
      </c>
      <c r="B56" s="96" t="s">
        <v>2157</v>
      </c>
      <c r="C56" s="96" t="s">
        <v>2216</v>
      </c>
      <c r="D56" s="94" t="s">
        <v>122</v>
      </c>
      <c r="E56" s="94" t="s">
        <v>122</v>
      </c>
      <c r="F56" s="122"/>
    </row>
    <row r="57" spans="1:6" ht="21.75" customHeight="1" x14ac:dyDescent="0.25">
      <c r="A57" s="95">
        <v>42057</v>
      </c>
      <c r="B57" s="96" t="s">
        <v>2157</v>
      </c>
      <c r="C57" s="96" t="s">
        <v>2183</v>
      </c>
      <c r="D57" s="94" t="s">
        <v>122</v>
      </c>
      <c r="E57" s="94" t="s">
        <v>122</v>
      </c>
      <c r="F57" s="122"/>
    </row>
    <row r="58" spans="1:6" ht="21.75" customHeight="1" x14ac:dyDescent="0.25">
      <c r="A58" s="95">
        <v>42058</v>
      </c>
      <c r="B58" s="96" t="s">
        <v>2157</v>
      </c>
      <c r="C58" s="96" t="s">
        <v>2183</v>
      </c>
      <c r="D58" s="94" t="s">
        <v>122</v>
      </c>
      <c r="E58" s="94" t="s">
        <v>122</v>
      </c>
      <c r="F58" s="122"/>
    </row>
    <row r="59" spans="1:6" ht="21.75" customHeight="1" x14ac:dyDescent="0.25">
      <c r="A59" s="95">
        <v>42059</v>
      </c>
      <c r="B59" s="96" t="s">
        <v>2157</v>
      </c>
      <c r="C59" s="96" t="s">
        <v>2216</v>
      </c>
      <c r="D59" s="94" t="s">
        <v>122</v>
      </c>
      <c r="E59" s="94" t="s">
        <v>122</v>
      </c>
      <c r="F59" s="122"/>
    </row>
    <row r="60" spans="1:6" ht="21.75" customHeight="1" x14ac:dyDescent="0.25">
      <c r="A60" s="95">
        <v>42060</v>
      </c>
      <c r="B60" s="96" t="s">
        <v>2157</v>
      </c>
      <c r="C60" s="96" t="s">
        <v>2183</v>
      </c>
      <c r="D60" s="94" t="s">
        <v>122</v>
      </c>
      <c r="E60" s="94" t="s">
        <v>122</v>
      </c>
      <c r="F60" s="122"/>
    </row>
    <row r="61" spans="1:6" ht="21.75" customHeight="1" x14ac:dyDescent="0.25">
      <c r="A61" s="95">
        <v>42061</v>
      </c>
      <c r="B61" s="96" t="s">
        <v>2157</v>
      </c>
      <c r="C61" s="96" t="s">
        <v>2183</v>
      </c>
      <c r="D61" s="94" t="s">
        <v>122</v>
      </c>
      <c r="E61" s="94" t="s">
        <v>122</v>
      </c>
      <c r="F61" s="122"/>
    </row>
    <row r="62" spans="1:6" ht="21.75" customHeight="1" x14ac:dyDescent="0.25">
      <c r="A62" s="95">
        <v>42062</v>
      </c>
      <c r="B62" s="96" t="s">
        <v>2156</v>
      </c>
      <c r="C62" s="96" t="s">
        <v>769</v>
      </c>
      <c r="D62" s="94" t="s">
        <v>122</v>
      </c>
      <c r="E62" s="94" t="s">
        <v>122</v>
      </c>
      <c r="F62" s="122"/>
    </row>
    <row r="63" spans="1:6" ht="21.75" customHeight="1" x14ac:dyDescent="0.25">
      <c r="A63" s="95">
        <v>42063</v>
      </c>
      <c r="B63" s="96" t="s">
        <v>2156</v>
      </c>
      <c r="C63" s="96" t="s">
        <v>769</v>
      </c>
      <c r="D63" s="94" t="s">
        <v>122</v>
      </c>
      <c r="E63" s="94" t="s">
        <v>122</v>
      </c>
      <c r="F63" s="122"/>
    </row>
    <row r="64" spans="1:6" ht="21.75" customHeight="1" x14ac:dyDescent="0.25">
      <c r="A64" s="95">
        <v>42064</v>
      </c>
      <c r="B64" s="96" t="s">
        <v>2156</v>
      </c>
      <c r="C64" s="96" t="s">
        <v>769</v>
      </c>
      <c r="D64" s="94" t="s">
        <v>122</v>
      </c>
      <c r="E64" s="94" t="s">
        <v>122</v>
      </c>
      <c r="F64" s="122"/>
    </row>
    <row r="65" spans="1:6" ht="21.75" customHeight="1" x14ac:dyDescent="0.25">
      <c r="A65" s="95">
        <v>42065</v>
      </c>
      <c r="B65" s="96" t="s">
        <v>2156</v>
      </c>
      <c r="C65" s="96" t="s">
        <v>769</v>
      </c>
      <c r="D65" s="94" t="s">
        <v>122</v>
      </c>
      <c r="E65" s="94" t="s">
        <v>122</v>
      </c>
      <c r="F65" s="122"/>
    </row>
    <row r="66" spans="1:6" ht="21.75" customHeight="1" x14ac:dyDescent="0.25">
      <c r="A66" s="95">
        <v>42066</v>
      </c>
      <c r="B66" s="96" t="s">
        <v>2156</v>
      </c>
      <c r="C66" s="96" t="s">
        <v>769</v>
      </c>
      <c r="D66" s="94" t="s">
        <v>122</v>
      </c>
      <c r="E66" s="94" t="s">
        <v>122</v>
      </c>
      <c r="F66" s="122"/>
    </row>
    <row r="67" spans="1:6" ht="21.75" customHeight="1" x14ac:dyDescent="0.25">
      <c r="A67" s="95">
        <v>42067</v>
      </c>
      <c r="B67" s="96" t="s">
        <v>2156</v>
      </c>
      <c r="C67" s="96" t="s">
        <v>2217</v>
      </c>
      <c r="D67" s="94" t="s">
        <v>122</v>
      </c>
      <c r="E67" s="94" t="s">
        <v>122</v>
      </c>
      <c r="F67" s="122"/>
    </row>
    <row r="68" spans="1:6" ht="21.75" customHeight="1" x14ac:dyDescent="0.25">
      <c r="A68" s="95">
        <v>42068</v>
      </c>
      <c r="B68" s="96" t="s">
        <v>2154</v>
      </c>
      <c r="C68" s="96" t="s">
        <v>2173</v>
      </c>
      <c r="D68" s="94" t="s">
        <v>122</v>
      </c>
      <c r="E68" s="94" t="s">
        <v>122</v>
      </c>
      <c r="F68" s="122"/>
    </row>
    <row r="69" spans="1:6" ht="21.75" customHeight="1" x14ac:dyDescent="0.25">
      <c r="A69" s="95">
        <v>42069</v>
      </c>
      <c r="B69" s="96" t="s">
        <v>2154</v>
      </c>
      <c r="C69" s="96" t="s">
        <v>2173</v>
      </c>
      <c r="D69" s="94" t="s">
        <v>122</v>
      </c>
      <c r="E69" s="94" t="s">
        <v>122</v>
      </c>
      <c r="F69" s="122"/>
    </row>
    <row r="70" spans="1:6" ht="21.75" customHeight="1" x14ac:dyDescent="0.25">
      <c r="A70" s="95">
        <v>42070</v>
      </c>
      <c r="B70" s="96" t="s">
        <v>2178</v>
      </c>
      <c r="C70" s="96" t="s">
        <v>2173</v>
      </c>
      <c r="D70" s="94" t="s">
        <v>122</v>
      </c>
      <c r="E70" s="94" t="s">
        <v>122</v>
      </c>
      <c r="F70" s="122"/>
    </row>
    <row r="71" spans="1:6" ht="21.75" customHeight="1" x14ac:dyDescent="0.25">
      <c r="A71" s="95">
        <v>42071</v>
      </c>
      <c r="B71" s="96" t="s">
        <v>2181</v>
      </c>
      <c r="C71" s="96" t="s">
        <v>2173</v>
      </c>
      <c r="D71" s="94" t="s">
        <v>122</v>
      </c>
      <c r="E71" s="94" t="s">
        <v>122</v>
      </c>
      <c r="F71" s="122"/>
    </row>
    <row r="72" spans="1:6" ht="21.75" customHeight="1" x14ac:dyDescent="0.25">
      <c r="A72" s="95">
        <v>42072</v>
      </c>
      <c r="B72" s="96" t="s">
        <v>2181</v>
      </c>
      <c r="C72" s="96" t="s">
        <v>2173</v>
      </c>
      <c r="D72" s="94" t="s">
        <v>122</v>
      </c>
      <c r="E72" s="94" t="s">
        <v>122</v>
      </c>
      <c r="F72" s="122"/>
    </row>
    <row r="73" spans="1:6" ht="21.75" customHeight="1" x14ac:dyDescent="0.25">
      <c r="A73" s="95">
        <v>42073</v>
      </c>
      <c r="B73" s="96" t="s">
        <v>2181</v>
      </c>
      <c r="C73" s="96" t="s">
        <v>2173</v>
      </c>
      <c r="D73" s="94" t="s">
        <v>122</v>
      </c>
      <c r="E73" s="94" t="s">
        <v>122</v>
      </c>
      <c r="F73" s="122"/>
    </row>
    <row r="74" spans="1:6" ht="21.75" customHeight="1" x14ac:dyDescent="0.25">
      <c r="A74" s="95">
        <v>42074</v>
      </c>
      <c r="B74" s="96" t="s">
        <v>2181</v>
      </c>
      <c r="C74" s="96" t="s">
        <v>2173</v>
      </c>
      <c r="D74" s="94" t="s">
        <v>122</v>
      </c>
      <c r="E74" s="94" t="s">
        <v>122</v>
      </c>
      <c r="F74" s="122"/>
    </row>
    <row r="75" spans="1:6" ht="21.75" customHeight="1" x14ac:dyDescent="0.25">
      <c r="A75" s="95">
        <v>42075</v>
      </c>
      <c r="B75" s="96" t="s">
        <v>2181</v>
      </c>
      <c r="C75" s="96" t="s">
        <v>2173</v>
      </c>
      <c r="D75" s="94" t="s">
        <v>122</v>
      </c>
      <c r="E75" s="94" t="s">
        <v>122</v>
      </c>
      <c r="F75" s="122"/>
    </row>
    <row r="76" spans="1:6" ht="21.75" customHeight="1" x14ac:dyDescent="0.25">
      <c r="A76" s="95">
        <v>42076</v>
      </c>
      <c r="B76" s="96" t="s">
        <v>2181</v>
      </c>
      <c r="C76" s="96" t="s">
        <v>2173</v>
      </c>
      <c r="D76" s="94" t="s">
        <v>122</v>
      </c>
      <c r="E76" s="94" t="s">
        <v>122</v>
      </c>
      <c r="F76" s="122"/>
    </row>
    <row r="77" spans="1:6" ht="21.75" customHeight="1" x14ac:dyDescent="0.25">
      <c r="A77" s="95">
        <v>42077</v>
      </c>
      <c r="B77" s="96" t="s">
        <v>2181</v>
      </c>
      <c r="C77" s="96" t="s">
        <v>2173</v>
      </c>
      <c r="D77" s="94" t="s">
        <v>122</v>
      </c>
      <c r="E77" s="94" t="s">
        <v>122</v>
      </c>
      <c r="F77" s="122"/>
    </row>
    <row r="78" spans="1:6" ht="21.75" customHeight="1" x14ac:dyDescent="0.25">
      <c r="A78" s="95">
        <v>42078</v>
      </c>
      <c r="B78" s="96" t="s">
        <v>2178</v>
      </c>
      <c r="C78" s="96" t="s">
        <v>2173</v>
      </c>
      <c r="D78" s="94" t="s">
        <v>122</v>
      </c>
      <c r="E78" s="94" t="s">
        <v>122</v>
      </c>
      <c r="F78" s="122"/>
    </row>
    <row r="79" spans="1:6" ht="21.75" customHeight="1" x14ac:dyDescent="0.25">
      <c r="A79" s="95">
        <v>42079</v>
      </c>
      <c r="B79" s="96" t="s">
        <v>2178</v>
      </c>
      <c r="C79" s="96" t="s">
        <v>2173</v>
      </c>
      <c r="D79" s="94" t="s">
        <v>122</v>
      </c>
      <c r="E79" s="94" t="s">
        <v>122</v>
      </c>
      <c r="F79" s="122"/>
    </row>
    <row r="80" spans="1:6" ht="21.75" customHeight="1" x14ac:dyDescent="0.25">
      <c r="A80" s="95">
        <v>42080</v>
      </c>
      <c r="B80" s="96" t="s">
        <v>2178</v>
      </c>
      <c r="C80" s="96" t="s">
        <v>2218</v>
      </c>
      <c r="D80" s="94" t="s">
        <v>122</v>
      </c>
      <c r="E80" s="94" t="s">
        <v>122</v>
      </c>
      <c r="F80" s="122"/>
    </row>
    <row r="81" spans="1:6" ht="21.75" customHeight="1" x14ac:dyDescent="0.25">
      <c r="A81" s="95">
        <v>42081</v>
      </c>
      <c r="B81" s="96" t="s">
        <v>2181</v>
      </c>
      <c r="C81" s="96" t="s">
        <v>2173</v>
      </c>
      <c r="D81" s="94" t="s">
        <v>122</v>
      </c>
      <c r="E81" s="94" t="s">
        <v>122</v>
      </c>
      <c r="F81" s="122"/>
    </row>
    <row r="82" spans="1:6" ht="21.75" customHeight="1" x14ac:dyDescent="0.25">
      <c r="A82" s="95">
        <v>42082</v>
      </c>
      <c r="B82" s="96" t="s">
        <v>2181</v>
      </c>
      <c r="C82" s="96" t="s">
        <v>2173</v>
      </c>
      <c r="D82" s="94" t="s">
        <v>122</v>
      </c>
      <c r="E82" s="94" t="s">
        <v>122</v>
      </c>
      <c r="F82" s="122"/>
    </row>
    <row r="83" spans="1:6" ht="21.75" customHeight="1" x14ac:dyDescent="0.25">
      <c r="A83" s="95">
        <v>42083</v>
      </c>
      <c r="B83" s="96" t="s">
        <v>2181</v>
      </c>
      <c r="C83" s="96" t="s">
        <v>2173</v>
      </c>
      <c r="D83" s="94" t="s">
        <v>122</v>
      </c>
      <c r="E83" s="94" t="s">
        <v>122</v>
      </c>
      <c r="F83" s="122"/>
    </row>
    <row r="84" spans="1:6" ht="21.75" customHeight="1" x14ac:dyDescent="0.25">
      <c r="A84" s="95">
        <v>42084</v>
      </c>
      <c r="B84" s="96" t="s">
        <v>2181</v>
      </c>
      <c r="C84" s="96" t="s">
        <v>2173</v>
      </c>
      <c r="D84" s="94" t="s">
        <v>122</v>
      </c>
      <c r="E84" s="94" t="s">
        <v>122</v>
      </c>
      <c r="F84" s="122"/>
    </row>
    <row r="85" spans="1:6" ht="21.75" customHeight="1" x14ac:dyDescent="0.25">
      <c r="A85" s="95">
        <v>42085</v>
      </c>
      <c r="B85" s="96" t="s">
        <v>2181</v>
      </c>
      <c r="C85" s="96" t="s">
        <v>2173</v>
      </c>
      <c r="D85" s="94" t="s">
        <v>122</v>
      </c>
      <c r="E85" s="94" t="s">
        <v>122</v>
      </c>
      <c r="F85" s="122"/>
    </row>
    <row r="86" spans="1:6" ht="21.75" customHeight="1" x14ac:dyDescent="0.25">
      <c r="A86" s="95">
        <v>42086</v>
      </c>
      <c r="B86" s="96" t="s">
        <v>2181</v>
      </c>
      <c r="C86" s="96" t="s">
        <v>2173</v>
      </c>
      <c r="D86" s="94" t="s">
        <v>122</v>
      </c>
      <c r="E86" s="94" t="s">
        <v>122</v>
      </c>
      <c r="F86" s="122"/>
    </row>
    <row r="87" spans="1:6" ht="21.75" customHeight="1" x14ac:dyDescent="0.25">
      <c r="A87" s="95">
        <v>42087</v>
      </c>
      <c r="B87" s="96" t="s">
        <v>2181</v>
      </c>
      <c r="C87" s="96" t="s">
        <v>2173</v>
      </c>
      <c r="D87" s="94" t="s">
        <v>122</v>
      </c>
      <c r="E87" s="94" t="s">
        <v>122</v>
      </c>
      <c r="F87" s="122"/>
    </row>
    <row r="88" spans="1:6" ht="21.75" customHeight="1" x14ac:dyDescent="0.25">
      <c r="A88" s="95">
        <v>42088</v>
      </c>
      <c r="B88" s="96" t="s">
        <v>2181</v>
      </c>
      <c r="C88" s="96" t="s">
        <v>2173</v>
      </c>
      <c r="D88" s="94" t="s">
        <v>122</v>
      </c>
      <c r="E88" s="94" t="s">
        <v>122</v>
      </c>
      <c r="F88" s="122"/>
    </row>
    <row r="89" spans="1:6" ht="21.75" customHeight="1" x14ac:dyDescent="0.25">
      <c r="A89" s="95">
        <v>42089</v>
      </c>
      <c r="B89" s="96" t="s">
        <v>2215</v>
      </c>
      <c r="C89" s="96" t="s">
        <v>2182</v>
      </c>
      <c r="D89" s="94" t="s">
        <v>122</v>
      </c>
      <c r="E89" s="94">
        <v>4</v>
      </c>
      <c r="F89" s="122"/>
    </row>
    <row r="90" spans="1:6" ht="21.75" customHeight="1" x14ac:dyDescent="0.25">
      <c r="A90" s="95">
        <v>42090</v>
      </c>
      <c r="B90" s="96" t="s">
        <v>2155</v>
      </c>
      <c r="C90" s="96" t="s">
        <v>774</v>
      </c>
      <c r="D90" s="94">
        <v>9</v>
      </c>
      <c r="E90" s="94">
        <v>5</v>
      </c>
      <c r="F90" s="122"/>
    </row>
    <row r="91" spans="1:6" ht="21.75" customHeight="1" x14ac:dyDescent="0.25">
      <c r="A91" s="95">
        <v>42091</v>
      </c>
      <c r="B91" s="96" t="s">
        <v>2156</v>
      </c>
      <c r="C91" s="96" t="s">
        <v>769</v>
      </c>
      <c r="D91" s="94">
        <v>6</v>
      </c>
      <c r="E91" s="94">
        <v>3</v>
      </c>
      <c r="F91" s="122"/>
    </row>
    <row r="92" spans="1:6" ht="21.75" customHeight="1" x14ac:dyDescent="0.25">
      <c r="A92" s="95">
        <v>42092</v>
      </c>
      <c r="B92" s="96" t="s">
        <v>2219</v>
      </c>
      <c r="C92" s="96" t="s">
        <v>2220</v>
      </c>
      <c r="D92" s="94">
        <v>8</v>
      </c>
      <c r="E92" s="94">
        <v>3</v>
      </c>
      <c r="F92" s="122"/>
    </row>
    <row r="93" spans="1:6" ht="21.75" customHeight="1" x14ac:dyDescent="0.25">
      <c r="A93" s="95">
        <v>42093</v>
      </c>
      <c r="B93" s="96" t="s">
        <v>2157</v>
      </c>
      <c r="C93" s="96" t="s">
        <v>2183</v>
      </c>
      <c r="D93" s="94">
        <v>8</v>
      </c>
      <c r="E93" s="94">
        <v>3</v>
      </c>
      <c r="F93" s="122"/>
    </row>
    <row r="94" spans="1:6" ht="21.75" customHeight="1" x14ac:dyDescent="0.25">
      <c r="A94" s="95">
        <v>42094</v>
      </c>
      <c r="B94" s="96" t="s">
        <v>2184</v>
      </c>
      <c r="C94" s="96" t="s">
        <v>2221</v>
      </c>
      <c r="D94" s="94">
        <v>10</v>
      </c>
      <c r="E94" s="94">
        <v>5</v>
      </c>
      <c r="F94" s="122"/>
    </row>
    <row r="95" spans="1:6" ht="21.75" customHeight="1" x14ac:dyDescent="0.25">
      <c r="A95" s="95">
        <v>42095</v>
      </c>
      <c r="B95" s="96" t="s">
        <v>2187</v>
      </c>
      <c r="C95" s="96" t="s">
        <v>758</v>
      </c>
      <c r="D95" s="94">
        <v>12</v>
      </c>
      <c r="E95" s="94">
        <v>12</v>
      </c>
      <c r="F95" s="122"/>
    </row>
    <row r="96" spans="1:6" ht="21.75" customHeight="1" x14ac:dyDescent="0.25">
      <c r="A96" s="95">
        <v>42096</v>
      </c>
      <c r="B96" s="96" t="s">
        <v>2191</v>
      </c>
      <c r="C96" s="96" t="s">
        <v>2192</v>
      </c>
      <c r="D96" s="94">
        <v>12</v>
      </c>
      <c r="E96" s="94">
        <v>10</v>
      </c>
      <c r="F96" s="122"/>
    </row>
    <row r="97" spans="1:6" ht="21.75" customHeight="1" x14ac:dyDescent="0.25">
      <c r="A97" s="95">
        <v>42097</v>
      </c>
      <c r="B97" s="96" t="s">
        <v>2222</v>
      </c>
      <c r="C97" s="96" t="s">
        <v>2223</v>
      </c>
      <c r="D97" s="94">
        <v>14</v>
      </c>
      <c r="E97" s="94">
        <v>14</v>
      </c>
      <c r="F97" s="122"/>
    </row>
    <row r="98" spans="1:6" ht="21.75" customHeight="1" x14ac:dyDescent="0.25">
      <c r="A98" s="95">
        <v>42098</v>
      </c>
      <c r="B98" s="96" t="s">
        <v>2165</v>
      </c>
      <c r="C98" s="96" t="s">
        <v>2224</v>
      </c>
      <c r="D98" s="94">
        <v>14</v>
      </c>
      <c r="E98" s="94">
        <v>14</v>
      </c>
      <c r="F98" s="122"/>
    </row>
    <row r="99" spans="1:6" ht="21.75" customHeight="1" x14ac:dyDescent="0.25">
      <c r="A99" s="95">
        <v>42099</v>
      </c>
      <c r="B99" s="96" t="s">
        <v>2193</v>
      </c>
      <c r="C99" s="96" t="s">
        <v>2194</v>
      </c>
      <c r="D99" s="94">
        <v>12</v>
      </c>
      <c r="E99" s="94">
        <v>14</v>
      </c>
      <c r="F99" s="122"/>
    </row>
    <row r="100" spans="1:6" ht="21.75" customHeight="1" x14ac:dyDescent="0.25">
      <c r="A100" s="95">
        <v>42100</v>
      </c>
      <c r="B100" s="96" t="s">
        <v>2158</v>
      </c>
      <c r="C100" s="96" t="s">
        <v>2195</v>
      </c>
      <c r="D100" s="94">
        <v>12</v>
      </c>
      <c r="E100" s="94">
        <v>14</v>
      </c>
      <c r="F100" s="122"/>
    </row>
    <row r="101" spans="1:6" ht="21.75" customHeight="1" x14ac:dyDescent="0.25">
      <c r="A101" s="95">
        <v>42101</v>
      </c>
      <c r="B101" s="96" t="s">
        <v>2159</v>
      </c>
      <c r="C101" s="96" t="s">
        <v>777</v>
      </c>
      <c r="D101" s="94">
        <v>12</v>
      </c>
      <c r="E101" s="94">
        <v>14</v>
      </c>
      <c r="F101" s="122"/>
    </row>
    <row r="102" spans="1:6" ht="21.75" customHeight="1" x14ac:dyDescent="0.25">
      <c r="A102" s="95">
        <v>42102</v>
      </c>
      <c r="B102" s="96" t="s">
        <v>2158</v>
      </c>
      <c r="C102" s="96" t="s">
        <v>2195</v>
      </c>
      <c r="D102" s="94">
        <v>8</v>
      </c>
      <c r="E102" s="94">
        <v>12</v>
      </c>
      <c r="F102" s="122"/>
    </row>
    <row r="103" spans="1:6" ht="21.75" customHeight="1" x14ac:dyDescent="0.25">
      <c r="A103" s="95">
        <v>42103</v>
      </c>
      <c r="B103" s="96" t="s">
        <v>2225</v>
      </c>
      <c r="C103" s="96" t="s">
        <v>2226</v>
      </c>
      <c r="D103" s="94">
        <v>4</v>
      </c>
      <c r="E103" s="94">
        <v>12</v>
      </c>
      <c r="F103" s="122"/>
    </row>
    <row r="104" spans="1:6" ht="21.75" customHeight="1" x14ac:dyDescent="0.25">
      <c r="A104" s="95">
        <v>42104</v>
      </c>
      <c r="B104" s="96" t="s">
        <v>2227</v>
      </c>
      <c r="C104" s="96" t="s">
        <v>2228</v>
      </c>
      <c r="D104" s="94">
        <v>4</v>
      </c>
      <c r="E104" s="94">
        <v>12</v>
      </c>
      <c r="F104" s="122"/>
    </row>
    <row r="105" spans="1:6" ht="21.75" customHeight="1" x14ac:dyDescent="0.25">
      <c r="A105" s="95">
        <v>42105</v>
      </c>
      <c r="B105" s="96" t="s">
        <v>2229</v>
      </c>
      <c r="C105" s="96" t="s">
        <v>2230</v>
      </c>
      <c r="D105" s="94">
        <v>4</v>
      </c>
      <c r="E105" s="94">
        <v>12</v>
      </c>
      <c r="F105" s="122"/>
    </row>
    <row r="106" spans="1:6" ht="21.75" customHeight="1" x14ac:dyDescent="0.25">
      <c r="A106" s="95">
        <v>42106</v>
      </c>
      <c r="B106" s="96" t="s">
        <v>1902</v>
      </c>
      <c r="C106" s="96" t="s">
        <v>1903</v>
      </c>
      <c r="D106" s="94">
        <v>4</v>
      </c>
      <c r="E106" s="94">
        <v>12</v>
      </c>
      <c r="F106" s="122"/>
    </row>
    <row r="107" spans="1:6" ht="21.75" customHeight="1" x14ac:dyDescent="0.25">
      <c r="A107" s="95">
        <v>42107</v>
      </c>
      <c r="B107" s="96" t="s">
        <v>2211</v>
      </c>
      <c r="C107" s="96" t="s">
        <v>1906</v>
      </c>
      <c r="D107" s="94">
        <v>4</v>
      </c>
      <c r="E107" s="94">
        <v>8</v>
      </c>
      <c r="F107" s="122"/>
    </row>
    <row r="108" spans="1:6" ht="21.75" customHeight="1" x14ac:dyDescent="0.25">
      <c r="A108" s="95">
        <v>42108</v>
      </c>
      <c r="B108" s="96" t="s">
        <v>2229</v>
      </c>
      <c r="C108" s="96" t="s">
        <v>2230</v>
      </c>
      <c r="D108" s="94" t="s">
        <v>122</v>
      </c>
      <c r="E108" s="94" t="s">
        <v>122</v>
      </c>
      <c r="F108" s="122"/>
    </row>
    <row r="109" spans="1:6" ht="21.75" customHeight="1" x14ac:dyDescent="0.25">
      <c r="A109" s="95">
        <v>42109</v>
      </c>
      <c r="B109" s="116" t="s">
        <v>2158</v>
      </c>
      <c r="C109" s="96" t="s">
        <v>2195</v>
      </c>
      <c r="D109" s="94" t="s">
        <v>122</v>
      </c>
      <c r="E109" s="94" t="s">
        <v>122</v>
      </c>
      <c r="F109" s="122"/>
    </row>
    <row r="110" spans="1:6" ht="21.75" customHeight="1" x14ac:dyDescent="0.25">
      <c r="A110" s="95">
        <v>42110</v>
      </c>
      <c r="B110" s="96" t="s">
        <v>2158</v>
      </c>
      <c r="C110" s="96" t="s">
        <v>2195</v>
      </c>
      <c r="D110" s="94" t="s">
        <v>122</v>
      </c>
      <c r="E110" s="94">
        <v>12</v>
      </c>
      <c r="F110" s="122"/>
    </row>
    <row r="111" spans="1:6" ht="21.75" customHeight="1" x14ac:dyDescent="0.25">
      <c r="A111" s="95">
        <v>42111</v>
      </c>
      <c r="B111" s="116" t="s">
        <v>2158</v>
      </c>
      <c r="C111" s="96" t="s">
        <v>2195</v>
      </c>
      <c r="D111" s="94">
        <v>6</v>
      </c>
      <c r="E111" s="94">
        <v>12</v>
      </c>
      <c r="F111" s="122"/>
    </row>
    <row r="112" spans="1:6" ht="21.75" customHeight="1" x14ac:dyDescent="0.25">
      <c r="A112" s="95">
        <v>42112</v>
      </c>
      <c r="B112" s="96" t="s">
        <v>2158</v>
      </c>
      <c r="C112" s="96" t="s">
        <v>2195</v>
      </c>
      <c r="D112" s="94">
        <v>12</v>
      </c>
      <c r="E112" s="94">
        <v>12</v>
      </c>
      <c r="F112" s="122"/>
    </row>
    <row r="113" spans="1:6" ht="21.75" customHeight="1" x14ac:dyDescent="0.25">
      <c r="A113" s="95">
        <v>42113</v>
      </c>
      <c r="B113" s="116" t="s">
        <v>2159</v>
      </c>
      <c r="C113" s="96" t="s">
        <v>777</v>
      </c>
      <c r="D113" s="94">
        <v>7</v>
      </c>
      <c r="E113" s="94">
        <v>9</v>
      </c>
      <c r="F113" s="122"/>
    </row>
    <row r="114" spans="1:6" ht="21.75" customHeight="1" x14ac:dyDescent="0.25">
      <c r="A114" s="95">
        <v>42114</v>
      </c>
      <c r="B114" s="96" t="s">
        <v>2158</v>
      </c>
      <c r="C114" s="96" t="s">
        <v>2195</v>
      </c>
      <c r="D114" s="94">
        <v>7</v>
      </c>
      <c r="E114" s="94">
        <v>9</v>
      </c>
      <c r="F114" s="122"/>
    </row>
    <row r="115" spans="1:6" ht="21.75" customHeight="1" x14ac:dyDescent="0.25">
      <c r="A115" s="95">
        <v>42115</v>
      </c>
      <c r="B115" s="96" t="s">
        <v>2193</v>
      </c>
      <c r="C115" s="96" t="s">
        <v>2194</v>
      </c>
      <c r="D115" s="94" t="s">
        <v>122</v>
      </c>
      <c r="E115" s="94" t="s">
        <v>122</v>
      </c>
      <c r="F115" s="122"/>
    </row>
    <row r="116" spans="1:6" ht="21.75" customHeight="1" x14ac:dyDescent="0.25">
      <c r="A116" s="95">
        <v>42116</v>
      </c>
      <c r="B116" s="96" t="s">
        <v>2187</v>
      </c>
      <c r="C116" s="96" t="s">
        <v>758</v>
      </c>
      <c r="D116" s="94" t="s">
        <v>122</v>
      </c>
      <c r="E116" s="94" t="s">
        <v>122</v>
      </c>
      <c r="F116" s="122"/>
    </row>
    <row r="117" spans="1:6" ht="21.75" customHeight="1" x14ac:dyDescent="0.25">
      <c r="A117" s="95">
        <v>42117</v>
      </c>
      <c r="B117" s="96" t="s">
        <v>2157</v>
      </c>
      <c r="C117" s="96" t="s">
        <v>2183</v>
      </c>
      <c r="D117" s="94" t="s">
        <v>122</v>
      </c>
      <c r="E117" s="94" t="s">
        <v>122</v>
      </c>
      <c r="F117" s="122"/>
    </row>
    <row r="118" spans="1:6" ht="21.75" customHeight="1" x14ac:dyDescent="0.25">
      <c r="A118" s="95">
        <v>42118</v>
      </c>
      <c r="B118" s="96" t="s">
        <v>2156</v>
      </c>
      <c r="C118" s="96" t="s">
        <v>769</v>
      </c>
      <c r="D118" s="94" t="s">
        <v>122</v>
      </c>
      <c r="E118" s="94">
        <v>12</v>
      </c>
      <c r="F118" s="122"/>
    </row>
    <row r="119" spans="1:6" ht="21.75" customHeight="1" x14ac:dyDescent="0.25">
      <c r="A119" s="95">
        <v>42119</v>
      </c>
      <c r="B119" s="96" t="s">
        <v>2181</v>
      </c>
      <c r="C119" s="96" t="s">
        <v>2173</v>
      </c>
      <c r="D119" s="94">
        <v>4</v>
      </c>
      <c r="E119" s="94">
        <v>12</v>
      </c>
      <c r="F119" s="122"/>
    </row>
    <row r="120" spans="1:6" ht="21.75" customHeight="1" x14ac:dyDescent="0.25">
      <c r="A120" s="95">
        <v>42120</v>
      </c>
      <c r="B120" s="96" t="s">
        <v>2181</v>
      </c>
      <c r="C120" s="96" t="s">
        <v>2173</v>
      </c>
      <c r="D120" s="94">
        <v>6</v>
      </c>
      <c r="E120" s="94">
        <v>12</v>
      </c>
      <c r="F120" s="122"/>
    </row>
    <row r="121" spans="1:6" ht="21.75" customHeight="1" x14ac:dyDescent="0.25">
      <c r="A121" s="95">
        <v>42121</v>
      </c>
      <c r="B121" s="96" t="s">
        <v>2178</v>
      </c>
      <c r="C121" s="123" t="s">
        <v>2173</v>
      </c>
      <c r="D121" s="94">
        <v>6</v>
      </c>
      <c r="E121" s="94">
        <v>12</v>
      </c>
      <c r="F121" s="122"/>
    </row>
    <row r="122" spans="1:6" ht="21.75" customHeight="1" x14ac:dyDescent="0.25">
      <c r="A122" s="95">
        <v>42122</v>
      </c>
      <c r="B122" s="96" t="s">
        <v>2178</v>
      </c>
      <c r="C122" s="123" t="s">
        <v>2173</v>
      </c>
      <c r="D122" s="94">
        <v>8</v>
      </c>
      <c r="E122" s="94">
        <v>12</v>
      </c>
      <c r="F122" s="122"/>
    </row>
    <row r="123" spans="1:6" ht="21.75" customHeight="1" x14ac:dyDescent="0.25">
      <c r="A123" s="95">
        <v>42123</v>
      </c>
      <c r="B123" s="96" t="s">
        <v>2178</v>
      </c>
      <c r="C123" s="123" t="s">
        <v>2173</v>
      </c>
      <c r="D123" s="94">
        <v>8</v>
      </c>
      <c r="E123" s="94">
        <v>10</v>
      </c>
      <c r="F123" s="122"/>
    </row>
    <row r="124" spans="1:6" ht="21.75" customHeight="1" x14ac:dyDescent="0.25">
      <c r="A124" s="95">
        <v>42124</v>
      </c>
      <c r="B124" s="96" t="s">
        <v>2231</v>
      </c>
      <c r="C124" s="123" t="s">
        <v>2173</v>
      </c>
      <c r="D124" s="94">
        <v>8</v>
      </c>
      <c r="E124" s="94">
        <v>10</v>
      </c>
      <c r="F124" s="122"/>
    </row>
    <row r="125" spans="1:6" ht="21.75" customHeight="1" x14ac:dyDescent="0.25">
      <c r="A125" s="95">
        <v>42125</v>
      </c>
      <c r="B125" s="96" t="s">
        <v>2181</v>
      </c>
      <c r="C125" s="96" t="s">
        <v>2173</v>
      </c>
      <c r="D125" s="94" t="s">
        <v>122</v>
      </c>
      <c r="E125" s="94" t="s">
        <v>122</v>
      </c>
      <c r="F125" s="122"/>
    </row>
    <row r="126" spans="1:6" ht="21.75" customHeight="1" x14ac:dyDescent="0.25">
      <c r="A126" s="95">
        <v>42126</v>
      </c>
      <c r="B126" s="96" t="s">
        <v>2181</v>
      </c>
      <c r="C126" s="96" t="s">
        <v>2173</v>
      </c>
      <c r="D126" s="94">
        <v>10</v>
      </c>
      <c r="E126" s="94">
        <v>10</v>
      </c>
      <c r="F126" s="122"/>
    </row>
    <row r="127" spans="1:6" ht="21.75" customHeight="1" x14ac:dyDescent="0.25">
      <c r="A127" s="95">
        <v>42127</v>
      </c>
      <c r="B127" s="96" t="s">
        <v>2214</v>
      </c>
      <c r="C127" s="96" t="s">
        <v>2173</v>
      </c>
      <c r="D127" s="94" t="s">
        <v>122</v>
      </c>
      <c r="E127" s="94" t="s">
        <v>122</v>
      </c>
      <c r="F127" s="122"/>
    </row>
    <row r="128" spans="1:6" ht="21.75" customHeight="1" x14ac:dyDescent="0.25">
      <c r="A128" s="95">
        <v>42128</v>
      </c>
      <c r="B128" s="96" t="s">
        <v>2155</v>
      </c>
      <c r="C128" s="96" t="s">
        <v>774</v>
      </c>
      <c r="D128" s="94">
        <v>14</v>
      </c>
      <c r="E128" s="94">
        <v>14</v>
      </c>
      <c r="F128" s="122"/>
    </row>
    <row r="129" spans="1:6" ht="21.75" customHeight="1" x14ac:dyDescent="0.25">
      <c r="A129" s="95">
        <v>42129</v>
      </c>
      <c r="B129" s="96" t="s">
        <v>2232</v>
      </c>
      <c r="C129" s="96" t="s">
        <v>769</v>
      </c>
      <c r="D129" s="94">
        <v>14</v>
      </c>
      <c r="E129" s="94">
        <v>14</v>
      </c>
      <c r="F129" s="122"/>
    </row>
    <row r="130" spans="1:6" ht="21.75" customHeight="1" x14ac:dyDescent="0.25">
      <c r="A130" s="95">
        <v>42130</v>
      </c>
      <c r="B130" s="96" t="s">
        <v>2157</v>
      </c>
      <c r="C130" s="96" t="s">
        <v>2183</v>
      </c>
      <c r="D130" s="94">
        <v>14</v>
      </c>
      <c r="E130" s="94">
        <v>14</v>
      </c>
      <c r="F130" s="122"/>
    </row>
    <row r="131" spans="1:6" ht="21.75" customHeight="1" x14ac:dyDescent="0.25">
      <c r="A131" s="95">
        <v>42131</v>
      </c>
      <c r="B131" s="96" t="s">
        <v>2157</v>
      </c>
      <c r="C131" s="96" t="s">
        <v>2183</v>
      </c>
      <c r="D131" s="94">
        <v>14</v>
      </c>
      <c r="E131" s="94">
        <v>14</v>
      </c>
      <c r="F131" s="122"/>
    </row>
    <row r="132" spans="1:6" ht="21.75" customHeight="1" x14ac:dyDescent="0.25">
      <c r="A132" s="95">
        <v>42132</v>
      </c>
      <c r="B132" s="96" t="s">
        <v>2181</v>
      </c>
      <c r="C132" s="96" t="s">
        <v>2173</v>
      </c>
      <c r="D132" s="94">
        <v>10</v>
      </c>
      <c r="E132" s="94">
        <v>14</v>
      </c>
      <c r="F132" s="122"/>
    </row>
    <row r="133" spans="1:6" ht="21.75" customHeight="1" x14ac:dyDescent="0.25">
      <c r="A133" s="95">
        <v>42133</v>
      </c>
      <c r="B133" s="96" t="s">
        <v>2154</v>
      </c>
      <c r="C133" s="123" t="s">
        <v>2173</v>
      </c>
      <c r="D133" s="94">
        <v>5</v>
      </c>
      <c r="E133" s="94">
        <v>5</v>
      </c>
      <c r="F133" s="122"/>
    </row>
    <row r="134" spans="1:6" ht="21.75" customHeight="1" x14ac:dyDescent="0.25">
      <c r="A134" s="95">
        <v>42134</v>
      </c>
      <c r="B134" s="96" t="s">
        <v>2233</v>
      </c>
      <c r="C134" s="123" t="s">
        <v>2173</v>
      </c>
      <c r="D134" s="94">
        <v>5</v>
      </c>
      <c r="E134" s="94">
        <v>5</v>
      </c>
      <c r="F134" s="122"/>
    </row>
    <row r="135" spans="1:6" ht="21.75" customHeight="1" x14ac:dyDescent="0.25">
      <c r="A135" s="95">
        <v>42135</v>
      </c>
      <c r="B135" s="96" t="s">
        <v>2162</v>
      </c>
      <c r="C135" s="123" t="s">
        <v>2173</v>
      </c>
      <c r="D135" s="94">
        <v>5</v>
      </c>
      <c r="E135" s="94">
        <v>5</v>
      </c>
      <c r="F135" s="122"/>
    </row>
    <row r="136" spans="1:6" ht="21.75" customHeight="1" x14ac:dyDescent="0.25">
      <c r="A136" s="95">
        <v>42136</v>
      </c>
      <c r="B136" s="96" t="s">
        <v>2153</v>
      </c>
      <c r="C136" s="123" t="s">
        <v>2173</v>
      </c>
      <c r="D136" s="94" t="s">
        <v>122</v>
      </c>
      <c r="E136" s="94">
        <v>5</v>
      </c>
      <c r="F136" s="122"/>
    </row>
    <row r="137" spans="1:6" ht="21.75" customHeight="1" x14ac:dyDescent="0.25">
      <c r="A137" s="95">
        <v>42137</v>
      </c>
      <c r="B137" s="96" t="s">
        <v>2181</v>
      </c>
      <c r="C137" s="123" t="s">
        <v>2173</v>
      </c>
      <c r="D137" s="94" t="s">
        <v>122</v>
      </c>
      <c r="E137" s="94">
        <v>5</v>
      </c>
      <c r="F137" s="122"/>
    </row>
    <row r="138" spans="1:6" ht="21.75" customHeight="1" x14ac:dyDescent="0.25">
      <c r="A138" s="95">
        <v>42138</v>
      </c>
      <c r="B138" s="96" t="s">
        <v>2154</v>
      </c>
      <c r="C138" s="123" t="s">
        <v>2173</v>
      </c>
      <c r="D138" s="94" t="s">
        <v>122</v>
      </c>
      <c r="E138" s="94">
        <v>5</v>
      </c>
      <c r="F138" s="122"/>
    </row>
    <row r="139" spans="1:6" ht="21.75" customHeight="1" x14ac:dyDescent="0.25">
      <c r="A139" s="95">
        <v>42139</v>
      </c>
      <c r="B139" s="96" t="s">
        <v>2234</v>
      </c>
      <c r="C139" s="123" t="s">
        <v>2173</v>
      </c>
      <c r="D139" s="94">
        <v>5</v>
      </c>
      <c r="E139" s="94">
        <v>5</v>
      </c>
      <c r="F139" s="122"/>
    </row>
    <row r="140" spans="1:6" ht="21.75" customHeight="1" x14ac:dyDescent="0.25">
      <c r="A140" s="95">
        <v>42140</v>
      </c>
      <c r="B140" s="96" t="s">
        <v>2234</v>
      </c>
      <c r="C140" s="123" t="s">
        <v>2173</v>
      </c>
      <c r="D140" s="94">
        <v>5</v>
      </c>
      <c r="E140" s="94">
        <v>5</v>
      </c>
      <c r="F140" s="122"/>
    </row>
    <row r="141" spans="1:6" ht="21.75" customHeight="1" x14ac:dyDescent="0.25">
      <c r="A141" s="95">
        <v>42141</v>
      </c>
      <c r="B141" s="96" t="s">
        <v>2153</v>
      </c>
      <c r="C141" s="123" t="s">
        <v>2173</v>
      </c>
      <c r="D141" s="94">
        <v>8</v>
      </c>
      <c r="E141" s="94">
        <v>8</v>
      </c>
      <c r="F141" s="122"/>
    </row>
    <row r="142" spans="1:6" ht="21.75" customHeight="1" x14ac:dyDescent="0.25">
      <c r="A142" s="95">
        <v>42142</v>
      </c>
      <c r="B142" s="96" t="s">
        <v>2213</v>
      </c>
      <c r="C142" s="123" t="s">
        <v>2173</v>
      </c>
      <c r="D142" s="94">
        <v>8</v>
      </c>
      <c r="E142" s="94">
        <v>6</v>
      </c>
      <c r="F142" s="122"/>
    </row>
    <row r="143" spans="1:6" ht="21.75" customHeight="1" x14ac:dyDescent="0.25">
      <c r="A143" s="95">
        <v>42143</v>
      </c>
      <c r="B143" s="96" t="s">
        <v>2213</v>
      </c>
      <c r="C143" s="123" t="s">
        <v>2173</v>
      </c>
      <c r="D143" s="94">
        <v>8</v>
      </c>
      <c r="E143" s="94">
        <v>6</v>
      </c>
      <c r="F143" s="122"/>
    </row>
    <row r="144" spans="1:6" ht="21.75" customHeight="1" x14ac:dyDescent="0.25">
      <c r="A144" s="95">
        <v>42144</v>
      </c>
      <c r="B144" s="96" t="s">
        <v>2178</v>
      </c>
      <c r="C144" s="123" t="s">
        <v>2173</v>
      </c>
      <c r="D144" s="94" t="s">
        <v>122</v>
      </c>
      <c r="E144" s="94" t="s">
        <v>122</v>
      </c>
      <c r="F144" s="122"/>
    </row>
    <row r="145" spans="1:6" ht="21.75" customHeight="1" x14ac:dyDescent="0.25">
      <c r="A145" s="95">
        <v>42145</v>
      </c>
      <c r="B145" s="96" t="s">
        <v>2181</v>
      </c>
      <c r="C145" s="96" t="s">
        <v>2173</v>
      </c>
      <c r="D145" s="94" t="s">
        <v>122</v>
      </c>
      <c r="E145" s="94" t="s">
        <v>122</v>
      </c>
      <c r="F145" s="122"/>
    </row>
    <row r="146" spans="1:6" ht="21.75" customHeight="1" x14ac:dyDescent="0.25">
      <c r="A146" s="95">
        <v>42146</v>
      </c>
      <c r="B146" s="96" t="s">
        <v>2181</v>
      </c>
      <c r="C146" s="96" t="s">
        <v>2173</v>
      </c>
      <c r="D146" s="94" t="s">
        <v>122</v>
      </c>
      <c r="E146" s="94" t="s">
        <v>122</v>
      </c>
      <c r="F146" s="122"/>
    </row>
    <row r="147" spans="1:6" ht="21.75" customHeight="1" x14ac:dyDescent="0.25">
      <c r="A147" s="95">
        <v>42147</v>
      </c>
      <c r="B147" s="96" t="s">
        <v>2181</v>
      </c>
      <c r="C147" s="96" t="s">
        <v>2173</v>
      </c>
      <c r="D147" s="94">
        <v>10</v>
      </c>
      <c r="E147" s="94">
        <v>12</v>
      </c>
      <c r="F147" s="122"/>
    </row>
    <row r="148" spans="1:6" ht="21.75" customHeight="1" x14ac:dyDescent="0.25">
      <c r="A148" s="95">
        <v>42148</v>
      </c>
      <c r="B148" s="96" t="s">
        <v>2155</v>
      </c>
      <c r="C148" s="96" t="s">
        <v>774</v>
      </c>
      <c r="D148" s="94">
        <v>12</v>
      </c>
      <c r="E148" s="94">
        <v>14</v>
      </c>
      <c r="F148" s="122"/>
    </row>
    <row r="149" spans="1:6" ht="21.75" customHeight="1" x14ac:dyDescent="0.25">
      <c r="A149" s="95">
        <v>42149</v>
      </c>
      <c r="B149" s="96" t="s">
        <v>2156</v>
      </c>
      <c r="C149" s="96" t="s">
        <v>769</v>
      </c>
      <c r="D149" s="94">
        <v>14</v>
      </c>
      <c r="E149" s="94">
        <v>14</v>
      </c>
      <c r="F149" s="122"/>
    </row>
    <row r="150" spans="1:6" ht="21.75" customHeight="1" x14ac:dyDescent="0.25">
      <c r="A150" s="95">
        <v>42150</v>
      </c>
      <c r="B150" s="96" t="s">
        <v>2235</v>
      </c>
      <c r="C150" s="96" t="s">
        <v>2236</v>
      </c>
      <c r="D150" s="94">
        <v>10</v>
      </c>
      <c r="E150" s="94">
        <v>14</v>
      </c>
      <c r="F150" s="122"/>
    </row>
    <row r="151" spans="1:6" ht="21.75" customHeight="1" x14ac:dyDescent="0.25">
      <c r="A151" s="95">
        <v>42151</v>
      </c>
      <c r="B151" s="96" t="s">
        <v>2187</v>
      </c>
      <c r="C151" s="96" t="s">
        <v>758</v>
      </c>
      <c r="D151" s="94">
        <v>14</v>
      </c>
      <c r="E151" s="94">
        <v>14</v>
      </c>
      <c r="F151" s="122"/>
    </row>
    <row r="152" spans="1:6" ht="21.75" customHeight="1" x14ac:dyDescent="0.25">
      <c r="A152" s="95">
        <v>42152</v>
      </c>
      <c r="B152" s="96" t="s">
        <v>2191</v>
      </c>
      <c r="C152" s="96" t="s">
        <v>2192</v>
      </c>
      <c r="D152" s="94">
        <v>14</v>
      </c>
      <c r="E152" s="94">
        <v>14</v>
      </c>
      <c r="F152" s="122"/>
    </row>
    <row r="153" spans="1:6" ht="21.75" customHeight="1" x14ac:dyDescent="0.25">
      <c r="A153" s="95">
        <v>42153</v>
      </c>
      <c r="B153" s="96" t="s">
        <v>2193</v>
      </c>
      <c r="C153" s="96" t="s">
        <v>2194</v>
      </c>
      <c r="D153" s="94" t="s">
        <v>122</v>
      </c>
      <c r="E153" s="94" t="s">
        <v>122</v>
      </c>
      <c r="F153" s="122"/>
    </row>
    <row r="154" spans="1:6" ht="21.75" customHeight="1" x14ac:dyDescent="0.25">
      <c r="A154" s="95">
        <v>42154</v>
      </c>
      <c r="B154" s="96" t="s">
        <v>2158</v>
      </c>
      <c r="C154" s="96" t="s">
        <v>2195</v>
      </c>
      <c r="D154" s="94" t="s">
        <v>122</v>
      </c>
      <c r="E154" s="94" t="s">
        <v>122</v>
      </c>
      <c r="F154" s="122"/>
    </row>
    <row r="155" spans="1:6" ht="21.75" customHeight="1" x14ac:dyDescent="0.25">
      <c r="A155" s="95">
        <v>42155</v>
      </c>
      <c r="B155" s="96" t="s">
        <v>2158</v>
      </c>
      <c r="C155" s="96" t="s">
        <v>2195</v>
      </c>
      <c r="D155" s="94" t="s">
        <v>122</v>
      </c>
      <c r="E155" s="94" t="s">
        <v>122</v>
      </c>
      <c r="F155" s="122"/>
    </row>
    <row r="156" spans="1:6" ht="21.75" customHeight="1" x14ac:dyDescent="0.25">
      <c r="A156" s="95">
        <v>42156</v>
      </c>
      <c r="B156" s="96" t="s">
        <v>2158</v>
      </c>
      <c r="C156" s="96" t="s">
        <v>2195</v>
      </c>
      <c r="D156" s="94">
        <v>12</v>
      </c>
      <c r="E156" s="94">
        <v>13</v>
      </c>
      <c r="F156" s="122"/>
    </row>
    <row r="157" spans="1:6" ht="21.75" customHeight="1" x14ac:dyDescent="0.25">
      <c r="A157" s="95">
        <v>42157</v>
      </c>
      <c r="B157" s="96" t="s">
        <v>2158</v>
      </c>
      <c r="C157" s="96" t="s">
        <v>2195</v>
      </c>
      <c r="D157" s="94">
        <v>12</v>
      </c>
      <c r="E157" s="94">
        <v>13</v>
      </c>
      <c r="F157" s="122"/>
    </row>
    <row r="158" spans="1:6" ht="21.75" customHeight="1" x14ac:dyDescent="0.25">
      <c r="A158" s="95">
        <v>42158</v>
      </c>
      <c r="B158" s="96" t="s">
        <v>2227</v>
      </c>
      <c r="C158" s="96" t="s">
        <v>2228</v>
      </c>
      <c r="D158" s="94">
        <v>14</v>
      </c>
      <c r="E158" s="94">
        <v>15</v>
      </c>
      <c r="F158" s="122"/>
    </row>
    <row r="159" spans="1:6" ht="21.75" customHeight="1" x14ac:dyDescent="0.25">
      <c r="A159" s="95">
        <v>42159</v>
      </c>
      <c r="B159" s="96" t="s">
        <v>1902</v>
      </c>
      <c r="C159" s="96" t="s">
        <v>1903</v>
      </c>
      <c r="D159" s="94">
        <v>14</v>
      </c>
      <c r="E159" s="94">
        <v>15</v>
      </c>
      <c r="F159" s="122"/>
    </row>
    <row r="160" spans="1:6" ht="21.75" customHeight="1" x14ac:dyDescent="0.25">
      <c r="A160" s="95">
        <v>42160</v>
      </c>
      <c r="B160" s="96" t="s">
        <v>1907</v>
      </c>
      <c r="C160" s="96" t="s">
        <v>1908</v>
      </c>
      <c r="D160" s="94">
        <v>14</v>
      </c>
      <c r="E160" s="94">
        <v>14</v>
      </c>
      <c r="F160" s="122"/>
    </row>
    <row r="161" spans="1:6" ht="21.75" customHeight="1" x14ac:dyDescent="0.25">
      <c r="A161" s="95">
        <v>42161</v>
      </c>
      <c r="B161" s="96" t="s">
        <v>2237</v>
      </c>
      <c r="C161" s="96" t="s">
        <v>2238</v>
      </c>
      <c r="D161" s="94">
        <v>15</v>
      </c>
      <c r="E161" s="94">
        <v>14</v>
      </c>
      <c r="F161" s="122"/>
    </row>
    <row r="162" spans="1:6" ht="21.75" customHeight="1" x14ac:dyDescent="0.25">
      <c r="A162" s="95">
        <v>42162</v>
      </c>
      <c r="B162" s="96" t="s">
        <v>1909</v>
      </c>
      <c r="C162" s="96" t="s">
        <v>779</v>
      </c>
      <c r="D162" s="94">
        <v>15</v>
      </c>
      <c r="E162" s="94">
        <v>14</v>
      </c>
      <c r="F162" s="122"/>
    </row>
    <row r="163" spans="1:6" ht="21.75" customHeight="1" x14ac:dyDescent="0.25">
      <c r="A163" s="95">
        <v>42163</v>
      </c>
      <c r="B163" s="96" t="s">
        <v>2206</v>
      </c>
      <c r="C163" s="96" t="s">
        <v>2207</v>
      </c>
      <c r="D163" s="94">
        <v>15</v>
      </c>
      <c r="E163" s="94">
        <v>14</v>
      </c>
      <c r="F163" s="122"/>
    </row>
    <row r="164" spans="1:6" ht="21.75" customHeight="1" x14ac:dyDescent="0.25">
      <c r="A164" s="95">
        <v>42164</v>
      </c>
      <c r="B164" s="96" t="s">
        <v>1905</v>
      </c>
      <c r="C164" s="96" t="s">
        <v>781</v>
      </c>
      <c r="D164" s="94" t="s">
        <v>122</v>
      </c>
      <c r="E164" s="94" t="s">
        <v>122</v>
      </c>
      <c r="F164" s="122"/>
    </row>
    <row r="165" spans="1:6" ht="21.75" customHeight="1" x14ac:dyDescent="0.25">
      <c r="A165" s="95">
        <v>42165</v>
      </c>
      <c r="B165" s="96" t="s">
        <v>1905</v>
      </c>
      <c r="C165" s="96" t="s">
        <v>781</v>
      </c>
      <c r="D165" s="94" t="s">
        <v>122</v>
      </c>
      <c r="E165" s="94" t="s">
        <v>122</v>
      </c>
      <c r="F165" s="122"/>
    </row>
    <row r="166" spans="1:6" ht="21.75" customHeight="1" x14ac:dyDescent="0.25">
      <c r="A166" s="95">
        <v>42166</v>
      </c>
      <c r="B166" s="96" t="s">
        <v>1905</v>
      </c>
      <c r="C166" s="96" t="s">
        <v>781</v>
      </c>
      <c r="D166" s="94" t="s">
        <v>122</v>
      </c>
      <c r="E166" s="94" t="s">
        <v>122</v>
      </c>
      <c r="F166" s="122"/>
    </row>
    <row r="167" spans="1:6" ht="21.75" customHeight="1" x14ac:dyDescent="0.25">
      <c r="A167" s="95">
        <v>42167</v>
      </c>
      <c r="B167" s="96" t="s">
        <v>2208</v>
      </c>
      <c r="C167" s="96" t="s">
        <v>2209</v>
      </c>
      <c r="D167" s="94">
        <v>12</v>
      </c>
      <c r="E167" s="94">
        <v>13</v>
      </c>
      <c r="F167" s="122"/>
    </row>
    <row r="168" spans="1:6" ht="21.75" customHeight="1" x14ac:dyDescent="0.25">
      <c r="A168" s="95">
        <v>42168</v>
      </c>
      <c r="B168" s="96" t="s">
        <v>1910</v>
      </c>
      <c r="C168" s="96" t="s">
        <v>784</v>
      </c>
      <c r="D168" s="94">
        <v>14</v>
      </c>
      <c r="E168" s="94">
        <v>15</v>
      </c>
      <c r="F168" s="122"/>
    </row>
    <row r="169" spans="1:6" ht="21.75" customHeight="1" x14ac:dyDescent="0.25">
      <c r="A169" s="95">
        <v>42169</v>
      </c>
      <c r="B169" s="96" t="s">
        <v>2239</v>
      </c>
      <c r="C169" s="96" t="s">
        <v>1911</v>
      </c>
      <c r="D169" s="94">
        <v>14</v>
      </c>
      <c r="E169" s="94">
        <v>15</v>
      </c>
      <c r="F169" s="122"/>
    </row>
    <row r="170" spans="1:6" ht="21.75" customHeight="1" x14ac:dyDescent="0.25">
      <c r="A170" s="95">
        <v>42170</v>
      </c>
      <c r="B170" s="96" t="s">
        <v>2240</v>
      </c>
      <c r="C170" s="96" t="s">
        <v>1451</v>
      </c>
      <c r="D170" s="94">
        <v>14</v>
      </c>
      <c r="E170" s="94">
        <v>15</v>
      </c>
      <c r="F170" s="122"/>
    </row>
    <row r="171" spans="1:6" ht="21.75" customHeight="1" x14ac:dyDescent="0.25">
      <c r="A171" s="95">
        <v>42171</v>
      </c>
      <c r="B171" s="96" t="s">
        <v>2241</v>
      </c>
      <c r="C171" s="96" t="s">
        <v>1912</v>
      </c>
      <c r="D171" s="94">
        <v>14</v>
      </c>
      <c r="E171" s="94">
        <v>15</v>
      </c>
      <c r="F171" s="122"/>
    </row>
    <row r="172" spans="1:6" ht="21.75" customHeight="1" x14ac:dyDescent="0.25">
      <c r="A172" s="95">
        <v>42172</v>
      </c>
      <c r="B172" s="96" t="s">
        <v>2242</v>
      </c>
      <c r="C172" s="96" t="s">
        <v>1913</v>
      </c>
      <c r="D172" s="94">
        <v>12</v>
      </c>
      <c r="E172" s="94">
        <v>15</v>
      </c>
      <c r="F172" s="122"/>
    </row>
    <row r="173" spans="1:6" ht="21.75" customHeight="1" x14ac:dyDescent="0.25">
      <c r="A173" s="95">
        <v>42173</v>
      </c>
      <c r="B173" s="96" t="s">
        <v>2243</v>
      </c>
      <c r="C173" s="96" t="s">
        <v>2244</v>
      </c>
      <c r="D173" s="94">
        <v>10</v>
      </c>
      <c r="E173" s="94">
        <v>15</v>
      </c>
      <c r="F173" s="122"/>
    </row>
    <row r="174" spans="1:6" ht="21.75" customHeight="1" x14ac:dyDescent="0.25">
      <c r="A174" s="95">
        <v>42174</v>
      </c>
      <c r="B174" s="96" t="s">
        <v>1900</v>
      </c>
      <c r="C174" s="96" t="s">
        <v>1914</v>
      </c>
      <c r="D174" s="94" t="s">
        <v>122</v>
      </c>
      <c r="E174" s="94" t="s">
        <v>122</v>
      </c>
      <c r="F174" s="122"/>
    </row>
    <row r="175" spans="1:6" ht="21.75" customHeight="1" x14ac:dyDescent="0.25">
      <c r="A175" s="95">
        <v>42175</v>
      </c>
      <c r="B175" s="96" t="s">
        <v>1900</v>
      </c>
      <c r="C175" s="96" t="s">
        <v>1914</v>
      </c>
      <c r="D175" s="94" t="s">
        <v>122</v>
      </c>
      <c r="E175" s="94" t="s">
        <v>122</v>
      </c>
      <c r="F175" s="122"/>
    </row>
    <row r="176" spans="1:6" ht="21.75" customHeight="1" x14ac:dyDescent="0.25">
      <c r="A176" s="95">
        <v>42176</v>
      </c>
      <c r="B176" s="96" t="s">
        <v>1900</v>
      </c>
      <c r="C176" s="96" t="s">
        <v>1914</v>
      </c>
      <c r="D176" s="94" t="s">
        <v>122</v>
      </c>
      <c r="E176" s="94" t="s">
        <v>122</v>
      </c>
      <c r="F176" s="122"/>
    </row>
    <row r="177" spans="1:6" ht="21.75" customHeight="1" x14ac:dyDescent="0.25">
      <c r="A177" s="95">
        <v>42177</v>
      </c>
      <c r="B177" s="96" t="s">
        <v>1900</v>
      </c>
      <c r="C177" s="96" t="s">
        <v>1914</v>
      </c>
      <c r="D177" s="94">
        <v>12</v>
      </c>
      <c r="E177" s="94">
        <v>15</v>
      </c>
      <c r="F177" s="122"/>
    </row>
    <row r="178" spans="1:6" ht="21.75" customHeight="1" x14ac:dyDescent="0.25">
      <c r="A178" s="95">
        <v>42178</v>
      </c>
      <c r="B178" s="96" t="s">
        <v>2245</v>
      </c>
      <c r="C178" s="96" t="s">
        <v>1457</v>
      </c>
      <c r="D178" s="94">
        <v>14</v>
      </c>
      <c r="E178" s="94">
        <v>15</v>
      </c>
      <c r="F178" s="122"/>
    </row>
    <row r="179" spans="1:6" ht="21.75" customHeight="1" x14ac:dyDescent="0.25">
      <c r="A179" s="95">
        <v>42179</v>
      </c>
      <c r="B179" s="96" t="s">
        <v>2246</v>
      </c>
      <c r="C179" s="96" t="s">
        <v>2247</v>
      </c>
      <c r="D179" s="94">
        <v>14</v>
      </c>
      <c r="E179" s="94">
        <v>15</v>
      </c>
      <c r="F179" s="122"/>
    </row>
    <row r="180" spans="1:6" ht="21.75" customHeight="1" x14ac:dyDescent="0.25">
      <c r="A180" s="95">
        <v>42180</v>
      </c>
      <c r="B180" s="96" t="s">
        <v>1915</v>
      </c>
      <c r="C180" s="96" t="s">
        <v>1916</v>
      </c>
      <c r="D180" s="94">
        <v>14</v>
      </c>
      <c r="E180" s="94">
        <v>15</v>
      </c>
      <c r="F180" s="122"/>
    </row>
    <row r="181" spans="1:6" ht="21.75" customHeight="1" x14ac:dyDescent="0.25">
      <c r="A181" s="95">
        <v>42181</v>
      </c>
      <c r="B181" s="96" t="s">
        <v>2248</v>
      </c>
      <c r="C181" s="96" t="s">
        <v>2249</v>
      </c>
      <c r="D181" s="94">
        <v>14</v>
      </c>
      <c r="E181" s="94">
        <v>15</v>
      </c>
      <c r="F181" s="122"/>
    </row>
    <row r="182" spans="1:6" ht="21.75" customHeight="1" x14ac:dyDescent="0.25">
      <c r="A182" s="95">
        <v>42182</v>
      </c>
      <c r="B182" s="96" t="s">
        <v>1917</v>
      </c>
      <c r="C182" s="96" t="s">
        <v>1918</v>
      </c>
      <c r="D182" s="94">
        <v>14</v>
      </c>
      <c r="E182" s="94">
        <v>15</v>
      </c>
      <c r="F182" s="122"/>
    </row>
    <row r="183" spans="1:6" ht="21.75" customHeight="1" x14ac:dyDescent="0.25">
      <c r="A183" s="95">
        <v>42183</v>
      </c>
      <c r="B183" s="96" t="s">
        <v>2250</v>
      </c>
      <c r="C183" s="96" t="s">
        <v>2251</v>
      </c>
      <c r="D183" s="94">
        <v>10</v>
      </c>
      <c r="E183" s="94">
        <v>15</v>
      </c>
      <c r="F183" s="122"/>
    </row>
    <row r="184" spans="1:6" ht="21.75" customHeight="1" x14ac:dyDescent="0.25">
      <c r="A184" s="95">
        <v>42184</v>
      </c>
      <c r="B184" s="96" t="s">
        <v>2252</v>
      </c>
      <c r="C184" s="96" t="s">
        <v>2253</v>
      </c>
      <c r="D184" s="94">
        <v>10</v>
      </c>
      <c r="E184" s="94">
        <v>15</v>
      </c>
      <c r="F184" s="122"/>
    </row>
    <row r="185" spans="1:6" ht="21.75" customHeight="1" x14ac:dyDescent="0.25">
      <c r="A185" s="95">
        <v>42185</v>
      </c>
      <c r="B185" s="96" t="s">
        <v>2254</v>
      </c>
      <c r="C185" s="96" t="s">
        <v>2255</v>
      </c>
      <c r="D185" s="94">
        <v>10</v>
      </c>
      <c r="E185" s="94">
        <v>15</v>
      </c>
      <c r="F185" s="122"/>
    </row>
    <row r="186" spans="1:6" ht="21.75" customHeight="1" x14ac:dyDescent="0.25">
      <c r="A186" s="95">
        <v>42186</v>
      </c>
      <c r="B186" s="96" t="s">
        <v>2254</v>
      </c>
      <c r="C186" s="96" t="s">
        <v>2255</v>
      </c>
      <c r="D186" s="94" t="s">
        <v>122</v>
      </c>
      <c r="E186" s="94" t="s">
        <v>122</v>
      </c>
      <c r="F186" s="122"/>
    </row>
    <row r="187" spans="1:6" ht="21.75" customHeight="1" x14ac:dyDescent="0.25">
      <c r="A187" s="95">
        <v>42187</v>
      </c>
      <c r="B187" s="96" t="s">
        <v>2254</v>
      </c>
      <c r="C187" s="96" t="s">
        <v>2255</v>
      </c>
      <c r="D187" s="94">
        <v>12</v>
      </c>
      <c r="E187" s="94">
        <v>14</v>
      </c>
      <c r="F187" s="122"/>
    </row>
    <row r="188" spans="1:6" ht="21.75" customHeight="1" x14ac:dyDescent="0.25">
      <c r="A188" s="95">
        <v>42188</v>
      </c>
      <c r="B188" s="96" t="s">
        <v>2256</v>
      </c>
      <c r="C188" s="96" t="s">
        <v>2257</v>
      </c>
      <c r="D188" s="94">
        <v>15</v>
      </c>
      <c r="E188" s="94">
        <v>15</v>
      </c>
      <c r="F188" s="122"/>
    </row>
    <row r="189" spans="1:6" ht="21.75" customHeight="1" x14ac:dyDescent="0.25">
      <c r="A189" s="95">
        <v>42189</v>
      </c>
      <c r="B189" s="96" t="s">
        <v>2258</v>
      </c>
      <c r="C189" s="96" t="s">
        <v>1407</v>
      </c>
      <c r="D189" s="94">
        <v>15</v>
      </c>
      <c r="E189" s="94">
        <v>15</v>
      </c>
      <c r="F189" s="122"/>
    </row>
    <row r="190" spans="1:6" ht="21.75" customHeight="1" x14ac:dyDescent="0.25">
      <c r="A190" s="95">
        <v>42190</v>
      </c>
      <c r="B190" s="96" t="s">
        <v>2258</v>
      </c>
      <c r="C190" s="96" t="s">
        <v>1407</v>
      </c>
      <c r="D190" s="94">
        <v>15</v>
      </c>
      <c r="E190" s="94">
        <v>15</v>
      </c>
      <c r="F190" s="122"/>
    </row>
    <row r="191" spans="1:6" ht="21.75" customHeight="1" x14ac:dyDescent="0.25">
      <c r="A191" s="95">
        <v>42191</v>
      </c>
      <c r="B191" s="96" t="s">
        <v>2259</v>
      </c>
      <c r="C191" s="96" t="s">
        <v>1234</v>
      </c>
      <c r="D191" s="94">
        <v>15</v>
      </c>
      <c r="E191" s="94">
        <v>15</v>
      </c>
      <c r="F191" s="122"/>
    </row>
    <row r="192" spans="1:6" ht="21.75" customHeight="1" x14ac:dyDescent="0.25">
      <c r="A192" s="95">
        <v>42192</v>
      </c>
      <c r="B192" s="96" t="s">
        <v>1919</v>
      </c>
      <c r="C192" s="96" t="s">
        <v>1233</v>
      </c>
      <c r="D192" s="94">
        <v>15</v>
      </c>
      <c r="E192" s="94">
        <v>15</v>
      </c>
      <c r="F192" s="122"/>
    </row>
    <row r="193" spans="1:6" ht="21.75" customHeight="1" x14ac:dyDescent="0.25">
      <c r="A193" s="95">
        <v>42193</v>
      </c>
      <c r="B193" s="96" t="s">
        <v>2260</v>
      </c>
      <c r="C193" s="96" t="s">
        <v>1243</v>
      </c>
      <c r="D193" s="94">
        <v>12</v>
      </c>
      <c r="E193" s="94">
        <v>15</v>
      </c>
      <c r="F193" s="122"/>
    </row>
    <row r="194" spans="1:6" ht="21.75" customHeight="1" x14ac:dyDescent="0.25">
      <c r="A194" s="95">
        <v>42194</v>
      </c>
      <c r="B194" s="96" t="s">
        <v>1920</v>
      </c>
      <c r="C194" s="96" t="s">
        <v>1244</v>
      </c>
      <c r="D194" s="94" t="s">
        <v>122</v>
      </c>
      <c r="E194" s="94">
        <v>7</v>
      </c>
      <c r="F194" s="122"/>
    </row>
    <row r="195" spans="1:6" ht="21.75" customHeight="1" x14ac:dyDescent="0.25">
      <c r="A195" s="95">
        <v>42195</v>
      </c>
      <c r="B195" s="96" t="s">
        <v>1920</v>
      </c>
      <c r="C195" s="96" t="s">
        <v>1244</v>
      </c>
      <c r="D195" s="94" t="s">
        <v>122</v>
      </c>
      <c r="E195" s="94" t="s">
        <v>122</v>
      </c>
      <c r="F195" s="122"/>
    </row>
    <row r="196" spans="1:6" ht="21.75" customHeight="1" x14ac:dyDescent="0.25">
      <c r="A196" s="95">
        <v>42196</v>
      </c>
      <c r="B196" s="96" t="s">
        <v>1920</v>
      </c>
      <c r="C196" s="96" t="s">
        <v>1244</v>
      </c>
      <c r="D196" s="94" t="s">
        <v>122</v>
      </c>
      <c r="E196" s="94" t="s">
        <v>122</v>
      </c>
      <c r="F196" s="122"/>
    </row>
    <row r="197" spans="1:6" ht="21.75" customHeight="1" x14ac:dyDescent="0.25">
      <c r="A197" s="95">
        <v>42197</v>
      </c>
      <c r="B197" s="96" t="s">
        <v>1920</v>
      </c>
      <c r="C197" s="96" t="s">
        <v>1244</v>
      </c>
      <c r="D197" s="94">
        <v>12</v>
      </c>
      <c r="E197" s="94">
        <v>16</v>
      </c>
      <c r="F197" s="122"/>
    </row>
    <row r="198" spans="1:6" ht="21.75" customHeight="1" x14ac:dyDescent="0.25">
      <c r="A198" s="95">
        <v>42198</v>
      </c>
      <c r="B198" s="96" t="s">
        <v>1921</v>
      </c>
      <c r="C198" s="96" t="s">
        <v>1254</v>
      </c>
      <c r="D198" s="94">
        <v>15</v>
      </c>
      <c r="E198" s="94">
        <v>16</v>
      </c>
      <c r="F198" s="122"/>
    </row>
    <row r="199" spans="1:6" ht="21.75" customHeight="1" x14ac:dyDescent="0.25">
      <c r="A199" s="95">
        <v>42199</v>
      </c>
      <c r="B199" s="96" t="s">
        <v>1922</v>
      </c>
      <c r="C199" s="96" t="s">
        <v>1256</v>
      </c>
      <c r="D199" s="94">
        <v>15</v>
      </c>
      <c r="E199" s="94">
        <v>16</v>
      </c>
      <c r="F199" s="122"/>
    </row>
    <row r="200" spans="1:6" ht="21.75" customHeight="1" x14ac:dyDescent="0.25">
      <c r="A200" s="95">
        <v>42200</v>
      </c>
      <c r="B200" s="96" t="s">
        <v>1923</v>
      </c>
      <c r="C200" s="96" t="s">
        <v>1231</v>
      </c>
      <c r="D200" s="94">
        <v>15</v>
      </c>
      <c r="E200" s="94">
        <v>16</v>
      </c>
      <c r="F200" s="122"/>
    </row>
    <row r="201" spans="1:6" ht="21.75" customHeight="1" x14ac:dyDescent="0.25">
      <c r="A201" s="95">
        <v>42201</v>
      </c>
      <c r="B201" s="96" t="s">
        <v>1924</v>
      </c>
      <c r="C201" s="96" t="s">
        <v>1259</v>
      </c>
      <c r="D201" s="94">
        <v>13</v>
      </c>
      <c r="E201" s="94">
        <v>12</v>
      </c>
      <c r="F201" s="122"/>
    </row>
    <row r="202" spans="1:6" ht="21.75" customHeight="1" x14ac:dyDescent="0.25">
      <c r="A202" s="95">
        <v>42202</v>
      </c>
      <c r="B202" s="96" t="s">
        <v>2261</v>
      </c>
      <c r="C202" s="96" t="s">
        <v>1260</v>
      </c>
      <c r="D202" s="94">
        <v>10</v>
      </c>
      <c r="E202" s="94">
        <v>12</v>
      </c>
      <c r="F202" s="122"/>
    </row>
    <row r="203" spans="1:6" ht="21.75" customHeight="1" x14ac:dyDescent="0.25">
      <c r="A203" s="95">
        <v>42203</v>
      </c>
      <c r="B203" s="96" t="s">
        <v>2281</v>
      </c>
      <c r="C203" s="96" t="s">
        <v>978</v>
      </c>
      <c r="D203" s="94"/>
      <c r="E203" s="94"/>
      <c r="F203" s="122"/>
    </row>
    <row r="204" spans="1:6" ht="21.75" customHeight="1" x14ac:dyDescent="0.25">
      <c r="A204" s="95">
        <v>42204</v>
      </c>
      <c r="B204" s="96" t="s">
        <v>2282</v>
      </c>
      <c r="C204" s="96" t="s">
        <v>979</v>
      </c>
      <c r="D204" s="94"/>
      <c r="E204" s="94"/>
      <c r="F204" s="122"/>
    </row>
    <row r="205" spans="1:6" ht="21.75" customHeight="1" x14ac:dyDescent="0.25">
      <c r="A205" s="95">
        <v>42205</v>
      </c>
      <c r="B205" s="96" t="s">
        <v>2262</v>
      </c>
      <c r="C205" s="96" t="s">
        <v>1228</v>
      </c>
      <c r="D205" s="94" t="s">
        <v>122</v>
      </c>
      <c r="E205" s="94" t="s">
        <v>122</v>
      </c>
      <c r="F205" s="122"/>
    </row>
    <row r="206" spans="1:6" ht="21.75" customHeight="1" x14ac:dyDescent="0.25">
      <c r="A206" s="95">
        <v>42206</v>
      </c>
      <c r="B206" s="96" t="s">
        <v>2262</v>
      </c>
      <c r="C206" s="96" t="s">
        <v>1228</v>
      </c>
      <c r="D206" s="94" t="s">
        <v>122</v>
      </c>
      <c r="E206" s="94" t="s">
        <v>122</v>
      </c>
      <c r="F206" s="122"/>
    </row>
    <row r="207" spans="1:6" ht="21.75" customHeight="1" x14ac:dyDescent="0.25">
      <c r="A207" s="95">
        <v>42207</v>
      </c>
      <c r="B207" s="96" t="s">
        <v>2262</v>
      </c>
      <c r="C207" s="96" t="s">
        <v>1228</v>
      </c>
      <c r="D207" s="94" t="s">
        <v>122</v>
      </c>
      <c r="E207" s="94" t="s">
        <v>122</v>
      </c>
      <c r="F207" s="122"/>
    </row>
    <row r="208" spans="1:6" ht="21.75" customHeight="1" x14ac:dyDescent="0.25">
      <c r="A208" s="95">
        <v>42208</v>
      </c>
      <c r="B208" s="96" t="s">
        <v>2262</v>
      </c>
      <c r="C208" s="96" t="s">
        <v>1228</v>
      </c>
      <c r="D208" s="94" t="s">
        <v>122</v>
      </c>
      <c r="E208" s="94" t="s">
        <v>122</v>
      </c>
      <c r="F208" s="122"/>
    </row>
    <row r="209" spans="1:6" ht="21.75" customHeight="1" x14ac:dyDescent="0.25">
      <c r="A209" s="95">
        <v>42209</v>
      </c>
      <c r="B209" s="96" t="s">
        <v>2262</v>
      </c>
      <c r="C209" s="96" t="s">
        <v>1228</v>
      </c>
      <c r="D209" s="94" t="s">
        <v>122</v>
      </c>
      <c r="E209" s="94" t="s">
        <v>122</v>
      </c>
      <c r="F209" s="122"/>
    </row>
    <row r="210" spans="1:6" ht="21.75" customHeight="1" x14ac:dyDescent="0.25">
      <c r="A210" s="95">
        <v>42210</v>
      </c>
      <c r="B210" s="96" t="s">
        <v>1925</v>
      </c>
      <c r="C210" s="96" t="s">
        <v>1403</v>
      </c>
      <c r="D210" s="94" t="s">
        <v>122</v>
      </c>
      <c r="E210" s="94" t="s">
        <v>122</v>
      </c>
      <c r="F210" s="122"/>
    </row>
    <row r="211" spans="1:6" ht="21.75" customHeight="1" x14ac:dyDescent="0.25">
      <c r="A211" s="95">
        <v>42211</v>
      </c>
      <c r="B211" s="96" t="s">
        <v>2263</v>
      </c>
      <c r="C211" s="96" t="s">
        <v>1403</v>
      </c>
      <c r="D211" s="94" t="s">
        <v>122</v>
      </c>
      <c r="E211" s="94" t="s">
        <v>122</v>
      </c>
      <c r="F211" s="122"/>
    </row>
    <row r="212" spans="1:6" ht="21.75" customHeight="1" x14ac:dyDescent="0.25">
      <c r="A212" s="95">
        <v>42212</v>
      </c>
      <c r="B212" s="96" t="s">
        <v>1925</v>
      </c>
      <c r="C212" s="96" t="s">
        <v>1403</v>
      </c>
      <c r="D212" s="94" t="s">
        <v>122</v>
      </c>
      <c r="E212" s="94" t="s">
        <v>122</v>
      </c>
      <c r="F212" s="122"/>
    </row>
    <row r="213" spans="1:6" ht="21.75" customHeight="1" x14ac:dyDescent="0.25">
      <c r="A213" s="95">
        <v>42213</v>
      </c>
      <c r="B213" s="96" t="s">
        <v>1925</v>
      </c>
      <c r="C213" s="96" t="s">
        <v>1403</v>
      </c>
      <c r="D213" s="94" t="s">
        <v>122</v>
      </c>
      <c r="E213" s="94" t="s">
        <v>122</v>
      </c>
      <c r="F213" s="122"/>
    </row>
    <row r="214" spans="1:6" ht="21.75" customHeight="1" x14ac:dyDescent="0.25">
      <c r="A214" s="95">
        <v>42214</v>
      </c>
      <c r="B214" s="96" t="s">
        <v>1925</v>
      </c>
      <c r="C214" s="96" t="s">
        <v>1403</v>
      </c>
      <c r="D214" s="94" t="s">
        <v>122</v>
      </c>
      <c r="E214" s="94" t="s">
        <v>122</v>
      </c>
      <c r="F214" s="122"/>
    </row>
    <row r="215" spans="1:6" ht="21.75" customHeight="1" x14ac:dyDescent="0.25">
      <c r="A215" s="95">
        <v>42215</v>
      </c>
      <c r="B215" s="96" t="s">
        <v>2264</v>
      </c>
      <c r="C215" s="96" t="s">
        <v>1413</v>
      </c>
      <c r="D215" s="94" t="s">
        <v>122</v>
      </c>
      <c r="E215" s="94" t="s">
        <v>122</v>
      </c>
      <c r="F215" s="122"/>
    </row>
    <row r="216" spans="1:6" ht="21.75" customHeight="1" x14ac:dyDescent="0.25">
      <c r="A216" s="95">
        <v>42216</v>
      </c>
      <c r="B216" s="96" t="s">
        <v>2264</v>
      </c>
      <c r="C216" s="96" t="s">
        <v>1413</v>
      </c>
      <c r="D216" s="94" t="s">
        <v>122</v>
      </c>
      <c r="E216" s="94" t="s">
        <v>122</v>
      </c>
      <c r="F216" s="122"/>
    </row>
    <row r="217" spans="1:6" ht="21.75" customHeight="1" x14ac:dyDescent="0.25">
      <c r="A217" s="95">
        <v>42217</v>
      </c>
      <c r="B217" s="96" t="s">
        <v>2264</v>
      </c>
      <c r="C217" s="96" t="s">
        <v>1413</v>
      </c>
      <c r="D217" s="94" t="s">
        <v>122</v>
      </c>
      <c r="E217" s="94" t="s">
        <v>122</v>
      </c>
      <c r="F217" s="122"/>
    </row>
    <row r="218" spans="1:6" ht="21.75" customHeight="1" x14ac:dyDescent="0.25">
      <c r="A218" s="95">
        <v>42218</v>
      </c>
      <c r="B218" s="96" t="s">
        <v>2264</v>
      </c>
      <c r="C218" s="96" t="s">
        <v>1413</v>
      </c>
      <c r="D218" s="94" t="s">
        <v>122</v>
      </c>
      <c r="E218" s="94" t="s">
        <v>122</v>
      </c>
      <c r="F218" s="122"/>
    </row>
    <row r="219" spans="1:6" ht="21.75" customHeight="1" x14ac:dyDescent="0.25">
      <c r="A219" s="95">
        <v>42219</v>
      </c>
      <c r="B219" s="96" t="s">
        <v>2264</v>
      </c>
      <c r="C219" s="96" t="s">
        <v>1413</v>
      </c>
      <c r="D219" s="94" t="s">
        <v>122</v>
      </c>
      <c r="E219" s="94" t="s">
        <v>122</v>
      </c>
      <c r="F219" s="122"/>
    </row>
    <row r="220" spans="1:6" ht="21.75" customHeight="1" x14ac:dyDescent="0.25">
      <c r="A220" s="95">
        <v>42220</v>
      </c>
      <c r="B220" s="96" t="s">
        <v>1926</v>
      </c>
      <c r="C220" s="96" t="s">
        <v>1227</v>
      </c>
      <c r="D220" s="94" t="s">
        <v>122</v>
      </c>
      <c r="E220" s="94" t="s">
        <v>122</v>
      </c>
      <c r="F220" s="122"/>
    </row>
    <row r="221" spans="1:6" ht="21.75" customHeight="1" x14ac:dyDescent="0.25">
      <c r="A221" s="95">
        <v>42221</v>
      </c>
      <c r="B221" s="96" t="s">
        <v>1926</v>
      </c>
      <c r="C221" s="96" t="s">
        <v>1227</v>
      </c>
      <c r="D221" s="94"/>
      <c r="E221" s="94"/>
      <c r="F221" s="122"/>
    </row>
    <row r="222" spans="1:6" ht="21.75" customHeight="1" x14ac:dyDescent="0.25">
      <c r="A222" s="95">
        <v>42222</v>
      </c>
      <c r="B222" s="96" t="s">
        <v>2079</v>
      </c>
      <c r="C222" s="96" t="s">
        <v>1263</v>
      </c>
      <c r="D222" s="94"/>
      <c r="E222" s="94"/>
      <c r="F222" s="122"/>
    </row>
    <row r="223" spans="1:6" ht="21.75" customHeight="1" x14ac:dyDescent="0.25">
      <c r="A223" s="95">
        <v>42223</v>
      </c>
      <c r="B223" s="96" t="s">
        <v>1928</v>
      </c>
      <c r="C223" s="96" t="s">
        <v>1264</v>
      </c>
      <c r="D223" s="94"/>
      <c r="E223" s="94"/>
      <c r="F223" s="122"/>
    </row>
    <row r="224" spans="1:6" ht="21.75" customHeight="1" x14ac:dyDescent="0.25">
      <c r="A224" s="95">
        <v>42224</v>
      </c>
      <c r="B224" s="96" t="s">
        <v>2283</v>
      </c>
      <c r="C224" s="96" t="s">
        <v>2285</v>
      </c>
      <c r="D224" s="94"/>
      <c r="E224" s="94"/>
      <c r="F224" s="122"/>
    </row>
    <row r="225" spans="1:6" ht="21.75" customHeight="1" x14ac:dyDescent="0.25">
      <c r="A225" s="95">
        <v>42225</v>
      </c>
      <c r="B225" s="96" t="s">
        <v>2284</v>
      </c>
      <c r="C225" s="96" t="s">
        <v>1265</v>
      </c>
      <c r="D225" s="94"/>
      <c r="E225" s="94"/>
      <c r="F225" s="122"/>
    </row>
    <row r="226" spans="1:6" ht="21.75" customHeight="1" x14ac:dyDescent="0.25">
      <c r="A226" s="95">
        <v>42226</v>
      </c>
      <c r="B226" s="96" t="s">
        <v>2265</v>
      </c>
      <c r="C226" s="96" t="s">
        <v>2266</v>
      </c>
      <c r="D226" s="94"/>
      <c r="E226" s="94"/>
      <c r="F226" s="122"/>
    </row>
    <row r="227" spans="1:6" ht="21.75" customHeight="1" x14ac:dyDescent="0.25">
      <c r="A227" s="95">
        <v>42227</v>
      </c>
      <c r="B227" s="96" t="s">
        <v>2265</v>
      </c>
      <c r="C227" s="96" t="s">
        <v>2266</v>
      </c>
      <c r="D227" s="94" t="s">
        <v>122</v>
      </c>
      <c r="E227" s="94" t="s">
        <v>122</v>
      </c>
      <c r="F227" s="122"/>
    </row>
    <row r="228" spans="1:6" ht="21.75" customHeight="1" x14ac:dyDescent="0.25">
      <c r="A228" s="95">
        <v>42228</v>
      </c>
      <c r="B228" s="96" t="s">
        <v>2265</v>
      </c>
      <c r="C228" s="96" t="s">
        <v>2266</v>
      </c>
      <c r="D228" s="94" t="s">
        <v>122</v>
      </c>
      <c r="E228" s="94" t="s">
        <v>122</v>
      </c>
      <c r="F228" s="122"/>
    </row>
    <row r="229" spans="1:6" ht="21.75" customHeight="1" x14ac:dyDescent="0.25">
      <c r="A229" s="95">
        <v>42229</v>
      </c>
      <c r="B229" s="96" t="s">
        <v>1927</v>
      </c>
      <c r="C229" s="96" t="s">
        <v>839</v>
      </c>
      <c r="D229" s="94" t="s">
        <v>122</v>
      </c>
      <c r="E229" s="94" t="s">
        <v>122</v>
      </c>
      <c r="F229" s="122"/>
    </row>
    <row r="230" spans="1:6" ht="21.75" customHeight="1" x14ac:dyDescent="0.25">
      <c r="A230" s="95">
        <v>42230</v>
      </c>
      <c r="B230" s="96" t="s">
        <v>1927</v>
      </c>
      <c r="C230" s="96" t="s">
        <v>839</v>
      </c>
      <c r="D230" s="94" t="s">
        <v>122</v>
      </c>
      <c r="E230" s="94" t="s">
        <v>122</v>
      </c>
      <c r="F230" s="122"/>
    </row>
    <row r="231" spans="1:6" ht="21.75" customHeight="1" x14ac:dyDescent="0.25">
      <c r="A231" s="95">
        <v>42231</v>
      </c>
      <c r="B231" s="96" t="s">
        <v>1927</v>
      </c>
      <c r="C231" s="96" t="s">
        <v>839</v>
      </c>
      <c r="D231" s="94" t="s">
        <v>122</v>
      </c>
      <c r="E231" s="94" t="s">
        <v>122</v>
      </c>
      <c r="F231" s="122"/>
    </row>
    <row r="232" spans="1:6" ht="21.75" customHeight="1" x14ac:dyDescent="0.25">
      <c r="A232" s="95">
        <v>42232</v>
      </c>
      <c r="B232" s="96" t="s">
        <v>1927</v>
      </c>
      <c r="C232" s="96" t="s">
        <v>839</v>
      </c>
      <c r="D232" s="94" t="s">
        <v>122</v>
      </c>
      <c r="E232" s="94" t="s">
        <v>122</v>
      </c>
      <c r="F232" s="122"/>
    </row>
    <row r="233" spans="1:6" ht="21.75" customHeight="1" x14ac:dyDescent="0.25">
      <c r="A233" s="95">
        <v>42233</v>
      </c>
      <c r="B233" s="96" t="s">
        <v>1927</v>
      </c>
      <c r="C233" s="96" t="s">
        <v>839</v>
      </c>
      <c r="D233" s="94" t="s">
        <v>122</v>
      </c>
      <c r="E233" s="94" t="s">
        <v>122</v>
      </c>
      <c r="F233" s="122"/>
    </row>
    <row r="234" spans="1:6" ht="21.75" customHeight="1" x14ac:dyDescent="0.25">
      <c r="A234" s="95">
        <v>42234</v>
      </c>
      <c r="B234" s="96" t="s">
        <v>1927</v>
      </c>
      <c r="C234" s="96" t="s">
        <v>839</v>
      </c>
      <c r="D234" s="94" t="s">
        <v>122</v>
      </c>
      <c r="E234" s="94" t="s">
        <v>122</v>
      </c>
      <c r="F234" s="122"/>
    </row>
    <row r="235" spans="1:6" ht="21.75" customHeight="1" x14ac:dyDescent="0.25">
      <c r="A235" s="95">
        <v>42235</v>
      </c>
      <c r="B235" s="96" t="s">
        <v>1928</v>
      </c>
      <c r="C235" s="96" t="s">
        <v>1264</v>
      </c>
      <c r="D235" s="94" t="s">
        <v>122</v>
      </c>
      <c r="E235" s="94" t="s">
        <v>122</v>
      </c>
      <c r="F235" s="122"/>
    </row>
    <row r="236" spans="1:6" ht="21.75" customHeight="1" x14ac:dyDescent="0.25">
      <c r="A236" s="95">
        <v>42236</v>
      </c>
      <c r="B236" s="96" t="s">
        <v>1928</v>
      </c>
      <c r="C236" s="96" t="s">
        <v>1264</v>
      </c>
      <c r="D236" s="94" t="s">
        <v>122</v>
      </c>
      <c r="E236" s="94" t="s">
        <v>122</v>
      </c>
      <c r="F236" s="122"/>
    </row>
    <row r="237" spans="1:6" ht="21.75" customHeight="1" x14ac:dyDescent="0.25">
      <c r="A237" s="95">
        <v>42237</v>
      </c>
      <c r="B237" s="96" t="s">
        <v>1928</v>
      </c>
      <c r="C237" s="96" t="s">
        <v>1264</v>
      </c>
      <c r="D237" s="94" t="s">
        <v>122</v>
      </c>
      <c r="E237" s="94" t="s">
        <v>122</v>
      </c>
      <c r="F237" s="122"/>
    </row>
    <row r="238" spans="1:6" ht="21.75" customHeight="1" x14ac:dyDescent="0.25">
      <c r="A238" s="95">
        <v>42238</v>
      </c>
      <c r="B238" s="96" t="s">
        <v>2168</v>
      </c>
      <c r="C238" s="96" t="s">
        <v>1265</v>
      </c>
      <c r="D238" s="94" t="s">
        <v>122</v>
      </c>
      <c r="E238" s="94" t="s">
        <v>122</v>
      </c>
      <c r="F238" s="122"/>
    </row>
    <row r="239" spans="1:6" ht="21.75" customHeight="1" x14ac:dyDescent="0.25">
      <c r="A239" s="95">
        <v>42239</v>
      </c>
      <c r="B239" s="96" t="s">
        <v>2168</v>
      </c>
      <c r="C239" s="96" t="s">
        <v>1265</v>
      </c>
      <c r="D239" s="94" t="s">
        <v>122</v>
      </c>
      <c r="E239" s="94" t="s">
        <v>122</v>
      </c>
      <c r="F239" s="122"/>
    </row>
    <row r="240" spans="1:6" ht="21.75" customHeight="1" x14ac:dyDescent="0.25">
      <c r="A240" s="95">
        <v>42240</v>
      </c>
      <c r="B240" s="96" t="s">
        <v>2168</v>
      </c>
      <c r="C240" s="96" t="s">
        <v>1265</v>
      </c>
      <c r="D240" s="94" t="s">
        <v>122</v>
      </c>
      <c r="E240" s="94" t="s">
        <v>122</v>
      </c>
      <c r="F240" s="122"/>
    </row>
    <row r="241" spans="1:6" ht="21.75" customHeight="1" x14ac:dyDescent="0.25">
      <c r="A241" s="95">
        <v>42241</v>
      </c>
      <c r="B241" s="96" t="s">
        <v>2168</v>
      </c>
      <c r="C241" s="96" t="s">
        <v>1265</v>
      </c>
      <c r="D241" s="94" t="s">
        <v>122</v>
      </c>
      <c r="E241" s="94" t="s">
        <v>122</v>
      </c>
      <c r="F241" s="122"/>
    </row>
    <row r="242" spans="1:6" ht="21.75" customHeight="1" x14ac:dyDescent="0.25">
      <c r="A242" s="95">
        <v>42242</v>
      </c>
      <c r="B242" s="96" t="s">
        <v>2168</v>
      </c>
      <c r="C242" s="96" t="s">
        <v>1265</v>
      </c>
      <c r="D242" s="94" t="s">
        <v>122</v>
      </c>
      <c r="E242" s="94" t="s">
        <v>122</v>
      </c>
      <c r="F242" s="122"/>
    </row>
    <row r="243" spans="1:6" ht="21.75" customHeight="1" x14ac:dyDescent="0.25">
      <c r="A243" s="95">
        <v>42243</v>
      </c>
      <c r="B243" s="96" t="s">
        <v>2286</v>
      </c>
      <c r="C243" s="96" t="s">
        <v>2266</v>
      </c>
      <c r="D243" s="94"/>
      <c r="E243" s="94"/>
      <c r="F243" s="122"/>
    </row>
    <row r="244" spans="1:6" ht="21.75" customHeight="1" x14ac:dyDescent="0.25">
      <c r="A244" s="95">
        <v>42244</v>
      </c>
      <c r="B244" s="96" t="s">
        <v>2171</v>
      </c>
      <c r="C244" s="96" t="s">
        <v>839</v>
      </c>
      <c r="D244" s="94"/>
      <c r="E244" s="94"/>
      <c r="F244" s="122"/>
    </row>
    <row r="245" spans="1:6" ht="21.75" customHeight="1" x14ac:dyDescent="0.25">
      <c r="A245" s="95">
        <v>42245</v>
      </c>
      <c r="B245" s="96" t="s">
        <v>2169</v>
      </c>
      <c r="C245" s="96" t="s">
        <v>2267</v>
      </c>
      <c r="D245" s="94"/>
      <c r="E245" s="94"/>
      <c r="F245" s="122"/>
    </row>
    <row r="246" spans="1:6" ht="21.75" customHeight="1" x14ac:dyDescent="0.25">
      <c r="A246" s="95">
        <v>42246</v>
      </c>
      <c r="B246" s="96" t="s">
        <v>2169</v>
      </c>
      <c r="C246" s="96" t="s">
        <v>2267</v>
      </c>
      <c r="D246" s="94"/>
      <c r="E246" s="94"/>
      <c r="F246" s="122"/>
    </row>
    <row r="247" spans="1:6" ht="21.75" customHeight="1" x14ac:dyDescent="0.25">
      <c r="A247" s="95">
        <v>42247</v>
      </c>
      <c r="B247" s="96" t="s">
        <v>2169</v>
      </c>
      <c r="C247" s="96" t="s">
        <v>2267</v>
      </c>
      <c r="D247" s="94"/>
      <c r="E247" s="94"/>
      <c r="F247" s="122"/>
    </row>
    <row r="248" spans="1:6" ht="21.75" customHeight="1" x14ac:dyDescent="0.25">
      <c r="A248" s="95">
        <v>42248</v>
      </c>
      <c r="B248" s="94" t="s">
        <v>2169</v>
      </c>
      <c r="C248" s="94">
        <v>16100</v>
      </c>
      <c r="D248" s="94"/>
      <c r="E248" s="94"/>
      <c r="F248" s="122"/>
    </row>
    <row r="249" spans="1:6" ht="21.75" customHeight="1" x14ac:dyDescent="0.25">
      <c r="A249" s="95">
        <v>42249</v>
      </c>
      <c r="B249" s="94" t="s">
        <v>2172</v>
      </c>
      <c r="C249" s="94">
        <v>16000</v>
      </c>
      <c r="D249" s="94"/>
      <c r="E249" s="94"/>
      <c r="F249" s="122"/>
    </row>
    <row r="250" spans="1:6" ht="21.75" customHeight="1" x14ac:dyDescent="0.25">
      <c r="A250" s="95">
        <v>42250</v>
      </c>
      <c r="B250" s="94" t="s">
        <v>2172</v>
      </c>
      <c r="C250" s="94">
        <v>16000</v>
      </c>
      <c r="D250" s="94"/>
      <c r="E250" s="94"/>
      <c r="F250" s="122"/>
    </row>
    <row r="251" spans="1:6" ht="21.75" customHeight="1" x14ac:dyDescent="0.25">
      <c r="A251" s="95">
        <v>42251</v>
      </c>
      <c r="B251" s="94" t="s">
        <v>1927</v>
      </c>
      <c r="C251" s="94">
        <v>16200</v>
      </c>
      <c r="D251" s="94"/>
      <c r="E251" s="94"/>
      <c r="F251" s="122"/>
    </row>
    <row r="252" spans="1:6" ht="21.75" customHeight="1" x14ac:dyDescent="0.25">
      <c r="A252" s="95">
        <v>42252</v>
      </c>
      <c r="B252" s="94" t="s">
        <v>1927</v>
      </c>
      <c r="C252" s="94">
        <v>16200</v>
      </c>
      <c r="D252" s="94"/>
      <c r="E252" s="94"/>
      <c r="F252" s="122"/>
    </row>
    <row r="253" spans="1:6" ht="21.75" customHeight="1" x14ac:dyDescent="0.25">
      <c r="A253" s="95">
        <v>42253</v>
      </c>
      <c r="B253" s="94" t="s">
        <v>1927</v>
      </c>
      <c r="C253" s="94">
        <v>16200</v>
      </c>
      <c r="D253" s="94"/>
      <c r="E253" s="94"/>
      <c r="F253" s="122"/>
    </row>
    <row r="254" spans="1:6" ht="21.75" customHeight="1" x14ac:dyDescent="0.25">
      <c r="A254" s="95">
        <v>42254</v>
      </c>
      <c r="B254" s="94" t="s">
        <v>1927</v>
      </c>
      <c r="C254" s="94">
        <v>16200</v>
      </c>
      <c r="D254" s="94"/>
      <c r="E254" s="94"/>
      <c r="F254" s="122"/>
    </row>
    <row r="255" spans="1:6" ht="21.75" customHeight="1" x14ac:dyDescent="0.25">
      <c r="A255" s="95">
        <v>42255</v>
      </c>
      <c r="B255" s="94" t="s">
        <v>1927</v>
      </c>
      <c r="C255" s="94">
        <v>16200</v>
      </c>
      <c r="D255" s="94"/>
      <c r="E255" s="94"/>
      <c r="F255" s="122"/>
    </row>
    <row r="256" spans="1:6" ht="21.75" customHeight="1" x14ac:dyDescent="0.25">
      <c r="A256" s="95">
        <v>42256</v>
      </c>
      <c r="B256" s="94" t="s">
        <v>1927</v>
      </c>
      <c r="C256" s="94">
        <v>16200</v>
      </c>
      <c r="D256" s="94"/>
      <c r="E256" s="94"/>
      <c r="F256" s="122"/>
    </row>
    <row r="257" spans="1:6" ht="21.75" customHeight="1" x14ac:dyDescent="0.25">
      <c r="A257" s="95">
        <v>42257</v>
      </c>
      <c r="B257" s="94" t="s">
        <v>1927</v>
      </c>
      <c r="C257" s="94">
        <v>16200</v>
      </c>
      <c r="D257" s="94"/>
      <c r="E257" s="94"/>
      <c r="F257" s="122"/>
    </row>
    <row r="258" spans="1:6" ht="21.75" customHeight="1" x14ac:dyDescent="0.25">
      <c r="A258" s="95">
        <v>42258</v>
      </c>
      <c r="B258" s="94" t="s">
        <v>1927</v>
      </c>
      <c r="C258" s="94">
        <v>16200</v>
      </c>
      <c r="D258" s="94"/>
      <c r="E258" s="94"/>
      <c r="F258" s="122"/>
    </row>
    <row r="259" spans="1:6" ht="21.75" customHeight="1" x14ac:dyDescent="0.25">
      <c r="A259" s="95">
        <v>42259</v>
      </c>
      <c r="B259" s="94" t="s">
        <v>1927</v>
      </c>
      <c r="C259" s="94">
        <v>16200</v>
      </c>
      <c r="D259" s="94"/>
      <c r="E259" s="94"/>
      <c r="F259" s="122"/>
    </row>
    <row r="260" spans="1:6" ht="21.75" customHeight="1" x14ac:dyDescent="0.25">
      <c r="A260" s="95">
        <v>42260</v>
      </c>
      <c r="B260" s="94" t="s">
        <v>1927</v>
      </c>
      <c r="C260" s="94">
        <v>16200</v>
      </c>
      <c r="D260" s="94"/>
      <c r="E260" s="94"/>
      <c r="F260" s="122"/>
    </row>
    <row r="261" spans="1:6" ht="21.75" customHeight="1" x14ac:dyDescent="0.25">
      <c r="A261" s="95">
        <v>42261</v>
      </c>
      <c r="B261" s="94" t="s">
        <v>2169</v>
      </c>
      <c r="C261" s="94">
        <v>16100</v>
      </c>
      <c r="D261" s="94"/>
      <c r="E261" s="94"/>
      <c r="F261" s="122"/>
    </row>
    <row r="262" spans="1:6" ht="21.75" customHeight="1" x14ac:dyDescent="0.25">
      <c r="A262" s="95">
        <v>42262</v>
      </c>
      <c r="B262" s="94" t="s">
        <v>2169</v>
      </c>
      <c r="C262" s="94">
        <v>16100</v>
      </c>
      <c r="D262" s="94"/>
      <c r="E262" s="94"/>
      <c r="F262" s="122"/>
    </row>
    <row r="263" spans="1:6" ht="21.75" customHeight="1" x14ac:dyDescent="0.25">
      <c r="A263" s="95">
        <v>42263</v>
      </c>
      <c r="B263" s="94" t="s">
        <v>2169</v>
      </c>
      <c r="C263" s="94">
        <v>16100</v>
      </c>
      <c r="D263" s="94"/>
      <c r="E263" s="94"/>
      <c r="F263" s="122"/>
    </row>
    <row r="264" spans="1:6" ht="21.75" customHeight="1" x14ac:dyDescent="0.25">
      <c r="A264" s="95">
        <v>42264</v>
      </c>
      <c r="B264" s="94" t="s">
        <v>2035</v>
      </c>
      <c r="C264" s="94">
        <v>15875</v>
      </c>
      <c r="D264" s="94"/>
      <c r="E264" s="94"/>
      <c r="F264" s="122"/>
    </row>
    <row r="265" spans="1:6" ht="21.75" customHeight="1" x14ac:dyDescent="0.25">
      <c r="A265" s="95">
        <v>42265</v>
      </c>
      <c r="B265" s="94" t="s">
        <v>2287</v>
      </c>
      <c r="C265" s="94">
        <v>15750</v>
      </c>
      <c r="D265" s="94"/>
      <c r="E265" s="94"/>
      <c r="F265" s="122"/>
    </row>
    <row r="266" spans="1:6" ht="21.75" customHeight="1" x14ac:dyDescent="0.25">
      <c r="A266" s="95">
        <v>42266</v>
      </c>
      <c r="B266" s="94" t="s">
        <v>2080</v>
      </c>
      <c r="C266" s="94">
        <v>15600</v>
      </c>
      <c r="D266" s="94"/>
      <c r="E266" s="94"/>
      <c r="F266" s="122"/>
    </row>
    <row r="267" spans="1:6" ht="21.75" customHeight="1" x14ac:dyDescent="0.25">
      <c r="A267" s="95">
        <v>42267</v>
      </c>
      <c r="B267" s="94" t="s">
        <v>2288</v>
      </c>
      <c r="C267" s="94">
        <v>15550</v>
      </c>
      <c r="D267" s="94"/>
      <c r="E267" s="94"/>
      <c r="F267" s="122"/>
    </row>
    <row r="268" spans="1:6" ht="21.75" customHeight="1" x14ac:dyDescent="0.25">
      <c r="A268" s="95">
        <v>42268</v>
      </c>
      <c r="B268" s="94" t="s">
        <v>2289</v>
      </c>
      <c r="C268" s="94">
        <v>15550</v>
      </c>
      <c r="D268" s="94"/>
      <c r="E268" s="94"/>
      <c r="F268" s="122"/>
    </row>
    <row r="269" spans="1:6" ht="21.75" customHeight="1" x14ac:dyDescent="0.25">
      <c r="A269" s="95">
        <v>42269</v>
      </c>
      <c r="B269" s="94" t="s">
        <v>2289</v>
      </c>
      <c r="C269" s="94">
        <v>15550</v>
      </c>
      <c r="D269" s="94"/>
      <c r="E269" s="94"/>
      <c r="F269" s="122"/>
    </row>
    <row r="270" spans="1:6" ht="21.75" customHeight="1" x14ac:dyDescent="0.25">
      <c r="A270" s="95">
        <v>42270</v>
      </c>
      <c r="B270" s="94" t="s">
        <v>2289</v>
      </c>
      <c r="C270" s="94">
        <v>15550</v>
      </c>
      <c r="D270" s="94"/>
      <c r="E270" s="94"/>
      <c r="F270" s="122"/>
    </row>
    <row r="271" spans="1:6" ht="21.75" customHeight="1" x14ac:dyDescent="0.25">
      <c r="A271" s="95">
        <v>42271</v>
      </c>
      <c r="B271" s="94" t="s">
        <v>2038</v>
      </c>
      <c r="C271" s="94">
        <v>15400</v>
      </c>
      <c r="D271" s="94"/>
      <c r="E271" s="94"/>
      <c r="F271" s="122"/>
    </row>
    <row r="272" spans="1:6" ht="21.75" customHeight="1" x14ac:dyDescent="0.25">
      <c r="A272" s="95">
        <v>42272</v>
      </c>
      <c r="B272" s="94" t="s">
        <v>2038</v>
      </c>
      <c r="C272" s="94">
        <v>15400</v>
      </c>
      <c r="D272" s="94"/>
      <c r="E272" s="94"/>
      <c r="F272" s="122"/>
    </row>
    <row r="273" spans="1:6" ht="21.75" customHeight="1" x14ac:dyDescent="0.25">
      <c r="A273" s="95">
        <v>42273</v>
      </c>
      <c r="B273" s="94" t="s">
        <v>2038</v>
      </c>
      <c r="C273" s="94">
        <v>15400</v>
      </c>
      <c r="D273" s="94"/>
      <c r="E273" s="94"/>
      <c r="F273" s="122"/>
    </row>
    <row r="274" spans="1:6" ht="21.75" customHeight="1" x14ac:dyDescent="0.25">
      <c r="A274" s="95">
        <v>42274</v>
      </c>
      <c r="B274" s="94" t="s">
        <v>2038</v>
      </c>
      <c r="C274" s="94">
        <v>15400</v>
      </c>
      <c r="D274" s="94"/>
      <c r="E274" s="94"/>
      <c r="F274" s="122"/>
    </row>
    <row r="275" spans="1:6" ht="21.75" customHeight="1" x14ac:dyDescent="0.25">
      <c r="A275" s="95">
        <v>42275</v>
      </c>
      <c r="B275" s="94" t="s">
        <v>2038</v>
      </c>
      <c r="C275" s="94">
        <v>15400</v>
      </c>
      <c r="D275" s="94"/>
      <c r="E275" s="94"/>
      <c r="F275" s="122"/>
    </row>
    <row r="276" spans="1:6" ht="21.75" customHeight="1" x14ac:dyDescent="0.25">
      <c r="A276" s="95">
        <v>42276</v>
      </c>
      <c r="B276" s="94" t="s">
        <v>2038</v>
      </c>
      <c r="C276" s="94">
        <v>15400</v>
      </c>
      <c r="D276" s="94"/>
      <c r="E276" s="94"/>
      <c r="F276" s="122"/>
    </row>
    <row r="277" spans="1:6" ht="21.75" customHeight="1" x14ac:dyDescent="0.25">
      <c r="A277" s="95">
        <v>42277</v>
      </c>
      <c r="B277" s="94" t="s">
        <v>2168</v>
      </c>
      <c r="C277" s="94">
        <v>15400</v>
      </c>
      <c r="D277" s="94"/>
      <c r="E277" s="94"/>
      <c r="F277" s="122"/>
    </row>
    <row r="278" spans="1:6" ht="21.75" customHeight="1" x14ac:dyDescent="0.25">
      <c r="A278" s="95">
        <v>42278</v>
      </c>
      <c r="B278" s="94" t="s">
        <v>2168</v>
      </c>
      <c r="C278" s="94">
        <v>16400</v>
      </c>
      <c r="D278" s="94"/>
      <c r="E278" s="94"/>
      <c r="F278" s="122"/>
    </row>
    <row r="279" spans="1:6" ht="21.75" customHeight="1" x14ac:dyDescent="0.25">
      <c r="A279" s="95">
        <v>42279</v>
      </c>
      <c r="B279" s="94" t="s">
        <v>2168</v>
      </c>
      <c r="C279" s="94">
        <v>16400</v>
      </c>
      <c r="D279" s="94"/>
      <c r="E279" s="94"/>
      <c r="F279" s="122"/>
    </row>
    <row r="280" spans="1:6" ht="21.75" customHeight="1" x14ac:dyDescent="0.25">
      <c r="A280" s="95">
        <v>42280</v>
      </c>
      <c r="B280" s="94" t="s">
        <v>2264</v>
      </c>
      <c r="C280" s="94">
        <v>16800</v>
      </c>
      <c r="D280" s="94"/>
      <c r="E280" s="94"/>
      <c r="F280" s="122"/>
    </row>
    <row r="281" spans="1:6" ht="21.75" customHeight="1" x14ac:dyDescent="0.25">
      <c r="A281" s="95">
        <v>42281</v>
      </c>
      <c r="B281" s="94" t="s">
        <v>2262</v>
      </c>
      <c r="C281" s="94">
        <v>17000</v>
      </c>
      <c r="D281" s="94"/>
      <c r="E281" s="94"/>
      <c r="F281" s="122"/>
    </row>
    <row r="282" spans="1:6" ht="21.75" customHeight="1" x14ac:dyDescent="0.25">
      <c r="A282" s="95">
        <v>42282</v>
      </c>
      <c r="B282" s="94" t="s">
        <v>2262</v>
      </c>
      <c r="C282" s="94">
        <v>17000</v>
      </c>
      <c r="D282" s="94"/>
      <c r="E282" s="94"/>
      <c r="F282" s="122"/>
    </row>
    <row r="283" spans="1:6" ht="21.75" customHeight="1" x14ac:dyDescent="0.25">
      <c r="A283" s="95">
        <v>42283</v>
      </c>
      <c r="B283" s="94" t="s">
        <v>2034</v>
      </c>
      <c r="C283" s="94">
        <v>17250</v>
      </c>
      <c r="D283" s="94"/>
      <c r="E283" s="94"/>
      <c r="F283" s="122"/>
    </row>
    <row r="284" spans="1:6" ht="21.75" customHeight="1" x14ac:dyDescent="0.25">
      <c r="A284" s="95">
        <v>42284</v>
      </c>
      <c r="B284" s="94" t="s">
        <v>2034</v>
      </c>
      <c r="C284" s="94">
        <v>17250</v>
      </c>
      <c r="D284" s="94"/>
      <c r="E284" s="94"/>
      <c r="F284" s="122"/>
    </row>
    <row r="285" spans="1:6" ht="21.75" customHeight="1" x14ac:dyDescent="0.25">
      <c r="A285" s="95">
        <v>42285</v>
      </c>
      <c r="B285" s="94" t="s">
        <v>2034</v>
      </c>
      <c r="C285" s="94">
        <v>17250</v>
      </c>
      <c r="D285" s="94"/>
      <c r="E285" s="94"/>
      <c r="F285" s="122"/>
    </row>
    <row r="286" spans="1:6" ht="21.75" customHeight="1" x14ac:dyDescent="0.25">
      <c r="A286" s="95">
        <v>42286</v>
      </c>
      <c r="B286" s="94" t="s">
        <v>2034</v>
      </c>
      <c r="C286" s="94">
        <v>17250</v>
      </c>
      <c r="D286" s="94"/>
      <c r="E286" s="94"/>
      <c r="F286" s="122"/>
    </row>
    <row r="287" spans="1:6" ht="21.75" customHeight="1" x14ac:dyDescent="0.25">
      <c r="A287" s="95">
        <v>42287</v>
      </c>
      <c r="B287" s="94" t="s">
        <v>2034</v>
      </c>
      <c r="C287" s="94">
        <v>17250</v>
      </c>
      <c r="D287" s="94"/>
      <c r="E287" s="94"/>
      <c r="F287" s="122"/>
    </row>
    <row r="288" spans="1:6" ht="21.75" customHeight="1" x14ac:dyDescent="0.25">
      <c r="A288" s="95">
        <v>42288</v>
      </c>
      <c r="B288" s="94" t="s">
        <v>2034</v>
      </c>
      <c r="C288" s="94">
        <v>17250</v>
      </c>
      <c r="D288" s="94"/>
      <c r="E288" s="94"/>
      <c r="F288" s="122"/>
    </row>
    <row r="289" spans="1:6" ht="21.75" customHeight="1" x14ac:dyDescent="0.25">
      <c r="A289" s="95">
        <v>42289</v>
      </c>
      <c r="B289" s="94" t="s">
        <v>2262</v>
      </c>
      <c r="C289" s="94">
        <v>17000</v>
      </c>
      <c r="D289" s="94"/>
      <c r="E289" s="94"/>
      <c r="F289" s="122"/>
    </row>
    <row r="290" spans="1:6" ht="21.75" customHeight="1" x14ac:dyDescent="0.25">
      <c r="A290" s="95">
        <v>42290</v>
      </c>
      <c r="B290" s="94" t="s">
        <v>2262</v>
      </c>
      <c r="C290" s="94">
        <v>17000</v>
      </c>
      <c r="D290" s="94"/>
      <c r="E290" s="94"/>
      <c r="F290" s="122"/>
    </row>
    <row r="291" spans="1:6" ht="21.75" customHeight="1" x14ac:dyDescent="0.25">
      <c r="A291" s="95">
        <v>42291</v>
      </c>
      <c r="B291" s="94" t="s">
        <v>2033</v>
      </c>
      <c r="C291" s="94">
        <v>17500</v>
      </c>
      <c r="D291" s="94"/>
      <c r="E291" s="94"/>
      <c r="F291" s="122"/>
    </row>
    <row r="292" spans="1:6" ht="21.75" customHeight="1" x14ac:dyDescent="0.25">
      <c r="A292" s="95">
        <v>42292</v>
      </c>
      <c r="B292" s="94" t="s">
        <v>2033</v>
      </c>
      <c r="C292" s="94">
        <v>17500</v>
      </c>
      <c r="D292" s="94"/>
      <c r="E292" s="94"/>
      <c r="F292" s="122"/>
    </row>
    <row r="293" spans="1:6" ht="21.75" customHeight="1" x14ac:dyDescent="0.25">
      <c r="A293" s="95">
        <v>42293</v>
      </c>
      <c r="B293" s="94" t="s">
        <v>2033</v>
      </c>
      <c r="C293" s="94">
        <v>17500</v>
      </c>
      <c r="D293" s="94"/>
      <c r="E293" s="94"/>
      <c r="F293" s="122"/>
    </row>
    <row r="294" spans="1:6" ht="21.75" customHeight="1" x14ac:dyDescent="0.25">
      <c r="A294" s="95">
        <v>42294</v>
      </c>
      <c r="B294" s="94" t="s">
        <v>2261</v>
      </c>
      <c r="C294" s="94">
        <v>17600</v>
      </c>
      <c r="D294" s="94"/>
      <c r="E294" s="94"/>
      <c r="F294" s="122"/>
    </row>
    <row r="295" spans="1:6" ht="21.75" customHeight="1" x14ac:dyDescent="0.25">
      <c r="A295" s="95">
        <v>42295</v>
      </c>
      <c r="B295" s="94" t="s">
        <v>2261</v>
      </c>
      <c r="C295" s="94">
        <v>17600</v>
      </c>
      <c r="D295" s="94"/>
      <c r="E295" s="94"/>
      <c r="F295" s="122"/>
    </row>
    <row r="296" spans="1:6" ht="21.75" customHeight="1" x14ac:dyDescent="0.25">
      <c r="A296" s="95">
        <v>42296</v>
      </c>
      <c r="B296" s="94" t="s">
        <v>2033</v>
      </c>
      <c r="C296" s="94">
        <v>17500</v>
      </c>
      <c r="D296" s="94"/>
      <c r="E296" s="94"/>
      <c r="F296" s="122"/>
    </row>
    <row r="297" spans="1:6" ht="21.75" customHeight="1" x14ac:dyDescent="0.25">
      <c r="A297" s="95">
        <v>42297</v>
      </c>
      <c r="B297" s="94" t="s">
        <v>2281</v>
      </c>
      <c r="C297" s="94">
        <v>17400</v>
      </c>
      <c r="D297" s="94"/>
      <c r="E297" s="94"/>
      <c r="F297" s="122"/>
    </row>
    <row r="298" spans="1:6" ht="21.75" customHeight="1" x14ac:dyDescent="0.25">
      <c r="A298" s="95">
        <v>42298</v>
      </c>
      <c r="B298" s="94" t="s">
        <v>2034</v>
      </c>
      <c r="C298" s="94">
        <v>17250</v>
      </c>
      <c r="D298" s="94"/>
      <c r="E298" s="94"/>
      <c r="F298" s="122"/>
    </row>
    <row r="299" spans="1:6" ht="21.75" customHeight="1" x14ac:dyDescent="0.25">
      <c r="A299" s="95">
        <v>42299</v>
      </c>
      <c r="B299" s="94" t="s">
        <v>2262</v>
      </c>
      <c r="C299" s="94">
        <v>17000</v>
      </c>
      <c r="D299" s="94"/>
      <c r="E299" s="94"/>
      <c r="F299" s="122"/>
    </row>
    <row r="300" spans="1:6" ht="21.75" customHeight="1" x14ac:dyDescent="0.25">
      <c r="A300" s="95">
        <v>42300</v>
      </c>
      <c r="B300" s="94" t="s">
        <v>2264</v>
      </c>
      <c r="C300" s="94">
        <v>16800</v>
      </c>
      <c r="D300" s="94"/>
      <c r="E300" s="94"/>
      <c r="F300" s="122"/>
    </row>
    <row r="301" spans="1:6" ht="21.75" customHeight="1" x14ac:dyDescent="0.25">
      <c r="A301" s="95">
        <v>42301</v>
      </c>
      <c r="B301" s="94" t="s">
        <v>2264</v>
      </c>
      <c r="C301" s="94">
        <v>16800</v>
      </c>
      <c r="D301" s="94"/>
      <c r="E301" s="94"/>
      <c r="F301" s="122"/>
    </row>
    <row r="302" spans="1:6" ht="21.75" customHeight="1" x14ac:dyDescent="0.25">
      <c r="A302" s="95">
        <v>42302</v>
      </c>
      <c r="B302" s="94" t="s">
        <v>2264</v>
      </c>
      <c r="C302" s="94">
        <v>16800</v>
      </c>
      <c r="D302" s="94"/>
      <c r="E302" s="94"/>
      <c r="F302" s="122"/>
    </row>
    <row r="303" spans="1:6" ht="21.75" customHeight="1" x14ac:dyDescent="0.25">
      <c r="A303" s="95">
        <v>42303</v>
      </c>
      <c r="B303" s="94" t="s">
        <v>1926</v>
      </c>
      <c r="C303" s="94">
        <v>16700</v>
      </c>
      <c r="D303" s="94"/>
      <c r="E303" s="94"/>
      <c r="F303" s="122"/>
    </row>
    <row r="304" spans="1:6" ht="21.75" customHeight="1" x14ac:dyDescent="0.25">
      <c r="A304" s="95">
        <v>42304</v>
      </c>
      <c r="B304" s="94" t="s">
        <v>1926</v>
      </c>
      <c r="C304" s="94">
        <v>16700</v>
      </c>
      <c r="D304" s="94"/>
      <c r="E304" s="94"/>
      <c r="F304" s="122"/>
    </row>
    <row r="305" spans="1:7" ht="21.75" customHeight="1" x14ac:dyDescent="0.25">
      <c r="A305" s="95">
        <v>42305</v>
      </c>
      <c r="B305" s="94" t="s">
        <v>2281</v>
      </c>
      <c r="C305" s="94">
        <v>17400</v>
      </c>
      <c r="D305" s="94"/>
      <c r="E305" s="94"/>
      <c r="F305" s="122"/>
    </row>
    <row r="306" spans="1:7" ht="21.75" customHeight="1" x14ac:dyDescent="0.25">
      <c r="A306" s="95">
        <v>42306</v>
      </c>
      <c r="B306" s="94" t="s">
        <v>2033</v>
      </c>
      <c r="C306" s="94">
        <v>17500</v>
      </c>
      <c r="D306" s="94"/>
      <c r="E306" s="94"/>
      <c r="F306" s="122"/>
    </row>
    <row r="307" spans="1:7" ht="21.75" customHeight="1" x14ac:dyDescent="0.25">
      <c r="A307" s="95">
        <v>42307</v>
      </c>
      <c r="B307" s="94" t="s">
        <v>2032</v>
      </c>
      <c r="C307" s="94">
        <v>17800</v>
      </c>
      <c r="D307" s="94"/>
      <c r="E307" s="94"/>
      <c r="F307" s="122"/>
    </row>
    <row r="308" spans="1:7" ht="21.75" customHeight="1" x14ac:dyDescent="0.25">
      <c r="A308" s="95">
        <v>42308</v>
      </c>
      <c r="B308" s="94" t="s">
        <v>1920</v>
      </c>
      <c r="C308" s="94">
        <v>19850</v>
      </c>
      <c r="D308" s="94"/>
      <c r="E308" s="94"/>
      <c r="F308" s="122"/>
    </row>
    <row r="309" spans="1:7" ht="21.75" customHeight="1" x14ac:dyDescent="0.25">
      <c r="A309" s="95">
        <v>42309</v>
      </c>
      <c r="B309" s="94"/>
      <c r="C309" s="94"/>
      <c r="D309" s="94"/>
      <c r="E309" s="94"/>
      <c r="F309" s="122"/>
    </row>
    <row r="310" spans="1:7" ht="21.75" customHeight="1" x14ac:dyDescent="0.25">
      <c r="A310" s="95">
        <v>42310</v>
      </c>
      <c r="B310" s="94" t="s">
        <v>1915</v>
      </c>
      <c r="C310" s="94">
        <v>25500</v>
      </c>
      <c r="D310" s="94">
        <v>2</v>
      </c>
      <c r="E310" s="94">
        <v>3</v>
      </c>
      <c r="F310" s="122"/>
    </row>
    <row r="311" spans="1:7" ht="21.75" customHeight="1" x14ac:dyDescent="0.25">
      <c r="A311" s="95">
        <v>42311</v>
      </c>
      <c r="B311" s="94" t="s">
        <v>1905</v>
      </c>
      <c r="C311" s="94">
        <v>30300</v>
      </c>
      <c r="D311" s="94"/>
      <c r="E311" s="94"/>
      <c r="F311" s="254">
        <v>369.5</v>
      </c>
      <c r="G311" s="471" t="s">
        <v>2680</v>
      </c>
    </row>
    <row r="312" spans="1:7" ht="21.75" customHeight="1" x14ac:dyDescent="0.25">
      <c r="A312" s="95">
        <v>42312</v>
      </c>
      <c r="B312" s="94" t="s">
        <v>2184</v>
      </c>
      <c r="C312" s="94">
        <v>34250</v>
      </c>
      <c r="D312" s="94"/>
      <c r="E312" s="94"/>
      <c r="F312" s="254">
        <v>1219.22</v>
      </c>
      <c r="G312" s="472"/>
    </row>
    <row r="313" spans="1:7" ht="21.75" customHeight="1" x14ac:dyDescent="0.25">
      <c r="A313" s="95">
        <v>42313</v>
      </c>
      <c r="B313" s="94" t="s">
        <v>2157</v>
      </c>
      <c r="C313" s="94">
        <v>34750</v>
      </c>
      <c r="D313" s="94">
        <v>4</v>
      </c>
      <c r="E313" s="94">
        <v>6</v>
      </c>
      <c r="F313" s="254">
        <v>1221.69</v>
      </c>
      <c r="G313" s="472"/>
    </row>
    <row r="314" spans="1:7" ht="21.75" customHeight="1" x14ac:dyDescent="0.25">
      <c r="A314" s="95">
        <v>42314</v>
      </c>
      <c r="B314" s="94" t="s">
        <v>2193</v>
      </c>
      <c r="C314" s="94">
        <v>33000</v>
      </c>
      <c r="D314" s="94">
        <v>4</v>
      </c>
      <c r="E314" s="94">
        <v>8</v>
      </c>
      <c r="F314" s="254">
        <v>1208.6300000000001</v>
      </c>
      <c r="G314" s="472"/>
    </row>
    <row r="315" spans="1:7" ht="21.75" customHeight="1" x14ac:dyDescent="0.25">
      <c r="A315" s="95">
        <v>42315</v>
      </c>
      <c r="B315" s="94" t="s">
        <v>2290</v>
      </c>
      <c r="C315" s="94">
        <v>32600</v>
      </c>
      <c r="D315" s="94"/>
      <c r="E315" s="94"/>
      <c r="F315" s="254">
        <v>1111.23</v>
      </c>
      <c r="G315" s="472"/>
    </row>
    <row r="316" spans="1:7" ht="21.75" customHeight="1" x14ac:dyDescent="0.25">
      <c r="A316" s="95">
        <v>42316</v>
      </c>
      <c r="B316" s="94" t="s">
        <v>1907</v>
      </c>
      <c r="C316" s="94">
        <v>32000</v>
      </c>
      <c r="D316" s="94"/>
      <c r="E316" s="94"/>
      <c r="F316" s="254">
        <v>1077.29</v>
      </c>
      <c r="G316" s="472"/>
    </row>
    <row r="317" spans="1:7" ht="21.75" customHeight="1" x14ac:dyDescent="0.25">
      <c r="A317" s="95">
        <v>42317</v>
      </c>
      <c r="B317" s="94" t="s">
        <v>1905</v>
      </c>
      <c r="C317" s="94">
        <v>30300</v>
      </c>
      <c r="D317" s="94">
        <v>4</v>
      </c>
      <c r="E317" s="94">
        <v>8</v>
      </c>
      <c r="F317" s="254">
        <v>1064.69</v>
      </c>
      <c r="G317" s="472"/>
    </row>
    <row r="318" spans="1:7" ht="21.75" customHeight="1" x14ac:dyDescent="0.25">
      <c r="A318" s="95">
        <v>42318</v>
      </c>
      <c r="B318" s="94" t="s">
        <v>2291</v>
      </c>
      <c r="C318" s="94">
        <v>30000</v>
      </c>
      <c r="D318" s="94"/>
      <c r="E318" s="94"/>
      <c r="F318" s="254">
        <v>276.27</v>
      </c>
      <c r="G318" s="472"/>
    </row>
    <row r="319" spans="1:7" ht="21.75" customHeight="1" x14ac:dyDescent="0.25">
      <c r="A319" s="95">
        <v>42319</v>
      </c>
      <c r="B319" s="94" t="s">
        <v>2268</v>
      </c>
      <c r="C319" s="94">
        <v>29425</v>
      </c>
      <c r="D319" s="94">
        <v>12</v>
      </c>
      <c r="E319" s="94">
        <v>14</v>
      </c>
      <c r="F319" s="254"/>
      <c r="G319" s="472"/>
    </row>
    <row r="320" spans="1:7" ht="21.75" customHeight="1" x14ac:dyDescent="0.25">
      <c r="A320" s="95">
        <v>42320</v>
      </c>
      <c r="B320" s="94" t="s">
        <v>2166</v>
      </c>
      <c r="C320" s="94">
        <v>30500</v>
      </c>
      <c r="D320" s="94">
        <v>6</v>
      </c>
      <c r="E320" s="94">
        <v>14</v>
      </c>
      <c r="F320" s="254"/>
      <c r="G320" s="472"/>
    </row>
    <row r="321" spans="1:7" ht="21.75" customHeight="1" x14ac:dyDescent="0.25">
      <c r="A321" s="95">
        <v>42321</v>
      </c>
      <c r="B321" s="94" t="s">
        <v>2269</v>
      </c>
      <c r="C321" s="94">
        <v>32050</v>
      </c>
      <c r="D321" s="94">
        <v>6</v>
      </c>
      <c r="E321" s="94">
        <v>10</v>
      </c>
      <c r="F321" s="254">
        <v>835.46</v>
      </c>
      <c r="G321" s="472"/>
    </row>
    <row r="322" spans="1:7" ht="21.75" customHeight="1" x14ac:dyDescent="0.25">
      <c r="A322" s="95">
        <v>42322</v>
      </c>
      <c r="B322" s="94" t="s">
        <v>2270</v>
      </c>
      <c r="C322" s="94">
        <v>35500</v>
      </c>
      <c r="D322" s="94"/>
      <c r="E322" s="94"/>
      <c r="F322" s="254">
        <v>3828.94</v>
      </c>
      <c r="G322" s="472"/>
    </row>
    <row r="323" spans="1:7" ht="21.75" customHeight="1" x14ac:dyDescent="0.25">
      <c r="A323" s="95">
        <v>42323</v>
      </c>
      <c r="B323" s="94" t="s">
        <v>2162</v>
      </c>
      <c r="C323" s="94" t="s">
        <v>2167</v>
      </c>
      <c r="D323" s="94"/>
      <c r="E323" s="94"/>
      <c r="F323" s="254">
        <v>10202.19</v>
      </c>
      <c r="G323" s="472"/>
    </row>
    <row r="324" spans="1:7" ht="21.75" customHeight="1" x14ac:dyDescent="0.25">
      <c r="A324" s="95">
        <v>42324</v>
      </c>
      <c r="B324" s="94" t="s">
        <v>2271</v>
      </c>
      <c r="C324" s="94" t="s">
        <v>2167</v>
      </c>
      <c r="D324" s="94"/>
      <c r="E324" s="94"/>
      <c r="F324" s="254">
        <v>8811.36</v>
      </c>
      <c r="G324" s="472"/>
    </row>
    <row r="325" spans="1:7" ht="21.75" customHeight="1" x14ac:dyDescent="0.25">
      <c r="A325" s="95">
        <v>42325</v>
      </c>
      <c r="B325" s="94" t="s">
        <v>2164</v>
      </c>
      <c r="C325" s="94">
        <v>33800</v>
      </c>
      <c r="D325" s="94"/>
      <c r="E325" s="94"/>
      <c r="F325" s="254">
        <v>4123.53</v>
      </c>
      <c r="G325" s="472"/>
    </row>
    <row r="326" spans="1:7" ht="21.75" customHeight="1" x14ac:dyDescent="0.25">
      <c r="A326" s="95">
        <v>42326</v>
      </c>
      <c r="B326" s="94" t="s">
        <v>1905</v>
      </c>
      <c r="C326" s="94">
        <v>30300</v>
      </c>
      <c r="D326" s="94"/>
      <c r="E326" s="94"/>
      <c r="F326" s="254">
        <v>549.79999999999995</v>
      </c>
      <c r="G326" s="472"/>
    </row>
    <row r="327" spans="1:7" ht="21.75" customHeight="1" x14ac:dyDescent="0.25">
      <c r="A327" s="95">
        <v>42327</v>
      </c>
      <c r="B327" s="94" t="s">
        <v>1929</v>
      </c>
      <c r="C327" s="94">
        <v>30625</v>
      </c>
      <c r="D327" s="94"/>
      <c r="E327" s="94"/>
      <c r="F327" s="254">
        <v>554.25</v>
      </c>
      <c r="G327" s="472"/>
    </row>
    <row r="328" spans="1:7" ht="21.75" customHeight="1" x14ac:dyDescent="0.25">
      <c r="A328" s="95">
        <v>42328</v>
      </c>
      <c r="B328" s="94" t="s">
        <v>1894</v>
      </c>
      <c r="C328" s="94">
        <v>31500</v>
      </c>
      <c r="D328" s="94"/>
      <c r="E328" s="94"/>
      <c r="F328" s="254">
        <v>1337.94</v>
      </c>
      <c r="G328" s="472"/>
    </row>
    <row r="329" spans="1:7" ht="21.75" customHeight="1" x14ac:dyDescent="0.25">
      <c r="A329" s="95">
        <v>42329</v>
      </c>
      <c r="B329" s="94" t="s">
        <v>1894</v>
      </c>
      <c r="C329" s="94">
        <v>31500</v>
      </c>
      <c r="D329" s="94"/>
      <c r="E329" s="94"/>
      <c r="F329" s="254">
        <v>1337.94</v>
      </c>
      <c r="G329" s="472"/>
    </row>
    <row r="330" spans="1:7" ht="21.75" customHeight="1" x14ac:dyDescent="0.25">
      <c r="A330" s="95">
        <v>42330</v>
      </c>
      <c r="B330" s="94" t="s">
        <v>1929</v>
      </c>
      <c r="C330" s="94">
        <v>30625</v>
      </c>
      <c r="D330" s="94">
        <v>5</v>
      </c>
      <c r="E330" s="94">
        <v>6</v>
      </c>
      <c r="F330" s="254">
        <v>1327.31</v>
      </c>
      <c r="G330" s="472"/>
    </row>
    <row r="331" spans="1:7" ht="21.75" customHeight="1" x14ac:dyDescent="0.25">
      <c r="A331" s="95">
        <v>42331</v>
      </c>
      <c r="B331" s="94" t="s">
        <v>2272</v>
      </c>
      <c r="C331" s="94">
        <v>30100</v>
      </c>
      <c r="D331" s="94">
        <v>5</v>
      </c>
      <c r="E331" s="94">
        <v>6</v>
      </c>
      <c r="F331" s="254">
        <v>1297.6199999999999</v>
      </c>
      <c r="G331" s="472"/>
    </row>
    <row r="332" spans="1:7" ht="21.75" customHeight="1" x14ac:dyDescent="0.25">
      <c r="A332" s="95">
        <v>42332</v>
      </c>
      <c r="B332" s="94" t="s">
        <v>1930</v>
      </c>
      <c r="C332" s="94">
        <v>28675</v>
      </c>
      <c r="D332" s="94">
        <v>5</v>
      </c>
      <c r="E332" s="94">
        <v>6</v>
      </c>
      <c r="F332" s="254">
        <v>405.99</v>
      </c>
      <c r="G332" s="472"/>
    </row>
    <row r="333" spans="1:7" ht="21.75" customHeight="1" x14ac:dyDescent="0.25">
      <c r="A333" s="95">
        <v>42333</v>
      </c>
      <c r="B333" s="94" t="s">
        <v>2273</v>
      </c>
      <c r="C333" s="94">
        <v>28750</v>
      </c>
      <c r="D333" s="94">
        <v>5</v>
      </c>
      <c r="E333" s="94">
        <v>3</v>
      </c>
      <c r="F333" s="254">
        <v>407.04</v>
      </c>
      <c r="G333" s="472"/>
    </row>
    <row r="334" spans="1:7" ht="21.75" customHeight="1" x14ac:dyDescent="0.25">
      <c r="A334" s="95">
        <v>42334</v>
      </c>
      <c r="B334" s="94" t="s">
        <v>2274</v>
      </c>
      <c r="C334" s="94">
        <v>28750</v>
      </c>
      <c r="D334" s="94">
        <v>8</v>
      </c>
      <c r="E334" s="94">
        <v>8</v>
      </c>
      <c r="F334" s="254">
        <v>407.04</v>
      </c>
      <c r="G334" s="472"/>
    </row>
    <row r="335" spans="1:7" ht="21.75" customHeight="1" x14ac:dyDescent="0.25">
      <c r="A335" s="95">
        <v>42335</v>
      </c>
      <c r="B335" s="94" t="s">
        <v>1931</v>
      </c>
      <c r="C335" s="94">
        <v>28800</v>
      </c>
      <c r="D335" s="94">
        <v>3</v>
      </c>
      <c r="E335" s="94" t="s">
        <v>122</v>
      </c>
      <c r="F335" s="254">
        <v>408.08</v>
      </c>
      <c r="G335" s="472"/>
    </row>
    <row r="336" spans="1:7" ht="21.75" customHeight="1" x14ac:dyDescent="0.25">
      <c r="A336" s="95">
        <v>42336</v>
      </c>
      <c r="B336" s="94" t="s">
        <v>1931</v>
      </c>
      <c r="C336" s="94">
        <v>28800</v>
      </c>
      <c r="D336" s="94"/>
      <c r="E336" s="94"/>
      <c r="F336" s="254"/>
      <c r="G336" s="472"/>
    </row>
    <row r="337" spans="1:7" ht="21.75" customHeight="1" x14ac:dyDescent="0.25">
      <c r="A337" s="95">
        <v>42337</v>
      </c>
      <c r="B337" s="94" t="s">
        <v>1932</v>
      </c>
      <c r="C337" s="94">
        <v>28850</v>
      </c>
      <c r="D337" s="94"/>
      <c r="E337" s="94"/>
      <c r="F337" s="254"/>
      <c r="G337" s="472"/>
    </row>
    <row r="338" spans="1:7" ht="21.75" customHeight="1" x14ac:dyDescent="0.25">
      <c r="A338" s="95">
        <v>42338</v>
      </c>
      <c r="B338" s="94" t="s">
        <v>1905</v>
      </c>
      <c r="C338" s="94">
        <v>30300</v>
      </c>
      <c r="D338" s="94">
        <v>6</v>
      </c>
      <c r="E338" s="94">
        <v>11</v>
      </c>
      <c r="F338" s="254">
        <v>549.79999999999995</v>
      </c>
      <c r="G338" s="472"/>
    </row>
    <row r="339" spans="1:7" ht="21.75" customHeight="1" x14ac:dyDescent="0.25">
      <c r="A339" s="95">
        <v>42339</v>
      </c>
      <c r="B339" s="94" t="s">
        <v>1894</v>
      </c>
      <c r="C339" s="94">
        <v>31500</v>
      </c>
      <c r="D339" s="94">
        <v>6</v>
      </c>
      <c r="E339" s="94">
        <v>11</v>
      </c>
      <c r="F339" s="254">
        <v>1192.9000000000001</v>
      </c>
      <c r="G339" s="472"/>
    </row>
    <row r="340" spans="1:7" ht="21.75" customHeight="1" x14ac:dyDescent="0.25">
      <c r="A340" s="95">
        <v>42340</v>
      </c>
      <c r="B340" s="94" t="s">
        <v>2166</v>
      </c>
      <c r="C340" s="94">
        <v>30500</v>
      </c>
      <c r="D340" s="94">
        <v>6</v>
      </c>
      <c r="E340" s="94">
        <v>11</v>
      </c>
      <c r="F340" s="254">
        <v>1184.95</v>
      </c>
      <c r="G340" s="472"/>
    </row>
    <row r="341" spans="1:7" ht="21.75" customHeight="1" x14ac:dyDescent="0.25">
      <c r="A341" s="95">
        <v>42341</v>
      </c>
      <c r="B341" s="94" t="s">
        <v>2268</v>
      </c>
      <c r="C341" s="94">
        <v>29475</v>
      </c>
      <c r="D341" s="94">
        <v>6</v>
      </c>
      <c r="E341" s="94">
        <v>11</v>
      </c>
      <c r="F341" s="254">
        <v>1175.67</v>
      </c>
      <c r="G341" s="472"/>
    </row>
    <row r="342" spans="1:7" ht="21.75" customHeight="1" x14ac:dyDescent="0.25">
      <c r="A342" s="95">
        <v>42342</v>
      </c>
      <c r="B342" s="94" t="s">
        <v>1895</v>
      </c>
      <c r="C342" s="94">
        <v>28500</v>
      </c>
      <c r="D342" s="94">
        <v>6</v>
      </c>
      <c r="E342" s="94">
        <v>6</v>
      </c>
      <c r="F342" s="254">
        <v>1166.31</v>
      </c>
      <c r="G342" s="472"/>
    </row>
    <row r="343" spans="1:7" ht="21.75" customHeight="1" x14ac:dyDescent="0.25">
      <c r="A343" s="95">
        <v>42343</v>
      </c>
      <c r="B343" s="94" t="s">
        <v>1933</v>
      </c>
      <c r="C343" s="94">
        <v>28100</v>
      </c>
      <c r="D343" s="94">
        <v>6</v>
      </c>
      <c r="E343" s="94">
        <v>6</v>
      </c>
      <c r="F343" s="254">
        <v>1159.49</v>
      </c>
      <c r="G343" s="472"/>
    </row>
    <row r="344" spans="1:7" ht="21.75" customHeight="1" x14ac:dyDescent="0.25">
      <c r="A344" s="95">
        <v>42344</v>
      </c>
      <c r="B344" s="94" t="s">
        <v>1895</v>
      </c>
      <c r="C344" s="94">
        <v>28500</v>
      </c>
      <c r="D344" s="94">
        <v>6</v>
      </c>
      <c r="E344" s="94">
        <v>6</v>
      </c>
      <c r="F344" s="254">
        <v>1166.31</v>
      </c>
      <c r="G344" s="472"/>
    </row>
    <row r="345" spans="1:7" ht="21.75" customHeight="1" x14ac:dyDescent="0.25">
      <c r="A345" s="95">
        <v>42345</v>
      </c>
      <c r="B345" s="94" t="s">
        <v>1934</v>
      </c>
      <c r="C345" s="94">
        <v>28450</v>
      </c>
      <c r="D345" s="94">
        <v>6</v>
      </c>
      <c r="E345" s="94">
        <v>6</v>
      </c>
      <c r="F345" s="254">
        <v>1025.6500000000001</v>
      </c>
      <c r="G345" s="472"/>
    </row>
    <row r="346" spans="1:7" ht="21.75" customHeight="1" x14ac:dyDescent="0.25">
      <c r="A346" s="95">
        <v>42346</v>
      </c>
      <c r="B346" s="94" t="s">
        <v>1898</v>
      </c>
      <c r="C346" s="94">
        <v>27850</v>
      </c>
      <c r="D346" s="94">
        <v>6</v>
      </c>
      <c r="E346" s="94">
        <v>6</v>
      </c>
      <c r="F346" s="254">
        <v>988.63</v>
      </c>
      <c r="G346" s="472"/>
    </row>
    <row r="347" spans="1:7" ht="21.75" customHeight="1" x14ac:dyDescent="0.25">
      <c r="A347" s="95">
        <v>42347</v>
      </c>
      <c r="B347" s="94" t="s">
        <v>1898</v>
      </c>
      <c r="C347" s="94">
        <v>27850</v>
      </c>
      <c r="D347" s="94" t="s">
        <v>122</v>
      </c>
      <c r="E347" s="94">
        <v>6</v>
      </c>
      <c r="F347" s="254">
        <v>1004.05</v>
      </c>
      <c r="G347" s="472"/>
    </row>
    <row r="348" spans="1:7" ht="21.75" customHeight="1" x14ac:dyDescent="0.25">
      <c r="A348" s="95">
        <v>42348</v>
      </c>
      <c r="B348" s="94" t="s">
        <v>2275</v>
      </c>
      <c r="C348" s="94">
        <v>27675</v>
      </c>
      <c r="D348" s="94">
        <v>3</v>
      </c>
      <c r="E348" s="94" t="s">
        <v>122</v>
      </c>
      <c r="F348" s="254">
        <v>1073.8800000000001</v>
      </c>
      <c r="G348" s="472"/>
    </row>
    <row r="349" spans="1:7" ht="21.75" customHeight="1" x14ac:dyDescent="0.25">
      <c r="A349" s="95">
        <v>42349</v>
      </c>
      <c r="B349" s="94" t="s">
        <v>1897</v>
      </c>
      <c r="C349" s="94">
        <v>28000</v>
      </c>
      <c r="D349" s="94"/>
      <c r="E349" s="94"/>
      <c r="F349" s="254"/>
      <c r="G349" s="472"/>
    </row>
    <row r="350" spans="1:7" ht="21.75" customHeight="1" x14ac:dyDescent="0.25">
      <c r="A350" s="95">
        <v>42350</v>
      </c>
      <c r="B350" s="94" t="s">
        <v>1932</v>
      </c>
      <c r="C350" s="94">
        <v>28850</v>
      </c>
      <c r="D350" s="94"/>
      <c r="E350" s="94"/>
      <c r="F350" s="254"/>
      <c r="G350" s="472"/>
    </row>
    <row r="351" spans="1:7" ht="21.75" customHeight="1" x14ac:dyDescent="0.25">
      <c r="A351" s="95">
        <v>42351</v>
      </c>
      <c r="B351" s="94" t="s">
        <v>1910</v>
      </c>
      <c r="C351" s="94">
        <v>30000</v>
      </c>
      <c r="D351" s="94"/>
      <c r="E351" s="94"/>
      <c r="F351" s="254">
        <v>1293.06</v>
      </c>
      <c r="G351" s="472"/>
    </row>
    <row r="352" spans="1:7" ht="21.75" customHeight="1" x14ac:dyDescent="0.25">
      <c r="A352" s="95">
        <v>42352</v>
      </c>
      <c r="B352" s="94" t="s">
        <v>1930</v>
      </c>
      <c r="C352" s="94">
        <v>28675</v>
      </c>
      <c r="D352" s="94"/>
      <c r="E352" s="94"/>
      <c r="F352" s="254">
        <v>1274.67</v>
      </c>
      <c r="G352" s="472"/>
    </row>
    <row r="353" spans="1:7" ht="21.75" customHeight="1" x14ac:dyDescent="0.25">
      <c r="A353" s="95">
        <v>42353</v>
      </c>
      <c r="B353" s="94" t="s">
        <v>1897</v>
      </c>
      <c r="C353" s="94">
        <v>28000</v>
      </c>
      <c r="D353" s="94"/>
      <c r="E353" s="94"/>
      <c r="F353" s="254">
        <v>619.48</v>
      </c>
      <c r="G353" s="472"/>
    </row>
    <row r="354" spans="1:7" ht="21.75" customHeight="1" x14ac:dyDescent="0.25">
      <c r="A354" s="95">
        <v>42354</v>
      </c>
      <c r="B354" s="94" t="s">
        <v>1935</v>
      </c>
      <c r="C354" s="94">
        <v>26000</v>
      </c>
      <c r="D354" s="94">
        <v>5</v>
      </c>
      <c r="E354" s="94">
        <v>8</v>
      </c>
      <c r="F354" s="254">
        <v>971.93</v>
      </c>
      <c r="G354" s="472"/>
    </row>
    <row r="355" spans="1:7" ht="21.75" customHeight="1" x14ac:dyDescent="0.25">
      <c r="A355" s="95">
        <v>42355</v>
      </c>
      <c r="B355" s="94" t="s">
        <v>1915</v>
      </c>
      <c r="C355" s="94">
        <v>25000</v>
      </c>
      <c r="D355" s="94">
        <v>8</v>
      </c>
      <c r="E355" s="94">
        <v>10</v>
      </c>
      <c r="F355" s="254"/>
      <c r="G355" s="472"/>
    </row>
    <row r="356" spans="1:7" ht="21.75" customHeight="1" x14ac:dyDescent="0.25">
      <c r="A356" s="95">
        <v>42356</v>
      </c>
      <c r="B356" s="94" t="s">
        <v>1936</v>
      </c>
      <c r="C356" s="94">
        <v>25715</v>
      </c>
      <c r="D356" s="94">
        <v>8</v>
      </c>
      <c r="E356" s="94">
        <v>10</v>
      </c>
      <c r="F356" s="254"/>
      <c r="G356" s="472"/>
    </row>
    <row r="357" spans="1:7" ht="21.75" customHeight="1" x14ac:dyDescent="0.25">
      <c r="A357" s="95">
        <v>42357</v>
      </c>
      <c r="B357" s="94" t="s">
        <v>2245</v>
      </c>
      <c r="C357" s="94">
        <v>26500</v>
      </c>
      <c r="D357" s="94">
        <v>10</v>
      </c>
      <c r="E357" s="94">
        <v>10</v>
      </c>
      <c r="F357" s="254"/>
      <c r="G357" s="472"/>
    </row>
    <row r="358" spans="1:7" ht="21.75" customHeight="1" x14ac:dyDescent="0.25">
      <c r="A358" s="95">
        <v>42358</v>
      </c>
      <c r="B358" s="94" t="s">
        <v>1900</v>
      </c>
      <c r="C358" s="94">
        <v>27000</v>
      </c>
      <c r="D358" s="94">
        <v>10</v>
      </c>
      <c r="E358" s="94">
        <v>10</v>
      </c>
      <c r="F358" s="254">
        <v>257.14999999999998</v>
      </c>
      <c r="G358" s="472"/>
    </row>
    <row r="359" spans="1:7" ht="21.75" customHeight="1" x14ac:dyDescent="0.25">
      <c r="A359" s="95">
        <v>42359</v>
      </c>
      <c r="B359" s="94" t="s">
        <v>1937</v>
      </c>
      <c r="C359" s="94">
        <v>26625</v>
      </c>
      <c r="D359" s="94">
        <v>12</v>
      </c>
      <c r="E359" s="94">
        <v>10</v>
      </c>
      <c r="F359" s="254">
        <v>254.93</v>
      </c>
      <c r="G359" s="472"/>
    </row>
    <row r="360" spans="1:7" ht="21.75" customHeight="1" x14ac:dyDescent="0.25">
      <c r="A360" s="95">
        <v>42360</v>
      </c>
      <c r="B360" s="94" t="s">
        <v>2276</v>
      </c>
      <c r="C360" s="94">
        <v>25700</v>
      </c>
      <c r="D360" s="94">
        <v>12</v>
      </c>
      <c r="E360" s="94">
        <v>10</v>
      </c>
      <c r="F360" s="254">
        <v>249.31</v>
      </c>
      <c r="G360" s="472"/>
    </row>
    <row r="361" spans="1:7" ht="21.75" customHeight="1" x14ac:dyDescent="0.25">
      <c r="A361" s="95">
        <v>42361</v>
      </c>
      <c r="B361" s="94" t="s">
        <v>2277</v>
      </c>
      <c r="C361" s="94">
        <v>25400</v>
      </c>
      <c r="D361" s="94">
        <v>10</v>
      </c>
      <c r="E361" s="94">
        <v>10</v>
      </c>
      <c r="F361" s="254"/>
      <c r="G361" s="472"/>
    </row>
    <row r="362" spans="1:7" ht="21.75" customHeight="1" x14ac:dyDescent="0.25">
      <c r="A362" s="95">
        <v>42362</v>
      </c>
      <c r="B362" s="94" t="s">
        <v>2278</v>
      </c>
      <c r="C362" s="94">
        <v>25300</v>
      </c>
      <c r="D362" s="94">
        <v>10</v>
      </c>
      <c r="E362" s="94">
        <v>10</v>
      </c>
      <c r="F362" s="254"/>
      <c r="G362" s="472"/>
    </row>
    <row r="363" spans="1:7" ht="21.75" customHeight="1" x14ac:dyDescent="0.25">
      <c r="A363" s="95">
        <v>42363</v>
      </c>
      <c r="B363" s="94" t="s">
        <v>2279</v>
      </c>
      <c r="C363" s="94">
        <v>25100</v>
      </c>
      <c r="D363" s="94">
        <v>10</v>
      </c>
      <c r="E363" s="94">
        <v>10</v>
      </c>
      <c r="F363" s="254"/>
      <c r="G363" s="472"/>
    </row>
    <row r="364" spans="1:7" ht="21.75" customHeight="1" x14ac:dyDescent="0.25">
      <c r="A364" s="95">
        <v>42364</v>
      </c>
      <c r="B364" s="94" t="s">
        <v>2280</v>
      </c>
      <c r="C364" s="94">
        <v>25000</v>
      </c>
      <c r="D364" s="94">
        <v>12</v>
      </c>
      <c r="E364" s="94">
        <v>12</v>
      </c>
      <c r="F364" s="254"/>
      <c r="G364" s="472"/>
    </row>
    <row r="365" spans="1:7" ht="21.75" customHeight="1" x14ac:dyDescent="0.25">
      <c r="A365" s="95">
        <v>42365</v>
      </c>
      <c r="B365" s="94" t="s">
        <v>1917</v>
      </c>
      <c r="C365" s="94">
        <v>24500</v>
      </c>
      <c r="D365" s="94">
        <v>12</v>
      </c>
      <c r="E365" s="94">
        <v>12</v>
      </c>
      <c r="F365" s="254"/>
      <c r="G365" s="472"/>
    </row>
    <row r="366" spans="1:7" ht="21.75" customHeight="1" x14ac:dyDescent="0.25">
      <c r="A366" s="95">
        <v>42366</v>
      </c>
      <c r="B366" s="94" t="s">
        <v>1938</v>
      </c>
      <c r="C366" s="94">
        <v>23750</v>
      </c>
      <c r="D366" s="94">
        <v>12</v>
      </c>
      <c r="E366" s="94">
        <v>12</v>
      </c>
      <c r="F366" s="254"/>
      <c r="G366" s="472"/>
    </row>
    <row r="367" spans="1:7" ht="21.75" customHeight="1" x14ac:dyDescent="0.25">
      <c r="A367" s="95">
        <v>42367</v>
      </c>
      <c r="B367" s="94" t="s">
        <v>2250</v>
      </c>
      <c r="C367" s="94">
        <v>23500</v>
      </c>
      <c r="D367" s="94">
        <v>10</v>
      </c>
      <c r="E367" s="94">
        <v>12</v>
      </c>
      <c r="F367" s="254"/>
      <c r="G367" s="472"/>
    </row>
    <row r="368" spans="1:7" ht="21.75" customHeight="1" x14ac:dyDescent="0.25">
      <c r="A368" s="95">
        <v>42368</v>
      </c>
      <c r="B368" s="94" t="s">
        <v>1917</v>
      </c>
      <c r="C368" s="94">
        <v>24500</v>
      </c>
      <c r="D368" s="94" t="s">
        <v>122</v>
      </c>
      <c r="E368" s="94">
        <v>10</v>
      </c>
      <c r="F368" s="254"/>
      <c r="G368" s="472"/>
    </row>
    <row r="369" spans="1:7" ht="21.75" customHeight="1" thickBot="1" x14ac:dyDescent="0.3">
      <c r="A369" s="97">
        <v>42369</v>
      </c>
      <c r="B369" s="117" t="s">
        <v>2280</v>
      </c>
      <c r="C369" s="117">
        <v>25000</v>
      </c>
      <c r="D369" s="117" t="s">
        <v>122</v>
      </c>
      <c r="E369" s="117" t="s">
        <v>122</v>
      </c>
      <c r="F369" s="255"/>
      <c r="G369" s="473"/>
    </row>
  </sheetData>
  <mergeCells count="7">
    <mergeCell ref="A1:F1"/>
    <mergeCell ref="G311:G369"/>
    <mergeCell ref="F3:F4"/>
    <mergeCell ref="A3:A4"/>
    <mergeCell ref="B3:B4"/>
    <mergeCell ref="C3:C4"/>
    <mergeCell ref="D3:E3"/>
  </mergeCells>
  <printOptions horizontalCentered="1"/>
  <pageMargins left="1.2"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70"/>
  <sheetViews>
    <sheetView workbookViewId="0">
      <selection activeCell="C5" sqref="C5"/>
    </sheetView>
  </sheetViews>
  <sheetFormatPr defaultColWidth="9.140625" defaultRowHeight="15" x14ac:dyDescent="0.25"/>
  <cols>
    <col min="1" max="1" width="10.5703125" style="27" customWidth="1"/>
    <col min="2" max="2" width="12.7109375" style="27" customWidth="1"/>
    <col min="3" max="3" width="11" style="27" customWidth="1"/>
    <col min="4" max="4" width="9.7109375" style="27" customWidth="1"/>
    <col min="5" max="5" width="9.140625" style="27"/>
    <col min="6" max="6" width="11" style="14" customWidth="1"/>
    <col min="7" max="16384" width="9.140625" style="14"/>
  </cols>
  <sheetData>
    <row r="1" spans="1:6" ht="29.25" customHeight="1" x14ac:dyDescent="0.25">
      <c r="A1" s="470" t="s">
        <v>2703</v>
      </c>
      <c r="B1" s="470"/>
      <c r="C1" s="470"/>
      <c r="D1" s="470"/>
      <c r="E1" s="470"/>
      <c r="F1" s="470"/>
    </row>
    <row r="2" spans="1:6" ht="18.75" customHeight="1" thickBot="1" x14ac:dyDescent="0.3">
      <c r="A2" s="482" t="s">
        <v>1901</v>
      </c>
      <c r="B2" s="483"/>
      <c r="C2" s="483"/>
      <c r="D2" s="483"/>
      <c r="E2" s="483"/>
      <c r="F2" s="483"/>
    </row>
    <row r="3" spans="1:6" ht="15.75" customHeight="1" x14ac:dyDescent="0.25">
      <c r="A3" s="485" t="s">
        <v>532</v>
      </c>
      <c r="B3" s="487" t="s">
        <v>1773</v>
      </c>
      <c r="C3" s="487" t="s">
        <v>729</v>
      </c>
      <c r="D3" s="465" t="s">
        <v>1893</v>
      </c>
      <c r="E3" s="465"/>
      <c r="F3" s="457" t="s">
        <v>2670</v>
      </c>
    </row>
    <row r="4" spans="1:6" ht="29.25" customHeight="1" thickBot="1" x14ac:dyDescent="0.3">
      <c r="A4" s="486"/>
      <c r="B4" s="488"/>
      <c r="C4" s="488"/>
      <c r="D4" s="98" t="s">
        <v>1775</v>
      </c>
      <c r="E4" s="98" t="s">
        <v>1774</v>
      </c>
      <c r="F4" s="458"/>
    </row>
    <row r="5" spans="1:6" ht="26.25" customHeight="1" x14ac:dyDescent="0.25">
      <c r="A5" s="120">
        <v>42370</v>
      </c>
      <c r="B5" s="112" t="s">
        <v>1935</v>
      </c>
      <c r="C5" s="112" t="s">
        <v>795</v>
      </c>
      <c r="D5" s="113">
        <v>4</v>
      </c>
      <c r="E5" s="113" t="s">
        <v>122</v>
      </c>
      <c r="F5" s="114" t="s">
        <v>122</v>
      </c>
    </row>
    <row r="6" spans="1:6" ht="26.25" customHeight="1" x14ac:dyDescent="0.25">
      <c r="A6" s="95">
        <v>42371</v>
      </c>
      <c r="B6" s="96" t="s">
        <v>1900</v>
      </c>
      <c r="C6" s="96" t="s">
        <v>1914</v>
      </c>
      <c r="D6" s="93">
        <v>6</v>
      </c>
      <c r="E6" s="94" t="s">
        <v>122</v>
      </c>
      <c r="F6" s="115" t="s">
        <v>122</v>
      </c>
    </row>
    <row r="7" spans="1:6" ht="26.25" customHeight="1" x14ac:dyDescent="0.25">
      <c r="A7" s="95">
        <v>42372</v>
      </c>
      <c r="B7" s="96" t="s">
        <v>1897</v>
      </c>
      <c r="C7" s="96" t="s">
        <v>1448</v>
      </c>
      <c r="D7" s="94">
        <v>6</v>
      </c>
      <c r="E7" s="94" t="s">
        <v>122</v>
      </c>
      <c r="F7" s="115" t="s">
        <v>122</v>
      </c>
    </row>
    <row r="8" spans="1:6" ht="26.25" customHeight="1" x14ac:dyDescent="0.25">
      <c r="A8" s="95">
        <v>42373</v>
      </c>
      <c r="B8" s="96" t="s">
        <v>1933</v>
      </c>
      <c r="C8" s="96" t="s">
        <v>1913</v>
      </c>
      <c r="D8" s="94">
        <v>8</v>
      </c>
      <c r="E8" s="94">
        <v>12</v>
      </c>
      <c r="F8" s="115" t="s">
        <v>122</v>
      </c>
    </row>
    <row r="9" spans="1:6" ht="26.25" customHeight="1" x14ac:dyDescent="0.25">
      <c r="A9" s="95">
        <v>42374</v>
      </c>
      <c r="B9" s="96" t="s">
        <v>1933</v>
      </c>
      <c r="C9" s="96" t="s">
        <v>1913</v>
      </c>
      <c r="D9" s="94">
        <v>8</v>
      </c>
      <c r="E9" s="94">
        <v>12</v>
      </c>
      <c r="F9" s="115" t="s">
        <v>122</v>
      </c>
    </row>
    <row r="10" spans="1:6" ht="26.25" customHeight="1" x14ac:dyDescent="0.25">
      <c r="A10" s="95">
        <v>42375</v>
      </c>
      <c r="B10" s="96" t="s">
        <v>1933</v>
      </c>
      <c r="C10" s="96" t="s">
        <v>1913</v>
      </c>
      <c r="D10" s="94">
        <v>8</v>
      </c>
      <c r="E10" s="94">
        <v>12</v>
      </c>
      <c r="F10" s="115" t="s">
        <v>122</v>
      </c>
    </row>
    <row r="11" spans="1:6" ht="26.25" customHeight="1" x14ac:dyDescent="0.25">
      <c r="A11" s="95">
        <v>42376</v>
      </c>
      <c r="B11" s="96" t="s">
        <v>1932</v>
      </c>
      <c r="C11" s="96" t="s">
        <v>1449</v>
      </c>
      <c r="D11" s="94">
        <v>8</v>
      </c>
      <c r="E11" s="94">
        <v>12</v>
      </c>
      <c r="F11" s="115" t="s">
        <v>122</v>
      </c>
    </row>
    <row r="12" spans="1:6" ht="26.25" customHeight="1" x14ac:dyDescent="0.25">
      <c r="A12" s="95">
        <v>42377</v>
      </c>
      <c r="B12" s="96" t="s">
        <v>1909</v>
      </c>
      <c r="C12" s="96" t="s">
        <v>779</v>
      </c>
      <c r="D12" s="94">
        <v>8</v>
      </c>
      <c r="E12" s="94">
        <v>12</v>
      </c>
      <c r="F12" s="115" t="s">
        <v>122</v>
      </c>
    </row>
    <row r="13" spans="1:6" ht="26.25" customHeight="1" x14ac:dyDescent="0.25">
      <c r="A13" s="95">
        <v>42378</v>
      </c>
      <c r="B13" s="96" t="s">
        <v>1902</v>
      </c>
      <c r="C13" s="96" t="s">
        <v>1903</v>
      </c>
      <c r="D13" s="94">
        <v>8</v>
      </c>
      <c r="E13" s="94">
        <v>12</v>
      </c>
      <c r="F13" s="115" t="s">
        <v>122</v>
      </c>
    </row>
    <row r="14" spans="1:6" ht="26.25" customHeight="1" x14ac:dyDescent="0.25">
      <c r="A14" s="95">
        <v>42379</v>
      </c>
      <c r="B14" s="96" t="s">
        <v>1902</v>
      </c>
      <c r="C14" s="96" t="s">
        <v>1903</v>
      </c>
      <c r="D14" s="94">
        <v>12</v>
      </c>
      <c r="E14" s="94">
        <v>12</v>
      </c>
      <c r="F14" s="115" t="s">
        <v>122</v>
      </c>
    </row>
    <row r="15" spans="1:6" ht="26.25" customHeight="1" x14ac:dyDescent="0.25">
      <c r="A15" s="95">
        <v>42380</v>
      </c>
      <c r="B15" s="96" t="s">
        <v>1902</v>
      </c>
      <c r="C15" s="96" t="s">
        <v>1903</v>
      </c>
      <c r="D15" s="94">
        <v>12</v>
      </c>
      <c r="E15" s="94">
        <v>12</v>
      </c>
      <c r="F15" s="115" t="s">
        <v>122</v>
      </c>
    </row>
    <row r="16" spans="1:6" ht="26.25" customHeight="1" x14ac:dyDescent="0.25">
      <c r="A16" s="95">
        <v>42381</v>
      </c>
      <c r="B16" s="96" t="s">
        <v>1902</v>
      </c>
      <c r="C16" s="96" t="s">
        <v>1903</v>
      </c>
      <c r="D16" s="94">
        <v>12</v>
      </c>
      <c r="E16" s="94">
        <v>12</v>
      </c>
      <c r="F16" s="115" t="s">
        <v>122</v>
      </c>
    </row>
    <row r="17" spans="1:6" ht="26.25" customHeight="1" x14ac:dyDescent="0.25">
      <c r="A17" s="95">
        <v>42382</v>
      </c>
      <c r="B17" s="96" t="s">
        <v>1902</v>
      </c>
      <c r="C17" s="96" t="s">
        <v>1903</v>
      </c>
      <c r="D17" s="94">
        <v>12</v>
      </c>
      <c r="E17" s="94">
        <v>12</v>
      </c>
      <c r="F17" s="115" t="s">
        <v>122</v>
      </c>
    </row>
    <row r="18" spans="1:6" ht="26.25" customHeight="1" x14ac:dyDescent="0.25">
      <c r="A18" s="95">
        <v>42383</v>
      </c>
      <c r="B18" s="96" t="s">
        <v>1902</v>
      </c>
      <c r="C18" s="96" t="s">
        <v>1903</v>
      </c>
      <c r="D18" s="94">
        <v>12</v>
      </c>
      <c r="E18" s="94">
        <v>12</v>
      </c>
      <c r="F18" s="115" t="s">
        <v>122</v>
      </c>
    </row>
    <row r="19" spans="1:6" ht="26.25" customHeight="1" x14ac:dyDescent="0.25">
      <c r="A19" s="95">
        <v>42384</v>
      </c>
      <c r="B19" s="96" t="s">
        <v>1907</v>
      </c>
      <c r="C19" s="96" t="s">
        <v>1908</v>
      </c>
      <c r="D19" s="94">
        <v>12</v>
      </c>
      <c r="E19" s="94">
        <v>12</v>
      </c>
      <c r="F19" s="115" t="s">
        <v>122</v>
      </c>
    </row>
    <row r="20" spans="1:6" ht="26.25" customHeight="1" x14ac:dyDescent="0.25">
      <c r="A20" s="95">
        <v>42385</v>
      </c>
      <c r="B20" s="96" t="s">
        <v>1894</v>
      </c>
      <c r="C20" s="96" t="s">
        <v>1906</v>
      </c>
      <c r="D20" s="94">
        <v>12</v>
      </c>
      <c r="E20" s="94">
        <v>12</v>
      </c>
      <c r="F20" s="115" t="s">
        <v>122</v>
      </c>
    </row>
    <row r="21" spans="1:6" ht="26.25" customHeight="1" x14ac:dyDescent="0.25">
      <c r="A21" s="95">
        <v>42386</v>
      </c>
      <c r="B21" s="96" t="s">
        <v>1939</v>
      </c>
      <c r="C21" s="96" t="s">
        <v>1940</v>
      </c>
      <c r="D21" s="94">
        <v>12</v>
      </c>
      <c r="E21" s="94">
        <v>12</v>
      </c>
      <c r="F21" s="115" t="s">
        <v>122</v>
      </c>
    </row>
    <row r="22" spans="1:6" ht="26.25" customHeight="1" x14ac:dyDescent="0.25">
      <c r="A22" s="95">
        <v>42387</v>
      </c>
      <c r="B22" s="96" t="s">
        <v>1929</v>
      </c>
      <c r="C22" s="96" t="s">
        <v>1941</v>
      </c>
      <c r="D22" s="94">
        <v>12</v>
      </c>
      <c r="E22" s="94">
        <v>12</v>
      </c>
      <c r="F22" s="115" t="s">
        <v>122</v>
      </c>
    </row>
    <row r="23" spans="1:6" ht="26.25" customHeight="1" x14ac:dyDescent="0.25">
      <c r="A23" s="95">
        <v>42388</v>
      </c>
      <c r="B23" s="96" t="s">
        <v>1905</v>
      </c>
      <c r="C23" s="96" t="s">
        <v>781</v>
      </c>
      <c r="D23" s="94">
        <v>12</v>
      </c>
      <c r="E23" s="94">
        <v>12</v>
      </c>
      <c r="F23" s="115" t="s">
        <v>122</v>
      </c>
    </row>
    <row r="24" spans="1:6" ht="26.25" customHeight="1" x14ac:dyDescent="0.25">
      <c r="A24" s="95">
        <v>42389</v>
      </c>
      <c r="B24" s="96" t="s">
        <v>1904</v>
      </c>
      <c r="C24" s="96" t="s">
        <v>782</v>
      </c>
      <c r="D24" s="94">
        <v>12</v>
      </c>
      <c r="E24" s="94">
        <v>12</v>
      </c>
      <c r="F24" s="115" t="s">
        <v>122</v>
      </c>
    </row>
    <row r="25" spans="1:6" ht="26.25" customHeight="1" x14ac:dyDescent="0.25">
      <c r="A25" s="95">
        <v>42390</v>
      </c>
      <c r="B25" s="96" t="s">
        <v>1910</v>
      </c>
      <c r="C25" s="96" t="s">
        <v>784</v>
      </c>
      <c r="D25" s="94">
        <v>12</v>
      </c>
      <c r="E25" s="94">
        <v>12</v>
      </c>
      <c r="F25" s="115" t="s">
        <v>122</v>
      </c>
    </row>
    <row r="26" spans="1:6" ht="26.25" customHeight="1" x14ac:dyDescent="0.25">
      <c r="A26" s="95">
        <v>42391</v>
      </c>
      <c r="B26" s="96" t="s">
        <v>1931</v>
      </c>
      <c r="C26" s="96" t="s">
        <v>1911</v>
      </c>
      <c r="D26" s="94">
        <v>14</v>
      </c>
      <c r="E26" s="94">
        <v>14</v>
      </c>
      <c r="F26" s="115" t="s">
        <v>122</v>
      </c>
    </row>
    <row r="27" spans="1:6" ht="26.25" customHeight="1" x14ac:dyDescent="0.25">
      <c r="A27" s="95">
        <v>42392</v>
      </c>
      <c r="B27" s="96" t="s">
        <v>1930</v>
      </c>
      <c r="C27" s="96" t="s">
        <v>1942</v>
      </c>
      <c r="D27" s="94">
        <v>12</v>
      </c>
      <c r="E27" s="94">
        <v>12</v>
      </c>
      <c r="F27" s="115" t="s">
        <v>122</v>
      </c>
    </row>
    <row r="28" spans="1:6" ht="26.25" customHeight="1" x14ac:dyDescent="0.25">
      <c r="A28" s="95">
        <v>42393</v>
      </c>
      <c r="B28" s="96" t="s">
        <v>1895</v>
      </c>
      <c r="C28" s="96" t="s">
        <v>1943</v>
      </c>
      <c r="D28" s="94">
        <v>12</v>
      </c>
      <c r="E28" s="94">
        <v>12</v>
      </c>
      <c r="F28" s="115" t="s">
        <v>122</v>
      </c>
    </row>
    <row r="29" spans="1:6" ht="26.25" customHeight="1" x14ac:dyDescent="0.25">
      <c r="A29" s="95">
        <v>42394</v>
      </c>
      <c r="B29" s="96" t="s">
        <v>1934</v>
      </c>
      <c r="C29" s="96" t="s">
        <v>1912</v>
      </c>
      <c r="D29" s="94">
        <v>12</v>
      </c>
      <c r="E29" s="94">
        <v>12</v>
      </c>
      <c r="F29" s="115" t="s">
        <v>122</v>
      </c>
    </row>
    <row r="30" spans="1:6" ht="26.25" customHeight="1" x14ac:dyDescent="0.25">
      <c r="A30" s="95">
        <v>42395</v>
      </c>
      <c r="B30" s="96" t="s">
        <v>1896</v>
      </c>
      <c r="C30" s="96" t="s">
        <v>1453</v>
      </c>
      <c r="D30" s="94">
        <v>12</v>
      </c>
      <c r="E30" s="94">
        <v>12</v>
      </c>
      <c r="F30" s="115" t="s">
        <v>122</v>
      </c>
    </row>
    <row r="31" spans="1:6" ht="26.25" customHeight="1" x14ac:dyDescent="0.25">
      <c r="A31" s="95">
        <v>42396</v>
      </c>
      <c r="B31" s="96" t="s">
        <v>1897</v>
      </c>
      <c r="C31" s="96" t="s">
        <v>1448</v>
      </c>
      <c r="D31" s="94">
        <v>12</v>
      </c>
      <c r="E31" s="94">
        <v>12</v>
      </c>
      <c r="F31" s="115" t="s">
        <v>122</v>
      </c>
    </row>
    <row r="32" spans="1:6" ht="26.25" customHeight="1" x14ac:dyDescent="0.25">
      <c r="A32" s="95">
        <v>42397</v>
      </c>
      <c r="B32" s="96" t="s">
        <v>1898</v>
      </c>
      <c r="C32" s="96" t="s">
        <v>1454</v>
      </c>
      <c r="D32" s="94">
        <v>12</v>
      </c>
      <c r="E32" s="94">
        <v>12</v>
      </c>
      <c r="F32" s="115" t="s">
        <v>122</v>
      </c>
    </row>
    <row r="33" spans="1:6" ht="26.25" customHeight="1" x14ac:dyDescent="0.25">
      <c r="A33" s="95">
        <v>42398</v>
      </c>
      <c r="B33" s="96" t="s">
        <v>1899</v>
      </c>
      <c r="C33" s="96" t="s">
        <v>1455</v>
      </c>
      <c r="D33" s="94">
        <v>12</v>
      </c>
      <c r="E33" s="94">
        <v>12</v>
      </c>
      <c r="F33" s="115" t="s">
        <v>122</v>
      </c>
    </row>
    <row r="34" spans="1:6" ht="26.25" customHeight="1" x14ac:dyDescent="0.25">
      <c r="A34" s="95">
        <v>42399</v>
      </c>
      <c r="B34" s="96" t="s">
        <v>1944</v>
      </c>
      <c r="C34" s="96" t="s">
        <v>1945</v>
      </c>
      <c r="D34" s="94">
        <v>12</v>
      </c>
      <c r="E34" s="94">
        <v>12</v>
      </c>
      <c r="F34" s="115" t="s">
        <v>122</v>
      </c>
    </row>
    <row r="35" spans="1:6" ht="26.25" customHeight="1" x14ac:dyDescent="0.25">
      <c r="A35" s="95">
        <v>42400</v>
      </c>
      <c r="B35" s="96" t="s">
        <v>1937</v>
      </c>
      <c r="C35" s="96" t="s">
        <v>1946</v>
      </c>
      <c r="D35" s="94">
        <v>12</v>
      </c>
      <c r="E35" s="94">
        <v>12</v>
      </c>
      <c r="F35" s="115" t="s">
        <v>122</v>
      </c>
    </row>
    <row r="36" spans="1:6" ht="26.25" customHeight="1" x14ac:dyDescent="0.25">
      <c r="A36" s="95">
        <v>42401</v>
      </c>
      <c r="B36" s="96" t="s">
        <v>1935</v>
      </c>
      <c r="C36" s="96" t="s">
        <v>1947</v>
      </c>
      <c r="D36" s="94">
        <v>12</v>
      </c>
      <c r="E36" s="94">
        <v>12</v>
      </c>
      <c r="F36" s="115" t="s">
        <v>122</v>
      </c>
    </row>
    <row r="37" spans="1:6" ht="26.25" customHeight="1" x14ac:dyDescent="0.25">
      <c r="A37" s="95">
        <v>42402</v>
      </c>
      <c r="B37" s="96" t="s">
        <v>1936</v>
      </c>
      <c r="C37" s="96" t="s">
        <v>1948</v>
      </c>
      <c r="D37" s="94">
        <v>12</v>
      </c>
      <c r="E37" s="94">
        <v>12</v>
      </c>
      <c r="F37" s="115" t="s">
        <v>122</v>
      </c>
    </row>
    <row r="38" spans="1:6" ht="26.25" customHeight="1" x14ac:dyDescent="0.25">
      <c r="A38" s="95">
        <v>42403</v>
      </c>
      <c r="B38" s="96" t="s">
        <v>1915</v>
      </c>
      <c r="C38" s="96" t="s">
        <v>1916</v>
      </c>
      <c r="D38" s="94">
        <v>12</v>
      </c>
      <c r="E38" s="94">
        <v>12</v>
      </c>
      <c r="F38" s="115" t="s">
        <v>122</v>
      </c>
    </row>
    <row r="39" spans="1:6" ht="26.25" customHeight="1" x14ac:dyDescent="0.25">
      <c r="A39" s="95">
        <v>42404</v>
      </c>
      <c r="B39" s="96" t="s">
        <v>1917</v>
      </c>
      <c r="C39" s="96" t="s">
        <v>1949</v>
      </c>
      <c r="D39" s="94">
        <v>12</v>
      </c>
      <c r="E39" s="94">
        <v>12</v>
      </c>
      <c r="F39" s="115" t="s">
        <v>122</v>
      </c>
    </row>
    <row r="40" spans="1:6" ht="26.25" customHeight="1" x14ac:dyDescent="0.25">
      <c r="A40" s="95">
        <v>42405</v>
      </c>
      <c r="B40" s="96" t="s">
        <v>1938</v>
      </c>
      <c r="C40" s="96" t="s">
        <v>1950</v>
      </c>
      <c r="D40" s="94">
        <v>12</v>
      </c>
      <c r="E40" s="94">
        <v>12</v>
      </c>
      <c r="F40" s="115" t="s">
        <v>122</v>
      </c>
    </row>
    <row r="41" spans="1:6" ht="26.25" customHeight="1" x14ac:dyDescent="0.25">
      <c r="A41" s="95">
        <v>42406</v>
      </c>
      <c r="B41" s="96" t="s">
        <v>1917</v>
      </c>
      <c r="C41" s="96" t="s">
        <v>1918</v>
      </c>
      <c r="D41" s="94">
        <v>12</v>
      </c>
      <c r="E41" s="94">
        <v>12</v>
      </c>
      <c r="F41" s="115" t="s">
        <v>122</v>
      </c>
    </row>
    <row r="42" spans="1:6" ht="26.25" customHeight="1" x14ac:dyDescent="0.25">
      <c r="A42" s="95">
        <v>42407</v>
      </c>
      <c r="B42" s="96" t="s">
        <v>1938</v>
      </c>
      <c r="C42" s="96" t="s">
        <v>1459</v>
      </c>
      <c r="D42" s="94">
        <v>12</v>
      </c>
      <c r="E42" s="94">
        <v>12</v>
      </c>
      <c r="F42" s="115" t="s">
        <v>122</v>
      </c>
    </row>
    <row r="43" spans="1:6" ht="26.25" customHeight="1" x14ac:dyDescent="0.25">
      <c r="A43" s="95">
        <v>42408</v>
      </c>
      <c r="B43" s="96" t="s">
        <v>1951</v>
      </c>
      <c r="C43" s="96" t="s">
        <v>1952</v>
      </c>
      <c r="D43" s="94">
        <v>12</v>
      </c>
      <c r="E43" s="94">
        <v>12</v>
      </c>
      <c r="F43" s="115" t="s">
        <v>122</v>
      </c>
    </row>
    <row r="44" spans="1:6" ht="26.25" customHeight="1" x14ac:dyDescent="0.25">
      <c r="A44" s="95">
        <v>42409</v>
      </c>
      <c r="B44" s="96" t="s">
        <v>1953</v>
      </c>
      <c r="C44" s="96" t="s">
        <v>1954</v>
      </c>
      <c r="D44" s="94">
        <v>12</v>
      </c>
      <c r="E44" s="94">
        <v>12</v>
      </c>
      <c r="F44" s="115" t="s">
        <v>122</v>
      </c>
    </row>
    <row r="45" spans="1:6" ht="26.25" customHeight="1" x14ac:dyDescent="0.25">
      <c r="A45" s="95">
        <v>42410</v>
      </c>
      <c r="B45" s="96" t="s">
        <v>1955</v>
      </c>
      <c r="C45" s="96" t="s">
        <v>1956</v>
      </c>
      <c r="D45" s="94">
        <v>12</v>
      </c>
      <c r="E45" s="94">
        <v>12</v>
      </c>
      <c r="F45" s="115" t="s">
        <v>122</v>
      </c>
    </row>
    <row r="46" spans="1:6" ht="26.25" customHeight="1" x14ac:dyDescent="0.25">
      <c r="A46" s="95">
        <v>42411</v>
      </c>
      <c r="B46" s="96" t="s">
        <v>1957</v>
      </c>
      <c r="C46" s="96" t="s">
        <v>1958</v>
      </c>
      <c r="D46" s="94">
        <v>12</v>
      </c>
      <c r="E46" s="94">
        <v>12</v>
      </c>
      <c r="F46" s="115" t="s">
        <v>122</v>
      </c>
    </row>
    <row r="47" spans="1:6" ht="26.25" customHeight="1" x14ac:dyDescent="0.25">
      <c r="A47" s="95">
        <v>42412</v>
      </c>
      <c r="B47" s="96" t="s">
        <v>1959</v>
      </c>
      <c r="C47" s="96" t="s">
        <v>1405</v>
      </c>
      <c r="D47" s="94">
        <v>12</v>
      </c>
      <c r="E47" s="94">
        <v>12</v>
      </c>
      <c r="F47" s="115" t="s">
        <v>122</v>
      </c>
    </row>
    <row r="48" spans="1:6" ht="26.25" customHeight="1" x14ac:dyDescent="0.25">
      <c r="A48" s="95">
        <v>42413</v>
      </c>
      <c r="B48" s="96" t="s">
        <v>1960</v>
      </c>
      <c r="C48" s="96" t="s">
        <v>1961</v>
      </c>
      <c r="D48" s="94">
        <v>12</v>
      </c>
      <c r="E48" s="94">
        <v>12</v>
      </c>
      <c r="F48" s="115" t="s">
        <v>122</v>
      </c>
    </row>
    <row r="49" spans="1:6" ht="26.25" customHeight="1" x14ac:dyDescent="0.25">
      <c r="A49" s="95">
        <v>42414</v>
      </c>
      <c r="B49" s="96" t="s">
        <v>1962</v>
      </c>
      <c r="C49" s="96" t="s">
        <v>1235</v>
      </c>
      <c r="D49" s="94">
        <v>12</v>
      </c>
      <c r="E49" s="94">
        <v>12</v>
      </c>
      <c r="F49" s="115" t="s">
        <v>122</v>
      </c>
    </row>
    <row r="50" spans="1:6" ht="26.25" customHeight="1" x14ac:dyDescent="0.25">
      <c r="A50" s="95">
        <v>42415</v>
      </c>
      <c r="B50" s="96" t="s">
        <v>1963</v>
      </c>
      <c r="C50" s="96" t="s">
        <v>1238</v>
      </c>
      <c r="D50" s="94">
        <v>12</v>
      </c>
      <c r="E50" s="94">
        <v>12</v>
      </c>
      <c r="F50" s="115" t="s">
        <v>122</v>
      </c>
    </row>
    <row r="51" spans="1:6" ht="26.25" customHeight="1" x14ac:dyDescent="0.25">
      <c r="A51" s="95">
        <v>42416</v>
      </c>
      <c r="B51" s="96" t="s">
        <v>1919</v>
      </c>
      <c r="C51" s="96" t="s">
        <v>1233</v>
      </c>
      <c r="D51" s="94">
        <v>12</v>
      </c>
      <c r="E51" s="94">
        <v>12</v>
      </c>
      <c r="F51" s="115" t="s">
        <v>122</v>
      </c>
    </row>
    <row r="52" spans="1:6" ht="26.25" customHeight="1" x14ac:dyDescent="0.25">
      <c r="A52" s="95">
        <v>42417</v>
      </c>
      <c r="B52" s="96" t="s">
        <v>1964</v>
      </c>
      <c r="C52" s="96" t="s">
        <v>1466</v>
      </c>
      <c r="D52" s="94" t="s">
        <v>122</v>
      </c>
      <c r="E52" s="94" t="s">
        <v>122</v>
      </c>
      <c r="F52" s="115" t="s">
        <v>122</v>
      </c>
    </row>
    <row r="53" spans="1:6" ht="26.25" customHeight="1" x14ac:dyDescent="0.25">
      <c r="A53" s="95">
        <v>42418</v>
      </c>
      <c r="B53" s="96" t="s">
        <v>1965</v>
      </c>
      <c r="C53" s="96" t="s">
        <v>1966</v>
      </c>
      <c r="D53" s="94" t="s">
        <v>122</v>
      </c>
      <c r="E53" s="94">
        <v>8</v>
      </c>
      <c r="F53" s="115" t="s">
        <v>122</v>
      </c>
    </row>
    <row r="54" spans="1:6" ht="26.25" customHeight="1" x14ac:dyDescent="0.25">
      <c r="A54" s="95">
        <v>42419</v>
      </c>
      <c r="B54" s="96" t="s">
        <v>1965</v>
      </c>
      <c r="C54" s="96" t="s">
        <v>1966</v>
      </c>
      <c r="D54" s="94">
        <v>6</v>
      </c>
      <c r="E54" s="94">
        <v>8</v>
      </c>
      <c r="F54" s="115" t="s">
        <v>122</v>
      </c>
    </row>
    <row r="55" spans="1:6" ht="26.25" customHeight="1" x14ac:dyDescent="0.25">
      <c r="A55" s="95">
        <v>42420</v>
      </c>
      <c r="B55" s="96" t="s">
        <v>1920</v>
      </c>
      <c r="C55" s="96" t="s">
        <v>1244</v>
      </c>
      <c r="D55" s="94" t="s">
        <v>122</v>
      </c>
      <c r="E55" s="94" t="s">
        <v>122</v>
      </c>
      <c r="F55" s="115" t="s">
        <v>122</v>
      </c>
    </row>
    <row r="56" spans="1:6" ht="26.25" customHeight="1" x14ac:dyDescent="0.25">
      <c r="A56" s="95">
        <v>42421</v>
      </c>
      <c r="B56" s="96" t="s">
        <v>1920</v>
      </c>
      <c r="C56" s="96" t="s">
        <v>1244</v>
      </c>
      <c r="D56" s="94" t="s">
        <v>122</v>
      </c>
      <c r="E56" s="94" t="s">
        <v>122</v>
      </c>
      <c r="F56" s="115" t="s">
        <v>122</v>
      </c>
    </row>
    <row r="57" spans="1:6" ht="26.25" customHeight="1" x14ac:dyDescent="0.25">
      <c r="A57" s="95">
        <v>42422</v>
      </c>
      <c r="B57" s="96" t="s">
        <v>1920</v>
      </c>
      <c r="C57" s="96" t="s">
        <v>1244</v>
      </c>
      <c r="D57" s="94" t="s">
        <v>122</v>
      </c>
      <c r="E57" s="94" t="s">
        <v>122</v>
      </c>
      <c r="F57" s="115" t="s">
        <v>122</v>
      </c>
    </row>
    <row r="58" spans="1:6" ht="26.25" customHeight="1" x14ac:dyDescent="0.25">
      <c r="A58" s="95">
        <v>42423</v>
      </c>
      <c r="B58" s="96" t="s">
        <v>1920</v>
      </c>
      <c r="C58" s="96" t="s">
        <v>1244</v>
      </c>
      <c r="D58" s="94" t="s">
        <v>122</v>
      </c>
      <c r="E58" s="94" t="s">
        <v>122</v>
      </c>
      <c r="F58" s="115" t="s">
        <v>122</v>
      </c>
    </row>
    <row r="59" spans="1:6" ht="26.25" customHeight="1" x14ac:dyDescent="0.25">
      <c r="A59" s="95">
        <v>42424</v>
      </c>
      <c r="B59" s="96" t="s">
        <v>1920</v>
      </c>
      <c r="C59" s="96" t="s">
        <v>1244</v>
      </c>
      <c r="D59" s="94" t="s">
        <v>122</v>
      </c>
      <c r="E59" s="94" t="s">
        <v>122</v>
      </c>
      <c r="F59" s="115" t="s">
        <v>122</v>
      </c>
    </row>
    <row r="60" spans="1:6" ht="26.25" customHeight="1" x14ac:dyDescent="0.25">
      <c r="A60" s="95">
        <v>42425</v>
      </c>
      <c r="B60" s="96" t="s">
        <v>1920</v>
      </c>
      <c r="C60" s="96" t="s">
        <v>1244</v>
      </c>
      <c r="D60" s="94" t="s">
        <v>122</v>
      </c>
      <c r="E60" s="94" t="s">
        <v>122</v>
      </c>
      <c r="F60" s="115" t="s">
        <v>122</v>
      </c>
    </row>
    <row r="61" spans="1:6" ht="26.25" customHeight="1" x14ac:dyDescent="0.25">
      <c r="A61" s="95">
        <v>42426</v>
      </c>
      <c r="B61" s="96" t="s">
        <v>1920</v>
      </c>
      <c r="C61" s="96" t="s">
        <v>1244</v>
      </c>
      <c r="D61" s="94" t="s">
        <v>122</v>
      </c>
      <c r="E61" s="94" t="s">
        <v>122</v>
      </c>
      <c r="F61" s="115" t="s">
        <v>122</v>
      </c>
    </row>
    <row r="62" spans="1:6" ht="26.25" customHeight="1" x14ac:dyDescent="0.25">
      <c r="A62" s="95">
        <v>42427</v>
      </c>
      <c r="B62" s="96" t="s">
        <v>1920</v>
      </c>
      <c r="C62" s="96" t="s">
        <v>1244</v>
      </c>
      <c r="D62" s="94" t="s">
        <v>122</v>
      </c>
      <c r="E62" s="94" t="s">
        <v>122</v>
      </c>
      <c r="F62" s="115" t="s">
        <v>122</v>
      </c>
    </row>
    <row r="63" spans="1:6" ht="26.25" customHeight="1" x14ac:dyDescent="0.25">
      <c r="A63" s="95">
        <v>42428</v>
      </c>
      <c r="B63" s="96" t="s">
        <v>1920</v>
      </c>
      <c r="C63" s="96" t="s">
        <v>1244</v>
      </c>
      <c r="D63" s="94" t="s">
        <v>122</v>
      </c>
      <c r="E63" s="94" t="s">
        <v>122</v>
      </c>
      <c r="F63" s="115" t="s">
        <v>122</v>
      </c>
    </row>
    <row r="64" spans="1:6" ht="26.25" customHeight="1" x14ac:dyDescent="0.25">
      <c r="A64" s="95">
        <v>42429</v>
      </c>
      <c r="B64" s="96" t="s">
        <v>1920</v>
      </c>
      <c r="C64" s="96" t="s">
        <v>1244</v>
      </c>
      <c r="D64" s="94" t="s">
        <v>122</v>
      </c>
      <c r="E64" s="94" t="s">
        <v>122</v>
      </c>
      <c r="F64" s="115" t="s">
        <v>122</v>
      </c>
    </row>
    <row r="65" spans="1:6" ht="26.25" customHeight="1" x14ac:dyDescent="0.25">
      <c r="A65" s="95">
        <v>42430</v>
      </c>
      <c r="B65" s="96" t="s">
        <v>1920</v>
      </c>
      <c r="C65" s="96" t="s">
        <v>1244</v>
      </c>
      <c r="D65" s="94" t="s">
        <v>122</v>
      </c>
      <c r="E65" s="94" t="s">
        <v>122</v>
      </c>
      <c r="F65" s="115" t="s">
        <v>122</v>
      </c>
    </row>
    <row r="66" spans="1:6" ht="26.25" customHeight="1" x14ac:dyDescent="0.25">
      <c r="A66" s="95">
        <v>42431</v>
      </c>
      <c r="B66" s="96" t="s">
        <v>1920</v>
      </c>
      <c r="C66" s="96" t="s">
        <v>1244</v>
      </c>
      <c r="D66" s="94" t="s">
        <v>122</v>
      </c>
      <c r="E66" s="94" t="s">
        <v>122</v>
      </c>
      <c r="F66" s="115" t="s">
        <v>122</v>
      </c>
    </row>
    <row r="67" spans="1:6" ht="26.25" customHeight="1" x14ac:dyDescent="0.25">
      <c r="A67" s="95">
        <v>42432</v>
      </c>
      <c r="B67" s="96" t="s">
        <v>1920</v>
      </c>
      <c r="C67" s="96" t="s">
        <v>1244</v>
      </c>
      <c r="D67" s="94" t="s">
        <v>122</v>
      </c>
      <c r="E67" s="94" t="s">
        <v>122</v>
      </c>
      <c r="F67" s="115" t="s">
        <v>122</v>
      </c>
    </row>
    <row r="68" spans="1:6" ht="26.25" customHeight="1" x14ac:dyDescent="0.25">
      <c r="A68" s="95">
        <v>42433</v>
      </c>
      <c r="B68" s="96" t="s">
        <v>1920</v>
      </c>
      <c r="C68" s="96" t="s">
        <v>1244</v>
      </c>
      <c r="D68" s="94" t="s">
        <v>122</v>
      </c>
      <c r="E68" s="94" t="s">
        <v>122</v>
      </c>
      <c r="F68" s="115" t="s">
        <v>122</v>
      </c>
    </row>
    <row r="69" spans="1:6" ht="26.25" customHeight="1" x14ac:dyDescent="0.25">
      <c r="A69" s="95">
        <v>42434</v>
      </c>
      <c r="B69" s="96" t="s">
        <v>1920</v>
      </c>
      <c r="C69" s="96" t="s">
        <v>1244</v>
      </c>
      <c r="D69" s="94" t="s">
        <v>122</v>
      </c>
      <c r="E69" s="94" t="s">
        <v>122</v>
      </c>
      <c r="F69" s="115" t="s">
        <v>122</v>
      </c>
    </row>
    <row r="70" spans="1:6" ht="26.25" customHeight="1" x14ac:dyDescent="0.25">
      <c r="A70" s="95">
        <v>42435</v>
      </c>
      <c r="B70" s="96" t="s">
        <v>1920</v>
      </c>
      <c r="C70" s="96" t="s">
        <v>1244</v>
      </c>
      <c r="D70" s="94" t="s">
        <v>122</v>
      </c>
      <c r="E70" s="94" t="s">
        <v>122</v>
      </c>
      <c r="F70" s="115" t="s">
        <v>122</v>
      </c>
    </row>
    <row r="71" spans="1:6" ht="26.25" customHeight="1" x14ac:dyDescent="0.25">
      <c r="A71" s="95">
        <v>42436</v>
      </c>
      <c r="B71" s="96" t="s">
        <v>1920</v>
      </c>
      <c r="C71" s="96" t="s">
        <v>1244</v>
      </c>
      <c r="D71" s="94" t="s">
        <v>122</v>
      </c>
      <c r="E71" s="94" t="s">
        <v>122</v>
      </c>
      <c r="F71" s="115" t="s">
        <v>122</v>
      </c>
    </row>
    <row r="72" spans="1:6" ht="26.25" customHeight="1" x14ac:dyDescent="0.25">
      <c r="A72" s="95">
        <v>42437</v>
      </c>
      <c r="B72" s="96" t="s">
        <v>1920</v>
      </c>
      <c r="C72" s="96" t="s">
        <v>1244</v>
      </c>
      <c r="D72" s="94" t="s">
        <v>122</v>
      </c>
      <c r="E72" s="94" t="s">
        <v>122</v>
      </c>
      <c r="F72" s="115" t="s">
        <v>122</v>
      </c>
    </row>
    <row r="73" spans="1:6" ht="26.25" customHeight="1" x14ac:dyDescent="0.25">
      <c r="A73" s="95">
        <v>42438</v>
      </c>
      <c r="B73" s="96" t="s">
        <v>1920</v>
      </c>
      <c r="C73" s="96" t="s">
        <v>1244</v>
      </c>
      <c r="D73" s="94" t="s">
        <v>122</v>
      </c>
      <c r="E73" s="94" t="s">
        <v>122</v>
      </c>
      <c r="F73" s="115" t="s">
        <v>122</v>
      </c>
    </row>
    <row r="74" spans="1:6" ht="26.25" customHeight="1" x14ac:dyDescent="0.25">
      <c r="A74" s="95">
        <v>42439</v>
      </c>
      <c r="B74" s="96" t="s">
        <v>1920</v>
      </c>
      <c r="C74" s="96" t="s">
        <v>1244</v>
      </c>
      <c r="D74" s="94" t="s">
        <v>122</v>
      </c>
      <c r="E74" s="94" t="s">
        <v>122</v>
      </c>
      <c r="F74" s="115" t="s">
        <v>122</v>
      </c>
    </row>
    <row r="75" spans="1:6" ht="26.25" customHeight="1" x14ac:dyDescent="0.25">
      <c r="A75" s="95">
        <v>42440</v>
      </c>
      <c r="B75" s="96" t="s">
        <v>2026</v>
      </c>
      <c r="C75" s="96" t="s">
        <v>1232</v>
      </c>
      <c r="D75" s="94" t="s">
        <v>122</v>
      </c>
      <c r="E75" s="94" t="s">
        <v>122</v>
      </c>
      <c r="F75" s="115" t="s">
        <v>122</v>
      </c>
    </row>
    <row r="76" spans="1:6" ht="26.25" customHeight="1" x14ac:dyDescent="0.25">
      <c r="A76" s="95">
        <v>42441</v>
      </c>
      <c r="B76" s="96" t="s">
        <v>1921</v>
      </c>
      <c r="C76" s="96" t="s">
        <v>1254</v>
      </c>
      <c r="D76" s="94"/>
      <c r="E76" s="94"/>
      <c r="F76" s="115" t="s">
        <v>122</v>
      </c>
    </row>
    <row r="77" spans="1:6" ht="26.25" customHeight="1" x14ac:dyDescent="0.25">
      <c r="A77" s="95">
        <v>42442</v>
      </c>
      <c r="B77" s="96" t="s">
        <v>2029</v>
      </c>
      <c r="C77" s="96" t="s">
        <v>1255</v>
      </c>
      <c r="D77" s="94"/>
      <c r="E77" s="94"/>
      <c r="F77" s="115" t="s">
        <v>122</v>
      </c>
    </row>
    <row r="78" spans="1:6" ht="26.25" customHeight="1" x14ac:dyDescent="0.25">
      <c r="A78" s="95">
        <v>42443</v>
      </c>
      <c r="B78" s="96" t="s">
        <v>1922</v>
      </c>
      <c r="C78" s="96" t="s">
        <v>1256</v>
      </c>
      <c r="D78" s="94"/>
      <c r="E78" s="94"/>
      <c r="F78" s="115" t="s">
        <v>122</v>
      </c>
    </row>
    <row r="79" spans="1:6" ht="26.25" customHeight="1" x14ac:dyDescent="0.25">
      <c r="A79" s="95">
        <v>42444</v>
      </c>
      <c r="B79" s="96" t="s">
        <v>2030</v>
      </c>
      <c r="C79" s="96" t="s">
        <v>1257</v>
      </c>
      <c r="D79" s="94"/>
      <c r="E79" s="94"/>
      <c r="F79" s="115" t="s">
        <v>122</v>
      </c>
    </row>
    <row r="80" spans="1:6" ht="26.25" customHeight="1" x14ac:dyDescent="0.25">
      <c r="A80" s="95">
        <v>42445</v>
      </c>
      <c r="B80" s="96" t="s">
        <v>1923</v>
      </c>
      <c r="C80" s="96" t="s">
        <v>1231</v>
      </c>
      <c r="D80" s="94"/>
      <c r="E80" s="94"/>
      <c r="F80" s="115" t="s">
        <v>122</v>
      </c>
    </row>
    <row r="81" spans="1:6" ht="26.25" customHeight="1" x14ac:dyDescent="0.25">
      <c r="A81" s="95">
        <v>42446</v>
      </c>
      <c r="B81" s="96" t="s">
        <v>2031</v>
      </c>
      <c r="C81" s="96" t="s">
        <v>1258</v>
      </c>
      <c r="D81" s="94"/>
      <c r="E81" s="94"/>
      <c r="F81" s="115" t="s">
        <v>122</v>
      </c>
    </row>
    <row r="82" spans="1:6" ht="26.25" customHeight="1" x14ac:dyDescent="0.25">
      <c r="A82" s="95">
        <v>42447</v>
      </c>
      <c r="B82" s="96" t="s">
        <v>1924</v>
      </c>
      <c r="C82" s="96" t="s">
        <v>1259</v>
      </c>
      <c r="D82" s="94"/>
      <c r="E82" s="94"/>
      <c r="F82" s="115" t="s">
        <v>122</v>
      </c>
    </row>
    <row r="83" spans="1:6" ht="26.25" customHeight="1" x14ac:dyDescent="0.25">
      <c r="A83" s="95">
        <v>42448</v>
      </c>
      <c r="B83" s="96" t="s">
        <v>2032</v>
      </c>
      <c r="C83" s="96" t="s">
        <v>1230</v>
      </c>
      <c r="D83" s="94"/>
      <c r="E83" s="94"/>
      <c r="F83" s="115" t="s">
        <v>122</v>
      </c>
    </row>
    <row r="84" spans="1:6" ht="26.25" customHeight="1" x14ac:dyDescent="0.25">
      <c r="A84" s="95">
        <v>42449</v>
      </c>
      <c r="B84" s="96" t="s">
        <v>2033</v>
      </c>
      <c r="C84" s="96" t="s">
        <v>1229</v>
      </c>
      <c r="D84" s="94"/>
      <c r="E84" s="94"/>
      <c r="F84" s="115" t="s">
        <v>122</v>
      </c>
    </row>
    <row r="85" spans="1:6" ht="26.25" customHeight="1" x14ac:dyDescent="0.25">
      <c r="A85" s="95">
        <v>42450</v>
      </c>
      <c r="B85" s="96" t="s">
        <v>2034</v>
      </c>
      <c r="C85" s="96" t="s">
        <v>979</v>
      </c>
      <c r="D85" s="94"/>
      <c r="E85" s="94"/>
      <c r="F85" s="115" t="s">
        <v>122</v>
      </c>
    </row>
    <row r="86" spans="1:6" ht="26.25" customHeight="1" x14ac:dyDescent="0.25">
      <c r="A86" s="95">
        <v>42451</v>
      </c>
      <c r="B86" s="96" t="s">
        <v>1925</v>
      </c>
      <c r="C86" s="96" t="s">
        <v>1403</v>
      </c>
      <c r="D86" s="94"/>
      <c r="E86" s="94"/>
      <c r="F86" s="115" t="s">
        <v>122</v>
      </c>
    </row>
    <row r="87" spans="1:6" ht="26.25" customHeight="1" x14ac:dyDescent="0.25">
      <c r="A87" s="95">
        <v>42452</v>
      </c>
      <c r="B87" s="96" t="s">
        <v>1926</v>
      </c>
      <c r="C87" s="96" t="s">
        <v>1227</v>
      </c>
      <c r="D87" s="94"/>
      <c r="E87" s="94"/>
      <c r="F87" s="115" t="s">
        <v>122</v>
      </c>
    </row>
    <row r="88" spans="1:6" ht="26.25" customHeight="1" x14ac:dyDescent="0.25">
      <c r="A88" s="95">
        <v>42453</v>
      </c>
      <c r="B88" s="96" t="s">
        <v>1928</v>
      </c>
      <c r="C88" s="96" t="s">
        <v>1264</v>
      </c>
      <c r="D88" s="94"/>
      <c r="E88" s="94"/>
      <c r="F88" s="115" t="s">
        <v>122</v>
      </c>
    </row>
    <row r="89" spans="1:6" ht="26.25" customHeight="1" x14ac:dyDescent="0.25">
      <c r="A89" s="95">
        <v>42454</v>
      </c>
      <c r="B89" s="96" t="s">
        <v>1927</v>
      </c>
      <c r="C89" s="96" t="s">
        <v>839</v>
      </c>
      <c r="D89" s="94"/>
      <c r="E89" s="94"/>
      <c r="F89" s="115" t="s">
        <v>122</v>
      </c>
    </row>
    <row r="90" spans="1:6" ht="26.25" customHeight="1" x14ac:dyDescent="0.25">
      <c r="A90" s="95">
        <v>42455</v>
      </c>
      <c r="B90" s="96" t="s">
        <v>2035</v>
      </c>
      <c r="C90" s="96" t="s">
        <v>2027</v>
      </c>
      <c r="D90" s="94"/>
      <c r="E90" s="94"/>
      <c r="F90" s="115" t="s">
        <v>122</v>
      </c>
    </row>
    <row r="91" spans="1:6" ht="26.25" customHeight="1" x14ac:dyDescent="0.25">
      <c r="A91" s="95">
        <v>42456</v>
      </c>
      <c r="B91" s="96" t="s">
        <v>2036</v>
      </c>
      <c r="C91" s="96" t="s">
        <v>1267</v>
      </c>
      <c r="D91" s="94"/>
      <c r="E91" s="94"/>
      <c r="F91" s="115" t="s">
        <v>122</v>
      </c>
    </row>
    <row r="92" spans="1:6" ht="26.25" customHeight="1" x14ac:dyDescent="0.25">
      <c r="A92" s="95">
        <v>42457</v>
      </c>
      <c r="B92" s="96" t="s">
        <v>2037</v>
      </c>
      <c r="C92" s="96" t="s">
        <v>2028</v>
      </c>
      <c r="D92" s="94"/>
      <c r="E92" s="94"/>
      <c r="F92" s="115" t="s">
        <v>122</v>
      </c>
    </row>
    <row r="93" spans="1:6" ht="26.25" customHeight="1" x14ac:dyDescent="0.25">
      <c r="A93" s="95">
        <v>42458</v>
      </c>
      <c r="B93" s="96" t="s">
        <v>2038</v>
      </c>
      <c r="C93" s="96" t="s">
        <v>1006</v>
      </c>
      <c r="D93" s="94"/>
      <c r="E93" s="94"/>
      <c r="F93" s="115" t="s">
        <v>122</v>
      </c>
    </row>
    <row r="94" spans="1:6" ht="26.25" customHeight="1" x14ac:dyDescent="0.25">
      <c r="A94" s="95">
        <v>42459</v>
      </c>
      <c r="B94" s="96" t="s">
        <v>2039</v>
      </c>
      <c r="C94" s="96" t="s">
        <v>1269</v>
      </c>
      <c r="D94" s="94"/>
      <c r="E94" s="94"/>
      <c r="F94" s="115" t="s">
        <v>122</v>
      </c>
    </row>
    <row r="95" spans="1:6" ht="26.25" customHeight="1" x14ac:dyDescent="0.25">
      <c r="A95" s="95">
        <v>42460</v>
      </c>
      <c r="B95" s="96" t="s">
        <v>2040</v>
      </c>
      <c r="C95" s="96" t="s">
        <v>1225</v>
      </c>
      <c r="D95" s="94"/>
      <c r="E95" s="94"/>
      <c r="F95" s="115" t="s">
        <v>122</v>
      </c>
    </row>
    <row r="96" spans="1:6" ht="26.25" customHeight="1" x14ac:dyDescent="0.25">
      <c r="A96" s="95">
        <v>42461</v>
      </c>
      <c r="B96" s="96" t="s">
        <v>2042</v>
      </c>
      <c r="C96" s="96" t="s">
        <v>1274</v>
      </c>
      <c r="D96" s="94"/>
      <c r="E96" s="94"/>
      <c r="F96" s="115" t="s">
        <v>122</v>
      </c>
    </row>
    <row r="97" spans="1:6" ht="26.25" customHeight="1" x14ac:dyDescent="0.25">
      <c r="A97" s="95">
        <v>42462</v>
      </c>
      <c r="B97" s="96" t="s">
        <v>2043</v>
      </c>
      <c r="C97" s="96" t="s">
        <v>846</v>
      </c>
      <c r="D97" s="94"/>
      <c r="E97" s="94"/>
      <c r="F97" s="115" t="s">
        <v>122</v>
      </c>
    </row>
    <row r="98" spans="1:6" ht="26.25" customHeight="1" x14ac:dyDescent="0.25">
      <c r="A98" s="95">
        <v>42463</v>
      </c>
      <c r="B98" s="96" t="s">
        <v>2044</v>
      </c>
      <c r="C98" s="96"/>
      <c r="D98" s="94"/>
      <c r="E98" s="94"/>
      <c r="F98" s="115" t="s">
        <v>122</v>
      </c>
    </row>
    <row r="99" spans="1:6" ht="26.25" customHeight="1" x14ac:dyDescent="0.25">
      <c r="A99" s="95">
        <v>42464</v>
      </c>
      <c r="B99" s="96" t="s">
        <v>2045</v>
      </c>
      <c r="C99" s="96" t="s">
        <v>1402</v>
      </c>
      <c r="D99" s="94"/>
      <c r="E99" s="94"/>
      <c r="F99" s="115" t="s">
        <v>122</v>
      </c>
    </row>
    <row r="100" spans="1:6" ht="26.25" customHeight="1" x14ac:dyDescent="0.25">
      <c r="A100" s="95">
        <v>42465</v>
      </c>
      <c r="B100" s="96" t="s">
        <v>2046</v>
      </c>
      <c r="C100" s="96" t="s">
        <v>757</v>
      </c>
      <c r="D100" s="94"/>
      <c r="E100" s="94"/>
      <c r="F100" s="115" t="s">
        <v>122</v>
      </c>
    </row>
    <row r="101" spans="1:6" ht="26.25" customHeight="1" x14ac:dyDescent="0.25">
      <c r="A101" s="95">
        <v>42466</v>
      </c>
      <c r="B101" s="96" t="s">
        <v>2047</v>
      </c>
      <c r="C101" s="96" t="s">
        <v>1277</v>
      </c>
      <c r="D101" s="94"/>
      <c r="E101" s="94"/>
      <c r="F101" s="115" t="s">
        <v>122</v>
      </c>
    </row>
    <row r="102" spans="1:6" ht="26.25" customHeight="1" x14ac:dyDescent="0.25">
      <c r="A102" s="95">
        <v>42467</v>
      </c>
      <c r="B102" s="96" t="s">
        <v>2049</v>
      </c>
      <c r="C102" s="96" t="s">
        <v>1280</v>
      </c>
      <c r="D102" s="94"/>
      <c r="E102" s="94"/>
      <c r="F102" s="115" t="s">
        <v>122</v>
      </c>
    </row>
    <row r="103" spans="1:6" ht="26.25" customHeight="1" x14ac:dyDescent="0.25">
      <c r="A103" s="95">
        <v>42468</v>
      </c>
      <c r="B103" s="96" t="s">
        <v>2050</v>
      </c>
      <c r="C103" s="96" t="s">
        <v>1283</v>
      </c>
      <c r="D103" s="94"/>
      <c r="E103" s="94"/>
      <c r="F103" s="115" t="s">
        <v>122</v>
      </c>
    </row>
    <row r="104" spans="1:6" ht="26.25" customHeight="1" x14ac:dyDescent="0.25">
      <c r="A104" s="95">
        <v>42469</v>
      </c>
      <c r="B104" s="96" t="s">
        <v>2051</v>
      </c>
      <c r="C104" s="96" t="s">
        <v>1284</v>
      </c>
      <c r="D104" s="94"/>
      <c r="E104" s="94"/>
      <c r="F104" s="115" t="s">
        <v>122</v>
      </c>
    </row>
    <row r="105" spans="1:6" ht="26.25" customHeight="1" x14ac:dyDescent="0.25">
      <c r="A105" s="95">
        <v>42470</v>
      </c>
      <c r="B105" s="96" t="s">
        <v>2052</v>
      </c>
      <c r="C105" s="96" t="s">
        <v>42</v>
      </c>
      <c r="D105" s="94"/>
      <c r="E105" s="94"/>
      <c r="F105" s="115" t="s">
        <v>122</v>
      </c>
    </row>
    <row r="106" spans="1:6" ht="26.25" customHeight="1" x14ac:dyDescent="0.25">
      <c r="A106" s="95">
        <v>42471</v>
      </c>
      <c r="B106" s="96" t="s">
        <v>2052</v>
      </c>
      <c r="C106" s="96" t="s">
        <v>42</v>
      </c>
      <c r="D106" s="94"/>
      <c r="E106" s="94"/>
      <c r="F106" s="115" t="s">
        <v>122</v>
      </c>
    </row>
    <row r="107" spans="1:6" ht="26.25" customHeight="1" x14ac:dyDescent="0.25">
      <c r="A107" s="95">
        <v>42472</v>
      </c>
      <c r="B107" s="96" t="s">
        <v>2053</v>
      </c>
      <c r="C107" s="96" t="s">
        <v>1285</v>
      </c>
      <c r="D107" s="94"/>
      <c r="E107" s="94"/>
      <c r="F107" s="115" t="s">
        <v>122</v>
      </c>
    </row>
    <row r="108" spans="1:6" ht="26.25" customHeight="1" x14ac:dyDescent="0.25">
      <c r="A108" s="95">
        <v>42473</v>
      </c>
      <c r="B108" s="96" t="s">
        <v>2050</v>
      </c>
      <c r="C108" s="96" t="s">
        <v>1286</v>
      </c>
      <c r="D108" s="94"/>
      <c r="E108" s="94"/>
      <c r="F108" s="115" t="s">
        <v>122</v>
      </c>
    </row>
    <row r="109" spans="1:6" ht="26.25" customHeight="1" x14ac:dyDescent="0.25">
      <c r="A109" s="95">
        <v>42474</v>
      </c>
      <c r="B109" s="96" t="s">
        <v>2054</v>
      </c>
      <c r="C109" s="96" t="s">
        <v>59</v>
      </c>
      <c r="D109" s="94"/>
      <c r="E109" s="94"/>
      <c r="F109" s="115" t="s">
        <v>122</v>
      </c>
    </row>
    <row r="110" spans="1:6" ht="26.25" customHeight="1" x14ac:dyDescent="0.25">
      <c r="A110" s="95">
        <v>42475</v>
      </c>
      <c r="B110" s="116" t="s">
        <v>2055</v>
      </c>
      <c r="C110" s="96" t="s">
        <v>1297</v>
      </c>
      <c r="D110" s="94"/>
      <c r="E110" s="94"/>
      <c r="F110" s="115" t="s">
        <v>122</v>
      </c>
    </row>
    <row r="111" spans="1:6" ht="26.25" customHeight="1" x14ac:dyDescent="0.25">
      <c r="A111" s="95">
        <v>42476</v>
      </c>
      <c r="B111" s="96" t="s">
        <v>2058</v>
      </c>
      <c r="C111" s="96" t="s">
        <v>1298</v>
      </c>
      <c r="D111" s="94"/>
      <c r="E111" s="94"/>
      <c r="F111" s="115" t="s">
        <v>122</v>
      </c>
    </row>
    <row r="112" spans="1:6" ht="26.25" customHeight="1" x14ac:dyDescent="0.25">
      <c r="A112" s="95">
        <v>42477</v>
      </c>
      <c r="B112" s="116" t="s">
        <v>2059</v>
      </c>
      <c r="C112" s="96" t="s">
        <v>1299</v>
      </c>
      <c r="D112" s="94"/>
      <c r="E112" s="94"/>
      <c r="F112" s="115" t="s">
        <v>122</v>
      </c>
    </row>
    <row r="113" spans="1:6" ht="26.25" customHeight="1" x14ac:dyDescent="0.25">
      <c r="A113" s="95">
        <v>42478</v>
      </c>
      <c r="B113" s="96" t="s">
        <v>2060</v>
      </c>
      <c r="C113" s="96" t="s">
        <v>1043</v>
      </c>
      <c r="D113" s="94"/>
      <c r="E113" s="94"/>
      <c r="F113" s="115" t="s">
        <v>122</v>
      </c>
    </row>
    <row r="114" spans="1:6" ht="26.25" customHeight="1" x14ac:dyDescent="0.25">
      <c r="A114" s="95">
        <v>42479</v>
      </c>
      <c r="B114" s="116" t="s">
        <v>2056</v>
      </c>
      <c r="C114" s="96" t="s">
        <v>1395</v>
      </c>
      <c r="D114" s="94"/>
      <c r="E114" s="94"/>
      <c r="F114" s="115" t="s">
        <v>122</v>
      </c>
    </row>
    <row r="115" spans="1:6" ht="26.25" customHeight="1" x14ac:dyDescent="0.25">
      <c r="A115" s="95">
        <v>42480</v>
      </c>
      <c r="B115" s="96" t="s">
        <v>2057</v>
      </c>
      <c r="C115" s="96" t="s">
        <v>1433</v>
      </c>
      <c r="D115" s="94"/>
      <c r="E115" s="94"/>
      <c r="F115" s="115" t="s">
        <v>122</v>
      </c>
    </row>
    <row r="116" spans="1:6" ht="26.25" customHeight="1" x14ac:dyDescent="0.25">
      <c r="A116" s="95">
        <v>42481</v>
      </c>
      <c r="B116" s="96" t="s">
        <v>2061</v>
      </c>
      <c r="C116" s="96" t="s">
        <v>1305</v>
      </c>
      <c r="D116" s="94"/>
      <c r="E116" s="94"/>
      <c r="F116" s="115" t="s">
        <v>122</v>
      </c>
    </row>
    <row r="117" spans="1:6" ht="26.25" customHeight="1" x14ac:dyDescent="0.25">
      <c r="A117" s="95">
        <v>42482</v>
      </c>
      <c r="B117" s="96" t="s">
        <v>2062</v>
      </c>
      <c r="C117" s="96" t="s">
        <v>1307</v>
      </c>
      <c r="D117" s="94"/>
      <c r="E117" s="94"/>
      <c r="F117" s="115" t="s">
        <v>122</v>
      </c>
    </row>
    <row r="118" spans="1:6" ht="26.25" customHeight="1" x14ac:dyDescent="0.25">
      <c r="A118" s="95">
        <v>42483</v>
      </c>
      <c r="B118" s="96" t="s">
        <v>2063</v>
      </c>
      <c r="C118" s="96" t="s">
        <v>1309</v>
      </c>
      <c r="D118" s="94"/>
      <c r="E118" s="94"/>
      <c r="F118" s="115" t="s">
        <v>122</v>
      </c>
    </row>
    <row r="119" spans="1:6" ht="26.25" customHeight="1" x14ac:dyDescent="0.25">
      <c r="A119" s="95">
        <v>42484</v>
      </c>
      <c r="B119" s="96" t="s">
        <v>2064</v>
      </c>
      <c r="C119" s="96" t="s">
        <v>1309</v>
      </c>
      <c r="D119" s="94"/>
      <c r="E119" s="94"/>
      <c r="F119" s="115" t="s">
        <v>122</v>
      </c>
    </row>
    <row r="120" spans="1:6" ht="26.25" customHeight="1" x14ac:dyDescent="0.25">
      <c r="A120" s="95">
        <v>42485</v>
      </c>
      <c r="B120" s="96" t="s">
        <v>2064</v>
      </c>
      <c r="C120" s="96" t="s">
        <v>1309</v>
      </c>
      <c r="D120" s="94"/>
      <c r="E120" s="94"/>
      <c r="F120" s="115" t="s">
        <v>122</v>
      </c>
    </row>
    <row r="121" spans="1:6" ht="26.25" customHeight="1" x14ac:dyDescent="0.25">
      <c r="A121" s="95">
        <v>42486</v>
      </c>
      <c r="B121" s="96" t="s">
        <v>2065</v>
      </c>
      <c r="C121" s="96" t="s">
        <v>2041</v>
      </c>
      <c r="D121" s="94"/>
      <c r="E121" s="94"/>
      <c r="F121" s="115" t="s">
        <v>122</v>
      </c>
    </row>
    <row r="122" spans="1:6" ht="26.25" customHeight="1" x14ac:dyDescent="0.25">
      <c r="A122" s="95">
        <v>42487</v>
      </c>
      <c r="B122" s="96" t="s">
        <v>2066</v>
      </c>
      <c r="C122" s="96" t="s">
        <v>909</v>
      </c>
      <c r="D122" s="94"/>
      <c r="E122" s="94"/>
      <c r="F122" s="115" t="s">
        <v>122</v>
      </c>
    </row>
    <row r="123" spans="1:6" ht="26.25" customHeight="1" x14ac:dyDescent="0.25">
      <c r="A123" s="95">
        <v>42488</v>
      </c>
      <c r="B123" s="96" t="s">
        <v>2067</v>
      </c>
      <c r="C123" s="96" t="s">
        <v>1333</v>
      </c>
      <c r="D123" s="94"/>
      <c r="E123" s="94"/>
      <c r="F123" s="115" t="s">
        <v>122</v>
      </c>
    </row>
    <row r="124" spans="1:6" ht="26.25" customHeight="1" x14ac:dyDescent="0.25">
      <c r="A124" s="95">
        <v>42489</v>
      </c>
      <c r="B124" s="96" t="s">
        <v>2068</v>
      </c>
      <c r="C124" s="96" t="s">
        <v>1394</v>
      </c>
      <c r="D124" s="94"/>
      <c r="E124" s="94"/>
      <c r="F124" s="115" t="s">
        <v>122</v>
      </c>
    </row>
    <row r="125" spans="1:6" ht="26.25" customHeight="1" x14ac:dyDescent="0.25">
      <c r="A125" s="95">
        <v>42490</v>
      </c>
      <c r="B125" s="96" t="s">
        <v>2069</v>
      </c>
      <c r="C125" s="96" t="s">
        <v>1336</v>
      </c>
      <c r="D125" s="94"/>
      <c r="E125" s="94"/>
      <c r="F125" s="115" t="s">
        <v>122</v>
      </c>
    </row>
    <row r="126" spans="1:6" ht="26.25" customHeight="1" x14ac:dyDescent="0.25">
      <c r="A126" s="95">
        <v>42491</v>
      </c>
      <c r="B126" s="96" t="s">
        <v>2071</v>
      </c>
      <c r="C126" s="96" t="s">
        <v>113</v>
      </c>
      <c r="D126" s="94"/>
      <c r="E126" s="94"/>
      <c r="F126" s="115" t="s">
        <v>122</v>
      </c>
    </row>
    <row r="127" spans="1:6" ht="26.25" customHeight="1" x14ac:dyDescent="0.25">
      <c r="A127" s="95">
        <v>42492</v>
      </c>
      <c r="B127" s="96" t="s">
        <v>2023</v>
      </c>
      <c r="C127" s="96" t="s">
        <v>2</v>
      </c>
      <c r="D127" s="94"/>
      <c r="E127" s="94"/>
      <c r="F127" s="115" t="s">
        <v>122</v>
      </c>
    </row>
    <row r="128" spans="1:6" ht="26.25" customHeight="1" x14ac:dyDescent="0.25">
      <c r="A128" s="95">
        <v>42493</v>
      </c>
      <c r="B128" s="96" t="s">
        <v>2072</v>
      </c>
      <c r="C128" s="96" t="s">
        <v>105</v>
      </c>
      <c r="D128" s="94"/>
      <c r="E128" s="94"/>
      <c r="F128" s="115" t="s">
        <v>122</v>
      </c>
    </row>
    <row r="129" spans="1:6" ht="26.25" customHeight="1" x14ac:dyDescent="0.25">
      <c r="A129" s="95">
        <v>42494</v>
      </c>
      <c r="B129" s="96" t="s">
        <v>2073</v>
      </c>
      <c r="C129" s="96" t="s">
        <v>1344</v>
      </c>
      <c r="D129" s="94"/>
      <c r="E129" s="94"/>
      <c r="F129" s="115" t="s">
        <v>122</v>
      </c>
    </row>
    <row r="130" spans="1:6" ht="26.25" customHeight="1" x14ac:dyDescent="0.25">
      <c r="A130" s="95">
        <v>42495</v>
      </c>
      <c r="B130" s="96" t="s">
        <v>2074</v>
      </c>
      <c r="C130" s="96" t="s">
        <v>111</v>
      </c>
      <c r="D130" s="94"/>
      <c r="E130" s="94"/>
      <c r="F130" s="115" t="s">
        <v>122</v>
      </c>
    </row>
    <row r="131" spans="1:6" ht="26.25" customHeight="1" x14ac:dyDescent="0.25">
      <c r="A131" s="95">
        <v>42496</v>
      </c>
      <c r="B131" s="96" t="s">
        <v>2075</v>
      </c>
      <c r="C131" s="96" t="s">
        <v>119</v>
      </c>
      <c r="D131" s="94"/>
      <c r="E131" s="94"/>
      <c r="F131" s="115" t="s">
        <v>122</v>
      </c>
    </row>
    <row r="132" spans="1:6" ht="26.25" customHeight="1" x14ac:dyDescent="0.25">
      <c r="A132" s="95">
        <v>42497</v>
      </c>
      <c r="B132" s="96" t="s">
        <v>2074</v>
      </c>
      <c r="C132" s="96" t="s">
        <v>111</v>
      </c>
      <c r="D132" s="94"/>
      <c r="E132" s="94"/>
      <c r="F132" s="115" t="s">
        <v>122</v>
      </c>
    </row>
    <row r="133" spans="1:6" ht="26.25" customHeight="1" x14ac:dyDescent="0.25">
      <c r="A133" s="95">
        <v>42498</v>
      </c>
      <c r="B133" s="96" t="s">
        <v>2074</v>
      </c>
      <c r="C133" s="96" t="s">
        <v>111</v>
      </c>
      <c r="D133" s="94"/>
      <c r="E133" s="94"/>
      <c r="F133" s="115" t="s">
        <v>122</v>
      </c>
    </row>
    <row r="134" spans="1:6" ht="26.25" customHeight="1" x14ac:dyDescent="0.25">
      <c r="A134" s="95">
        <v>42499</v>
      </c>
      <c r="B134" s="96" t="s">
        <v>2076</v>
      </c>
      <c r="C134" s="96" t="s">
        <v>1342</v>
      </c>
      <c r="D134" s="94"/>
      <c r="E134" s="94"/>
      <c r="F134" s="115" t="s">
        <v>122</v>
      </c>
    </row>
    <row r="135" spans="1:6" ht="26.25" customHeight="1" x14ac:dyDescent="0.25">
      <c r="A135" s="95">
        <v>42500</v>
      </c>
      <c r="B135" s="96" t="s">
        <v>2076</v>
      </c>
      <c r="C135" s="96" t="s">
        <v>1342</v>
      </c>
      <c r="D135" s="94"/>
      <c r="E135" s="94"/>
      <c r="F135" s="115" t="s">
        <v>122</v>
      </c>
    </row>
    <row r="136" spans="1:6" ht="26.25" customHeight="1" x14ac:dyDescent="0.25">
      <c r="A136" s="95">
        <v>42501</v>
      </c>
      <c r="B136" s="96" t="s">
        <v>2022</v>
      </c>
      <c r="C136" s="96" t="s">
        <v>1344</v>
      </c>
      <c r="D136" s="94"/>
      <c r="E136" s="94"/>
      <c r="F136" s="115" t="s">
        <v>122</v>
      </c>
    </row>
    <row r="137" spans="1:6" ht="26.25" customHeight="1" x14ac:dyDescent="0.25">
      <c r="A137" s="95">
        <v>42502</v>
      </c>
      <c r="B137" s="96" t="s">
        <v>2074</v>
      </c>
      <c r="C137" s="96" t="s">
        <v>111</v>
      </c>
      <c r="D137" s="94"/>
      <c r="E137" s="94"/>
      <c r="F137" s="115" t="s">
        <v>122</v>
      </c>
    </row>
    <row r="138" spans="1:6" ht="26.25" customHeight="1" x14ac:dyDescent="0.25">
      <c r="A138" s="95">
        <v>42503</v>
      </c>
      <c r="B138" s="96" t="s">
        <v>2077</v>
      </c>
      <c r="C138" s="96" t="s">
        <v>121</v>
      </c>
      <c r="D138" s="94"/>
      <c r="E138" s="94"/>
      <c r="F138" s="115" t="s">
        <v>122</v>
      </c>
    </row>
    <row r="139" spans="1:6" ht="26.25" customHeight="1" x14ac:dyDescent="0.25">
      <c r="A139" s="95">
        <v>42504</v>
      </c>
      <c r="B139" s="96" t="s">
        <v>2074</v>
      </c>
      <c r="C139" s="96" t="s">
        <v>111</v>
      </c>
      <c r="D139" s="94"/>
      <c r="E139" s="94"/>
      <c r="F139" s="115" t="s">
        <v>122</v>
      </c>
    </row>
    <row r="140" spans="1:6" ht="26.25" customHeight="1" x14ac:dyDescent="0.25">
      <c r="A140" s="95">
        <v>42505</v>
      </c>
      <c r="B140" s="96" t="s">
        <v>2019</v>
      </c>
      <c r="C140" s="96" t="s">
        <v>109</v>
      </c>
      <c r="D140" s="94"/>
      <c r="E140" s="94"/>
      <c r="F140" s="115" t="s">
        <v>122</v>
      </c>
    </row>
    <row r="141" spans="1:6" ht="26.25" customHeight="1" x14ac:dyDescent="0.25">
      <c r="A141" s="95">
        <v>42506</v>
      </c>
      <c r="B141" s="96" t="s">
        <v>2078</v>
      </c>
      <c r="C141" s="96" t="s">
        <v>1423</v>
      </c>
      <c r="D141" s="94"/>
      <c r="E141" s="94"/>
      <c r="F141" s="115" t="s">
        <v>122</v>
      </c>
    </row>
    <row r="142" spans="1:6" ht="26.25" customHeight="1" x14ac:dyDescent="0.25">
      <c r="A142" s="95">
        <v>42507</v>
      </c>
      <c r="B142" s="96" t="s">
        <v>2044</v>
      </c>
      <c r="C142" s="96" t="s">
        <v>1415</v>
      </c>
      <c r="D142" s="94"/>
      <c r="E142" s="94"/>
      <c r="F142" s="115" t="s">
        <v>122</v>
      </c>
    </row>
    <row r="143" spans="1:6" ht="26.25" customHeight="1" x14ac:dyDescent="0.25">
      <c r="A143" s="95">
        <v>42508</v>
      </c>
      <c r="B143" s="96" t="s">
        <v>1924</v>
      </c>
      <c r="C143" s="96" t="s">
        <v>1259</v>
      </c>
      <c r="D143" s="94"/>
      <c r="E143" s="94"/>
      <c r="F143" s="115" t="s">
        <v>122</v>
      </c>
    </row>
    <row r="144" spans="1:6" ht="26.25" customHeight="1" x14ac:dyDescent="0.25">
      <c r="A144" s="95">
        <v>42509</v>
      </c>
      <c r="B144" s="96" t="s">
        <v>1921</v>
      </c>
      <c r="C144" s="96" t="s">
        <v>1254</v>
      </c>
      <c r="D144" s="94"/>
      <c r="E144" s="94"/>
      <c r="F144" s="115" t="s">
        <v>122</v>
      </c>
    </row>
    <row r="145" spans="1:6" ht="26.25" customHeight="1" x14ac:dyDescent="0.25">
      <c r="A145" s="95">
        <v>42510</v>
      </c>
      <c r="B145" s="96" t="s">
        <v>1923</v>
      </c>
      <c r="C145" s="96" t="s">
        <v>1231</v>
      </c>
      <c r="D145" s="94"/>
      <c r="E145" s="94"/>
      <c r="F145" s="115" t="s">
        <v>122</v>
      </c>
    </row>
    <row r="146" spans="1:6" ht="26.25" customHeight="1" x14ac:dyDescent="0.25">
      <c r="A146" s="95">
        <v>42511</v>
      </c>
      <c r="B146" s="96" t="s">
        <v>2034</v>
      </c>
      <c r="C146" s="96" t="s">
        <v>979</v>
      </c>
      <c r="D146" s="94"/>
      <c r="E146" s="94"/>
      <c r="F146" s="115" t="s">
        <v>122</v>
      </c>
    </row>
    <row r="147" spans="1:6" ht="26.25" customHeight="1" x14ac:dyDescent="0.25">
      <c r="A147" s="95">
        <v>42512</v>
      </c>
      <c r="B147" s="96" t="s">
        <v>2079</v>
      </c>
      <c r="C147" s="96" t="s">
        <v>2070</v>
      </c>
      <c r="D147" s="94"/>
      <c r="E147" s="94"/>
      <c r="F147" s="115" t="s">
        <v>122</v>
      </c>
    </row>
    <row r="148" spans="1:6" ht="26.25" customHeight="1" x14ac:dyDescent="0.25">
      <c r="A148" s="95">
        <v>42513</v>
      </c>
      <c r="B148" s="96" t="s">
        <v>2080</v>
      </c>
      <c r="C148" s="96" t="s">
        <v>1005</v>
      </c>
      <c r="D148" s="94"/>
      <c r="E148" s="94"/>
      <c r="F148" s="115" t="s">
        <v>122</v>
      </c>
    </row>
    <row r="149" spans="1:6" ht="26.25" customHeight="1" x14ac:dyDescent="0.25">
      <c r="A149" s="95">
        <v>42514</v>
      </c>
      <c r="B149" s="96" t="s">
        <v>2040</v>
      </c>
      <c r="C149" s="96" t="s">
        <v>1225</v>
      </c>
      <c r="D149" s="94"/>
      <c r="E149" s="94"/>
      <c r="F149" s="115" t="s">
        <v>122</v>
      </c>
    </row>
    <row r="150" spans="1:6" ht="26.25" customHeight="1" x14ac:dyDescent="0.25">
      <c r="A150" s="95">
        <v>42515</v>
      </c>
      <c r="B150" s="96" t="s">
        <v>2044</v>
      </c>
      <c r="C150" s="96" t="s">
        <v>1415</v>
      </c>
      <c r="D150" s="94"/>
      <c r="E150" s="94"/>
      <c r="F150" s="115" t="s">
        <v>122</v>
      </c>
    </row>
    <row r="151" spans="1:6" ht="26.25" customHeight="1" x14ac:dyDescent="0.25">
      <c r="A151" s="95">
        <v>42516</v>
      </c>
      <c r="B151" s="96" t="s">
        <v>2046</v>
      </c>
      <c r="C151" s="96" t="s">
        <v>757</v>
      </c>
      <c r="D151" s="94"/>
      <c r="E151" s="94"/>
      <c r="F151" s="115" t="s">
        <v>122</v>
      </c>
    </row>
    <row r="152" spans="1:6" ht="26.25" customHeight="1" x14ac:dyDescent="0.25">
      <c r="A152" s="95">
        <v>42517</v>
      </c>
      <c r="B152" s="96" t="s">
        <v>2048</v>
      </c>
      <c r="C152" s="96" t="s">
        <v>1278</v>
      </c>
      <c r="D152" s="94"/>
      <c r="E152" s="94"/>
      <c r="F152" s="115" t="s">
        <v>122</v>
      </c>
    </row>
    <row r="153" spans="1:6" ht="26.25" customHeight="1" x14ac:dyDescent="0.25">
      <c r="A153" s="95">
        <v>42518</v>
      </c>
      <c r="B153" s="96" t="s">
        <v>2048</v>
      </c>
      <c r="C153" s="96" t="s">
        <v>1278</v>
      </c>
      <c r="D153" s="94"/>
      <c r="E153" s="94"/>
      <c r="F153" s="115" t="s">
        <v>122</v>
      </c>
    </row>
    <row r="154" spans="1:6" ht="26.25" customHeight="1" x14ac:dyDescent="0.25">
      <c r="A154" s="95">
        <v>42519</v>
      </c>
      <c r="B154" s="96" t="s">
        <v>2081</v>
      </c>
      <c r="C154" s="96" t="s">
        <v>18</v>
      </c>
      <c r="D154" s="94"/>
      <c r="E154" s="94"/>
      <c r="F154" s="115" t="s">
        <v>122</v>
      </c>
    </row>
    <row r="155" spans="1:6" ht="26.25" customHeight="1" x14ac:dyDescent="0.25">
      <c r="A155" s="95">
        <v>42520</v>
      </c>
      <c r="B155" s="96" t="s">
        <v>2082</v>
      </c>
      <c r="C155" s="96" t="s">
        <v>1397</v>
      </c>
      <c r="D155" s="94"/>
      <c r="E155" s="94"/>
      <c r="F155" s="115" t="s">
        <v>122</v>
      </c>
    </row>
    <row r="156" spans="1:6" ht="26.25" customHeight="1" x14ac:dyDescent="0.25">
      <c r="A156" s="95">
        <v>42521</v>
      </c>
      <c r="B156" s="96" t="s">
        <v>2083</v>
      </c>
      <c r="C156" s="96" t="s">
        <v>10</v>
      </c>
      <c r="D156" s="94"/>
      <c r="E156" s="94"/>
      <c r="F156" s="115" t="s">
        <v>122</v>
      </c>
    </row>
    <row r="157" spans="1:6" ht="26.25" customHeight="1" x14ac:dyDescent="0.25">
      <c r="A157" s="95">
        <v>42522</v>
      </c>
      <c r="B157" s="96" t="s">
        <v>2053</v>
      </c>
      <c r="C157" s="96" t="s">
        <v>1285</v>
      </c>
      <c r="D157" s="94"/>
      <c r="E157" s="94"/>
      <c r="F157" s="115" t="s">
        <v>122</v>
      </c>
    </row>
    <row r="158" spans="1:6" ht="26.25" customHeight="1" x14ac:dyDescent="0.25">
      <c r="A158" s="95">
        <v>42523</v>
      </c>
      <c r="B158" s="96" t="s">
        <v>2084</v>
      </c>
      <c r="C158" s="96" t="s">
        <v>1286</v>
      </c>
      <c r="D158" s="94"/>
      <c r="E158" s="94"/>
      <c r="F158" s="115" t="s">
        <v>122</v>
      </c>
    </row>
    <row r="159" spans="1:6" ht="26.25" customHeight="1" x14ac:dyDescent="0.25">
      <c r="A159" s="95">
        <v>42524</v>
      </c>
      <c r="B159" s="96" t="s">
        <v>2054</v>
      </c>
      <c r="C159" s="96" t="s">
        <v>59</v>
      </c>
      <c r="D159" s="94"/>
      <c r="E159" s="94"/>
      <c r="F159" s="115" t="s">
        <v>122</v>
      </c>
    </row>
    <row r="160" spans="1:6" ht="26.25" customHeight="1" x14ac:dyDescent="0.25">
      <c r="A160" s="95">
        <v>42525</v>
      </c>
      <c r="B160" s="96" t="s">
        <v>2085</v>
      </c>
      <c r="C160" s="96" t="s">
        <v>1420</v>
      </c>
      <c r="D160" s="94"/>
      <c r="E160" s="94"/>
      <c r="F160" s="115" t="s">
        <v>122</v>
      </c>
    </row>
    <row r="161" spans="1:6" ht="26.25" customHeight="1" x14ac:dyDescent="0.25">
      <c r="A161" s="95">
        <v>42526</v>
      </c>
      <c r="B161" s="96" t="s">
        <v>2086</v>
      </c>
      <c r="C161" s="96" t="s">
        <v>1430</v>
      </c>
      <c r="D161" s="94"/>
      <c r="E161" s="94"/>
      <c r="F161" s="115" t="s">
        <v>122</v>
      </c>
    </row>
    <row r="162" spans="1:6" ht="26.25" customHeight="1" x14ac:dyDescent="0.25">
      <c r="A162" s="95">
        <v>42527</v>
      </c>
      <c r="B162" s="96" t="s">
        <v>2087</v>
      </c>
      <c r="C162" s="96" t="s">
        <v>1043</v>
      </c>
      <c r="D162" s="94"/>
      <c r="E162" s="94"/>
      <c r="F162" s="115" t="s">
        <v>122</v>
      </c>
    </row>
    <row r="163" spans="1:6" ht="26.25" customHeight="1" x14ac:dyDescent="0.25">
      <c r="A163" s="95">
        <v>42528</v>
      </c>
      <c r="B163" s="96" t="s">
        <v>2056</v>
      </c>
      <c r="C163" s="96" t="s">
        <v>1395</v>
      </c>
      <c r="D163" s="94"/>
      <c r="E163" s="94"/>
      <c r="F163" s="115" t="s">
        <v>122</v>
      </c>
    </row>
    <row r="164" spans="1:6" ht="26.25" customHeight="1" x14ac:dyDescent="0.25">
      <c r="A164" s="95">
        <v>42529</v>
      </c>
      <c r="B164" s="96" t="s">
        <v>2057</v>
      </c>
      <c r="C164" s="96" t="s">
        <v>1433</v>
      </c>
      <c r="D164" s="94"/>
      <c r="E164" s="94"/>
      <c r="F164" s="115" t="s">
        <v>122</v>
      </c>
    </row>
    <row r="165" spans="1:6" ht="26.25" customHeight="1" x14ac:dyDescent="0.25">
      <c r="A165" s="95">
        <v>42530</v>
      </c>
      <c r="B165" s="96" t="s">
        <v>2088</v>
      </c>
      <c r="C165" s="96" t="s">
        <v>1307</v>
      </c>
      <c r="D165" s="94"/>
      <c r="E165" s="94"/>
      <c r="F165" s="115" t="s">
        <v>122</v>
      </c>
    </row>
    <row r="166" spans="1:6" ht="26.25" customHeight="1" x14ac:dyDescent="0.25">
      <c r="A166" s="95">
        <v>42531</v>
      </c>
      <c r="B166" s="96" t="s">
        <v>2089</v>
      </c>
      <c r="C166" s="96" t="s">
        <v>1330</v>
      </c>
      <c r="D166" s="94"/>
      <c r="E166" s="94"/>
      <c r="F166" s="115" t="s">
        <v>122</v>
      </c>
    </row>
    <row r="167" spans="1:6" ht="26.25" customHeight="1" x14ac:dyDescent="0.25">
      <c r="A167" s="95">
        <v>42532</v>
      </c>
      <c r="B167" s="96" t="s">
        <v>2090</v>
      </c>
      <c r="C167" s="96" t="s">
        <v>1424</v>
      </c>
      <c r="D167" s="94"/>
      <c r="E167" s="94"/>
      <c r="F167" s="115" t="s">
        <v>122</v>
      </c>
    </row>
    <row r="168" spans="1:6" ht="26.25" customHeight="1" x14ac:dyDescent="0.25">
      <c r="A168" s="95">
        <v>42533</v>
      </c>
      <c r="B168" s="96" t="s">
        <v>2068</v>
      </c>
      <c r="C168" s="96" t="s">
        <v>1394</v>
      </c>
      <c r="D168" s="94"/>
      <c r="E168" s="94"/>
      <c r="F168" s="115" t="s">
        <v>122</v>
      </c>
    </row>
    <row r="169" spans="1:6" ht="26.25" customHeight="1" x14ac:dyDescent="0.25">
      <c r="A169" s="95">
        <v>42534</v>
      </c>
      <c r="B169" s="96" t="s">
        <v>2091</v>
      </c>
      <c r="C169" s="96" t="s">
        <v>103</v>
      </c>
      <c r="D169" s="94"/>
      <c r="E169" s="94"/>
      <c r="F169" s="115" t="s">
        <v>122</v>
      </c>
    </row>
    <row r="170" spans="1:6" ht="26.25" customHeight="1" x14ac:dyDescent="0.25">
      <c r="A170" s="95">
        <v>42535</v>
      </c>
      <c r="B170" s="96" t="s">
        <v>2024</v>
      </c>
      <c r="C170" s="96" t="s">
        <v>4</v>
      </c>
      <c r="D170" s="94"/>
      <c r="E170" s="94"/>
      <c r="F170" s="115" t="s">
        <v>122</v>
      </c>
    </row>
    <row r="171" spans="1:6" ht="26.25" customHeight="1" x14ac:dyDescent="0.25">
      <c r="A171" s="95">
        <v>42536</v>
      </c>
      <c r="B171" s="96" t="s">
        <v>2076</v>
      </c>
      <c r="C171" s="96" t="s">
        <v>1342</v>
      </c>
      <c r="D171" s="94"/>
      <c r="E171" s="94"/>
      <c r="F171" s="115" t="s">
        <v>122</v>
      </c>
    </row>
    <row r="172" spans="1:6" ht="26.25" customHeight="1" x14ac:dyDescent="0.25">
      <c r="A172" s="95">
        <v>42537</v>
      </c>
      <c r="B172" s="96" t="s">
        <v>2074</v>
      </c>
      <c r="C172" s="96" t="s">
        <v>111</v>
      </c>
      <c r="D172" s="94"/>
      <c r="E172" s="94"/>
      <c r="F172" s="115" t="s">
        <v>122</v>
      </c>
    </row>
    <row r="173" spans="1:6" ht="26.25" customHeight="1" x14ac:dyDescent="0.25">
      <c r="A173" s="95">
        <v>42538</v>
      </c>
      <c r="B173" s="96" t="s">
        <v>2077</v>
      </c>
      <c r="C173" s="96" t="s">
        <v>121</v>
      </c>
      <c r="D173" s="94"/>
      <c r="E173" s="94"/>
      <c r="F173" s="115" t="s">
        <v>122</v>
      </c>
    </row>
    <row r="174" spans="1:6" ht="26.25" customHeight="1" x14ac:dyDescent="0.25">
      <c r="A174" s="95">
        <v>42539</v>
      </c>
      <c r="B174" s="96" t="s">
        <v>2092</v>
      </c>
      <c r="C174" s="96" t="s">
        <v>1351</v>
      </c>
      <c r="D174" s="94"/>
      <c r="E174" s="94"/>
      <c r="F174" s="115" t="s">
        <v>122</v>
      </c>
    </row>
    <row r="175" spans="1:6" ht="26.25" customHeight="1" x14ac:dyDescent="0.25">
      <c r="A175" s="95">
        <v>42540</v>
      </c>
      <c r="B175" s="96" t="s">
        <v>2093</v>
      </c>
      <c r="C175" s="96" t="s">
        <v>1353</v>
      </c>
      <c r="D175" s="94"/>
      <c r="E175" s="94"/>
      <c r="F175" s="115" t="s">
        <v>122</v>
      </c>
    </row>
    <row r="176" spans="1:6" ht="26.25" customHeight="1" x14ac:dyDescent="0.25">
      <c r="A176" s="95">
        <v>42541</v>
      </c>
      <c r="B176" s="96" t="s">
        <v>2094</v>
      </c>
      <c r="C176" s="96" t="s">
        <v>1355</v>
      </c>
      <c r="D176" s="94"/>
      <c r="E176" s="94"/>
      <c r="F176" s="115" t="s">
        <v>122</v>
      </c>
    </row>
    <row r="177" spans="1:6" ht="26.25" customHeight="1" x14ac:dyDescent="0.25">
      <c r="A177" s="95">
        <v>42542</v>
      </c>
      <c r="B177" s="96" t="s">
        <v>2095</v>
      </c>
      <c r="C177" s="96" t="s">
        <v>1357</v>
      </c>
      <c r="D177" s="94"/>
      <c r="E177" s="94"/>
      <c r="F177" s="115" t="s">
        <v>122</v>
      </c>
    </row>
    <row r="178" spans="1:6" ht="26.25" customHeight="1" x14ac:dyDescent="0.25">
      <c r="A178" s="95">
        <v>42543</v>
      </c>
      <c r="B178" s="96" t="s">
        <v>2096</v>
      </c>
      <c r="C178" s="96" t="s">
        <v>1358</v>
      </c>
      <c r="D178" s="94"/>
      <c r="E178" s="94"/>
      <c r="F178" s="115" t="s">
        <v>122</v>
      </c>
    </row>
    <row r="179" spans="1:6" ht="26.25" customHeight="1" x14ac:dyDescent="0.25">
      <c r="A179" s="95">
        <v>42544</v>
      </c>
      <c r="B179" s="96" t="s">
        <v>2097</v>
      </c>
      <c r="C179" s="96" t="s">
        <v>1360</v>
      </c>
      <c r="D179" s="94"/>
      <c r="E179" s="94"/>
      <c r="F179" s="115" t="s">
        <v>122</v>
      </c>
    </row>
    <row r="180" spans="1:6" ht="26.25" customHeight="1" x14ac:dyDescent="0.25">
      <c r="A180" s="95">
        <v>42545</v>
      </c>
      <c r="B180" s="96" t="s">
        <v>2098</v>
      </c>
      <c r="C180" s="96" t="s">
        <v>1363</v>
      </c>
      <c r="D180" s="94"/>
      <c r="E180" s="94"/>
      <c r="F180" s="115" t="s">
        <v>122</v>
      </c>
    </row>
    <row r="181" spans="1:6" ht="26.25" customHeight="1" x14ac:dyDescent="0.25">
      <c r="A181" s="95">
        <v>42546</v>
      </c>
      <c r="B181" s="96" t="s">
        <v>2099</v>
      </c>
      <c r="C181" s="96" t="s">
        <v>1365</v>
      </c>
      <c r="D181" s="94"/>
      <c r="E181" s="94"/>
      <c r="F181" s="115" t="s">
        <v>122</v>
      </c>
    </row>
    <row r="182" spans="1:6" ht="26.25" customHeight="1" x14ac:dyDescent="0.25">
      <c r="A182" s="95">
        <v>42547</v>
      </c>
      <c r="B182" s="96" t="s">
        <v>2100</v>
      </c>
      <c r="C182" s="96" t="s">
        <v>1367</v>
      </c>
      <c r="D182" s="94"/>
      <c r="E182" s="94"/>
      <c r="F182" s="115" t="s">
        <v>122</v>
      </c>
    </row>
    <row r="183" spans="1:6" ht="26.25" customHeight="1" x14ac:dyDescent="0.25">
      <c r="A183" s="95">
        <v>42548</v>
      </c>
      <c r="B183" s="96" t="s">
        <v>2101</v>
      </c>
      <c r="C183" s="96" t="s">
        <v>1370</v>
      </c>
      <c r="D183" s="94"/>
      <c r="E183" s="94"/>
      <c r="F183" s="115" t="s">
        <v>122</v>
      </c>
    </row>
    <row r="184" spans="1:6" ht="26.25" customHeight="1" x14ac:dyDescent="0.25">
      <c r="A184" s="95">
        <v>42549</v>
      </c>
      <c r="B184" s="96" t="s">
        <v>2102</v>
      </c>
      <c r="C184" s="96" t="s">
        <v>1065</v>
      </c>
      <c r="D184" s="94"/>
      <c r="E184" s="94"/>
      <c r="F184" s="115" t="s">
        <v>122</v>
      </c>
    </row>
    <row r="185" spans="1:6" ht="26.25" customHeight="1" x14ac:dyDescent="0.25">
      <c r="A185" s="95">
        <v>42550</v>
      </c>
      <c r="B185" s="96" t="s">
        <v>2103</v>
      </c>
      <c r="C185" s="96" t="s">
        <v>1548</v>
      </c>
      <c r="D185" s="94"/>
      <c r="E185" s="94"/>
      <c r="F185" s="115" t="s">
        <v>122</v>
      </c>
    </row>
    <row r="186" spans="1:6" ht="26.25" customHeight="1" x14ac:dyDescent="0.25">
      <c r="A186" s="95">
        <v>42551</v>
      </c>
      <c r="B186" s="96" t="s">
        <v>2104</v>
      </c>
      <c r="C186" s="96" t="s">
        <v>1083</v>
      </c>
      <c r="D186" s="94"/>
      <c r="E186" s="94"/>
      <c r="F186" s="115" t="s">
        <v>122</v>
      </c>
    </row>
    <row r="187" spans="1:6" ht="26.25" customHeight="1" x14ac:dyDescent="0.25">
      <c r="A187" s="95">
        <v>42552</v>
      </c>
      <c r="B187" s="96" t="s">
        <v>2106</v>
      </c>
      <c r="C187" s="96" t="s">
        <v>1374</v>
      </c>
      <c r="D187" s="94"/>
      <c r="E187" s="94"/>
      <c r="F187" s="115" t="s">
        <v>122</v>
      </c>
    </row>
    <row r="188" spans="1:6" ht="26.25" customHeight="1" x14ac:dyDescent="0.25">
      <c r="A188" s="95">
        <v>42553</v>
      </c>
      <c r="B188" s="96" t="s">
        <v>2107</v>
      </c>
      <c r="C188" s="96" t="s">
        <v>1377</v>
      </c>
      <c r="D188" s="94"/>
      <c r="E188" s="94"/>
      <c r="F188" s="115" t="s">
        <v>122</v>
      </c>
    </row>
    <row r="189" spans="1:6" ht="26.25" customHeight="1" x14ac:dyDescent="0.25">
      <c r="A189" s="95">
        <v>42554</v>
      </c>
      <c r="B189" s="96" t="s">
        <v>2108</v>
      </c>
      <c r="C189" s="96" t="s">
        <v>948</v>
      </c>
      <c r="D189" s="94"/>
      <c r="E189" s="94"/>
      <c r="F189" s="115" t="s">
        <v>122</v>
      </c>
    </row>
    <row r="190" spans="1:6" ht="26.25" customHeight="1" x14ac:dyDescent="0.25">
      <c r="A190" s="95">
        <v>42555</v>
      </c>
      <c r="B190" s="96" t="s">
        <v>2109</v>
      </c>
      <c r="C190" s="96" t="s">
        <v>1379</v>
      </c>
      <c r="D190" s="94"/>
      <c r="E190" s="94"/>
      <c r="F190" s="115" t="s">
        <v>122</v>
      </c>
    </row>
    <row r="191" spans="1:6" ht="26.25" customHeight="1" x14ac:dyDescent="0.25">
      <c r="A191" s="95">
        <v>42556</v>
      </c>
      <c r="B191" s="96" t="s">
        <v>2110</v>
      </c>
      <c r="C191" s="96" t="s">
        <v>1381</v>
      </c>
      <c r="D191" s="94"/>
      <c r="E191" s="94"/>
      <c r="F191" s="115" t="s">
        <v>122</v>
      </c>
    </row>
    <row r="192" spans="1:6" ht="26.25" customHeight="1" x14ac:dyDescent="0.25">
      <c r="A192" s="95">
        <v>42557</v>
      </c>
      <c r="B192" s="96" t="s">
        <v>2111</v>
      </c>
      <c r="C192" s="96" t="s">
        <v>976</v>
      </c>
      <c r="D192" s="94"/>
      <c r="E192" s="94"/>
      <c r="F192" s="115" t="s">
        <v>122</v>
      </c>
    </row>
    <row r="193" spans="1:6" ht="26.25" customHeight="1" x14ac:dyDescent="0.25">
      <c r="A193" s="95">
        <v>42558</v>
      </c>
      <c r="B193" s="96" t="s">
        <v>2112</v>
      </c>
      <c r="C193" s="96" t="s">
        <v>1382</v>
      </c>
      <c r="D193" s="94"/>
      <c r="E193" s="94"/>
      <c r="F193" s="115" t="s">
        <v>122</v>
      </c>
    </row>
    <row r="194" spans="1:6" ht="26.25" customHeight="1" x14ac:dyDescent="0.25">
      <c r="A194" s="95">
        <v>42559</v>
      </c>
      <c r="B194" s="96" t="s">
        <v>2113</v>
      </c>
      <c r="C194" s="96" t="s">
        <v>2105</v>
      </c>
      <c r="D194" s="94"/>
      <c r="E194" s="94"/>
      <c r="F194" s="115" t="s">
        <v>122</v>
      </c>
    </row>
    <row r="195" spans="1:6" ht="26.25" customHeight="1" x14ac:dyDescent="0.25">
      <c r="A195" s="95">
        <v>42560</v>
      </c>
      <c r="B195" s="96" t="s">
        <v>2114</v>
      </c>
      <c r="C195" s="96" t="s">
        <v>1094</v>
      </c>
      <c r="D195" s="94"/>
      <c r="E195" s="94"/>
      <c r="F195" s="115" t="s">
        <v>122</v>
      </c>
    </row>
    <row r="196" spans="1:6" ht="26.25" customHeight="1" x14ac:dyDescent="0.25">
      <c r="A196" s="95">
        <v>42561</v>
      </c>
      <c r="B196" s="96" t="s">
        <v>2115</v>
      </c>
      <c r="C196" s="96" t="s">
        <v>1095</v>
      </c>
      <c r="D196" s="94"/>
      <c r="E196" s="94"/>
      <c r="F196" s="115" t="s">
        <v>122</v>
      </c>
    </row>
    <row r="197" spans="1:6" ht="26.25" customHeight="1" x14ac:dyDescent="0.25">
      <c r="A197" s="95">
        <v>42562</v>
      </c>
      <c r="B197" s="96" t="s">
        <v>2116</v>
      </c>
      <c r="C197" s="96" t="s">
        <v>1388</v>
      </c>
      <c r="D197" s="94"/>
      <c r="E197" s="94"/>
      <c r="F197" s="115" t="s">
        <v>122</v>
      </c>
    </row>
    <row r="198" spans="1:6" ht="26.25" customHeight="1" x14ac:dyDescent="0.25">
      <c r="A198" s="95">
        <v>42563</v>
      </c>
      <c r="B198" s="96" t="s">
        <v>2117</v>
      </c>
      <c r="C198" s="96" t="s">
        <v>1389</v>
      </c>
      <c r="D198" s="94"/>
      <c r="E198" s="94"/>
      <c r="F198" s="115" t="s">
        <v>122</v>
      </c>
    </row>
    <row r="199" spans="1:6" ht="26.25" customHeight="1" x14ac:dyDescent="0.25">
      <c r="A199" s="95">
        <v>42564</v>
      </c>
      <c r="B199" s="96" t="s">
        <v>2118</v>
      </c>
      <c r="C199" s="96" t="s">
        <v>1027</v>
      </c>
      <c r="D199" s="94"/>
      <c r="E199" s="94"/>
      <c r="F199" s="115" t="s">
        <v>122</v>
      </c>
    </row>
    <row r="200" spans="1:6" ht="26.25" customHeight="1" x14ac:dyDescent="0.25">
      <c r="A200" s="95">
        <v>42565</v>
      </c>
      <c r="B200" s="96" t="s">
        <v>2119</v>
      </c>
      <c r="C200" s="96" t="s">
        <v>966</v>
      </c>
      <c r="D200" s="94"/>
      <c r="E200" s="94"/>
      <c r="F200" s="115" t="s">
        <v>122</v>
      </c>
    </row>
    <row r="201" spans="1:6" ht="26.25" customHeight="1" x14ac:dyDescent="0.25">
      <c r="A201" s="95">
        <v>42566</v>
      </c>
      <c r="B201" s="96" t="s">
        <v>2120</v>
      </c>
      <c r="C201" s="96" t="s">
        <v>1390</v>
      </c>
      <c r="D201" s="94"/>
      <c r="E201" s="94"/>
      <c r="F201" s="115" t="s">
        <v>122</v>
      </c>
    </row>
    <row r="202" spans="1:6" ht="26.25" customHeight="1" x14ac:dyDescent="0.25">
      <c r="A202" s="95">
        <v>42567</v>
      </c>
      <c r="B202" s="96" t="s">
        <v>2121</v>
      </c>
      <c r="C202" s="96" t="s">
        <v>1115</v>
      </c>
      <c r="D202" s="94"/>
      <c r="E202" s="94"/>
      <c r="F202" s="115" t="s">
        <v>122</v>
      </c>
    </row>
    <row r="203" spans="1:6" ht="26.25" customHeight="1" x14ac:dyDescent="0.25">
      <c r="A203" s="95">
        <v>42568</v>
      </c>
      <c r="B203" s="96" t="s">
        <v>2122</v>
      </c>
      <c r="C203" s="96" t="s">
        <v>1391</v>
      </c>
      <c r="D203" s="94"/>
      <c r="E203" s="94"/>
      <c r="F203" s="115" t="s">
        <v>122</v>
      </c>
    </row>
    <row r="204" spans="1:6" ht="26.25" customHeight="1" x14ac:dyDescent="0.25">
      <c r="A204" s="95">
        <v>42569</v>
      </c>
      <c r="B204" s="96" t="s">
        <v>2123</v>
      </c>
      <c r="C204" s="96" t="s">
        <v>975</v>
      </c>
      <c r="D204" s="94"/>
      <c r="E204" s="94"/>
      <c r="F204" s="115" t="s">
        <v>122</v>
      </c>
    </row>
    <row r="205" spans="1:6" ht="26.25" customHeight="1" x14ac:dyDescent="0.25">
      <c r="A205" s="95">
        <v>42570</v>
      </c>
      <c r="B205" s="96" t="s">
        <v>2124</v>
      </c>
      <c r="C205" s="96" t="s">
        <v>1028</v>
      </c>
      <c r="D205" s="94"/>
      <c r="E205" s="94"/>
      <c r="F205" s="115" t="s">
        <v>122</v>
      </c>
    </row>
    <row r="206" spans="1:6" ht="26.25" customHeight="1" x14ac:dyDescent="0.25">
      <c r="A206" s="95">
        <v>42571</v>
      </c>
      <c r="B206" s="96" t="s">
        <v>2125</v>
      </c>
      <c r="C206" s="96" t="s">
        <v>1029</v>
      </c>
      <c r="D206" s="94"/>
      <c r="E206" s="94"/>
      <c r="F206" s="115" t="s">
        <v>122</v>
      </c>
    </row>
    <row r="207" spans="1:6" ht="26.25" customHeight="1" x14ac:dyDescent="0.25">
      <c r="A207" s="95">
        <v>42572</v>
      </c>
      <c r="B207" s="96" t="s">
        <v>2126</v>
      </c>
      <c r="C207" s="96" t="s">
        <v>1030</v>
      </c>
      <c r="D207" s="94"/>
      <c r="E207" s="94"/>
      <c r="F207" s="115" t="s">
        <v>122</v>
      </c>
    </row>
    <row r="208" spans="1:6" ht="26.25" customHeight="1" x14ac:dyDescent="0.25">
      <c r="A208" s="95">
        <v>42573</v>
      </c>
      <c r="B208" s="96" t="s">
        <v>2127</v>
      </c>
      <c r="C208" s="96" t="s">
        <v>1031</v>
      </c>
      <c r="D208" s="94"/>
      <c r="E208" s="94"/>
      <c r="F208" s="115" t="s">
        <v>122</v>
      </c>
    </row>
    <row r="209" spans="1:6" ht="26.25" customHeight="1" x14ac:dyDescent="0.25">
      <c r="A209" s="95">
        <v>42574</v>
      </c>
      <c r="B209" s="96" t="s">
        <v>2128</v>
      </c>
      <c r="C209" s="96" t="s">
        <v>1032</v>
      </c>
      <c r="D209" s="94"/>
      <c r="E209" s="94"/>
      <c r="F209" s="115" t="s">
        <v>122</v>
      </c>
    </row>
    <row r="210" spans="1:6" ht="26.25" customHeight="1" x14ac:dyDescent="0.25">
      <c r="A210" s="95">
        <v>42575</v>
      </c>
      <c r="B210" s="96" t="s">
        <v>2129</v>
      </c>
      <c r="C210" s="96" t="s">
        <v>1033</v>
      </c>
      <c r="D210" s="94"/>
      <c r="E210" s="94"/>
      <c r="F210" s="115" t="s">
        <v>122</v>
      </c>
    </row>
    <row r="211" spans="1:6" ht="26.25" customHeight="1" x14ac:dyDescent="0.25">
      <c r="A211" s="95">
        <v>42576</v>
      </c>
      <c r="B211" s="96" t="s">
        <v>2130</v>
      </c>
      <c r="C211" s="96" t="s">
        <v>1034</v>
      </c>
      <c r="D211" s="94"/>
      <c r="E211" s="94"/>
      <c r="F211" s="115" t="s">
        <v>122</v>
      </c>
    </row>
    <row r="212" spans="1:6" ht="26.25" customHeight="1" x14ac:dyDescent="0.25">
      <c r="A212" s="95">
        <v>42577</v>
      </c>
      <c r="B212" s="96" t="s">
        <v>2131</v>
      </c>
      <c r="C212" s="96" t="s">
        <v>1482</v>
      </c>
      <c r="D212" s="94"/>
      <c r="E212" s="94"/>
      <c r="F212" s="115" t="s">
        <v>122</v>
      </c>
    </row>
    <row r="213" spans="1:6" ht="26.25" customHeight="1" x14ac:dyDescent="0.25">
      <c r="A213" s="95">
        <v>42578</v>
      </c>
      <c r="B213" s="96" t="s">
        <v>2127</v>
      </c>
      <c r="C213" s="96" t="s">
        <v>1031</v>
      </c>
      <c r="D213" s="94"/>
      <c r="E213" s="94"/>
      <c r="F213" s="115" t="s">
        <v>122</v>
      </c>
    </row>
    <row r="214" spans="1:6" ht="26.25" customHeight="1" x14ac:dyDescent="0.25">
      <c r="A214" s="95">
        <v>42579</v>
      </c>
      <c r="B214" s="96" t="s">
        <v>2127</v>
      </c>
      <c r="C214" s="96" t="s">
        <v>1031</v>
      </c>
      <c r="D214" s="94"/>
      <c r="E214" s="94"/>
      <c r="F214" s="115" t="s">
        <v>122</v>
      </c>
    </row>
    <row r="215" spans="1:6" ht="26.25" customHeight="1" x14ac:dyDescent="0.25">
      <c r="A215" s="95">
        <v>42580</v>
      </c>
      <c r="B215" s="96" t="s">
        <v>2127</v>
      </c>
      <c r="C215" s="96" t="s">
        <v>1031</v>
      </c>
      <c r="D215" s="94"/>
      <c r="E215" s="94"/>
      <c r="F215" s="115" t="s">
        <v>122</v>
      </c>
    </row>
    <row r="216" spans="1:6" ht="26.25" customHeight="1" x14ac:dyDescent="0.25">
      <c r="A216" s="95">
        <v>42581</v>
      </c>
      <c r="B216" s="96" t="s">
        <v>2127</v>
      </c>
      <c r="C216" s="96" t="s">
        <v>1031</v>
      </c>
      <c r="D216" s="94"/>
      <c r="E216" s="94"/>
      <c r="F216" s="115" t="s">
        <v>122</v>
      </c>
    </row>
    <row r="217" spans="1:6" ht="26.25" customHeight="1" x14ac:dyDescent="0.25">
      <c r="A217" s="95">
        <v>42582</v>
      </c>
      <c r="B217" s="96" t="s">
        <v>2127</v>
      </c>
      <c r="C217" s="96" t="s">
        <v>1031</v>
      </c>
      <c r="D217" s="94"/>
      <c r="E217" s="94"/>
      <c r="F217" s="115" t="s">
        <v>122</v>
      </c>
    </row>
    <row r="218" spans="1:6" ht="26.25" customHeight="1" x14ac:dyDescent="0.25">
      <c r="A218" s="95">
        <v>42583</v>
      </c>
      <c r="B218" s="94" t="s">
        <v>2128</v>
      </c>
      <c r="C218" s="96" t="s">
        <v>1032</v>
      </c>
      <c r="D218" s="94"/>
      <c r="E218" s="94"/>
      <c r="F218" s="115" t="s">
        <v>122</v>
      </c>
    </row>
    <row r="219" spans="1:6" ht="26.25" customHeight="1" x14ac:dyDescent="0.25">
      <c r="A219" s="95">
        <v>42584</v>
      </c>
      <c r="B219" s="94" t="s">
        <v>2129</v>
      </c>
      <c r="C219" s="96" t="s">
        <v>1033</v>
      </c>
      <c r="D219" s="94"/>
      <c r="E219" s="94"/>
      <c r="F219" s="115" t="s">
        <v>122</v>
      </c>
    </row>
    <row r="220" spans="1:6" ht="26.25" customHeight="1" x14ac:dyDescent="0.25">
      <c r="A220" s="95">
        <v>42585</v>
      </c>
      <c r="B220" s="94" t="s">
        <v>2130</v>
      </c>
      <c r="C220" s="96" t="s">
        <v>1034</v>
      </c>
      <c r="D220" s="94"/>
      <c r="E220" s="94"/>
      <c r="F220" s="115" t="s">
        <v>122</v>
      </c>
    </row>
    <row r="221" spans="1:6" ht="26.25" customHeight="1" x14ac:dyDescent="0.25">
      <c r="A221" s="95">
        <v>42586</v>
      </c>
      <c r="B221" s="94" t="s">
        <v>2131</v>
      </c>
      <c r="C221" s="96" t="s">
        <v>1482</v>
      </c>
      <c r="D221" s="94"/>
      <c r="E221" s="94"/>
      <c r="F221" s="115" t="s">
        <v>122</v>
      </c>
    </row>
    <row r="222" spans="1:6" ht="26.25" customHeight="1" x14ac:dyDescent="0.25">
      <c r="A222" s="95">
        <v>42587</v>
      </c>
      <c r="B222" s="94" t="s">
        <v>2131</v>
      </c>
      <c r="C222" s="96" t="s">
        <v>1482</v>
      </c>
      <c r="D222" s="94"/>
      <c r="E222" s="94"/>
      <c r="F222" s="115" t="s">
        <v>122</v>
      </c>
    </row>
    <row r="223" spans="1:6" ht="26.25" customHeight="1" x14ac:dyDescent="0.25">
      <c r="A223" s="95">
        <v>42588</v>
      </c>
      <c r="B223" s="94" t="s">
        <v>2131</v>
      </c>
      <c r="C223" s="96" t="s">
        <v>1482</v>
      </c>
      <c r="D223" s="94"/>
      <c r="E223" s="94"/>
      <c r="F223" s="115" t="s">
        <v>122</v>
      </c>
    </row>
    <row r="224" spans="1:6" ht="26.25" customHeight="1" x14ac:dyDescent="0.25">
      <c r="A224" s="95">
        <v>42589</v>
      </c>
      <c r="B224" s="94" t="s">
        <v>2131</v>
      </c>
      <c r="C224" s="96" t="s">
        <v>1482</v>
      </c>
      <c r="D224" s="94"/>
      <c r="E224" s="94"/>
      <c r="F224" s="115" t="s">
        <v>122</v>
      </c>
    </row>
    <row r="225" spans="1:6" ht="26.25" customHeight="1" x14ac:dyDescent="0.25">
      <c r="A225" s="95">
        <v>42590</v>
      </c>
      <c r="B225" s="94" t="s">
        <v>2135</v>
      </c>
      <c r="C225" s="96" t="s">
        <v>1020</v>
      </c>
      <c r="D225" s="94"/>
      <c r="E225" s="94"/>
      <c r="F225" s="115" t="s">
        <v>122</v>
      </c>
    </row>
    <row r="226" spans="1:6" ht="26.25" customHeight="1" x14ac:dyDescent="0.25">
      <c r="A226" s="95">
        <v>42591</v>
      </c>
      <c r="B226" s="94" t="s">
        <v>2135</v>
      </c>
      <c r="C226" s="96" t="s">
        <v>1020</v>
      </c>
      <c r="D226" s="94"/>
      <c r="E226" s="94"/>
      <c r="F226" s="115" t="s">
        <v>122</v>
      </c>
    </row>
    <row r="227" spans="1:6" ht="26.25" customHeight="1" x14ac:dyDescent="0.25">
      <c r="A227" s="95">
        <v>42592</v>
      </c>
      <c r="B227" s="94" t="s">
        <v>2135</v>
      </c>
      <c r="C227" s="96" t="s">
        <v>1020</v>
      </c>
      <c r="D227" s="94"/>
      <c r="E227" s="94"/>
      <c r="F227" s="115" t="s">
        <v>122</v>
      </c>
    </row>
    <row r="228" spans="1:6" ht="26.25" customHeight="1" x14ac:dyDescent="0.25">
      <c r="A228" s="95">
        <v>42593</v>
      </c>
      <c r="B228" s="94" t="s">
        <v>2135</v>
      </c>
      <c r="C228" s="96" t="s">
        <v>1020</v>
      </c>
      <c r="D228" s="94"/>
      <c r="E228" s="94"/>
      <c r="F228" s="115" t="s">
        <v>122</v>
      </c>
    </row>
    <row r="229" spans="1:6" ht="26.25" customHeight="1" x14ac:dyDescent="0.25">
      <c r="A229" s="95">
        <v>42594</v>
      </c>
      <c r="B229" s="94" t="s">
        <v>2136</v>
      </c>
      <c r="C229" s="96" t="s">
        <v>1021</v>
      </c>
      <c r="D229" s="94"/>
      <c r="E229" s="94"/>
      <c r="F229" s="115" t="s">
        <v>122</v>
      </c>
    </row>
    <row r="230" spans="1:6" ht="26.25" customHeight="1" x14ac:dyDescent="0.25">
      <c r="A230" s="95">
        <v>42595</v>
      </c>
      <c r="B230" s="94" t="s">
        <v>2136</v>
      </c>
      <c r="C230" s="96" t="s">
        <v>1021</v>
      </c>
      <c r="D230" s="94"/>
      <c r="E230" s="94"/>
      <c r="F230" s="115" t="s">
        <v>122</v>
      </c>
    </row>
    <row r="231" spans="1:6" ht="26.25" customHeight="1" x14ac:dyDescent="0.25">
      <c r="A231" s="95">
        <v>42596</v>
      </c>
      <c r="B231" s="94" t="s">
        <v>2136</v>
      </c>
      <c r="C231" s="96" t="s">
        <v>1021</v>
      </c>
      <c r="D231" s="94"/>
      <c r="E231" s="94"/>
      <c r="F231" s="115" t="s">
        <v>122</v>
      </c>
    </row>
    <row r="232" spans="1:6" ht="26.25" customHeight="1" x14ac:dyDescent="0.25">
      <c r="A232" s="95">
        <v>42597</v>
      </c>
      <c r="B232" s="94" t="s">
        <v>2137</v>
      </c>
      <c r="C232" s="96" t="s">
        <v>2132</v>
      </c>
      <c r="D232" s="94"/>
      <c r="E232" s="94"/>
      <c r="F232" s="115" t="s">
        <v>122</v>
      </c>
    </row>
    <row r="233" spans="1:6" ht="26.25" customHeight="1" x14ac:dyDescent="0.25">
      <c r="A233" s="95">
        <v>42598</v>
      </c>
      <c r="B233" s="94" t="s">
        <v>2137</v>
      </c>
      <c r="C233" s="96" t="s">
        <v>2132</v>
      </c>
      <c r="D233" s="94"/>
      <c r="E233" s="94"/>
      <c r="F233" s="115" t="s">
        <v>122</v>
      </c>
    </row>
    <row r="234" spans="1:6" ht="26.25" customHeight="1" x14ac:dyDescent="0.25">
      <c r="A234" s="95">
        <v>42599</v>
      </c>
      <c r="B234" s="94" t="s">
        <v>2137</v>
      </c>
      <c r="C234" s="96" t="s">
        <v>2132</v>
      </c>
      <c r="D234" s="94"/>
      <c r="E234" s="94"/>
      <c r="F234" s="115" t="s">
        <v>122</v>
      </c>
    </row>
    <row r="235" spans="1:6" ht="26.25" customHeight="1" x14ac:dyDescent="0.25">
      <c r="A235" s="95">
        <v>42600</v>
      </c>
      <c r="B235" s="94" t="s">
        <v>2137</v>
      </c>
      <c r="C235" s="96" t="s">
        <v>2132</v>
      </c>
      <c r="D235" s="94"/>
      <c r="E235" s="94"/>
      <c r="F235" s="115" t="s">
        <v>122</v>
      </c>
    </row>
    <row r="236" spans="1:6" ht="26.25" customHeight="1" x14ac:dyDescent="0.25">
      <c r="A236" s="95">
        <v>42601</v>
      </c>
      <c r="B236" s="94" t="s">
        <v>2137</v>
      </c>
      <c r="C236" s="96" t="s">
        <v>2132</v>
      </c>
      <c r="D236" s="94"/>
      <c r="E236" s="94"/>
      <c r="F236" s="115" t="s">
        <v>122</v>
      </c>
    </row>
    <row r="237" spans="1:6" ht="26.25" customHeight="1" x14ac:dyDescent="0.25">
      <c r="A237" s="95">
        <v>42602</v>
      </c>
      <c r="B237" s="94" t="s">
        <v>2137</v>
      </c>
      <c r="C237" s="96" t="s">
        <v>2132</v>
      </c>
      <c r="D237" s="94"/>
      <c r="E237" s="94"/>
      <c r="F237" s="115" t="s">
        <v>122</v>
      </c>
    </row>
    <row r="238" spans="1:6" ht="26.25" customHeight="1" x14ac:dyDescent="0.25">
      <c r="A238" s="95">
        <v>42603</v>
      </c>
      <c r="B238" s="94" t="s">
        <v>2137</v>
      </c>
      <c r="C238" s="96" t="s">
        <v>2132</v>
      </c>
      <c r="D238" s="94"/>
      <c r="E238" s="94"/>
      <c r="F238" s="115" t="s">
        <v>122</v>
      </c>
    </row>
    <row r="239" spans="1:6" ht="26.25" customHeight="1" x14ac:dyDescent="0.25">
      <c r="A239" s="95">
        <v>42604</v>
      </c>
      <c r="B239" s="94" t="s">
        <v>2138</v>
      </c>
      <c r="C239" s="96" t="s">
        <v>2133</v>
      </c>
      <c r="D239" s="94"/>
      <c r="E239" s="94"/>
      <c r="F239" s="115" t="s">
        <v>122</v>
      </c>
    </row>
    <row r="240" spans="1:6" ht="26.25" customHeight="1" x14ac:dyDescent="0.25">
      <c r="A240" s="95">
        <v>42605</v>
      </c>
      <c r="B240" s="94" t="s">
        <v>2138</v>
      </c>
      <c r="C240" s="96" t="s">
        <v>2133</v>
      </c>
      <c r="D240" s="94"/>
      <c r="E240" s="94"/>
      <c r="F240" s="115" t="s">
        <v>122</v>
      </c>
    </row>
    <row r="241" spans="1:6" ht="26.25" customHeight="1" x14ac:dyDescent="0.25">
      <c r="A241" s="95">
        <v>42606</v>
      </c>
      <c r="B241" s="94" t="s">
        <v>2138</v>
      </c>
      <c r="C241" s="96" t="s">
        <v>2133</v>
      </c>
      <c r="D241" s="94"/>
      <c r="E241" s="94"/>
      <c r="F241" s="115" t="s">
        <v>122</v>
      </c>
    </row>
    <row r="242" spans="1:6" ht="26.25" customHeight="1" x14ac:dyDescent="0.25">
      <c r="A242" s="95">
        <v>42607</v>
      </c>
      <c r="B242" s="94" t="s">
        <v>2138</v>
      </c>
      <c r="C242" s="96" t="s">
        <v>2133</v>
      </c>
      <c r="D242" s="94"/>
      <c r="E242" s="94"/>
      <c r="F242" s="115" t="s">
        <v>122</v>
      </c>
    </row>
    <row r="243" spans="1:6" ht="26.25" customHeight="1" x14ac:dyDescent="0.25">
      <c r="A243" s="95">
        <v>42608</v>
      </c>
      <c r="B243" s="94" t="s">
        <v>2138</v>
      </c>
      <c r="C243" s="96" t="s">
        <v>2133</v>
      </c>
      <c r="D243" s="94"/>
      <c r="E243" s="94"/>
      <c r="F243" s="115" t="s">
        <v>122</v>
      </c>
    </row>
    <row r="244" spans="1:6" ht="26.25" customHeight="1" x14ac:dyDescent="0.25">
      <c r="A244" s="95">
        <v>42609</v>
      </c>
      <c r="B244" s="94" t="s">
        <v>2138</v>
      </c>
      <c r="C244" s="96" t="s">
        <v>2133</v>
      </c>
      <c r="D244" s="94"/>
      <c r="E244" s="94"/>
      <c r="F244" s="115" t="s">
        <v>122</v>
      </c>
    </row>
    <row r="245" spans="1:6" ht="26.25" customHeight="1" x14ac:dyDescent="0.25">
      <c r="A245" s="95">
        <v>42610</v>
      </c>
      <c r="B245" s="94" t="s">
        <v>2138</v>
      </c>
      <c r="C245" s="96" t="s">
        <v>2133</v>
      </c>
      <c r="D245" s="94"/>
      <c r="E245" s="94"/>
      <c r="F245" s="115" t="s">
        <v>122</v>
      </c>
    </row>
    <row r="246" spans="1:6" ht="26.25" customHeight="1" x14ac:dyDescent="0.25">
      <c r="A246" s="95">
        <v>42611</v>
      </c>
      <c r="B246" s="94" t="s">
        <v>2139</v>
      </c>
      <c r="C246" s="96" t="s">
        <v>2133</v>
      </c>
      <c r="D246" s="94"/>
      <c r="E246" s="94"/>
      <c r="F246" s="115" t="s">
        <v>122</v>
      </c>
    </row>
    <row r="247" spans="1:6" ht="26.25" customHeight="1" x14ac:dyDescent="0.25">
      <c r="A247" s="95">
        <v>42612</v>
      </c>
      <c r="B247" s="94" t="s">
        <v>2140</v>
      </c>
      <c r="C247" s="96" t="s">
        <v>2134</v>
      </c>
      <c r="D247" s="94"/>
      <c r="E247" s="94"/>
      <c r="F247" s="115" t="s">
        <v>122</v>
      </c>
    </row>
    <row r="248" spans="1:6" ht="26.25" customHeight="1" x14ac:dyDescent="0.25">
      <c r="A248" s="95">
        <v>42613</v>
      </c>
      <c r="B248" s="94" t="s">
        <v>2140</v>
      </c>
      <c r="C248" s="96" t="s">
        <v>2134</v>
      </c>
      <c r="D248" s="94"/>
      <c r="E248" s="94"/>
      <c r="F248" s="115" t="s">
        <v>122</v>
      </c>
    </row>
    <row r="249" spans="1:6" ht="26.25" customHeight="1" x14ac:dyDescent="0.25">
      <c r="A249" s="95">
        <v>42614</v>
      </c>
      <c r="B249" s="94" t="s">
        <v>2140</v>
      </c>
      <c r="C249" s="94">
        <v>2025</v>
      </c>
      <c r="D249" s="94"/>
      <c r="E249" s="94"/>
      <c r="F249" s="115" t="s">
        <v>122</v>
      </c>
    </row>
    <row r="250" spans="1:6" ht="26.25" customHeight="1" x14ac:dyDescent="0.25">
      <c r="A250" s="95">
        <v>42615</v>
      </c>
      <c r="B250" s="94" t="s">
        <v>2141</v>
      </c>
      <c r="C250" s="94">
        <v>1800</v>
      </c>
      <c r="D250" s="94"/>
      <c r="E250" s="94"/>
      <c r="F250" s="115" t="s">
        <v>122</v>
      </c>
    </row>
    <row r="251" spans="1:6" ht="26.25" customHeight="1" x14ac:dyDescent="0.25">
      <c r="A251" s="95">
        <v>42616</v>
      </c>
      <c r="B251" s="94" t="s">
        <v>2141</v>
      </c>
      <c r="C251" s="94">
        <v>1800</v>
      </c>
      <c r="D251" s="94"/>
      <c r="E251" s="94"/>
      <c r="F251" s="115" t="s">
        <v>122</v>
      </c>
    </row>
    <row r="252" spans="1:6" ht="26.25" customHeight="1" x14ac:dyDescent="0.25">
      <c r="A252" s="95">
        <v>42617</v>
      </c>
      <c r="B252" s="94" t="s">
        <v>2141</v>
      </c>
      <c r="C252" s="94">
        <v>1800</v>
      </c>
      <c r="D252" s="94"/>
      <c r="E252" s="94"/>
      <c r="F252" s="115" t="s">
        <v>122</v>
      </c>
    </row>
    <row r="253" spans="1:6" ht="26.25" customHeight="1" x14ac:dyDescent="0.25">
      <c r="A253" s="95">
        <v>42618</v>
      </c>
      <c r="B253" s="94" t="s">
        <v>2141</v>
      </c>
      <c r="C253" s="94">
        <v>1800</v>
      </c>
      <c r="D253" s="94"/>
      <c r="E253" s="94"/>
      <c r="F253" s="115" t="s">
        <v>122</v>
      </c>
    </row>
    <row r="254" spans="1:6" ht="26.25" customHeight="1" x14ac:dyDescent="0.25">
      <c r="A254" s="95">
        <v>42619</v>
      </c>
      <c r="B254" s="94" t="s">
        <v>2141</v>
      </c>
      <c r="C254" s="94">
        <v>1800</v>
      </c>
      <c r="D254" s="94"/>
      <c r="E254" s="94"/>
      <c r="F254" s="115" t="s">
        <v>122</v>
      </c>
    </row>
    <row r="255" spans="1:6" ht="26.25" customHeight="1" x14ac:dyDescent="0.25">
      <c r="A255" s="95">
        <v>42620</v>
      </c>
      <c r="B255" s="94" t="s">
        <v>2142</v>
      </c>
      <c r="C255" s="94">
        <v>1575</v>
      </c>
      <c r="D255" s="94"/>
      <c r="E255" s="94"/>
      <c r="F255" s="115" t="s">
        <v>122</v>
      </c>
    </row>
    <row r="256" spans="1:6" ht="26.25" customHeight="1" x14ac:dyDescent="0.25">
      <c r="A256" s="95">
        <v>42621</v>
      </c>
      <c r="B256" s="94" t="s">
        <v>2142</v>
      </c>
      <c r="C256" s="94">
        <v>1575</v>
      </c>
      <c r="D256" s="94"/>
      <c r="E256" s="94"/>
      <c r="F256" s="115" t="s">
        <v>122</v>
      </c>
    </row>
    <row r="257" spans="1:6" ht="26.25" customHeight="1" x14ac:dyDescent="0.25">
      <c r="A257" s="95">
        <v>42622</v>
      </c>
      <c r="B257" s="94" t="s">
        <v>2142</v>
      </c>
      <c r="C257" s="94">
        <v>1575</v>
      </c>
      <c r="D257" s="94"/>
      <c r="E257" s="94"/>
      <c r="F257" s="115" t="s">
        <v>122</v>
      </c>
    </row>
    <row r="258" spans="1:6" ht="26.25" customHeight="1" x14ac:dyDescent="0.25">
      <c r="A258" s="95">
        <v>42623</v>
      </c>
      <c r="B258" s="94" t="s">
        <v>2142</v>
      </c>
      <c r="C258" s="94">
        <v>1575</v>
      </c>
      <c r="D258" s="94"/>
      <c r="E258" s="94"/>
      <c r="F258" s="115" t="s">
        <v>122</v>
      </c>
    </row>
    <row r="259" spans="1:6" ht="26.25" customHeight="1" x14ac:dyDescent="0.25">
      <c r="A259" s="95">
        <v>42624</v>
      </c>
      <c r="B259" s="94" t="s">
        <v>2142</v>
      </c>
      <c r="C259" s="94">
        <v>1575</v>
      </c>
      <c r="D259" s="94"/>
      <c r="E259" s="94"/>
      <c r="F259" s="115" t="s">
        <v>122</v>
      </c>
    </row>
    <row r="260" spans="1:6" ht="26.25" customHeight="1" x14ac:dyDescent="0.25">
      <c r="A260" s="95">
        <v>42625</v>
      </c>
      <c r="B260" s="94" t="s">
        <v>2142</v>
      </c>
      <c r="C260" s="94">
        <v>1575</v>
      </c>
      <c r="D260" s="94"/>
      <c r="E260" s="94"/>
      <c r="F260" s="115" t="s">
        <v>122</v>
      </c>
    </row>
    <row r="261" spans="1:6" ht="26.25" customHeight="1" x14ac:dyDescent="0.25">
      <c r="A261" s="95">
        <v>42626</v>
      </c>
      <c r="B261" s="94" t="s">
        <v>2142</v>
      </c>
      <c r="C261" s="94">
        <v>1575</v>
      </c>
      <c r="D261" s="94"/>
      <c r="E261" s="94"/>
      <c r="F261" s="115" t="s">
        <v>122</v>
      </c>
    </row>
    <row r="262" spans="1:6" ht="26.25" customHeight="1" x14ac:dyDescent="0.25">
      <c r="A262" s="95">
        <v>42627</v>
      </c>
      <c r="B262" s="94" t="s">
        <v>2143</v>
      </c>
      <c r="C262" s="94">
        <v>1350</v>
      </c>
      <c r="D262" s="94"/>
      <c r="E262" s="94"/>
      <c r="F262" s="115" t="s">
        <v>122</v>
      </c>
    </row>
    <row r="263" spans="1:6" ht="26.25" customHeight="1" x14ac:dyDescent="0.25">
      <c r="A263" s="95">
        <v>42628</v>
      </c>
      <c r="B263" s="94" t="s">
        <v>2143</v>
      </c>
      <c r="C263" s="94">
        <v>1350</v>
      </c>
      <c r="D263" s="94"/>
      <c r="E263" s="94"/>
      <c r="F263" s="115" t="s">
        <v>122</v>
      </c>
    </row>
    <row r="264" spans="1:6" ht="26.25" customHeight="1" x14ac:dyDescent="0.25">
      <c r="A264" s="95">
        <v>42629</v>
      </c>
      <c r="B264" s="94" t="s">
        <v>2143</v>
      </c>
      <c r="C264" s="94">
        <v>1350</v>
      </c>
      <c r="D264" s="94"/>
      <c r="E264" s="94"/>
      <c r="F264" s="115" t="s">
        <v>122</v>
      </c>
    </row>
    <row r="265" spans="1:6" ht="26.25" customHeight="1" x14ac:dyDescent="0.25">
      <c r="A265" s="95">
        <v>42630</v>
      </c>
      <c r="B265" s="94" t="s">
        <v>2143</v>
      </c>
      <c r="C265" s="94">
        <v>1350</v>
      </c>
      <c r="D265" s="94"/>
      <c r="E265" s="94"/>
      <c r="F265" s="115" t="s">
        <v>122</v>
      </c>
    </row>
    <row r="266" spans="1:6" ht="26.25" customHeight="1" x14ac:dyDescent="0.25">
      <c r="A266" s="95">
        <v>42631</v>
      </c>
      <c r="B266" s="94" t="s">
        <v>2143</v>
      </c>
      <c r="C266" s="94">
        <v>1350</v>
      </c>
      <c r="D266" s="94"/>
      <c r="E266" s="94"/>
      <c r="F266" s="115" t="s">
        <v>122</v>
      </c>
    </row>
    <row r="267" spans="1:6" ht="26.25" customHeight="1" x14ac:dyDescent="0.25">
      <c r="A267" s="95">
        <v>42632</v>
      </c>
      <c r="B267" s="94"/>
      <c r="C267" s="484" t="s">
        <v>2170</v>
      </c>
      <c r="D267" s="94"/>
      <c r="E267" s="94"/>
      <c r="F267" s="115" t="s">
        <v>122</v>
      </c>
    </row>
    <row r="268" spans="1:6" ht="26.25" customHeight="1" x14ac:dyDescent="0.25">
      <c r="A268" s="95">
        <v>42633</v>
      </c>
      <c r="B268" s="94"/>
      <c r="C268" s="484"/>
      <c r="D268" s="94"/>
      <c r="E268" s="94"/>
      <c r="F268" s="115" t="s">
        <v>122</v>
      </c>
    </row>
    <row r="269" spans="1:6" ht="26.25" customHeight="1" x14ac:dyDescent="0.25">
      <c r="A269" s="95">
        <v>42634</v>
      </c>
      <c r="B269" s="94"/>
      <c r="C269" s="484"/>
      <c r="D269" s="94"/>
      <c r="E269" s="94"/>
      <c r="F269" s="115" t="s">
        <v>122</v>
      </c>
    </row>
    <row r="270" spans="1:6" ht="26.25" customHeight="1" x14ac:dyDescent="0.25">
      <c r="A270" s="95">
        <v>42635</v>
      </c>
      <c r="B270" s="94"/>
      <c r="C270" s="484"/>
      <c r="D270" s="94"/>
      <c r="E270" s="94"/>
      <c r="F270" s="115" t="s">
        <v>122</v>
      </c>
    </row>
    <row r="271" spans="1:6" ht="26.25" customHeight="1" x14ac:dyDescent="0.25">
      <c r="A271" s="95">
        <v>42636</v>
      </c>
      <c r="B271" s="94"/>
      <c r="C271" s="484"/>
      <c r="D271" s="94"/>
      <c r="E271" s="94"/>
      <c r="F271" s="115" t="s">
        <v>122</v>
      </c>
    </row>
    <row r="272" spans="1:6" ht="26.25" customHeight="1" x14ac:dyDescent="0.25">
      <c r="A272" s="95">
        <v>42637</v>
      </c>
      <c r="B272" s="94"/>
      <c r="C272" s="484"/>
      <c r="D272" s="94"/>
      <c r="E272" s="94"/>
      <c r="F272" s="115" t="s">
        <v>122</v>
      </c>
    </row>
    <row r="273" spans="1:6" ht="26.25" customHeight="1" x14ac:dyDescent="0.25">
      <c r="A273" s="95">
        <v>42638</v>
      </c>
      <c r="B273" s="94"/>
      <c r="C273" s="484"/>
      <c r="D273" s="94"/>
      <c r="E273" s="94"/>
      <c r="F273" s="115" t="s">
        <v>122</v>
      </c>
    </row>
    <row r="274" spans="1:6" ht="26.25" customHeight="1" x14ac:dyDescent="0.25">
      <c r="A274" s="95">
        <v>42639</v>
      </c>
      <c r="B274" s="94"/>
      <c r="C274" s="484"/>
      <c r="D274" s="94"/>
      <c r="E274" s="94"/>
      <c r="F274" s="115" t="s">
        <v>122</v>
      </c>
    </row>
    <row r="275" spans="1:6" ht="26.25" customHeight="1" x14ac:dyDescent="0.25">
      <c r="A275" s="95">
        <v>42640</v>
      </c>
      <c r="B275" s="94"/>
      <c r="C275" s="484"/>
      <c r="D275" s="94"/>
      <c r="E275" s="94"/>
      <c r="F275" s="115" t="s">
        <v>122</v>
      </c>
    </row>
    <row r="276" spans="1:6" ht="26.25" customHeight="1" x14ac:dyDescent="0.25">
      <c r="A276" s="95">
        <v>42641</v>
      </c>
      <c r="B276" s="94"/>
      <c r="C276" s="484"/>
      <c r="D276" s="94"/>
      <c r="E276" s="94"/>
      <c r="F276" s="115" t="s">
        <v>122</v>
      </c>
    </row>
    <row r="277" spans="1:6" ht="26.25" customHeight="1" x14ac:dyDescent="0.25">
      <c r="A277" s="95">
        <v>42642</v>
      </c>
      <c r="B277" s="94"/>
      <c r="C277" s="484"/>
      <c r="D277" s="94"/>
      <c r="E277" s="94"/>
      <c r="F277" s="115" t="s">
        <v>122</v>
      </c>
    </row>
    <row r="278" spans="1:6" ht="26.25" customHeight="1" x14ac:dyDescent="0.25">
      <c r="A278" s="95">
        <v>42643</v>
      </c>
      <c r="B278" s="94"/>
      <c r="C278" s="484"/>
      <c r="D278" s="94"/>
      <c r="E278" s="94"/>
      <c r="F278" s="115" t="s">
        <v>122</v>
      </c>
    </row>
    <row r="279" spans="1:6" ht="26.25" customHeight="1" x14ac:dyDescent="0.25">
      <c r="A279" s="95">
        <v>42644</v>
      </c>
      <c r="B279" s="94"/>
      <c r="C279" s="484"/>
      <c r="D279" s="94"/>
      <c r="E279" s="94"/>
      <c r="F279" s="115" t="s">
        <v>122</v>
      </c>
    </row>
    <row r="280" spans="1:6" ht="26.25" customHeight="1" x14ac:dyDescent="0.25">
      <c r="A280" s="95">
        <v>42645</v>
      </c>
      <c r="B280" s="94"/>
      <c r="C280" s="484"/>
      <c r="D280" s="94"/>
      <c r="E280" s="94"/>
      <c r="F280" s="115" t="s">
        <v>122</v>
      </c>
    </row>
    <row r="281" spans="1:6" ht="26.25" customHeight="1" x14ac:dyDescent="0.25">
      <c r="A281" s="95">
        <v>42646</v>
      </c>
      <c r="B281" s="94"/>
      <c r="C281" s="484"/>
      <c r="D281" s="94"/>
      <c r="E281" s="94"/>
      <c r="F281" s="115" t="s">
        <v>122</v>
      </c>
    </row>
    <row r="282" spans="1:6" ht="26.25" customHeight="1" x14ac:dyDescent="0.25">
      <c r="A282" s="95">
        <v>42647</v>
      </c>
      <c r="B282" s="94"/>
      <c r="C282" s="484"/>
      <c r="D282" s="94"/>
      <c r="E282" s="94"/>
      <c r="F282" s="115" t="s">
        <v>122</v>
      </c>
    </row>
    <row r="283" spans="1:6" ht="26.25" customHeight="1" x14ac:dyDescent="0.25">
      <c r="A283" s="95">
        <v>42648</v>
      </c>
      <c r="B283" s="94"/>
      <c r="C283" s="484"/>
      <c r="D283" s="94"/>
      <c r="E283" s="94"/>
      <c r="F283" s="115" t="s">
        <v>122</v>
      </c>
    </row>
    <row r="284" spans="1:6" ht="26.25" customHeight="1" x14ac:dyDescent="0.25">
      <c r="A284" s="95">
        <v>42649</v>
      </c>
      <c r="B284" s="94"/>
      <c r="C284" s="484"/>
      <c r="D284" s="94"/>
      <c r="E284" s="94"/>
      <c r="F284" s="115" t="s">
        <v>122</v>
      </c>
    </row>
    <row r="285" spans="1:6" ht="26.25" customHeight="1" x14ac:dyDescent="0.25">
      <c r="A285" s="95">
        <v>42650</v>
      </c>
      <c r="B285" s="94"/>
      <c r="C285" s="484"/>
      <c r="D285" s="94"/>
      <c r="E285" s="94"/>
      <c r="F285" s="115" t="s">
        <v>122</v>
      </c>
    </row>
    <row r="286" spans="1:6" ht="26.25" customHeight="1" x14ac:dyDescent="0.25">
      <c r="A286" s="95">
        <v>42651</v>
      </c>
      <c r="B286" s="94"/>
      <c r="C286" s="484"/>
      <c r="D286" s="94"/>
      <c r="E286" s="94"/>
      <c r="F286" s="115" t="s">
        <v>122</v>
      </c>
    </row>
    <row r="287" spans="1:6" ht="26.25" customHeight="1" x14ac:dyDescent="0.25">
      <c r="A287" s="95">
        <v>42652</v>
      </c>
      <c r="B287" s="94"/>
      <c r="C287" s="484"/>
      <c r="D287" s="94"/>
      <c r="E287" s="94"/>
      <c r="F287" s="115" t="s">
        <v>122</v>
      </c>
    </row>
    <row r="288" spans="1:6" ht="26.25" customHeight="1" x14ac:dyDescent="0.25">
      <c r="A288" s="95">
        <v>42653</v>
      </c>
      <c r="B288" s="94"/>
      <c r="C288" s="484"/>
      <c r="D288" s="94"/>
      <c r="E288" s="94"/>
      <c r="F288" s="115" t="s">
        <v>122</v>
      </c>
    </row>
    <row r="289" spans="1:6" ht="26.25" customHeight="1" x14ac:dyDescent="0.25">
      <c r="A289" s="95">
        <v>42654</v>
      </c>
      <c r="B289" s="94"/>
      <c r="C289" s="484"/>
      <c r="D289" s="94"/>
      <c r="E289" s="94"/>
      <c r="F289" s="115" t="s">
        <v>122</v>
      </c>
    </row>
    <row r="290" spans="1:6" ht="26.25" customHeight="1" x14ac:dyDescent="0.25">
      <c r="A290" s="95">
        <v>42655</v>
      </c>
      <c r="B290" s="94"/>
      <c r="C290" s="484"/>
      <c r="D290" s="94"/>
      <c r="E290" s="94"/>
      <c r="F290" s="115" t="s">
        <v>122</v>
      </c>
    </row>
    <row r="291" spans="1:6" ht="26.25" customHeight="1" x14ac:dyDescent="0.25">
      <c r="A291" s="95">
        <v>42656</v>
      </c>
      <c r="B291" s="94"/>
      <c r="C291" s="484"/>
      <c r="D291" s="94"/>
      <c r="E291" s="94"/>
      <c r="F291" s="115" t="s">
        <v>122</v>
      </c>
    </row>
    <row r="292" spans="1:6" ht="26.25" customHeight="1" x14ac:dyDescent="0.25">
      <c r="A292" s="95">
        <v>42657</v>
      </c>
      <c r="B292" s="94"/>
      <c r="C292" s="484"/>
      <c r="D292" s="94"/>
      <c r="E292" s="94"/>
      <c r="F292" s="115" t="s">
        <v>122</v>
      </c>
    </row>
    <row r="293" spans="1:6" ht="26.25" customHeight="1" x14ac:dyDescent="0.25">
      <c r="A293" s="95">
        <v>42658</v>
      </c>
      <c r="B293" s="94"/>
      <c r="C293" s="484"/>
      <c r="D293" s="94"/>
      <c r="E293" s="94"/>
      <c r="F293" s="115" t="s">
        <v>122</v>
      </c>
    </row>
    <row r="294" spans="1:6" ht="26.25" customHeight="1" x14ac:dyDescent="0.25">
      <c r="A294" s="95">
        <v>42659</v>
      </c>
      <c r="B294" s="94"/>
      <c r="C294" s="484"/>
      <c r="D294" s="94"/>
      <c r="E294" s="94"/>
      <c r="F294" s="115" t="s">
        <v>122</v>
      </c>
    </row>
    <row r="295" spans="1:6" ht="26.25" customHeight="1" x14ac:dyDescent="0.25">
      <c r="A295" s="95">
        <v>42660</v>
      </c>
      <c r="B295" s="94"/>
      <c r="C295" s="484"/>
      <c r="D295" s="94"/>
      <c r="E295" s="94"/>
      <c r="F295" s="115" t="s">
        <v>122</v>
      </c>
    </row>
    <row r="296" spans="1:6" ht="26.25" customHeight="1" x14ac:dyDescent="0.25">
      <c r="A296" s="95">
        <v>42661</v>
      </c>
      <c r="B296" s="94"/>
      <c r="C296" s="484"/>
      <c r="D296" s="94"/>
      <c r="E296" s="94"/>
      <c r="F296" s="115" t="s">
        <v>122</v>
      </c>
    </row>
    <row r="297" spans="1:6" ht="26.25" customHeight="1" x14ac:dyDescent="0.25">
      <c r="A297" s="95">
        <v>42662</v>
      </c>
      <c r="B297" s="94"/>
      <c r="C297" s="484"/>
      <c r="D297" s="94"/>
      <c r="E297" s="94"/>
      <c r="F297" s="115" t="s">
        <v>122</v>
      </c>
    </row>
    <row r="298" spans="1:6" ht="26.25" customHeight="1" x14ac:dyDescent="0.25">
      <c r="A298" s="95">
        <v>42663</v>
      </c>
      <c r="B298" s="94"/>
      <c r="C298" s="484"/>
      <c r="D298" s="94"/>
      <c r="E298" s="94"/>
      <c r="F298" s="115" t="s">
        <v>122</v>
      </c>
    </row>
    <row r="299" spans="1:6" ht="26.25" customHeight="1" x14ac:dyDescent="0.25">
      <c r="A299" s="95">
        <v>42664</v>
      </c>
      <c r="B299" s="94"/>
      <c r="C299" s="484"/>
      <c r="D299" s="94"/>
      <c r="E299" s="94"/>
      <c r="F299" s="115" t="s">
        <v>122</v>
      </c>
    </row>
    <row r="300" spans="1:6" ht="26.25" customHeight="1" x14ac:dyDescent="0.25">
      <c r="A300" s="95">
        <v>42665</v>
      </c>
      <c r="B300" s="94"/>
      <c r="C300" s="484"/>
      <c r="D300" s="94"/>
      <c r="E300" s="94"/>
      <c r="F300" s="115" t="s">
        <v>122</v>
      </c>
    </row>
    <row r="301" spans="1:6" ht="26.25" customHeight="1" x14ac:dyDescent="0.25">
      <c r="A301" s="95">
        <v>42666</v>
      </c>
      <c r="B301" s="94"/>
      <c r="C301" s="484"/>
      <c r="D301" s="94"/>
      <c r="E301" s="94"/>
      <c r="F301" s="115" t="s">
        <v>122</v>
      </c>
    </row>
    <row r="302" spans="1:6" ht="26.25" customHeight="1" x14ac:dyDescent="0.25">
      <c r="A302" s="95">
        <v>42667</v>
      </c>
      <c r="B302" s="94"/>
      <c r="C302" s="484"/>
      <c r="D302" s="94"/>
      <c r="E302" s="94"/>
      <c r="F302" s="115" t="s">
        <v>122</v>
      </c>
    </row>
    <row r="303" spans="1:6" ht="26.25" customHeight="1" x14ac:dyDescent="0.25">
      <c r="A303" s="95">
        <v>42668</v>
      </c>
      <c r="B303" s="94"/>
      <c r="C303" s="484"/>
      <c r="D303" s="94"/>
      <c r="E303" s="94"/>
      <c r="F303" s="115" t="s">
        <v>122</v>
      </c>
    </row>
    <row r="304" spans="1:6" ht="26.25" customHeight="1" x14ac:dyDescent="0.25">
      <c r="A304" s="95">
        <v>42669</v>
      </c>
      <c r="B304" s="94"/>
      <c r="C304" s="484"/>
      <c r="D304" s="94"/>
      <c r="E304" s="94"/>
      <c r="F304" s="115" t="s">
        <v>122</v>
      </c>
    </row>
    <row r="305" spans="1:6" ht="26.25" customHeight="1" x14ac:dyDescent="0.25">
      <c r="A305" s="95">
        <v>42670</v>
      </c>
      <c r="B305" s="94"/>
      <c r="C305" s="484"/>
      <c r="D305" s="94"/>
      <c r="E305" s="94"/>
      <c r="F305" s="115" t="s">
        <v>122</v>
      </c>
    </row>
    <row r="306" spans="1:6" ht="26.25" customHeight="1" x14ac:dyDescent="0.25">
      <c r="A306" s="95">
        <v>42671</v>
      </c>
      <c r="B306" s="94"/>
      <c r="C306" s="484"/>
      <c r="D306" s="94"/>
      <c r="E306" s="94"/>
      <c r="F306" s="115" t="s">
        <v>122</v>
      </c>
    </row>
    <row r="307" spans="1:6" ht="26.25" customHeight="1" x14ac:dyDescent="0.25">
      <c r="A307" s="95">
        <v>42672</v>
      </c>
      <c r="B307" s="94"/>
      <c r="C307" s="484"/>
      <c r="D307" s="94"/>
      <c r="E307" s="94"/>
      <c r="F307" s="115" t="s">
        <v>122</v>
      </c>
    </row>
    <row r="308" spans="1:6" ht="26.25" customHeight="1" x14ac:dyDescent="0.25">
      <c r="A308" s="95">
        <v>42673</v>
      </c>
      <c r="B308" s="94"/>
      <c r="C308" s="484"/>
      <c r="D308" s="94"/>
      <c r="E308" s="94"/>
      <c r="F308" s="115" t="s">
        <v>122</v>
      </c>
    </row>
    <row r="309" spans="1:6" ht="26.25" customHeight="1" x14ac:dyDescent="0.25">
      <c r="A309" s="95">
        <v>42674</v>
      </c>
      <c r="B309" s="94"/>
      <c r="C309" s="484"/>
      <c r="D309" s="94"/>
      <c r="E309" s="94"/>
      <c r="F309" s="115" t="s">
        <v>122</v>
      </c>
    </row>
    <row r="310" spans="1:6" ht="26.25" customHeight="1" x14ac:dyDescent="0.25">
      <c r="A310" s="95">
        <v>42675</v>
      </c>
      <c r="B310" s="94"/>
      <c r="C310" s="484"/>
      <c r="D310" s="94"/>
      <c r="E310" s="94"/>
      <c r="F310" s="115" t="s">
        <v>122</v>
      </c>
    </row>
    <row r="311" spans="1:6" ht="26.25" customHeight="1" x14ac:dyDescent="0.25">
      <c r="A311" s="95">
        <v>42676</v>
      </c>
      <c r="B311" s="94"/>
      <c r="C311" s="484"/>
      <c r="D311" s="94"/>
      <c r="E311" s="94"/>
      <c r="F311" s="115" t="s">
        <v>122</v>
      </c>
    </row>
    <row r="312" spans="1:6" ht="26.25" customHeight="1" x14ac:dyDescent="0.25">
      <c r="A312" s="95">
        <v>42677</v>
      </c>
      <c r="B312" s="94" t="s">
        <v>2144</v>
      </c>
      <c r="C312" s="94">
        <v>4200</v>
      </c>
      <c r="D312" s="94"/>
      <c r="E312" s="94"/>
      <c r="F312" s="115" t="s">
        <v>122</v>
      </c>
    </row>
    <row r="313" spans="1:6" ht="26.25" customHeight="1" x14ac:dyDescent="0.25">
      <c r="A313" s="95">
        <v>42678</v>
      </c>
      <c r="B313" s="94" t="s">
        <v>2112</v>
      </c>
      <c r="C313" s="94">
        <v>4250</v>
      </c>
      <c r="D313" s="94"/>
      <c r="E313" s="94"/>
      <c r="F313" s="115" t="s">
        <v>122</v>
      </c>
    </row>
    <row r="314" spans="1:6" ht="26.25" customHeight="1" x14ac:dyDescent="0.25">
      <c r="A314" s="95">
        <v>42679</v>
      </c>
      <c r="B314" s="94" t="s">
        <v>2145</v>
      </c>
      <c r="C314" s="94">
        <v>4350</v>
      </c>
      <c r="D314" s="94"/>
      <c r="E314" s="94"/>
      <c r="F314" s="115" t="s">
        <v>122</v>
      </c>
    </row>
    <row r="315" spans="1:6" ht="26.25" customHeight="1" x14ac:dyDescent="0.25">
      <c r="A315" s="95">
        <v>42680</v>
      </c>
      <c r="B315" s="94" t="s">
        <v>2145</v>
      </c>
      <c r="C315" s="94">
        <v>4350</v>
      </c>
      <c r="D315" s="94"/>
      <c r="E315" s="94"/>
      <c r="F315" s="115" t="s">
        <v>122</v>
      </c>
    </row>
    <row r="316" spans="1:6" ht="26.25" customHeight="1" x14ac:dyDescent="0.25">
      <c r="A316" s="95">
        <v>42681</v>
      </c>
      <c r="B316" s="94" t="s">
        <v>2145</v>
      </c>
      <c r="C316" s="94">
        <v>4350</v>
      </c>
      <c r="D316" s="94"/>
      <c r="E316" s="94"/>
      <c r="F316" s="115" t="s">
        <v>122</v>
      </c>
    </row>
    <row r="317" spans="1:6" ht="26.25" customHeight="1" x14ac:dyDescent="0.25">
      <c r="A317" s="95">
        <v>42682</v>
      </c>
      <c r="B317" s="94" t="s">
        <v>2145</v>
      </c>
      <c r="C317" s="94">
        <v>4350</v>
      </c>
      <c r="D317" s="94"/>
      <c r="E317" s="94"/>
      <c r="F317" s="115" t="s">
        <v>122</v>
      </c>
    </row>
    <row r="318" spans="1:6" ht="26.25" customHeight="1" x14ac:dyDescent="0.25">
      <c r="A318" s="95">
        <v>42683</v>
      </c>
      <c r="B318" s="94" t="s">
        <v>2145</v>
      </c>
      <c r="C318" s="94">
        <v>4350</v>
      </c>
      <c r="D318" s="94"/>
      <c r="E318" s="94"/>
      <c r="F318" s="115" t="s">
        <v>122</v>
      </c>
    </row>
    <row r="319" spans="1:6" ht="26.25" customHeight="1" x14ac:dyDescent="0.25">
      <c r="A319" s="95">
        <v>42684</v>
      </c>
      <c r="B319" s="94" t="s">
        <v>2145</v>
      </c>
      <c r="C319" s="94">
        <v>4350</v>
      </c>
      <c r="D319" s="94"/>
      <c r="E319" s="94"/>
      <c r="F319" s="115" t="s">
        <v>122</v>
      </c>
    </row>
    <row r="320" spans="1:6" ht="26.25" customHeight="1" x14ac:dyDescent="0.25">
      <c r="A320" s="95">
        <v>42685</v>
      </c>
      <c r="B320" s="94" t="s">
        <v>2145</v>
      </c>
      <c r="C320" s="94">
        <v>4350</v>
      </c>
      <c r="D320" s="94"/>
      <c r="E320" s="94"/>
      <c r="F320" s="115" t="s">
        <v>122</v>
      </c>
    </row>
    <row r="321" spans="1:6" ht="26.25" customHeight="1" x14ac:dyDescent="0.25">
      <c r="A321" s="95">
        <v>42686</v>
      </c>
      <c r="B321" s="94" t="s">
        <v>2145</v>
      </c>
      <c r="C321" s="94">
        <v>4350</v>
      </c>
      <c r="D321" s="94"/>
      <c r="E321" s="94"/>
      <c r="F321" s="115" t="s">
        <v>122</v>
      </c>
    </row>
    <row r="322" spans="1:6" ht="26.25" customHeight="1" x14ac:dyDescent="0.25">
      <c r="A322" s="95">
        <v>42687</v>
      </c>
      <c r="B322" s="94" t="s">
        <v>2145</v>
      </c>
      <c r="C322" s="94">
        <v>4350</v>
      </c>
      <c r="D322" s="94"/>
      <c r="E322" s="94"/>
      <c r="F322" s="115" t="s">
        <v>122</v>
      </c>
    </row>
    <row r="323" spans="1:6" ht="26.25" customHeight="1" x14ac:dyDescent="0.25">
      <c r="A323" s="95">
        <v>42688</v>
      </c>
      <c r="B323" s="94" t="s">
        <v>2145</v>
      </c>
      <c r="C323" s="94">
        <v>4350</v>
      </c>
      <c r="D323" s="94"/>
      <c r="E323" s="94"/>
      <c r="F323" s="115" t="s">
        <v>122</v>
      </c>
    </row>
    <row r="324" spans="1:6" ht="26.25" customHeight="1" x14ac:dyDescent="0.25">
      <c r="A324" s="95">
        <v>42689</v>
      </c>
      <c r="B324" s="94" t="s">
        <v>2145</v>
      </c>
      <c r="C324" s="94">
        <v>4350</v>
      </c>
      <c r="D324" s="94"/>
      <c r="E324" s="94"/>
      <c r="F324" s="115" t="s">
        <v>122</v>
      </c>
    </row>
    <row r="325" spans="1:6" ht="26.25" customHeight="1" x14ac:dyDescent="0.25">
      <c r="A325" s="95">
        <v>42690</v>
      </c>
      <c r="B325" s="94" t="s">
        <v>2145</v>
      </c>
      <c r="C325" s="94">
        <v>4350</v>
      </c>
      <c r="D325" s="94"/>
      <c r="E325" s="94"/>
      <c r="F325" s="115" t="s">
        <v>122</v>
      </c>
    </row>
    <row r="326" spans="1:6" ht="26.25" customHeight="1" x14ac:dyDescent="0.25">
      <c r="A326" s="95">
        <v>42691</v>
      </c>
      <c r="B326" s="94" t="s">
        <v>2145</v>
      </c>
      <c r="C326" s="94">
        <v>4350</v>
      </c>
      <c r="D326" s="94"/>
      <c r="E326" s="94"/>
      <c r="F326" s="115" t="s">
        <v>122</v>
      </c>
    </row>
    <row r="327" spans="1:6" ht="26.25" customHeight="1" x14ac:dyDescent="0.25">
      <c r="A327" s="95">
        <v>42692</v>
      </c>
      <c r="B327" s="94" t="s">
        <v>2146</v>
      </c>
      <c r="C327" s="94">
        <v>4450</v>
      </c>
      <c r="D327" s="94"/>
      <c r="E327" s="94"/>
      <c r="F327" s="115" t="s">
        <v>122</v>
      </c>
    </row>
    <row r="328" spans="1:6" ht="26.25" customHeight="1" x14ac:dyDescent="0.25">
      <c r="A328" s="95">
        <v>42693</v>
      </c>
      <c r="B328" s="94" t="s">
        <v>2109</v>
      </c>
      <c r="C328" s="94">
        <v>4500</v>
      </c>
      <c r="D328" s="94"/>
      <c r="E328" s="94"/>
      <c r="F328" s="115" t="s">
        <v>122</v>
      </c>
    </row>
    <row r="329" spans="1:6" ht="26.25" customHeight="1" x14ac:dyDescent="0.25">
      <c r="A329" s="95">
        <v>42694</v>
      </c>
      <c r="B329" s="94" t="s">
        <v>2147</v>
      </c>
      <c r="C329" s="94">
        <v>4600</v>
      </c>
      <c r="D329" s="94"/>
      <c r="E329" s="94"/>
      <c r="F329" s="115" t="s">
        <v>122</v>
      </c>
    </row>
    <row r="330" spans="1:6" ht="26.25" customHeight="1" x14ac:dyDescent="0.25">
      <c r="A330" s="95">
        <v>42695</v>
      </c>
      <c r="B330" s="94" t="s">
        <v>2147</v>
      </c>
      <c r="C330" s="94">
        <v>4600</v>
      </c>
      <c r="D330" s="94"/>
      <c r="E330" s="94"/>
      <c r="F330" s="115" t="s">
        <v>122</v>
      </c>
    </row>
    <row r="331" spans="1:6" ht="26.25" customHeight="1" x14ac:dyDescent="0.25">
      <c r="A331" s="95">
        <v>42696</v>
      </c>
      <c r="B331" s="94" t="s">
        <v>2106</v>
      </c>
      <c r="C331" s="94">
        <v>4900</v>
      </c>
      <c r="D331" s="94"/>
      <c r="E331" s="94"/>
      <c r="F331" s="115" t="s">
        <v>122</v>
      </c>
    </row>
    <row r="332" spans="1:6" ht="26.25" customHeight="1" x14ac:dyDescent="0.25">
      <c r="A332" s="95">
        <v>42697</v>
      </c>
      <c r="B332" s="94" t="s">
        <v>2148</v>
      </c>
      <c r="C332" s="94">
        <v>5100</v>
      </c>
      <c r="D332" s="94"/>
      <c r="E332" s="94"/>
      <c r="F332" s="115" t="s">
        <v>122</v>
      </c>
    </row>
    <row r="333" spans="1:6" ht="26.25" customHeight="1" x14ac:dyDescent="0.25">
      <c r="A333" s="95">
        <v>42698</v>
      </c>
      <c r="B333" s="94" t="s">
        <v>2102</v>
      </c>
      <c r="C333" s="94">
        <v>5250</v>
      </c>
      <c r="D333" s="94"/>
      <c r="E333" s="94"/>
      <c r="F333" s="115" t="s">
        <v>122</v>
      </c>
    </row>
    <row r="334" spans="1:6" ht="26.25" customHeight="1" x14ac:dyDescent="0.25">
      <c r="A334" s="95">
        <v>42699</v>
      </c>
      <c r="B334" s="94" t="s">
        <v>2149</v>
      </c>
      <c r="C334" s="94">
        <v>5350</v>
      </c>
      <c r="D334" s="94"/>
      <c r="E334" s="94"/>
      <c r="F334" s="115" t="s">
        <v>122</v>
      </c>
    </row>
    <row r="335" spans="1:6" ht="26.25" customHeight="1" x14ac:dyDescent="0.25">
      <c r="A335" s="95">
        <v>42700</v>
      </c>
      <c r="B335" s="94" t="s">
        <v>2150</v>
      </c>
      <c r="C335" s="94">
        <v>5500</v>
      </c>
      <c r="D335" s="94"/>
      <c r="E335" s="94"/>
      <c r="F335" s="115" t="s">
        <v>122</v>
      </c>
    </row>
    <row r="336" spans="1:6" ht="26.25" customHeight="1" x14ac:dyDescent="0.25">
      <c r="A336" s="95">
        <v>42701</v>
      </c>
      <c r="B336" s="94" t="s">
        <v>2150</v>
      </c>
      <c r="C336" s="94">
        <v>5500</v>
      </c>
      <c r="D336" s="94"/>
      <c r="E336" s="94"/>
      <c r="F336" s="115" t="s">
        <v>122</v>
      </c>
    </row>
    <row r="337" spans="1:6" ht="26.25" customHeight="1" x14ac:dyDescent="0.25">
      <c r="A337" s="95">
        <v>42702</v>
      </c>
      <c r="B337" s="94" t="s">
        <v>2150</v>
      </c>
      <c r="C337" s="94">
        <v>5500</v>
      </c>
      <c r="D337" s="94"/>
      <c r="E337" s="94"/>
      <c r="F337" s="115" t="s">
        <v>122</v>
      </c>
    </row>
    <row r="338" spans="1:6" ht="26.25" customHeight="1" x14ac:dyDescent="0.25">
      <c r="A338" s="95">
        <v>42703</v>
      </c>
      <c r="B338" s="94" t="s">
        <v>2150</v>
      </c>
      <c r="C338" s="94">
        <v>5500</v>
      </c>
      <c r="D338" s="94"/>
      <c r="E338" s="94"/>
      <c r="F338" s="115" t="s">
        <v>122</v>
      </c>
    </row>
    <row r="339" spans="1:6" ht="26.25" customHeight="1" x14ac:dyDescent="0.25">
      <c r="A339" s="95">
        <v>42704</v>
      </c>
      <c r="B339" s="94" t="s">
        <v>2150</v>
      </c>
      <c r="C339" s="94">
        <v>5500</v>
      </c>
      <c r="D339" s="94"/>
      <c r="E339" s="94"/>
      <c r="F339" s="115" t="s">
        <v>122</v>
      </c>
    </row>
    <row r="340" spans="1:6" ht="26.25" customHeight="1" x14ac:dyDescent="0.25">
      <c r="A340" s="95">
        <v>42705</v>
      </c>
      <c r="B340" s="94" t="s">
        <v>2150</v>
      </c>
      <c r="C340" s="94">
        <v>5500</v>
      </c>
      <c r="D340" s="94"/>
      <c r="E340" s="94"/>
      <c r="F340" s="115" t="s">
        <v>122</v>
      </c>
    </row>
    <row r="341" spans="1:6" ht="26.25" customHeight="1" x14ac:dyDescent="0.25">
      <c r="A341" s="95">
        <v>42706</v>
      </c>
      <c r="B341" s="94" t="s">
        <v>2150</v>
      </c>
      <c r="C341" s="94">
        <v>5500</v>
      </c>
      <c r="D341" s="94"/>
      <c r="E341" s="94"/>
      <c r="F341" s="115" t="s">
        <v>122</v>
      </c>
    </row>
    <row r="342" spans="1:6" ht="26.25" customHeight="1" x14ac:dyDescent="0.25">
      <c r="A342" s="95">
        <v>42707</v>
      </c>
      <c r="B342" s="94" t="s">
        <v>2150</v>
      </c>
      <c r="C342" s="94">
        <v>5500</v>
      </c>
      <c r="D342" s="94"/>
      <c r="E342" s="94"/>
      <c r="F342" s="115" t="s">
        <v>122</v>
      </c>
    </row>
    <row r="343" spans="1:6" ht="26.25" customHeight="1" x14ac:dyDescent="0.25">
      <c r="A343" s="95">
        <v>42708</v>
      </c>
      <c r="B343" s="94" t="s">
        <v>2150</v>
      </c>
      <c r="C343" s="94">
        <v>5500</v>
      </c>
      <c r="D343" s="94"/>
      <c r="E343" s="94"/>
      <c r="F343" s="115" t="s">
        <v>122</v>
      </c>
    </row>
    <row r="344" spans="1:6" ht="26.25" customHeight="1" x14ac:dyDescent="0.25">
      <c r="A344" s="95">
        <v>42709</v>
      </c>
      <c r="B344" s="94" t="s">
        <v>2150</v>
      </c>
      <c r="C344" s="94">
        <v>5500</v>
      </c>
      <c r="D344" s="94"/>
      <c r="E344" s="94"/>
      <c r="F344" s="115" t="s">
        <v>122</v>
      </c>
    </row>
    <row r="345" spans="1:6" ht="26.25" customHeight="1" x14ac:dyDescent="0.25">
      <c r="A345" s="95">
        <v>42710</v>
      </c>
      <c r="B345" s="94" t="s">
        <v>2150</v>
      </c>
      <c r="C345" s="94">
        <v>5500</v>
      </c>
      <c r="D345" s="94"/>
      <c r="E345" s="94"/>
      <c r="F345" s="115" t="s">
        <v>122</v>
      </c>
    </row>
    <row r="346" spans="1:6" ht="26.25" customHeight="1" x14ac:dyDescent="0.25">
      <c r="A346" s="95">
        <v>42711</v>
      </c>
      <c r="B346" s="94" t="s">
        <v>2150</v>
      </c>
      <c r="C346" s="94">
        <v>5500</v>
      </c>
      <c r="D346" s="94"/>
      <c r="E346" s="94"/>
      <c r="F346" s="115" t="s">
        <v>122</v>
      </c>
    </row>
    <row r="347" spans="1:6" ht="26.25" customHeight="1" x14ac:dyDescent="0.25">
      <c r="A347" s="95">
        <v>42712</v>
      </c>
      <c r="B347" s="94" t="s">
        <v>2150</v>
      </c>
      <c r="C347" s="94">
        <v>5500</v>
      </c>
      <c r="D347" s="94"/>
      <c r="E347" s="94"/>
      <c r="F347" s="115" t="s">
        <v>122</v>
      </c>
    </row>
    <row r="348" spans="1:6" ht="26.25" customHeight="1" x14ac:dyDescent="0.25">
      <c r="A348" s="95">
        <v>42713</v>
      </c>
      <c r="B348" s="94" t="s">
        <v>2150</v>
      </c>
      <c r="C348" s="94">
        <v>5500</v>
      </c>
      <c r="D348" s="94"/>
      <c r="E348" s="94"/>
      <c r="F348" s="115" t="s">
        <v>122</v>
      </c>
    </row>
    <row r="349" spans="1:6" ht="26.25" customHeight="1" x14ac:dyDescent="0.25">
      <c r="A349" s="95">
        <v>42714</v>
      </c>
      <c r="B349" s="94" t="s">
        <v>2150</v>
      </c>
      <c r="C349" s="94">
        <v>5500</v>
      </c>
      <c r="D349" s="94"/>
      <c r="E349" s="94"/>
      <c r="F349" s="115" t="s">
        <v>122</v>
      </c>
    </row>
    <row r="350" spans="1:6" ht="26.25" customHeight="1" x14ac:dyDescent="0.25">
      <c r="A350" s="95">
        <v>42715</v>
      </c>
      <c r="B350" s="94" t="s">
        <v>2150</v>
      </c>
      <c r="C350" s="94">
        <v>5500</v>
      </c>
      <c r="D350" s="94"/>
      <c r="E350" s="94"/>
      <c r="F350" s="115" t="s">
        <v>122</v>
      </c>
    </row>
    <row r="351" spans="1:6" ht="26.25" customHeight="1" x14ac:dyDescent="0.25">
      <c r="A351" s="95">
        <v>42716</v>
      </c>
      <c r="B351" s="94" t="s">
        <v>2150</v>
      </c>
      <c r="C351" s="94">
        <v>5500</v>
      </c>
      <c r="D351" s="94"/>
      <c r="E351" s="94"/>
      <c r="F351" s="115" t="s">
        <v>122</v>
      </c>
    </row>
    <row r="352" spans="1:6" ht="26.25" customHeight="1" x14ac:dyDescent="0.25">
      <c r="A352" s="95">
        <v>42717</v>
      </c>
      <c r="B352" s="94" t="s">
        <v>2150</v>
      </c>
      <c r="C352" s="94">
        <v>5500</v>
      </c>
      <c r="D352" s="94"/>
      <c r="E352" s="94"/>
      <c r="F352" s="115" t="s">
        <v>122</v>
      </c>
    </row>
    <row r="353" spans="1:6" ht="26.25" customHeight="1" x14ac:dyDescent="0.25">
      <c r="A353" s="95">
        <v>42718</v>
      </c>
      <c r="B353" s="94" t="s">
        <v>2150</v>
      </c>
      <c r="C353" s="94">
        <v>5500</v>
      </c>
      <c r="D353" s="94"/>
      <c r="E353" s="94"/>
      <c r="F353" s="115" t="s">
        <v>122</v>
      </c>
    </row>
    <row r="354" spans="1:6" ht="26.25" customHeight="1" x14ac:dyDescent="0.25">
      <c r="A354" s="95">
        <v>42719</v>
      </c>
      <c r="B354" s="94" t="s">
        <v>2150</v>
      </c>
      <c r="C354" s="94">
        <v>5500</v>
      </c>
      <c r="D354" s="94"/>
      <c r="E354" s="94"/>
      <c r="F354" s="115" t="s">
        <v>122</v>
      </c>
    </row>
    <row r="355" spans="1:6" ht="26.25" customHeight="1" x14ac:dyDescent="0.25">
      <c r="A355" s="95">
        <v>42720</v>
      </c>
      <c r="B355" s="94" t="s">
        <v>2150</v>
      </c>
      <c r="C355" s="94">
        <v>5500</v>
      </c>
      <c r="D355" s="94"/>
      <c r="E355" s="94"/>
      <c r="F355" s="115" t="s">
        <v>122</v>
      </c>
    </row>
    <row r="356" spans="1:6" ht="26.25" customHeight="1" x14ac:dyDescent="0.25">
      <c r="A356" s="95">
        <v>42721</v>
      </c>
      <c r="B356" s="94" t="s">
        <v>2150</v>
      </c>
      <c r="C356" s="94">
        <v>5500</v>
      </c>
      <c r="D356" s="94"/>
      <c r="E356" s="94"/>
      <c r="F356" s="115" t="s">
        <v>122</v>
      </c>
    </row>
    <row r="357" spans="1:6" ht="26.25" customHeight="1" x14ac:dyDescent="0.25">
      <c r="A357" s="95">
        <v>42722</v>
      </c>
      <c r="B357" s="94" t="s">
        <v>2150</v>
      </c>
      <c r="C357" s="94">
        <v>5500</v>
      </c>
      <c r="D357" s="94"/>
      <c r="E357" s="94"/>
      <c r="F357" s="115" t="s">
        <v>122</v>
      </c>
    </row>
    <row r="358" spans="1:6" ht="26.25" customHeight="1" x14ac:dyDescent="0.25">
      <c r="A358" s="95">
        <v>42723</v>
      </c>
      <c r="B358" s="94" t="s">
        <v>2150</v>
      </c>
      <c r="C358" s="94">
        <v>5500</v>
      </c>
      <c r="D358" s="94"/>
      <c r="E358" s="94"/>
      <c r="F358" s="115" t="s">
        <v>122</v>
      </c>
    </row>
    <row r="359" spans="1:6" ht="26.25" customHeight="1" x14ac:dyDescent="0.25">
      <c r="A359" s="95">
        <v>42724</v>
      </c>
      <c r="B359" s="94" t="s">
        <v>2099</v>
      </c>
      <c r="C359" s="94">
        <v>5800</v>
      </c>
      <c r="D359" s="94"/>
      <c r="E359" s="94"/>
      <c r="F359" s="115" t="s">
        <v>122</v>
      </c>
    </row>
    <row r="360" spans="1:6" ht="26.25" customHeight="1" x14ac:dyDescent="0.25">
      <c r="A360" s="95">
        <v>42725</v>
      </c>
      <c r="B360" s="94" t="s">
        <v>2099</v>
      </c>
      <c r="C360" s="94">
        <v>5800</v>
      </c>
      <c r="D360" s="94"/>
      <c r="E360" s="94"/>
      <c r="F360" s="115" t="s">
        <v>122</v>
      </c>
    </row>
    <row r="361" spans="1:6" ht="26.25" customHeight="1" x14ac:dyDescent="0.25">
      <c r="A361" s="95">
        <v>42726</v>
      </c>
      <c r="B361" s="94" t="s">
        <v>2099</v>
      </c>
      <c r="C361" s="94">
        <v>5800</v>
      </c>
      <c r="D361" s="94"/>
      <c r="E361" s="94"/>
      <c r="F361" s="115" t="s">
        <v>122</v>
      </c>
    </row>
    <row r="362" spans="1:6" ht="26.25" customHeight="1" x14ac:dyDescent="0.25">
      <c r="A362" s="95">
        <v>42727</v>
      </c>
      <c r="B362" s="94" t="s">
        <v>2099</v>
      </c>
      <c r="C362" s="94">
        <v>5800</v>
      </c>
      <c r="D362" s="94"/>
      <c r="E362" s="94"/>
      <c r="F362" s="115" t="s">
        <v>122</v>
      </c>
    </row>
    <row r="363" spans="1:6" ht="26.25" customHeight="1" x14ac:dyDescent="0.25">
      <c r="A363" s="95">
        <v>42728</v>
      </c>
      <c r="B363" s="94" t="s">
        <v>2151</v>
      </c>
      <c r="C363" s="94">
        <v>5850</v>
      </c>
      <c r="D363" s="94"/>
      <c r="E363" s="94"/>
      <c r="F363" s="115" t="s">
        <v>122</v>
      </c>
    </row>
    <row r="364" spans="1:6" ht="26.25" customHeight="1" x14ac:dyDescent="0.25">
      <c r="A364" s="95">
        <v>42729</v>
      </c>
      <c r="B364" s="94" t="s">
        <v>2151</v>
      </c>
      <c r="C364" s="94">
        <v>5850</v>
      </c>
      <c r="D364" s="94"/>
      <c r="E364" s="94"/>
      <c r="F364" s="115" t="s">
        <v>122</v>
      </c>
    </row>
    <row r="365" spans="1:6" ht="26.25" customHeight="1" x14ac:dyDescent="0.25">
      <c r="A365" s="95">
        <v>42730</v>
      </c>
      <c r="B365" s="94" t="s">
        <v>2151</v>
      </c>
      <c r="C365" s="94">
        <v>5850</v>
      </c>
      <c r="D365" s="94"/>
      <c r="E365" s="94"/>
      <c r="F365" s="115" t="s">
        <v>122</v>
      </c>
    </row>
    <row r="366" spans="1:6" ht="26.25" customHeight="1" x14ac:dyDescent="0.25">
      <c r="A366" s="95">
        <v>42731</v>
      </c>
      <c r="B366" s="94" t="s">
        <v>2151</v>
      </c>
      <c r="C366" s="94">
        <v>5850</v>
      </c>
      <c r="D366" s="94"/>
      <c r="E366" s="94"/>
      <c r="F366" s="115" t="s">
        <v>122</v>
      </c>
    </row>
    <row r="367" spans="1:6" ht="26.25" customHeight="1" x14ac:dyDescent="0.25">
      <c r="A367" s="95">
        <v>42732</v>
      </c>
      <c r="B367" s="94" t="s">
        <v>2151</v>
      </c>
      <c r="C367" s="94">
        <v>5850</v>
      </c>
      <c r="D367" s="94"/>
      <c r="E367" s="94"/>
      <c r="F367" s="115" t="s">
        <v>122</v>
      </c>
    </row>
    <row r="368" spans="1:6" ht="26.25" customHeight="1" x14ac:dyDescent="0.25">
      <c r="A368" s="95">
        <v>42733</v>
      </c>
      <c r="B368" s="94" t="s">
        <v>2098</v>
      </c>
      <c r="C368" s="94">
        <v>5900</v>
      </c>
      <c r="D368" s="94"/>
      <c r="E368" s="94"/>
      <c r="F368" s="115" t="s">
        <v>122</v>
      </c>
    </row>
    <row r="369" spans="1:6" ht="26.25" customHeight="1" x14ac:dyDescent="0.25">
      <c r="A369" s="95">
        <v>42734</v>
      </c>
      <c r="B369" s="94" t="s">
        <v>2098</v>
      </c>
      <c r="C369" s="94">
        <v>5900</v>
      </c>
      <c r="D369" s="94"/>
      <c r="E369" s="94"/>
      <c r="F369" s="115" t="s">
        <v>122</v>
      </c>
    </row>
    <row r="370" spans="1:6" ht="26.25" customHeight="1" thickBot="1" x14ac:dyDescent="0.3">
      <c r="A370" s="97">
        <v>42735</v>
      </c>
      <c r="B370" s="117" t="s">
        <v>2098</v>
      </c>
      <c r="C370" s="117">
        <v>5900</v>
      </c>
      <c r="D370" s="117"/>
      <c r="E370" s="117"/>
      <c r="F370" s="118" t="s">
        <v>122</v>
      </c>
    </row>
  </sheetData>
  <mergeCells count="8">
    <mergeCell ref="A1:F1"/>
    <mergeCell ref="D3:E3"/>
    <mergeCell ref="A2:F2"/>
    <mergeCell ref="F3:F4"/>
    <mergeCell ref="C267:C311"/>
    <mergeCell ref="A3:A4"/>
    <mergeCell ref="B3:B4"/>
    <mergeCell ref="C3:C4"/>
  </mergeCells>
  <printOptions horizontalCentered="1"/>
  <pageMargins left="1.2"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69"/>
  <sheetViews>
    <sheetView topLeftCell="A7" workbookViewId="0">
      <selection activeCell="A8" sqref="A8"/>
    </sheetView>
  </sheetViews>
  <sheetFormatPr defaultRowHeight="15" x14ac:dyDescent="0.25"/>
  <cols>
    <col min="1" max="1" width="12" customWidth="1"/>
    <col min="2" max="2" width="10.7109375" customWidth="1"/>
    <col min="3" max="3" width="9.140625" style="257"/>
    <col min="4" max="5" width="7.28515625" customWidth="1"/>
    <col min="6" max="6" width="5.85546875" customWidth="1"/>
    <col min="7" max="7" width="8.140625" customWidth="1"/>
    <col min="8" max="8" width="11.42578125" customWidth="1"/>
  </cols>
  <sheetData>
    <row r="1" spans="1:8" ht="24" customHeight="1" x14ac:dyDescent="0.25">
      <c r="A1" s="494" t="s">
        <v>2704</v>
      </c>
      <c r="B1" s="494"/>
      <c r="C1" s="494"/>
      <c r="D1" s="494"/>
      <c r="E1" s="494"/>
      <c r="F1" s="494"/>
      <c r="G1" s="494"/>
      <c r="H1" s="494"/>
    </row>
    <row r="2" spans="1:8" ht="10.5" customHeight="1" thickBot="1" x14ac:dyDescent="0.3">
      <c r="A2" s="495"/>
      <c r="B2" s="495"/>
      <c r="C2" s="495"/>
      <c r="D2" s="495"/>
      <c r="E2" s="495"/>
      <c r="F2" s="495"/>
      <c r="G2" s="495"/>
      <c r="H2" s="495"/>
    </row>
    <row r="3" spans="1:8" ht="20.25" customHeight="1" x14ac:dyDescent="0.25">
      <c r="A3" s="491" t="s">
        <v>0</v>
      </c>
      <c r="B3" s="489" t="s">
        <v>2705</v>
      </c>
      <c r="C3" s="489" t="s">
        <v>2293</v>
      </c>
      <c r="D3" s="493" t="s">
        <v>1893</v>
      </c>
      <c r="E3" s="493"/>
      <c r="F3" s="493"/>
      <c r="G3" s="493"/>
      <c r="H3" s="496" t="s">
        <v>2670</v>
      </c>
    </row>
    <row r="4" spans="1:8" ht="33" customHeight="1" thickBot="1" x14ac:dyDescent="0.3">
      <c r="A4" s="492"/>
      <c r="B4" s="490"/>
      <c r="C4" s="490"/>
      <c r="D4" s="158" t="s">
        <v>1775</v>
      </c>
      <c r="E4" s="98" t="s">
        <v>735</v>
      </c>
      <c r="F4" s="98" t="s">
        <v>1774</v>
      </c>
      <c r="G4" s="98" t="s">
        <v>735</v>
      </c>
      <c r="H4" s="497"/>
    </row>
    <row r="5" spans="1:8" s="103" customFormat="1" ht="27" customHeight="1" x14ac:dyDescent="0.25">
      <c r="A5" s="99">
        <v>42736</v>
      </c>
      <c r="B5" s="100" t="s">
        <v>1967</v>
      </c>
      <c r="C5" s="101">
        <v>5900</v>
      </c>
      <c r="D5" s="101" t="s">
        <v>122</v>
      </c>
      <c r="E5" s="101" t="s">
        <v>122</v>
      </c>
      <c r="F5" s="101" t="s">
        <v>122</v>
      </c>
      <c r="G5" s="101" t="s">
        <v>122</v>
      </c>
      <c r="H5" s="102" t="s">
        <v>122</v>
      </c>
    </row>
    <row r="6" spans="1:8" s="103" customFormat="1" ht="27" customHeight="1" x14ac:dyDescent="0.25">
      <c r="A6" s="104">
        <v>42737</v>
      </c>
      <c r="B6" s="105" t="s">
        <v>1967</v>
      </c>
      <c r="C6" s="106">
        <v>5900</v>
      </c>
      <c r="D6" s="106" t="s">
        <v>122</v>
      </c>
      <c r="E6" s="106" t="s">
        <v>122</v>
      </c>
      <c r="F6" s="106" t="s">
        <v>122</v>
      </c>
      <c r="G6" s="106" t="s">
        <v>122</v>
      </c>
      <c r="H6" s="107" t="s">
        <v>122</v>
      </c>
    </row>
    <row r="7" spans="1:8" s="103" customFormat="1" ht="27" customHeight="1" x14ac:dyDescent="0.25">
      <c r="A7" s="104">
        <v>42738</v>
      </c>
      <c r="B7" s="105" t="s">
        <v>1967</v>
      </c>
      <c r="C7" s="106">
        <v>5900</v>
      </c>
      <c r="D7" s="106" t="s">
        <v>122</v>
      </c>
      <c r="E7" s="106" t="s">
        <v>122</v>
      </c>
      <c r="F7" s="106" t="s">
        <v>122</v>
      </c>
      <c r="G7" s="106" t="s">
        <v>122</v>
      </c>
      <c r="H7" s="107" t="s">
        <v>122</v>
      </c>
    </row>
    <row r="8" spans="1:8" s="103" customFormat="1" ht="27" customHeight="1" x14ac:dyDescent="0.25">
      <c r="A8" s="104">
        <v>42739</v>
      </c>
      <c r="B8" s="105" t="s">
        <v>1967</v>
      </c>
      <c r="C8" s="106">
        <v>5900</v>
      </c>
      <c r="D8" s="106" t="s">
        <v>122</v>
      </c>
      <c r="E8" s="106" t="s">
        <v>122</v>
      </c>
      <c r="F8" s="106" t="s">
        <v>122</v>
      </c>
      <c r="G8" s="106" t="s">
        <v>122</v>
      </c>
      <c r="H8" s="107" t="s">
        <v>122</v>
      </c>
    </row>
    <row r="9" spans="1:8" s="103" customFormat="1" ht="27" customHeight="1" x14ac:dyDescent="0.25">
      <c r="A9" s="104">
        <v>42740</v>
      </c>
      <c r="B9" s="105" t="s">
        <v>1967</v>
      </c>
      <c r="C9" s="106">
        <v>5900</v>
      </c>
      <c r="D9" s="106" t="s">
        <v>122</v>
      </c>
      <c r="E9" s="106" t="s">
        <v>122</v>
      </c>
      <c r="F9" s="106" t="s">
        <v>122</v>
      </c>
      <c r="G9" s="106" t="s">
        <v>122</v>
      </c>
      <c r="H9" s="107" t="s">
        <v>122</v>
      </c>
    </row>
    <row r="10" spans="1:8" s="103" customFormat="1" ht="27" customHeight="1" x14ac:dyDescent="0.25">
      <c r="A10" s="104">
        <v>42741</v>
      </c>
      <c r="B10" s="105" t="s">
        <v>1967</v>
      </c>
      <c r="C10" s="106">
        <v>5900</v>
      </c>
      <c r="D10" s="106" t="s">
        <v>122</v>
      </c>
      <c r="E10" s="106" t="s">
        <v>122</v>
      </c>
      <c r="F10" s="106" t="s">
        <v>122</v>
      </c>
      <c r="G10" s="106" t="s">
        <v>122</v>
      </c>
      <c r="H10" s="107" t="s">
        <v>122</v>
      </c>
    </row>
    <row r="11" spans="1:8" s="103" customFormat="1" ht="27" customHeight="1" x14ac:dyDescent="0.25">
      <c r="A11" s="104">
        <v>42742</v>
      </c>
      <c r="B11" s="105" t="s">
        <v>1967</v>
      </c>
      <c r="C11" s="106">
        <v>5900</v>
      </c>
      <c r="D11" s="106" t="s">
        <v>122</v>
      </c>
      <c r="E11" s="106" t="s">
        <v>122</v>
      </c>
      <c r="F11" s="106" t="s">
        <v>122</v>
      </c>
      <c r="G11" s="106" t="s">
        <v>122</v>
      </c>
      <c r="H11" s="107" t="s">
        <v>122</v>
      </c>
    </row>
    <row r="12" spans="1:8" s="103" customFormat="1" ht="27" customHeight="1" x14ac:dyDescent="0.25">
      <c r="A12" s="104">
        <v>42743</v>
      </c>
      <c r="B12" s="105" t="s">
        <v>1967</v>
      </c>
      <c r="C12" s="106">
        <v>5900</v>
      </c>
      <c r="D12" s="106" t="s">
        <v>122</v>
      </c>
      <c r="E12" s="106" t="s">
        <v>122</v>
      </c>
      <c r="F12" s="106" t="s">
        <v>122</v>
      </c>
      <c r="G12" s="106" t="s">
        <v>122</v>
      </c>
      <c r="H12" s="107" t="s">
        <v>122</v>
      </c>
    </row>
    <row r="13" spans="1:8" s="103" customFormat="1" ht="27" customHeight="1" x14ac:dyDescent="0.25">
      <c r="A13" s="104">
        <v>42744</v>
      </c>
      <c r="B13" s="105" t="s">
        <v>1967</v>
      </c>
      <c r="C13" s="106">
        <v>5900</v>
      </c>
      <c r="D13" s="106" t="s">
        <v>122</v>
      </c>
      <c r="E13" s="106" t="s">
        <v>122</v>
      </c>
      <c r="F13" s="106" t="s">
        <v>122</v>
      </c>
      <c r="G13" s="106" t="s">
        <v>122</v>
      </c>
      <c r="H13" s="107" t="s">
        <v>122</v>
      </c>
    </row>
    <row r="14" spans="1:8" s="103" customFormat="1" ht="27" customHeight="1" x14ac:dyDescent="0.25">
      <c r="A14" s="104">
        <v>42745</v>
      </c>
      <c r="B14" s="105" t="s">
        <v>1967</v>
      </c>
      <c r="C14" s="106">
        <v>5900</v>
      </c>
      <c r="D14" s="106" t="s">
        <v>122</v>
      </c>
      <c r="E14" s="106" t="s">
        <v>122</v>
      </c>
      <c r="F14" s="106" t="s">
        <v>122</v>
      </c>
      <c r="G14" s="106" t="s">
        <v>122</v>
      </c>
      <c r="H14" s="107" t="s">
        <v>122</v>
      </c>
    </row>
    <row r="15" spans="1:8" s="103" customFormat="1" ht="27" customHeight="1" x14ac:dyDescent="0.25">
      <c r="A15" s="104">
        <v>42746</v>
      </c>
      <c r="B15" s="105" t="s">
        <v>1968</v>
      </c>
      <c r="C15" s="106">
        <v>5850</v>
      </c>
      <c r="D15" s="106" t="s">
        <v>122</v>
      </c>
      <c r="E15" s="106" t="s">
        <v>122</v>
      </c>
      <c r="F15" s="106" t="s">
        <v>122</v>
      </c>
      <c r="G15" s="106" t="s">
        <v>122</v>
      </c>
      <c r="H15" s="107" t="s">
        <v>122</v>
      </c>
    </row>
    <row r="16" spans="1:8" s="103" customFormat="1" ht="27" customHeight="1" x14ac:dyDescent="0.25">
      <c r="A16" s="104">
        <v>42747</v>
      </c>
      <c r="B16" s="105" t="s">
        <v>1968</v>
      </c>
      <c r="C16" s="106">
        <v>5850</v>
      </c>
      <c r="D16" s="106" t="s">
        <v>122</v>
      </c>
      <c r="E16" s="106" t="s">
        <v>122</v>
      </c>
      <c r="F16" s="106" t="s">
        <v>122</v>
      </c>
      <c r="G16" s="106" t="s">
        <v>122</v>
      </c>
      <c r="H16" s="107" t="s">
        <v>122</v>
      </c>
    </row>
    <row r="17" spans="1:8" s="103" customFormat="1" ht="27" customHeight="1" x14ac:dyDescent="0.25">
      <c r="A17" s="104">
        <v>42748</v>
      </c>
      <c r="B17" s="105" t="s">
        <v>1968</v>
      </c>
      <c r="C17" s="106">
        <v>5850</v>
      </c>
      <c r="D17" s="106" t="s">
        <v>122</v>
      </c>
      <c r="E17" s="106" t="s">
        <v>122</v>
      </c>
      <c r="F17" s="106" t="s">
        <v>122</v>
      </c>
      <c r="G17" s="106" t="s">
        <v>122</v>
      </c>
      <c r="H17" s="107" t="s">
        <v>122</v>
      </c>
    </row>
    <row r="18" spans="1:8" s="103" customFormat="1" ht="27" customHeight="1" x14ac:dyDescent="0.25">
      <c r="A18" s="104">
        <v>42749</v>
      </c>
      <c r="B18" s="105" t="s">
        <v>1968</v>
      </c>
      <c r="C18" s="106">
        <v>5850</v>
      </c>
      <c r="D18" s="106" t="s">
        <v>122</v>
      </c>
      <c r="E18" s="106" t="s">
        <v>122</v>
      </c>
      <c r="F18" s="106" t="s">
        <v>122</v>
      </c>
      <c r="G18" s="106" t="s">
        <v>122</v>
      </c>
      <c r="H18" s="107" t="s">
        <v>122</v>
      </c>
    </row>
    <row r="19" spans="1:8" s="103" customFormat="1" ht="27" customHeight="1" x14ac:dyDescent="0.25">
      <c r="A19" s="104">
        <v>42750</v>
      </c>
      <c r="B19" s="105" t="s">
        <v>1968</v>
      </c>
      <c r="C19" s="106">
        <v>5850</v>
      </c>
      <c r="D19" s="106" t="s">
        <v>122</v>
      </c>
      <c r="E19" s="106" t="s">
        <v>122</v>
      </c>
      <c r="F19" s="106" t="s">
        <v>122</v>
      </c>
      <c r="G19" s="106" t="s">
        <v>122</v>
      </c>
      <c r="H19" s="107" t="s">
        <v>122</v>
      </c>
    </row>
    <row r="20" spans="1:8" s="103" customFormat="1" ht="27" customHeight="1" x14ac:dyDescent="0.25">
      <c r="A20" s="104">
        <v>42751</v>
      </c>
      <c r="B20" s="105" t="s">
        <v>1969</v>
      </c>
      <c r="C20" s="106">
        <v>5800</v>
      </c>
      <c r="D20" s="106" t="s">
        <v>122</v>
      </c>
      <c r="E20" s="106" t="s">
        <v>122</v>
      </c>
      <c r="F20" s="106" t="s">
        <v>122</v>
      </c>
      <c r="G20" s="106" t="s">
        <v>122</v>
      </c>
      <c r="H20" s="107" t="s">
        <v>122</v>
      </c>
    </row>
    <row r="21" spans="1:8" s="103" customFormat="1" ht="27" customHeight="1" x14ac:dyDescent="0.25">
      <c r="A21" s="104">
        <v>42752</v>
      </c>
      <c r="B21" s="105" t="s">
        <v>1969</v>
      </c>
      <c r="C21" s="106">
        <v>5800</v>
      </c>
      <c r="D21" s="106" t="s">
        <v>122</v>
      </c>
      <c r="E21" s="106" t="s">
        <v>122</v>
      </c>
      <c r="F21" s="106" t="s">
        <v>122</v>
      </c>
      <c r="G21" s="106" t="s">
        <v>122</v>
      </c>
      <c r="H21" s="107" t="s">
        <v>122</v>
      </c>
    </row>
    <row r="22" spans="1:8" s="103" customFormat="1" ht="27" customHeight="1" x14ac:dyDescent="0.25">
      <c r="A22" s="104">
        <v>42753</v>
      </c>
      <c r="B22" s="105" t="s">
        <v>1969</v>
      </c>
      <c r="C22" s="106">
        <v>5800</v>
      </c>
      <c r="D22" s="106" t="s">
        <v>122</v>
      </c>
      <c r="E22" s="106" t="s">
        <v>122</v>
      </c>
      <c r="F22" s="106" t="s">
        <v>122</v>
      </c>
      <c r="G22" s="106" t="s">
        <v>122</v>
      </c>
      <c r="H22" s="107" t="s">
        <v>122</v>
      </c>
    </row>
    <row r="23" spans="1:8" s="103" customFormat="1" ht="27" customHeight="1" x14ac:dyDescent="0.25">
      <c r="A23" s="104">
        <v>42754</v>
      </c>
      <c r="B23" s="105" t="s">
        <v>1969</v>
      </c>
      <c r="C23" s="106">
        <v>5800</v>
      </c>
      <c r="D23" s="106" t="s">
        <v>122</v>
      </c>
      <c r="E23" s="106" t="s">
        <v>122</v>
      </c>
      <c r="F23" s="106" t="s">
        <v>122</v>
      </c>
      <c r="G23" s="106" t="s">
        <v>122</v>
      </c>
      <c r="H23" s="107" t="s">
        <v>122</v>
      </c>
    </row>
    <row r="24" spans="1:8" s="103" customFormat="1" ht="27" customHeight="1" x14ac:dyDescent="0.25">
      <c r="A24" s="104">
        <v>42755</v>
      </c>
      <c r="B24" s="105" t="s">
        <v>1969</v>
      </c>
      <c r="C24" s="106">
        <v>5800</v>
      </c>
      <c r="D24" s="106" t="s">
        <v>122</v>
      </c>
      <c r="E24" s="106" t="s">
        <v>122</v>
      </c>
      <c r="F24" s="106" t="s">
        <v>122</v>
      </c>
      <c r="G24" s="106" t="s">
        <v>122</v>
      </c>
      <c r="H24" s="107" t="s">
        <v>122</v>
      </c>
    </row>
    <row r="25" spans="1:8" s="103" customFormat="1" ht="27" customHeight="1" x14ac:dyDescent="0.25">
      <c r="A25" s="104">
        <v>42756</v>
      </c>
      <c r="B25" s="105" t="s">
        <v>1969</v>
      </c>
      <c r="C25" s="106">
        <v>5800</v>
      </c>
      <c r="D25" s="106" t="s">
        <v>122</v>
      </c>
      <c r="E25" s="106" t="s">
        <v>122</v>
      </c>
      <c r="F25" s="106" t="s">
        <v>122</v>
      </c>
      <c r="G25" s="106" t="s">
        <v>122</v>
      </c>
      <c r="H25" s="107" t="s">
        <v>122</v>
      </c>
    </row>
    <row r="26" spans="1:8" s="103" customFormat="1" ht="27" customHeight="1" x14ac:dyDescent="0.25">
      <c r="A26" s="104">
        <v>42757</v>
      </c>
      <c r="B26" s="105" t="s">
        <v>1970</v>
      </c>
      <c r="C26" s="106">
        <v>5700</v>
      </c>
      <c r="D26" s="106" t="s">
        <v>122</v>
      </c>
      <c r="E26" s="106" t="s">
        <v>122</v>
      </c>
      <c r="F26" s="106" t="s">
        <v>122</v>
      </c>
      <c r="G26" s="106" t="s">
        <v>122</v>
      </c>
      <c r="H26" s="107" t="s">
        <v>122</v>
      </c>
    </row>
    <row r="27" spans="1:8" s="103" customFormat="1" ht="27" customHeight="1" x14ac:dyDescent="0.25">
      <c r="A27" s="104">
        <v>42758</v>
      </c>
      <c r="B27" s="105" t="s">
        <v>1970</v>
      </c>
      <c r="C27" s="106">
        <v>5700</v>
      </c>
      <c r="D27" s="106" t="s">
        <v>122</v>
      </c>
      <c r="E27" s="106" t="s">
        <v>122</v>
      </c>
      <c r="F27" s="106" t="s">
        <v>122</v>
      </c>
      <c r="G27" s="106" t="s">
        <v>122</v>
      </c>
      <c r="H27" s="107" t="s">
        <v>122</v>
      </c>
    </row>
    <row r="28" spans="1:8" s="103" customFormat="1" ht="27" customHeight="1" x14ac:dyDescent="0.25">
      <c r="A28" s="104">
        <v>42759</v>
      </c>
      <c r="B28" s="105" t="s">
        <v>1969</v>
      </c>
      <c r="C28" s="106">
        <v>5800</v>
      </c>
      <c r="D28" s="106" t="s">
        <v>122</v>
      </c>
      <c r="E28" s="106" t="s">
        <v>122</v>
      </c>
      <c r="F28" s="106" t="s">
        <v>122</v>
      </c>
      <c r="G28" s="106" t="s">
        <v>122</v>
      </c>
      <c r="H28" s="107" t="s">
        <v>122</v>
      </c>
    </row>
    <row r="29" spans="1:8" s="103" customFormat="1" ht="27" customHeight="1" x14ac:dyDescent="0.25">
      <c r="A29" s="104">
        <v>42760</v>
      </c>
      <c r="B29" s="105" t="s">
        <v>1968</v>
      </c>
      <c r="C29" s="106">
        <v>5850</v>
      </c>
      <c r="D29" s="106" t="s">
        <v>122</v>
      </c>
      <c r="E29" s="106" t="s">
        <v>122</v>
      </c>
      <c r="F29" s="106" t="s">
        <v>122</v>
      </c>
      <c r="G29" s="106" t="s">
        <v>122</v>
      </c>
      <c r="H29" s="107" t="s">
        <v>122</v>
      </c>
    </row>
    <row r="30" spans="1:8" s="103" customFormat="1" ht="27" customHeight="1" x14ac:dyDescent="0.25">
      <c r="A30" s="104">
        <v>42761</v>
      </c>
      <c r="B30" s="105" t="s">
        <v>1971</v>
      </c>
      <c r="C30" s="106">
        <v>6000</v>
      </c>
      <c r="D30" s="106" t="s">
        <v>122</v>
      </c>
      <c r="E30" s="106" t="s">
        <v>122</v>
      </c>
      <c r="F30" s="106" t="s">
        <v>122</v>
      </c>
      <c r="G30" s="106" t="s">
        <v>122</v>
      </c>
      <c r="H30" s="107" t="s">
        <v>122</v>
      </c>
    </row>
    <row r="31" spans="1:8" s="103" customFormat="1" ht="27" customHeight="1" x14ac:dyDescent="0.25">
      <c r="A31" s="104">
        <v>42762</v>
      </c>
      <c r="B31" s="105" t="s">
        <v>1972</v>
      </c>
      <c r="C31" s="106">
        <v>6150</v>
      </c>
      <c r="D31" s="106" t="s">
        <v>122</v>
      </c>
      <c r="E31" s="106" t="s">
        <v>122</v>
      </c>
      <c r="F31" s="106" t="s">
        <v>122</v>
      </c>
      <c r="G31" s="106" t="s">
        <v>122</v>
      </c>
      <c r="H31" s="107" t="s">
        <v>122</v>
      </c>
    </row>
    <row r="32" spans="1:8" s="103" customFormat="1" ht="27" customHeight="1" x14ac:dyDescent="0.25">
      <c r="A32" s="104">
        <v>42763</v>
      </c>
      <c r="B32" s="105" t="s">
        <v>1973</v>
      </c>
      <c r="C32" s="106">
        <v>6500</v>
      </c>
      <c r="D32" s="106" t="s">
        <v>122</v>
      </c>
      <c r="E32" s="106" t="s">
        <v>122</v>
      </c>
      <c r="F32" s="106" t="s">
        <v>122</v>
      </c>
      <c r="G32" s="106" t="s">
        <v>122</v>
      </c>
      <c r="H32" s="107" t="s">
        <v>122</v>
      </c>
    </row>
    <row r="33" spans="1:8" s="103" customFormat="1" ht="27" customHeight="1" x14ac:dyDescent="0.25">
      <c r="A33" s="104">
        <v>42764</v>
      </c>
      <c r="B33" s="105" t="s">
        <v>1973</v>
      </c>
      <c r="C33" s="106">
        <v>6500</v>
      </c>
      <c r="D33" s="106" t="s">
        <v>122</v>
      </c>
      <c r="E33" s="106" t="s">
        <v>122</v>
      </c>
      <c r="F33" s="106" t="s">
        <v>122</v>
      </c>
      <c r="G33" s="106" t="s">
        <v>122</v>
      </c>
      <c r="H33" s="107" t="s">
        <v>122</v>
      </c>
    </row>
    <row r="34" spans="1:8" s="103" customFormat="1" ht="27" customHeight="1" x14ac:dyDescent="0.25">
      <c r="A34" s="104">
        <v>42765</v>
      </c>
      <c r="B34" s="105" t="s">
        <v>1974</v>
      </c>
      <c r="C34" s="106">
        <v>6950</v>
      </c>
      <c r="D34" s="106" t="s">
        <v>122</v>
      </c>
      <c r="E34" s="106" t="s">
        <v>122</v>
      </c>
      <c r="F34" s="106" t="s">
        <v>122</v>
      </c>
      <c r="G34" s="106" t="s">
        <v>122</v>
      </c>
      <c r="H34" s="107" t="s">
        <v>122</v>
      </c>
    </row>
    <row r="35" spans="1:8" s="103" customFormat="1" ht="27" customHeight="1" x14ac:dyDescent="0.25">
      <c r="A35" s="104">
        <v>42766</v>
      </c>
      <c r="B35" s="105" t="s">
        <v>1828</v>
      </c>
      <c r="C35" s="106">
        <v>7100</v>
      </c>
      <c r="D35" s="106" t="s">
        <v>122</v>
      </c>
      <c r="E35" s="106" t="s">
        <v>122</v>
      </c>
      <c r="F35" s="106" t="s">
        <v>122</v>
      </c>
      <c r="G35" s="106" t="s">
        <v>122</v>
      </c>
      <c r="H35" s="107" t="s">
        <v>122</v>
      </c>
    </row>
    <row r="36" spans="1:8" s="103" customFormat="1" ht="27" customHeight="1" x14ac:dyDescent="0.25">
      <c r="A36" s="104">
        <v>42767</v>
      </c>
      <c r="B36" s="108" t="s">
        <v>2019</v>
      </c>
      <c r="C36" s="106">
        <v>7200</v>
      </c>
      <c r="D36" s="106" t="s">
        <v>122</v>
      </c>
      <c r="E36" s="106" t="s">
        <v>122</v>
      </c>
      <c r="F36" s="106" t="s">
        <v>122</v>
      </c>
      <c r="G36" s="106" t="s">
        <v>122</v>
      </c>
      <c r="H36" s="107" t="s">
        <v>122</v>
      </c>
    </row>
    <row r="37" spans="1:8" s="103" customFormat="1" ht="27" customHeight="1" x14ac:dyDescent="0.25">
      <c r="A37" s="104">
        <v>42768</v>
      </c>
      <c r="B37" s="108" t="s">
        <v>2020</v>
      </c>
      <c r="C37" s="106">
        <v>7400</v>
      </c>
      <c r="D37" s="106" t="s">
        <v>122</v>
      </c>
      <c r="E37" s="106" t="s">
        <v>122</v>
      </c>
      <c r="F37" s="106" t="s">
        <v>122</v>
      </c>
      <c r="G37" s="106" t="s">
        <v>122</v>
      </c>
      <c r="H37" s="107" t="s">
        <v>122</v>
      </c>
    </row>
    <row r="38" spans="1:8" s="103" customFormat="1" ht="27" customHeight="1" x14ac:dyDescent="0.25">
      <c r="A38" s="104">
        <v>42769</v>
      </c>
      <c r="B38" s="108" t="s">
        <v>2020</v>
      </c>
      <c r="C38" s="106">
        <v>7400</v>
      </c>
      <c r="D38" s="106" t="s">
        <v>122</v>
      </c>
      <c r="E38" s="106" t="s">
        <v>122</v>
      </c>
      <c r="F38" s="106" t="s">
        <v>122</v>
      </c>
      <c r="G38" s="106" t="s">
        <v>122</v>
      </c>
      <c r="H38" s="107" t="s">
        <v>122</v>
      </c>
    </row>
    <row r="39" spans="1:8" s="103" customFormat="1" ht="27" customHeight="1" x14ac:dyDescent="0.25">
      <c r="A39" s="104">
        <v>42770</v>
      </c>
      <c r="B39" s="108" t="s">
        <v>2020</v>
      </c>
      <c r="C39" s="106">
        <v>7400</v>
      </c>
      <c r="D39" s="106" t="s">
        <v>122</v>
      </c>
      <c r="E39" s="106" t="s">
        <v>122</v>
      </c>
      <c r="F39" s="106" t="s">
        <v>122</v>
      </c>
      <c r="G39" s="106" t="s">
        <v>122</v>
      </c>
      <c r="H39" s="107" t="s">
        <v>122</v>
      </c>
    </row>
    <row r="40" spans="1:8" s="103" customFormat="1" ht="27" customHeight="1" x14ac:dyDescent="0.25">
      <c r="A40" s="104">
        <v>42771</v>
      </c>
      <c r="B40" s="108" t="s">
        <v>2020</v>
      </c>
      <c r="C40" s="106">
        <v>7400</v>
      </c>
      <c r="D40" s="106" t="s">
        <v>122</v>
      </c>
      <c r="E40" s="106" t="s">
        <v>122</v>
      </c>
      <c r="F40" s="106" t="s">
        <v>122</v>
      </c>
      <c r="G40" s="106" t="s">
        <v>122</v>
      </c>
      <c r="H40" s="107" t="s">
        <v>122</v>
      </c>
    </row>
    <row r="41" spans="1:8" s="103" customFormat="1" ht="27" customHeight="1" x14ac:dyDescent="0.25">
      <c r="A41" s="104">
        <v>42772</v>
      </c>
      <c r="B41" s="108" t="s">
        <v>2020</v>
      </c>
      <c r="C41" s="106">
        <v>7400</v>
      </c>
      <c r="D41" s="106" t="s">
        <v>122</v>
      </c>
      <c r="E41" s="106" t="s">
        <v>122</v>
      </c>
      <c r="F41" s="106" t="s">
        <v>122</v>
      </c>
      <c r="G41" s="106" t="s">
        <v>122</v>
      </c>
      <c r="H41" s="107" t="s">
        <v>122</v>
      </c>
    </row>
    <row r="42" spans="1:8" s="103" customFormat="1" ht="27" customHeight="1" x14ac:dyDescent="0.25">
      <c r="A42" s="104">
        <v>42773</v>
      </c>
      <c r="B42" s="108" t="s">
        <v>2020</v>
      </c>
      <c r="C42" s="106">
        <v>7400</v>
      </c>
      <c r="D42" s="106" t="s">
        <v>122</v>
      </c>
      <c r="E42" s="106" t="s">
        <v>122</v>
      </c>
      <c r="F42" s="106" t="s">
        <v>122</v>
      </c>
      <c r="G42" s="106" t="s">
        <v>122</v>
      </c>
      <c r="H42" s="107" t="s">
        <v>122</v>
      </c>
    </row>
    <row r="43" spans="1:8" s="103" customFormat="1" ht="27" customHeight="1" x14ac:dyDescent="0.25">
      <c r="A43" s="104">
        <v>42774</v>
      </c>
      <c r="B43" s="108" t="s">
        <v>2020</v>
      </c>
      <c r="C43" s="106">
        <v>7400</v>
      </c>
      <c r="D43" s="106" t="s">
        <v>122</v>
      </c>
      <c r="E43" s="106" t="s">
        <v>122</v>
      </c>
      <c r="F43" s="106" t="s">
        <v>122</v>
      </c>
      <c r="G43" s="106" t="s">
        <v>122</v>
      </c>
      <c r="H43" s="107" t="s">
        <v>122</v>
      </c>
    </row>
    <row r="44" spans="1:8" s="103" customFormat="1" ht="27" customHeight="1" x14ac:dyDescent="0.25">
      <c r="A44" s="104">
        <v>42775</v>
      </c>
      <c r="B44" s="108" t="s">
        <v>2020</v>
      </c>
      <c r="C44" s="106">
        <v>7400</v>
      </c>
      <c r="D44" s="106" t="s">
        <v>122</v>
      </c>
      <c r="E44" s="106" t="s">
        <v>122</v>
      </c>
      <c r="F44" s="106" t="s">
        <v>122</v>
      </c>
      <c r="G44" s="106" t="s">
        <v>122</v>
      </c>
      <c r="H44" s="107" t="s">
        <v>122</v>
      </c>
    </row>
    <row r="45" spans="1:8" s="103" customFormat="1" ht="27" customHeight="1" x14ac:dyDescent="0.25">
      <c r="A45" s="104">
        <v>42776</v>
      </c>
      <c r="B45" s="108" t="s">
        <v>2020</v>
      </c>
      <c r="C45" s="106">
        <v>7400</v>
      </c>
      <c r="D45" s="106" t="s">
        <v>122</v>
      </c>
      <c r="E45" s="106" t="s">
        <v>122</v>
      </c>
      <c r="F45" s="106" t="s">
        <v>122</v>
      </c>
      <c r="G45" s="106" t="s">
        <v>122</v>
      </c>
      <c r="H45" s="107" t="s">
        <v>122</v>
      </c>
    </row>
    <row r="46" spans="1:8" s="103" customFormat="1" ht="27" customHeight="1" x14ac:dyDescent="0.25">
      <c r="A46" s="104">
        <v>42777</v>
      </c>
      <c r="B46" s="108" t="s">
        <v>2020</v>
      </c>
      <c r="C46" s="106">
        <v>7400</v>
      </c>
      <c r="D46" s="106" t="s">
        <v>122</v>
      </c>
      <c r="E46" s="106" t="s">
        <v>122</v>
      </c>
      <c r="F46" s="106" t="s">
        <v>122</v>
      </c>
      <c r="G46" s="106" t="s">
        <v>122</v>
      </c>
      <c r="H46" s="107" t="s">
        <v>122</v>
      </c>
    </row>
    <row r="47" spans="1:8" s="103" customFormat="1" ht="27" customHeight="1" x14ac:dyDescent="0.25">
      <c r="A47" s="104">
        <v>42778</v>
      </c>
      <c r="B47" s="108" t="s">
        <v>2020</v>
      </c>
      <c r="C47" s="106">
        <v>7400</v>
      </c>
      <c r="D47" s="106" t="s">
        <v>122</v>
      </c>
      <c r="E47" s="106" t="s">
        <v>122</v>
      </c>
      <c r="F47" s="106" t="s">
        <v>122</v>
      </c>
      <c r="G47" s="106" t="s">
        <v>122</v>
      </c>
      <c r="H47" s="107" t="s">
        <v>122</v>
      </c>
    </row>
    <row r="48" spans="1:8" s="103" customFormat="1" ht="27" customHeight="1" x14ac:dyDescent="0.25">
      <c r="A48" s="104">
        <v>42779</v>
      </c>
      <c r="B48" s="108" t="s">
        <v>2021</v>
      </c>
      <c r="C48" s="106">
        <v>7350</v>
      </c>
      <c r="D48" s="106" t="s">
        <v>122</v>
      </c>
      <c r="E48" s="106" t="s">
        <v>122</v>
      </c>
      <c r="F48" s="106" t="s">
        <v>122</v>
      </c>
      <c r="G48" s="106" t="s">
        <v>122</v>
      </c>
      <c r="H48" s="107" t="s">
        <v>122</v>
      </c>
    </row>
    <row r="49" spans="1:8" s="103" customFormat="1" ht="27" customHeight="1" x14ac:dyDescent="0.25">
      <c r="A49" s="104">
        <v>42780</v>
      </c>
      <c r="B49" s="108" t="s">
        <v>2021</v>
      </c>
      <c r="C49" s="106">
        <v>7350</v>
      </c>
      <c r="D49" s="106" t="s">
        <v>122</v>
      </c>
      <c r="E49" s="106" t="s">
        <v>122</v>
      </c>
      <c r="F49" s="106" t="s">
        <v>122</v>
      </c>
      <c r="G49" s="106" t="s">
        <v>122</v>
      </c>
      <c r="H49" s="107" t="s">
        <v>122</v>
      </c>
    </row>
    <row r="50" spans="1:8" s="103" customFormat="1" ht="27" customHeight="1" x14ac:dyDescent="0.25">
      <c r="A50" s="104">
        <v>42781</v>
      </c>
      <c r="B50" s="108" t="s">
        <v>2022</v>
      </c>
      <c r="C50" s="106">
        <v>7450</v>
      </c>
      <c r="D50" s="106" t="s">
        <v>122</v>
      </c>
      <c r="E50" s="106" t="s">
        <v>122</v>
      </c>
      <c r="F50" s="106" t="s">
        <v>122</v>
      </c>
      <c r="G50" s="106" t="s">
        <v>122</v>
      </c>
      <c r="H50" s="107" t="s">
        <v>122</v>
      </c>
    </row>
    <row r="51" spans="1:8" s="103" customFormat="1" ht="27" customHeight="1" x14ac:dyDescent="0.25">
      <c r="A51" s="104">
        <v>42782</v>
      </c>
      <c r="B51" s="108" t="s">
        <v>2022</v>
      </c>
      <c r="C51" s="106">
        <v>7450</v>
      </c>
      <c r="D51" s="106" t="s">
        <v>122</v>
      </c>
      <c r="E51" s="106" t="s">
        <v>122</v>
      </c>
      <c r="F51" s="106" t="s">
        <v>122</v>
      </c>
      <c r="G51" s="106" t="s">
        <v>122</v>
      </c>
      <c r="H51" s="107" t="s">
        <v>122</v>
      </c>
    </row>
    <row r="52" spans="1:8" s="103" customFormat="1" ht="27" customHeight="1" x14ac:dyDescent="0.25">
      <c r="A52" s="104">
        <v>42783</v>
      </c>
      <c r="B52" s="108" t="s">
        <v>2023</v>
      </c>
      <c r="C52" s="106">
        <v>7700</v>
      </c>
      <c r="D52" s="106" t="s">
        <v>122</v>
      </c>
      <c r="E52" s="106" t="s">
        <v>122</v>
      </c>
      <c r="F52" s="106" t="s">
        <v>122</v>
      </c>
      <c r="G52" s="106" t="s">
        <v>122</v>
      </c>
      <c r="H52" s="107" t="s">
        <v>122</v>
      </c>
    </row>
    <row r="53" spans="1:8" s="103" customFormat="1" ht="27" customHeight="1" x14ac:dyDescent="0.25">
      <c r="A53" s="104">
        <v>42784</v>
      </c>
      <c r="B53" s="108" t="s">
        <v>2023</v>
      </c>
      <c r="C53" s="106">
        <v>7700</v>
      </c>
      <c r="D53" s="106" t="s">
        <v>122</v>
      </c>
      <c r="E53" s="106" t="s">
        <v>122</v>
      </c>
      <c r="F53" s="106" t="s">
        <v>122</v>
      </c>
      <c r="G53" s="106" t="s">
        <v>122</v>
      </c>
      <c r="H53" s="107" t="s">
        <v>122</v>
      </c>
    </row>
    <row r="54" spans="1:8" s="103" customFormat="1" ht="27" customHeight="1" x14ac:dyDescent="0.25">
      <c r="A54" s="104">
        <v>42785</v>
      </c>
      <c r="B54" s="108" t="s">
        <v>2023</v>
      </c>
      <c r="C54" s="106">
        <v>7700</v>
      </c>
      <c r="D54" s="106" t="s">
        <v>122</v>
      </c>
      <c r="E54" s="106" t="s">
        <v>122</v>
      </c>
      <c r="F54" s="106" t="s">
        <v>122</v>
      </c>
      <c r="G54" s="106" t="s">
        <v>122</v>
      </c>
      <c r="H54" s="107" t="s">
        <v>122</v>
      </c>
    </row>
    <row r="55" spans="1:8" s="103" customFormat="1" ht="27" customHeight="1" x14ac:dyDescent="0.25">
      <c r="A55" s="104">
        <v>42786</v>
      </c>
      <c r="B55" s="108" t="s">
        <v>2024</v>
      </c>
      <c r="C55" s="106">
        <v>7800</v>
      </c>
      <c r="D55" s="106" t="s">
        <v>122</v>
      </c>
      <c r="E55" s="106" t="s">
        <v>122</v>
      </c>
      <c r="F55" s="106" t="s">
        <v>122</v>
      </c>
      <c r="G55" s="106" t="s">
        <v>122</v>
      </c>
      <c r="H55" s="107" t="s">
        <v>122</v>
      </c>
    </row>
    <row r="56" spans="1:8" s="103" customFormat="1" ht="27" customHeight="1" x14ac:dyDescent="0.25">
      <c r="A56" s="104">
        <v>42787</v>
      </c>
      <c r="B56" s="108" t="s">
        <v>2024</v>
      </c>
      <c r="C56" s="106">
        <v>7800</v>
      </c>
      <c r="D56" s="106" t="s">
        <v>122</v>
      </c>
      <c r="E56" s="106" t="s">
        <v>122</v>
      </c>
      <c r="F56" s="106" t="s">
        <v>122</v>
      </c>
      <c r="G56" s="106" t="s">
        <v>122</v>
      </c>
      <c r="H56" s="107" t="s">
        <v>122</v>
      </c>
    </row>
    <row r="57" spans="1:8" s="103" customFormat="1" ht="27" customHeight="1" x14ac:dyDescent="0.25">
      <c r="A57" s="104">
        <v>42788</v>
      </c>
      <c r="B57" s="108" t="s">
        <v>2024</v>
      </c>
      <c r="C57" s="106">
        <v>7800</v>
      </c>
      <c r="D57" s="106" t="s">
        <v>122</v>
      </c>
      <c r="E57" s="106" t="s">
        <v>122</v>
      </c>
      <c r="F57" s="106" t="s">
        <v>122</v>
      </c>
      <c r="G57" s="106" t="s">
        <v>122</v>
      </c>
      <c r="H57" s="107" t="s">
        <v>122</v>
      </c>
    </row>
    <row r="58" spans="1:8" s="103" customFormat="1" ht="27" customHeight="1" x14ac:dyDescent="0.25">
      <c r="A58" s="104">
        <v>42789</v>
      </c>
      <c r="B58" s="108" t="s">
        <v>2024</v>
      </c>
      <c r="C58" s="106">
        <v>7800</v>
      </c>
      <c r="D58" s="106" t="s">
        <v>122</v>
      </c>
      <c r="E58" s="106" t="s">
        <v>122</v>
      </c>
      <c r="F58" s="106" t="s">
        <v>122</v>
      </c>
      <c r="G58" s="106" t="s">
        <v>122</v>
      </c>
      <c r="H58" s="107" t="s">
        <v>122</v>
      </c>
    </row>
    <row r="59" spans="1:8" s="103" customFormat="1" ht="27" customHeight="1" x14ac:dyDescent="0.25">
      <c r="A59" s="104">
        <v>42790</v>
      </c>
      <c r="B59" s="108" t="s">
        <v>2024</v>
      </c>
      <c r="C59" s="106">
        <v>7800</v>
      </c>
      <c r="D59" s="106" t="s">
        <v>122</v>
      </c>
      <c r="E59" s="106" t="s">
        <v>122</v>
      </c>
      <c r="F59" s="106" t="s">
        <v>122</v>
      </c>
      <c r="G59" s="106" t="s">
        <v>122</v>
      </c>
      <c r="H59" s="107" t="s">
        <v>122</v>
      </c>
    </row>
    <row r="60" spans="1:8" s="103" customFormat="1" ht="27" customHeight="1" x14ac:dyDescent="0.25">
      <c r="A60" s="104">
        <v>42791</v>
      </c>
      <c r="B60" s="108" t="s">
        <v>2025</v>
      </c>
      <c r="C60" s="106">
        <v>7750</v>
      </c>
      <c r="D60" s="106" t="s">
        <v>122</v>
      </c>
      <c r="E60" s="106" t="s">
        <v>122</v>
      </c>
      <c r="F60" s="106" t="s">
        <v>122</v>
      </c>
      <c r="G60" s="106" t="s">
        <v>122</v>
      </c>
      <c r="H60" s="107" t="s">
        <v>122</v>
      </c>
    </row>
    <row r="61" spans="1:8" s="103" customFormat="1" ht="27" customHeight="1" x14ac:dyDescent="0.25">
      <c r="A61" s="104">
        <v>42792</v>
      </c>
      <c r="B61" s="108" t="s">
        <v>2025</v>
      </c>
      <c r="C61" s="106">
        <v>7750</v>
      </c>
      <c r="D61" s="106" t="s">
        <v>122</v>
      </c>
      <c r="E61" s="106" t="s">
        <v>122</v>
      </c>
      <c r="F61" s="106" t="s">
        <v>122</v>
      </c>
      <c r="G61" s="106" t="s">
        <v>122</v>
      </c>
      <c r="H61" s="107" t="s">
        <v>122</v>
      </c>
    </row>
    <row r="62" spans="1:8" s="103" customFormat="1" ht="27" customHeight="1" x14ac:dyDescent="0.25">
      <c r="A62" s="104">
        <v>42793</v>
      </c>
      <c r="B62" s="108" t="s">
        <v>2025</v>
      </c>
      <c r="C62" s="106">
        <v>7750</v>
      </c>
      <c r="D62" s="106" t="s">
        <v>122</v>
      </c>
      <c r="E62" s="106" t="s">
        <v>122</v>
      </c>
      <c r="F62" s="106" t="s">
        <v>122</v>
      </c>
      <c r="G62" s="106" t="s">
        <v>122</v>
      </c>
      <c r="H62" s="107" t="s">
        <v>122</v>
      </c>
    </row>
    <row r="63" spans="1:8" s="103" customFormat="1" ht="27" customHeight="1" x14ac:dyDescent="0.25">
      <c r="A63" s="104">
        <v>42794</v>
      </c>
      <c r="B63" s="108" t="s">
        <v>2025</v>
      </c>
      <c r="C63" s="106">
        <v>7750</v>
      </c>
      <c r="D63" s="106" t="s">
        <v>122</v>
      </c>
      <c r="E63" s="106" t="s">
        <v>122</v>
      </c>
      <c r="F63" s="106" t="s">
        <v>122</v>
      </c>
      <c r="G63" s="106" t="s">
        <v>122</v>
      </c>
      <c r="H63" s="107" t="s">
        <v>122</v>
      </c>
    </row>
    <row r="64" spans="1:8" s="103" customFormat="1" ht="27" customHeight="1" x14ac:dyDescent="0.25">
      <c r="A64" s="104">
        <v>42795</v>
      </c>
      <c r="B64" s="105" t="s">
        <v>1975</v>
      </c>
      <c r="C64" s="106">
        <v>7750</v>
      </c>
      <c r="D64" s="106" t="s">
        <v>122</v>
      </c>
      <c r="E64" s="106" t="s">
        <v>122</v>
      </c>
      <c r="F64" s="106" t="s">
        <v>122</v>
      </c>
      <c r="G64" s="106" t="s">
        <v>122</v>
      </c>
      <c r="H64" s="107" t="s">
        <v>122</v>
      </c>
    </row>
    <row r="65" spans="1:8" s="103" customFormat="1" ht="27" customHeight="1" x14ac:dyDescent="0.25">
      <c r="A65" s="104">
        <v>42796</v>
      </c>
      <c r="B65" s="105" t="s">
        <v>1820</v>
      </c>
      <c r="C65" s="106">
        <v>7800</v>
      </c>
      <c r="D65" s="106" t="s">
        <v>122</v>
      </c>
      <c r="E65" s="106" t="s">
        <v>122</v>
      </c>
      <c r="F65" s="106" t="s">
        <v>122</v>
      </c>
      <c r="G65" s="106" t="s">
        <v>122</v>
      </c>
      <c r="H65" s="107" t="s">
        <v>122</v>
      </c>
    </row>
    <row r="66" spans="1:8" s="103" customFormat="1" ht="27" customHeight="1" x14ac:dyDescent="0.25">
      <c r="A66" s="104">
        <v>42797</v>
      </c>
      <c r="B66" s="105" t="s">
        <v>1820</v>
      </c>
      <c r="C66" s="106">
        <v>7800</v>
      </c>
      <c r="D66" s="106" t="s">
        <v>122</v>
      </c>
      <c r="E66" s="106" t="s">
        <v>122</v>
      </c>
      <c r="F66" s="106" t="s">
        <v>122</v>
      </c>
      <c r="G66" s="106" t="s">
        <v>122</v>
      </c>
      <c r="H66" s="107" t="s">
        <v>122</v>
      </c>
    </row>
    <row r="67" spans="1:8" s="103" customFormat="1" ht="27" customHeight="1" x14ac:dyDescent="0.25">
      <c r="A67" s="104">
        <v>42798</v>
      </c>
      <c r="B67" s="105" t="s">
        <v>1820</v>
      </c>
      <c r="C67" s="106">
        <v>7800</v>
      </c>
      <c r="D67" s="106" t="s">
        <v>122</v>
      </c>
      <c r="E67" s="106" t="s">
        <v>122</v>
      </c>
      <c r="F67" s="106" t="s">
        <v>122</v>
      </c>
      <c r="G67" s="106" t="s">
        <v>122</v>
      </c>
      <c r="H67" s="107" t="s">
        <v>122</v>
      </c>
    </row>
    <row r="68" spans="1:8" s="103" customFormat="1" ht="27" customHeight="1" x14ac:dyDescent="0.25">
      <c r="A68" s="104">
        <v>42799</v>
      </c>
      <c r="B68" s="105" t="s">
        <v>1820</v>
      </c>
      <c r="C68" s="106">
        <v>7800</v>
      </c>
      <c r="D68" s="106" t="s">
        <v>122</v>
      </c>
      <c r="E68" s="106" t="s">
        <v>122</v>
      </c>
      <c r="F68" s="106" t="s">
        <v>122</v>
      </c>
      <c r="G68" s="106" t="s">
        <v>122</v>
      </c>
      <c r="H68" s="107" t="s">
        <v>122</v>
      </c>
    </row>
    <row r="69" spans="1:8" s="103" customFormat="1" ht="27" customHeight="1" x14ac:dyDescent="0.25">
      <c r="A69" s="104">
        <v>42800</v>
      </c>
      <c r="B69" s="105" t="s">
        <v>1820</v>
      </c>
      <c r="C69" s="106">
        <v>7800</v>
      </c>
      <c r="D69" s="106" t="s">
        <v>122</v>
      </c>
      <c r="E69" s="106" t="s">
        <v>122</v>
      </c>
      <c r="F69" s="106" t="s">
        <v>122</v>
      </c>
      <c r="G69" s="106" t="s">
        <v>122</v>
      </c>
      <c r="H69" s="107" t="s">
        <v>122</v>
      </c>
    </row>
    <row r="70" spans="1:8" s="103" customFormat="1" ht="27" customHeight="1" x14ac:dyDescent="0.25">
      <c r="A70" s="104">
        <v>42801</v>
      </c>
      <c r="B70" s="105" t="s">
        <v>1820</v>
      </c>
      <c r="C70" s="106">
        <v>7800</v>
      </c>
      <c r="D70" s="106" t="s">
        <v>122</v>
      </c>
      <c r="E70" s="106" t="s">
        <v>122</v>
      </c>
      <c r="F70" s="106" t="s">
        <v>122</v>
      </c>
      <c r="G70" s="106" t="s">
        <v>122</v>
      </c>
      <c r="H70" s="107" t="s">
        <v>122</v>
      </c>
    </row>
    <row r="71" spans="1:8" s="103" customFormat="1" ht="27" customHeight="1" x14ac:dyDescent="0.25">
      <c r="A71" s="104">
        <v>42802</v>
      </c>
      <c r="B71" s="105" t="s">
        <v>1820</v>
      </c>
      <c r="C71" s="106">
        <v>7800</v>
      </c>
      <c r="D71" s="106" t="s">
        <v>122</v>
      </c>
      <c r="E71" s="106" t="s">
        <v>122</v>
      </c>
      <c r="F71" s="106" t="s">
        <v>122</v>
      </c>
      <c r="G71" s="106" t="s">
        <v>122</v>
      </c>
      <c r="H71" s="107" t="s">
        <v>122</v>
      </c>
    </row>
    <row r="72" spans="1:8" s="103" customFormat="1" ht="27" customHeight="1" x14ac:dyDescent="0.25">
      <c r="A72" s="104">
        <v>42803</v>
      </c>
      <c r="B72" s="105" t="s">
        <v>1820</v>
      </c>
      <c r="C72" s="106">
        <v>7800</v>
      </c>
      <c r="D72" s="106" t="s">
        <v>122</v>
      </c>
      <c r="E72" s="106" t="s">
        <v>122</v>
      </c>
      <c r="F72" s="106" t="s">
        <v>122</v>
      </c>
      <c r="G72" s="106" t="s">
        <v>122</v>
      </c>
      <c r="H72" s="107" t="s">
        <v>122</v>
      </c>
    </row>
    <row r="73" spans="1:8" s="103" customFormat="1" ht="27" customHeight="1" x14ac:dyDescent="0.25">
      <c r="A73" s="104">
        <v>42804</v>
      </c>
      <c r="B73" s="105" t="s">
        <v>1820</v>
      </c>
      <c r="C73" s="106">
        <v>7800</v>
      </c>
      <c r="D73" s="106" t="s">
        <v>122</v>
      </c>
      <c r="E73" s="106" t="s">
        <v>122</v>
      </c>
      <c r="F73" s="106" t="s">
        <v>122</v>
      </c>
      <c r="G73" s="106" t="s">
        <v>122</v>
      </c>
      <c r="H73" s="107" t="s">
        <v>122</v>
      </c>
    </row>
    <row r="74" spans="1:8" s="103" customFormat="1" ht="27" customHeight="1" x14ac:dyDescent="0.25">
      <c r="A74" s="104">
        <v>42805</v>
      </c>
      <c r="B74" s="105" t="s">
        <v>1818</v>
      </c>
      <c r="C74" s="106">
        <v>8000</v>
      </c>
      <c r="D74" s="106" t="s">
        <v>122</v>
      </c>
      <c r="E74" s="106" t="s">
        <v>122</v>
      </c>
      <c r="F74" s="106" t="s">
        <v>122</v>
      </c>
      <c r="G74" s="106" t="s">
        <v>122</v>
      </c>
      <c r="H74" s="107" t="s">
        <v>122</v>
      </c>
    </row>
    <row r="75" spans="1:8" s="103" customFormat="1" ht="27" customHeight="1" x14ac:dyDescent="0.25">
      <c r="A75" s="104">
        <v>42806</v>
      </c>
      <c r="B75" s="105" t="s">
        <v>1818</v>
      </c>
      <c r="C75" s="106">
        <v>8000</v>
      </c>
      <c r="D75" s="106" t="s">
        <v>122</v>
      </c>
      <c r="E75" s="106" t="s">
        <v>122</v>
      </c>
      <c r="F75" s="106" t="s">
        <v>122</v>
      </c>
      <c r="G75" s="106" t="s">
        <v>122</v>
      </c>
      <c r="H75" s="107" t="s">
        <v>122</v>
      </c>
    </row>
    <row r="76" spans="1:8" s="103" customFormat="1" ht="27" customHeight="1" x14ac:dyDescent="0.25">
      <c r="A76" s="104">
        <v>42807</v>
      </c>
      <c r="B76" s="105" t="s">
        <v>1816</v>
      </c>
      <c r="C76" s="106">
        <v>8100</v>
      </c>
      <c r="D76" s="106" t="s">
        <v>122</v>
      </c>
      <c r="E76" s="106" t="s">
        <v>122</v>
      </c>
      <c r="F76" s="106" t="s">
        <v>122</v>
      </c>
      <c r="G76" s="106" t="s">
        <v>122</v>
      </c>
      <c r="H76" s="107" t="s">
        <v>122</v>
      </c>
    </row>
    <row r="77" spans="1:8" s="103" customFormat="1" ht="27" customHeight="1" x14ac:dyDescent="0.25">
      <c r="A77" s="104">
        <v>42808</v>
      </c>
      <c r="B77" s="105" t="s">
        <v>1976</v>
      </c>
      <c r="C77" s="106">
        <v>8700</v>
      </c>
      <c r="D77" s="106" t="s">
        <v>122</v>
      </c>
      <c r="E77" s="106" t="s">
        <v>122</v>
      </c>
      <c r="F77" s="106" t="s">
        <v>122</v>
      </c>
      <c r="G77" s="106" t="s">
        <v>122</v>
      </c>
      <c r="H77" s="107" t="s">
        <v>122</v>
      </c>
    </row>
    <row r="78" spans="1:8" s="103" customFormat="1" ht="27" customHeight="1" x14ac:dyDescent="0.25">
      <c r="A78" s="104">
        <v>42809</v>
      </c>
      <c r="B78" s="105" t="s">
        <v>1792</v>
      </c>
      <c r="C78" s="106">
        <v>9100</v>
      </c>
      <c r="D78" s="106" t="s">
        <v>122</v>
      </c>
      <c r="E78" s="106" t="s">
        <v>122</v>
      </c>
      <c r="F78" s="106" t="s">
        <v>122</v>
      </c>
      <c r="G78" s="106" t="s">
        <v>122</v>
      </c>
      <c r="H78" s="107" t="s">
        <v>122</v>
      </c>
    </row>
    <row r="79" spans="1:8" s="103" customFormat="1" ht="27" customHeight="1" x14ac:dyDescent="0.25">
      <c r="A79" s="104">
        <v>42810</v>
      </c>
      <c r="B79" s="105" t="s">
        <v>1792</v>
      </c>
      <c r="C79" s="106">
        <v>9100</v>
      </c>
      <c r="D79" s="106" t="s">
        <v>122</v>
      </c>
      <c r="E79" s="106" t="s">
        <v>122</v>
      </c>
      <c r="F79" s="106" t="s">
        <v>122</v>
      </c>
      <c r="G79" s="106" t="s">
        <v>122</v>
      </c>
      <c r="H79" s="107" t="s">
        <v>122</v>
      </c>
    </row>
    <row r="80" spans="1:8" s="103" customFormat="1" ht="27" customHeight="1" x14ac:dyDescent="0.25">
      <c r="A80" s="104">
        <v>42811</v>
      </c>
      <c r="B80" s="105" t="s">
        <v>1764</v>
      </c>
      <c r="C80" s="106">
        <v>9300</v>
      </c>
      <c r="D80" s="106" t="s">
        <v>122</v>
      </c>
      <c r="E80" s="106" t="s">
        <v>122</v>
      </c>
      <c r="F80" s="106" t="s">
        <v>122</v>
      </c>
      <c r="G80" s="106" t="s">
        <v>122</v>
      </c>
      <c r="H80" s="107" t="s">
        <v>122</v>
      </c>
    </row>
    <row r="81" spans="1:8" s="103" customFormat="1" ht="27" customHeight="1" x14ac:dyDescent="0.25">
      <c r="A81" s="104">
        <v>42812</v>
      </c>
      <c r="B81" s="105" t="s">
        <v>1764</v>
      </c>
      <c r="C81" s="106">
        <v>9300</v>
      </c>
      <c r="D81" s="106" t="s">
        <v>122</v>
      </c>
      <c r="E81" s="106" t="s">
        <v>122</v>
      </c>
      <c r="F81" s="106" t="s">
        <v>122</v>
      </c>
      <c r="G81" s="106" t="s">
        <v>122</v>
      </c>
      <c r="H81" s="107" t="s">
        <v>122</v>
      </c>
    </row>
    <row r="82" spans="1:8" s="103" customFormat="1" ht="27" customHeight="1" x14ac:dyDescent="0.25">
      <c r="A82" s="104">
        <v>42813</v>
      </c>
      <c r="B82" s="105" t="s">
        <v>1764</v>
      </c>
      <c r="C82" s="106">
        <v>9300</v>
      </c>
      <c r="D82" s="106" t="s">
        <v>122</v>
      </c>
      <c r="E82" s="106" t="s">
        <v>122</v>
      </c>
      <c r="F82" s="106" t="s">
        <v>122</v>
      </c>
      <c r="G82" s="106" t="s">
        <v>122</v>
      </c>
      <c r="H82" s="107" t="s">
        <v>122</v>
      </c>
    </row>
    <row r="83" spans="1:8" s="103" customFormat="1" ht="27" customHeight="1" x14ac:dyDescent="0.25">
      <c r="A83" s="104">
        <v>42814</v>
      </c>
      <c r="B83" s="105" t="s">
        <v>1764</v>
      </c>
      <c r="C83" s="106">
        <v>9300</v>
      </c>
      <c r="D83" s="106" t="s">
        <v>122</v>
      </c>
      <c r="E83" s="106" t="s">
        <v>122</v>
      </c>
      <c r="F83" s="106" t="s">
        <v>122</v>
      </c>
      <c r="G83" s="106" t="s">
        <v>122</v>
      </c>
      <c r="H83" s="107" t="s">
        <v>122</v>
      </c>
    </row>
    <row r="84" spans="1:8" s="103" customFormat="1" ht="27" customHeight="1" x14ac:dyDescent="0.25">
      <c r="A84" s="104">
        <v>42815</v>
      </c>
      <c r="B84" s="105" t="s">
        <v>1764</v>
      </c>
      <c r="C84" s="106">
        <v>9300</v>
      </c>
      <c r="D84" s="106" t="s">
        <v>122</v>
      </c>
      <c r="E84" s="106" t="s">
        <v>122</v>
      </c>
      <c r="F84" s="106" t="s">
        <v>122</v>
      </c>
      <c r="G84" s="106" t="s">
        <v>122</v>
      </c>
      <c r="H84" s="107" t="s">
        <v>122</v>
      </c>
    </row>
    <row r="85" spans="1:8" s="103" customFormat="1" ht="27" customHeight="1" x14ac:dyDescent="0.25">
      <c r="A85" s="104">
        <v>42816</v>
      </c>
      <c r="B85" s="105" t="s">
        <v>1764</v>
      </c>
      <c r="C85" s="106">
        <v>9300</v>
      </c>
      <c r="D85" s="106" t="s">
        <v>122</v>
      </c>
      <c r="E85" s="106" t="s">
        <v>122</v>
      </c>
      <c r="F85" s="106" t="s">
        <v>122</v>
      </c>
      <c r="G85" s="106" t="s">
        <v>122</v>
      </c>
      <c r="H85" s="107" t="s">
        <v>122</v>
      </c>
    </row>
    <row r="86" spans="1:8" s="103" customFormat="1" ht="27" customHeight="1" x14ac:dyDescent="0.25">
      <c r="A86" s="104">
        <v>42817</v>
      </c>
      <c r="B86" s="105" t="s">
        <v>1764</v>
      </c>
      <c r="C86" s="106">
        <v>9300</v>
      </c>
      <c r="D86" s="106" t="s">
        <v>122</v>
      </c>
      <c r="E86" s="106" t="s">
        <v>122</v>
      </c>
      <c r="F86" s="106" t="s">
        <v>122</v>
      </c>
      <c r="G86" s="106" t="s">
        <v>122</v>
      </c>
      <c r="H86" s="107" t="s">
        <v>122</v>
      </c>
    </row>
    <row r="87" spans="1:8" s="103" customFormat="1" ht="27" customHeight="1" x14ac:dyDescent="0.25">
      <c r="A87" s="104">
        <v>42818</v>
      </c>
      <c r="B87" s="105" t="s">
        <v>1764</v>
      </c>
      <c r="C87" s="106">
        <v>9300</v>
      </c>
      <c r="D87" s="106" t="s">
        <v>122</v>
      </c>
      <c r="E87" s="106" t="s">
        <v>122</v>
      </c>
      <c r="F87" s="106" t="s">
        <v>122</v>
      </c>
      <c r="G87" s="106" t="s">
        <v>122</v>
      </c>
      <c r="H87" s="107" t="s">
        <v>122</v>
      </c>
    </row>
    <row r="88" spans="1:8" s="103" customFormat="1" ht="27" customHeight="1" x14ac:dyDescent="0.25">
      <c r="A88" s="104">
        <v>42819</v>
      </c>
      <c r="B88" s="105" t="s">
        <v>1764</v>
      </c>
      <c r="C88" s="106">
        <v>9300</v>
      </c>
      <c r="D88" s="106" t="s">
        <v>122</v>
      </c>
      <c r="E88" s="106" t="s">
        <v>122</v>
      </c>
      <c r="F88" s="106" t="s">
        <v>122</v>
      </c>
      <c r="G88" s="106" t="s">
        <v>122</v>
      </c>
      <c r="H88" s="107" t="s">
        <v>122</v>
      </c>
    </row>
    <row r="89" spans="1:8" s="103" customFormat="1" ht="27" customHeight="1" x14ac:dyDescent="0.25">
      <c r="A89" s="104">
        <v>42820</v>
      </c>
      <c r="B89" s="105" t="s">
        <v>1977</v>
      </c>
      <c r="C89" s="106">
        <v>9250</v>
      </c>
      <c r="D89" s="106" t="s">
        <v>122</v>
      </c>
      <c r="E89" s="106" t="s">
        <v>122</v>
      </c>
      <c r="F89" s="106" t="s">
        <v>122</v>
      </c>
      <c r="G89" s="106" t="s">
        <v>122</v>
      </c>
      <c r="H89" s="107" t="s">
        <v>122</v>
      </c>
    </row>
    <row r="90" spans="1:8" s="103" customFormat="1" ht="27" customHeight="1" x14ac:dyDescent="0.25">
      <c r="A90" s="104">
        <v>42821</v>
      </c>
      <c r="B90" s="105" t="s">
        <v>1977</v>
      </c>
      <c r="C90" s="106">
        <v>9250</v>
      </c>
      <c r="D90" s="106" t="s">
        <v>122</v>
      </c>
      <c r="E90" s="106" t="s">
        <v>122</v>
      </c>
      <c r="F90" s="106" t="s">
        <v>122</v>
      </c>
      <c r="G90" s="106" t="s">
        <v>122</v>
      </c>
      <c r="H90" s="107" t="s">
        <v>122</v>
      </c>
    </row>
    <row r="91" spans="1:8" s="103" customFormat="1" ht="27" customHeight="1" x14ac:dyDescent="0.25">
      <c r="A91" s="104">
        <v>42822</v>
      </c>
      <c r="B91" s="105" t="s">
        <v>1977</v>
      </c>
      <c r="C91" s="106">
        <v>9250</v>
      </c>
      <c r="D91" s="106" t="s">
        <v>122</v>
      </c>
      <c r="E91" s="106" t="s">
        <v>122</v>
      </c>
      <c r="F91" s="106" t="s">
        <v>122</v>
      </c>
      <c r="G91" s="106" t="s">
        <v>122</v>
      </c>
      <c r="H91" s="107" t="s">
        <v>122</v>
      </c>
    </row>
    <row r="92" spans="1:8" s="103" customFormat="1" ht="27" customHeight="1" x14ac:dyDescent="0.25">
      <c r="A92" s="104">
        <v>42823</v>
      </c>
      <c r="B92" s="105" t="s">
        <v>1977</v>
      </c>
      <c r="C92" s="106">
        <v>9250</v>
      </c>
      <c r="D92" s="106" t="s">
        <v>122</v>
      </c>
      <c r="E92" s="106" t="s">
        <v>122</v>
      </c>
      <c r="F92" s="106" t="s">
        <v>122</v>
      </c>
      <c r="G92" s="106" t="s">
        <v>122</v>
      </c>
      <c r="H92" s="107" t="s">
        <v>122</v>
      </c>
    </row>
    <row r="93" spans="1:8" s="103" customFormat="1" ht="27" customHeight="1" x14ac:dyDescent="0.25">
      <c r="A93" s="104">
        <v>42824</v>
      </c>
      <c r="B93" s="105" t="s">
        <v>1977</v>
      </c>
      <c r="C93" s="106">
        <v>9250</v>
      </c>
      <c r="D93" s="106" t="s">
        <v>122</v>
      </c>
      <c r="E93" s="106" t="s">
        <v>122</v>
      </c>
      <c r="F93" s="106" t="s">
        <v>122</v>
      </c>
      <c r="G93" s="106" t="s">
        <v>122</v>
      </c>
      <c r="H93" s="107" t="s">
        <v>122</v>
      </c>
    </row>
    <row r="94" spans="1:8" s="103" customFormat="1" ht="27" customHeight="1" x14ac:dyDescent="0.25">
      <c r="A94" s="104">
        <v>42825</v>
      </c>
      <c r="B94" s="105" t="s">
        <v>1977</v>
      </c>
      <c r="C94" s="106">
        <v>9250</v>
      </c>
      <c r="D94" s="106" t="s">
        <v>122</v>
      </c>
      <c r="E94" s="106" t="s">
        <v>122</v>
      </c>
      <c r="F94" s="106" t="s">
        <v>122</v>
      </c>
      <c r="G94" s="106" t="s">
        <v>122</v>
      </c>
      <c r="H94" s="107" t="s">
        <v>122</v>
      </c>
    </row>
    <row r="95" spans="1:8" s="103" customFormat="1" ht="27" customHeight="1" x14ac:dyDescent="0.25">
      <c r="A95" s="104">
        <v>42826</v>
      </c>
      <c r="B95" s="105" t="s">
        <v>1763</v>
      </c>
      <c r="C95" s="106">
        <v>9250</v>
      </c>
      <c r="D95" s="106" t="s">
        <v>122</v>
      </c>
      <c r="E95" s="106" t="s">
        <v>122</v>
      </c>
      <c r="F95" s="106" t="s">
        <v>122</v>
      </c>
      <c r="G95" s="106" t="s">
        <v>122</v>
      </c>
      <c r="H95" s="107" t="s">
        <v>122</v>
      </c>
    </row>
    <row r="96" spans="1:8" s="103" customFormat="1" ht="27" customHeight="1" x14ac:dyDescent="0.25">
      <c r="A96" s="104">
        <v>42827</v>
      </c>
      <c r="B96" s="105" t="s">
        <v>1763</v>
      </c>
      <c r="C96" s="106">
        <v>9250</v>
      </c>
      <c r="D96" s="106" t="s">
        <v>122</v>
      </c>
      <c r="E96" s="106" t="s">
        <v>122</v>
      </c>
      <c r="F96" s="106" t="s">
        <v>122</v>
      </c>
      <c r="G96" s="106" t="s">
        <v>122</v>
      </c>
      <c r="H96" s="107" t="s">
        <v>122</v>
      </c>
    </row>
    <row r="97" spans="1:8" s="103" customFormat="1" ht="27" customHeight="1" x14ac:dyDescent="0.25">
      <c r="A97" s="104">
        <v>42828</v>
      </c>
      <c r="B97" s="105" t="s">
        <v>1764</v>
      </c>
      <c r="C97" s="106">
        <v>9300</v>
      </c>
      <c r="D97" s="106" t="s">
        <v>122</v>
      </c>
      <c r="E97" s="106" t="s">
        <v>122</v>
      </c>
      <c r="F97" s="106" t="s">
        <v>122</v>
      </c>
      <c r="G97" s="106" t="s">
        <v>122</v>
      </c>
      <c r="H97" s="107" t="s">
        <v>122</v>
      </c>
    </row>
    <row r="98" spans="1:8" s="103" customFormat="1" ht="27" customHeight="1" x14ac:dyDescent="0.25">
      <c r="A98" s="104">
        <v>42829</v>
      </c>
      <c r="B98" s="105" t="s">
        <v>1764</v>
      </c>
      <c r="C98" s="106">
        <v>9300</v>
      </c>
      <c r="D98" s="106" t="s">
        <v>122</v>
      </c>
      <c r="E98" s="106" t="s">
        <v>122</v>
      </c>
      <c r="F98" s="106" t="s">
        <v>122</v>
      </c>
      <c r="G98" s="106" t="s">
        <v>122</v>
      </c>
      <c r="H98" s="107" t="s">
        <v>122</v>
      </c>
    </row>
    <row r="99" spans="1:8" s="103" customFormat="1" ht="27" customHeight="1" x14ac:dyDescent="0.25">
      <c r="A99" s="104">
        <v>42830</v>
      </c>
      <c r="B99" s="105" t="s">
        <v>1764</v>
      </c>
      <c r="C99" s="106">
        <v>9300</v>
      </c>
      <c r="D99" s="106" t="s">
        <v>122</v>
      </c>
      <c r="E99" s="106" t="s">
        <v>122</v>
      </c>
      <c r="F99" s="106" t="s">
        <v>122</v>
      </c>
      <c r="G99" s="106" t="s">
        <v>122</v>
      </c>
      <c r="H99" s="107" t="s">
        <v>122</v>
      </c>
    </row>
    <row r="100" spans="1:8" s="103" customFormat="1" ht="27" customHeight="1" x14ac:dyDescent="0.25">
      <c r="A100" s="104">
        <v>42831</v>
      </c>
      <c r="B100" s="105" t="s">
        <v>1764</v>
      </c>
      <c r="C100" s="106">
        <v>9300</v>
      </c>
      <c r="D100" s="106" t="s">
        <v>122</v>
      </c>
      <c r="E100" s="106" t="s">
        <v>122</v>
      </c>
      <c r="F100" s="106" t="s">
        <v>122</v>
      </c>
      <c r="G100" s="106" t="s">
        <v>122</v>
      </c>
      <c r="H100" s="107" t="s">
        <v>122</v>
      </c>
    </row>
    <row r="101" spans="1:8" s="103" customFormat="1" ht="27" customHeight="1" x14ac:dyDescent="0.25">
      <c r="A101" s="104">
        <v>42832</v>
      </c>
      <c r="B101" s="105" t="s">
        <v>1978</v>
      </c>
      <c r="C101" s="106">
        <v>9250</v>
      </c>
      <c r="D101" s="106" t="s">
        <v>122</v>
      </c>
      <c r="E101" s="106" t="s">
        <v>122</v>
      </c>
      <c r="F101" s="106" t="s">
        <v>122</v>
      </c>
      <c r="G101" s="106" t="s">
        <v>122</v>
      </c>
      <c r="H101" s="107" t="s">
        <v>122</v>
      </c>
    </row>
    <row r="102" spans="1:8" s="103" customFormat="1" ht="27" customHeight="1" x14ac:dyDescent="0.25">
      <c r="A102" s="104">
        <v>42833</v>
      </c>
      <c r="B102" s="105" t="s">
        <v>1978</v>
      </c>
      <c r="C102" s="106">
        <v>9250</v>
      </c>
      <c r="D102" s="106" t="s">
        <v>122</v>
      </c>
      <c r="E102" s="106" t="s">
        <v>122</v>
      </c>
      <c r="F102" s="106" t="s">
        <v>122</v>
      </c>
      <c r="G102" s="106" t="s">
        <v>122</v>
      </c>
      <c r="H102" s="107" t="s">
        <v>122</v>
      </c>
    </row>
    <row r="103" spans="1:8" s="103" customFormat="1" ht="27" customHeight="1" x14ac:dyDescent="0.25">
      <c r="A103" s="104">
        <v>42834</v>
      </c>
      <c r="B103" s="105" t="s">
        <v>1762</v>
      </c>
      <c r="C103" s="106">
        <v>9200</v>
      </c>
      <c r="D103" s="106" t="s">
        <v>122</v>
      </c>
      <c r="E103" s="106" t="s">
        <v>122</v>
      </c>
      <c r="F103" s="106" t="s">
        <v>122</v>
      </c>
      <c r="G103" s="106" t="s">
        <v>122</v>
      </c>
      <c r="H103" s="107" t="s">
        <v>122</v>
      </c>
    </row>
    <row r="104" spans="1:8" s="103" customFormat="1" ht="27" customHeight="1" x14ac:dyDescent="0.25">
      <c r="A104" s="104">
        <v>42835</v>
      </c>
      <c r="B104" s="105" t="s">
        <v>1762</v>
      </c>
      <c r="C104" s="106">
        <v>9200</v>
      </c>
      <c r="D104" s="106" t="s">
        <v>122</v>
      </c>
      <c r="E104" s="106" t="s">
        <v>122</v>
      </c>
      <c r="F104" s="106" t="s">
        <v>122</v>
      </c>
      <c r="G104" s="106" t="s">
        <v>122</v>
      </c>
      <c r="H104" s="107" t="s">
        <v>122</v>
      </c>
    </row>
    <row r="105" spans="1:8" s="103" customFormat="1" ht="27" customHeight="1" x14ac:dyDescent="0.25">
      <c r="A105" s="104">
        <v>42836</v>
      </c>
      <c r="B105" s="105" t="s">
        <v>1791</v>
      </c>
      <c r="C105" s="106">
        <v>9150</v>
      </c>
      <c r="D105" s="106" t="s">
        <v>122</v>
      </c>
      <c r="E105" s="106" t="s">
        <v>122</v>
      </c>
      <c r="F105" s="106" t="s">
        <v>122</v>
      </c>
      <c r="G105" s="106" t="s">
        <v>122</v>
      </c>
      <c r="H105" s="107" t="s">
        <v>122</v>
      </c>
    </row>
    <row r="106" spans="1:8" s="103" customFormat="1" ht="27" customHeight="1" x14ac:dyDescent="0.25">
      <c r="A106" s="104">
        <v>42837</v>
      </c>
      <c r="B106" s="105" t="s">
        <v>1791</v>
      </c>
      <c r="C106" s="106">
        <v>9150</v>
      </c>
      <c r="D106" s="106" t="s">
        <v>122</v>
      </c>
      <c r="E106" s="106" t="s">
        <v>122</v>
      </c>
      <c r="F106" s="106" t="s">
        <v>122</v>
      </c>
      <c r="G106" s="106" t="s">
        <v>122</v>
      </c>
      <c r="H106" s="107" t="s">
        <v>122</v>
      </c>
    </row>
    <row r="107" spans="1:8" s="103" customFormat="1" ht="27" customHeight="1" x14ac:dyDescent="0.25">
      <c r="A107" s="104">
        <v>42838</v>
      </c>
      <c r="B107" s="105" t="s">
        <v>1792</v>
      </c>
      <c r="C107" s="106">
        <v>9100</v>
      </c>
      <c r="D107" s="106" t="s">
        <v>122</v>
      </c>
      <c r="E107" s="106" t="s">
        <v>122</v>
      </c>
      <c r="F107" s="106" t="s">
        <v>122</v>
      </c>
      <c r="G107" s="106" t="s">
        <v>122</v>
      </c>
      <c r="H107" s="107" t="s">
        <v>122</v>
      </c>
    </row>
    <row r="108" spans="1:8" s="103" customFormat="1" ht="27" customHeight="1" x14ac:dyDescent="0.25">
      <c r="A108" s="104">
        <v>42839</v>
      </c>
      <c r="B108" s="105" t="s">
        <v>1792</v>
      </c>
      <c r="C108" s="106">
        <v>9100</v>
      </c>
      <c r="D108" s="106" t="s">
        <v>122</v>
      </c>
      <c r="E108" s="106" t="s">
        <v>122</v>
      </c>
      <c r="F108" s="106" t="s">
        <v>122</v>
      </c>
      <c r="G108" s="106" t="s">
        <v>122</v>
      </c>
      <c r="H108" s="107" t="s">
        <v>122</v>
      </c>
    </row>
    <row r="109" spans="1:8" s="103" customFormat="1" ht="27" customHeight="1" x14ac:dyDescent="0.25">
      <c r="A109" s="104">
        <v>42840</v>
      </c>
      <c r="B109" s="105" t="s">
        <v>1979</v>
      </c>
      <c r="C109" s="106">
        <v>9050</v>
      </c>
      <c r="D109" s="106" t="s">
        <v>122</v>
      </c>
      <c r="E109" s="106" t="s">
        <v>122</v>
      </c>
      <c r="F109" s="106" t="s">
        <v>122</v>
      </c>
      <c r="G109" s="106" t="s">
        <v>122</v>
      </c>
      <c r="H109" s="107" t="s">
        <v>122</v>
      </c>
    </row>
    <row r="110" spans="1:8" s="103" customFormat="1" ht="27" customHeight="1" x14ac:dyDescent="0.25">
      <c r="A110" s="104">
        <v>42841</v>
      </c>
      <c r="B110" s="105" t="s">
        <v>1979</v>
      </c>
      <c r="C110" s="106">
        <v>9050</v>
      </c>
      <c r="D110" s="106" t="s">
        <v>122</v>
      </c>
      <c r="E110" s="106" t="s">
        <v>122</v>
      </c>
      <c r="F110" s="106" t="s">
        <v>122</v>
      </c>
      <c r="G110" s="106" t="s">
        <v>122</v>
      </c>
      <c r="H110" s="107" t="s">
        <v>122</v>
      </c>
    </row>
    <row r="111" spans="1:8" s="103" customFormat="1" ht="27" customHeight="1" x14ac:dyDescent="0.25">
      <c r="A111" s="104">
        <v>42842</v>
      </c>
      <c r="B111" s="105" t="s">
        <v>1979</v>
      </c>
      <c r="C111" s="106">
        <v>9050</v>
      </c>
      <c r="D111" s="106" t="s">
        <v>122</v>
      </c>
      <c r="E111" s="106" t="s">
        <v>122</v>
      </c>
      <c r="F111" s="106" t="s">
        <v>122</v>
      </c>
      <c r="G111" s="106" t="s">
        <v>122</v>
      </c>
      <c r="H111" s="107" t="s">
        <v>122</v>
      </c>
    </row>
    <row r="112" spans="1:8" s="103" customFormat="1" ht="27" customHeight="1" x14ac:dyDescent="0.25">
      <c r="A112" s="104">
        <v>42843</v>
      </c>
      <c r="B112" s="105" t="s">
        <v>1979</v>
      </c>
      <c r="C112" s="106">
        <v>9050</v>
      </c>
      <c r="D112" s="106" t="s">
        <v>122</v>
      </c>
      <c r="E112" s="106" t="s">
        <v>122</v>
      </c>
      <c r="F112" s="106" t="s">
        <v>122</v>
      </c>
      <c r="G112" s="106" t="s">
        <v>122</v>
      </c>
      <c r="H112" s="107" t="s">
        <v>122</v>
      </c>
    </row>
    <row r="113" spans="1:8" s="103" customFormat="1" ht="27" customHeight="1" x14ac:dyDescent="0.25">
      <c r="A113" s="104">
        <v>42844</v>
      </c>
      <c r="B113" s="105" t="s">
        <v>1979</v>
      </c>
      <c r="C113" s="106">
        <v>9050</v>
      </c>
      <c r="D113" s="106" t="s">
        <v>122</v>
      </c>
      <c r="E113" s="106" t="s">
        <v>122</v>
      </c>
      <c r="F113" s="106" t="s">
        <v>122</v>
      </c>
      <c r="G113" s="106" t="s">
        <v>122</v>
      </c>
      <c r="H113" s="107" t="s">
        <v>122</v>
      </c>
    </row>
    <row r="114" spans="1:8" s="103" customFormat="1" ht="27" customHeight="1" x14ac:dyDescent="0.25">
      <c r="A114" s="104">
        <v>42845</v>
      </c>
      <c r="B114" s="105" t="s">
        <v>1980</v>
      </c>
      <c r="C114" s="106">
        <v>8950</v>
      </c>
      <c r="D114" s="106" t="s">
        <v>122</v>
      </c>
      <c r="E114" s="106" t="s">
        <v>122</v>
      </c>
      <c r="F114" s="106" t="s">
        <v>122</v>
      </c>
      <c r="G114" s="106" t="s">
        <v>122</v>
      </c>
      <c r="H114" s="107" t="s">
        <v>122</v>
      </c>
    </row>
    <row r="115" spans="1:8" s="103" customFormat="1" ht="27" customHeight="1" x14ac:dyDescent="0.25">
      <c r="A115" s="104">
        <v>42846</v>
      </c>
      <c r="B115" s="105" t="s">
        <v>1980</v>
      </c>
      <c r="C115" s="106">
        <v>8950</v>
      </c>
      <c r="D115" s="106" t="s">
        <v>122</v>
      </c>
      <c r="E115" s="106" t="s">
        <v>122</v>
      </c>
      <c r="F115" s="106" t="s">
        <v>122</v>
      </c>
      <c r="G115" s="106" t="s">
        <v>122</v>
      </c>
      <c r="H115" s="107" t="s">
        <v>122</v>
      </c>
    </row>
    <row r="116" spans="1:8" s="103" customFormat="1" ht="27" customHeight="1" x14ac:dyDescent="0.25">
      <c r="A116" s="104">
        <v>42847</v>
      </c>
      <c r="B116" s="105" t="s">
        <v>1807</v>
      </c>
      <c r="C116" s="106">
        <v>8900</v>
      </c>
      <c r="D116" s="106" t="s">
        <v>122</v>
      </c>
      <c r="E116" s="106" t="s">
        <v>122</v>
      </c>
      <c r="F116" s="106" t="s">
        <v>122</v>
      </c>
      <c r="G116" s="106" t="s">
        <v>122</v>
      </c>
      <c r="H116" s="107" t="s">
        <v>122</v>
      </c>
    </row>
    <row r="117" spans="1:8" s="103" customFormat="1" ht="27" customHeight="1" x14ac:dyDescent="0.25">
      <c r="A117" s="104">
        <v>42848</v>
      </c>
      <c r="B117" s="105" t="s">
        <v>1807</v>
      </c>
      <c r="C117" s="106">
        <v>8900</v>
      </c>
      <c r="D117" s="106" t="s">
        <v>122</v>
      </c>
      <c r="E117" s="106" t="s">
        <v>122</v>
      </c>
      <c r="F117" s="106" t="s">
        <v>122</v>
      </c>
      <c r="G117" s="106" t="s">
        <v>122</v>
      </c>
      <c r="H117" s="107" t="s">
        <v>122</v>
      </c>
    </row>
    <row r="118" spans="1:8" s="103" customFormat="1" ht="27" customHeight="1" x14ac:dyDescent="0.25">
      <c r="A118" s="104">
        <v>42849</v>
      </c>
      <c r="B118" s="105" t="s">
        <v>1981</v>
      </c>
      <c r="C118" s="106">
        <v>8850</v>
      </c>
      <c r="D118" s="106" t="s">
        <v>122</v>
      </c>
      <c r="E118" s="106" t="s">
        <v>122</v>
      </c>
      <c r="F118" s="106" t="s">
        <v>122</v>
      </c>
      <c r="G118" s="106" t="s">
        <v>122</v>
      </c>
      <c r="H118" s="107" t="s">
        <v>122</v>
      </c>
    </row>
    <row r="119" spans="1:8" s="103" customFormat="1" ht="27" customHeight="1" x14ac:dyDescent="0.25">
      <c r="A119" s="104">
        <v>42850</v>
      </c>
      <c r="B119" s="105" t="s">
        <v>1981</v>
      </c>
      <c r="C119" s="106">
        <v>8850</v>
      </c>
      <c r="D119" s="106" t="s">
        <v>122</v>
      </c>
      <c r="E119" s="106" t="s">
        <v>122</v>
      </c>
      <c r="F119" s="106" t="s">
        <v>122</v>
      </c>
      <c r="G119" s="106" t="s">
        <v>122</v>
      </c>
      <c r="H119" s="107" t="s">
        <v>122</v>
      </c>
    </row>
    <row r="120" spans="1:8" s="103" customFormat="1" ht="27" customHeight="1" x14ac:dyDescent="0.25">
      <c r="A120" s="104">
        <v>42851</v>
      </c>
      <c r="B120" s="105" t="s">
        <v>1982</v>
      </c>
      <c r="C120" s="106">
        <v>8800</v>
      </c>
      <c r="D120" s="106" t="s">
        <v>122</v>
      </c>
      <c r="E120" s="106" t="s">
        <v>122</v>
      </c>
      <c r="F120" s="106" t="s">
        <v>122</v>
      </c>
      <c r="G120" s="106" t="s">
        <v>122</v>
      </c>
      <c r="H120" s="107" t="s">
        <v>122</v>
      </c>
    </row>
    <row r="121" spans="1:8" s="103" customFormat="1" ht="27" customHeight="1" x14ac:dyDescent="0.25">
      <c r="A121" s="104">
        <v>42852</v>
      </c>
      <c r="B121" s="105" t="s">
        <v>1982</v>
      </c>
      <c r="C121" s="106">
        <v>8800</v>
      </c>
      <c r="D121" s="106" t="s">
        <v>122</v>
      </c>
      <c r="E121" s="106" t="s">
        <v>122</v>
      </c>
      <c r="F121" s="106" t="s">
        <v>122</v>
      </c>
      <c r="G121" s="106" t="s">
        <v>122</v>
      </c>
      <c r="H121" s="107" t="s">
        <v>122</v>
      </c>
    </row>
    <row r="122" spans="1:8" s="103" customFormat="1" ht="27" customHeight="1" x14ac:dyDescent="0.25">
      <c r="A122" s="104">
        <v>42853</v>
      </c>
      <c r="B122" s="105" t="s">
        <v>1983</v>
      </c>
      <c r="C122" s="106">
        <v>8750</v>
      </c>
      <c r="D122" s="106" t="s">
        <v>122</v>
      </c>
      <c r="E122" s="106" t="s">
        <v>122</v>
      </c>
      <c r="F122" s="106" t="s">
        <v>122</v>
      </c>
      <c r="G122" s="106" t="s">
        <v>122</v>
      </c>
      <c r="H122" s="107" t="s">
        <v>122</v>
      </c>
    </row>
    <row r="123" spans="1:8" s="103" customFormat="1" ht="27" customHeight="1" x14ac:dyDescent="0.25">
      <c r="A123" s="104">
        <v>42854</v>
      </c>
      <c r="B123" s="105" t="s">
        <v>1983</v>
      </c>
      <c r="C123" s="106">
        <v>8750</v>
      </c>
      <c r="D123" s="106" t="s">
        <v>122</v>
      </c>
      <c r="E123" s="106" t="s">
        <v>122</v>
      </c>
      <c r="F123" s="106" t="s">
        <v>122</v>
      </c>
      <c r="G123" s="106" t="s">
        <v>122</v>
      </c>
      <c r="H123" s="107" t="s">
        <v>122</v>
      </c>
    </row>
    <row r="124" spans="1:8" s="103" customFormat="1" ht="27" customHeight="1" x14ac:dyDescent="0.25">
      <c r="A124" s="104">
        <v>42855</v>
      </c>
      <c r="B124" s="105" t="s">
        <v>1983</v>
      </c>
      <c r="C124" s="106">
        <v>8750</v>
      </c>
      <c r="D124" s="106" t="s">
        <v>122</v>
      </c>
      <c r="E124" s="106" t="s">
        <v>122</v>
      </c>
      <c r="F124" s="106" t="s">
        <v>122</v>
      </c>
      <c r="G124" s="106" t="s">
        <v>122</v>
      </c>
      <c r="H124" s="107" t="s">
        <v>122</v>
      </c>
    </row>
    <row r="125" spans="1:8" s="103" customFormat="1" ht="27" customHeight="1" x14ac:dyDescent="0.25">
      <c r="A125" s="104">
        <v>42856</v>
      </c>
      <c r="B125" s="105" t="s">
        <v>1976</v>
      </c>
      <c r="C125" s="106">
        <v>8700</v>
      </c>
      <c r="D125" s="106" t="s">
        <v>122</v>
      </c>
      <c r="E125" s="106" t="s">
        <v>122</v>
      </c>
      <c r="F125" s="106" t="s">
        <v>122</v>
      </c>
      <c r="G125" s="106" t="s">
        <v>122</v>
      </c>
      <c r="H125" s="107" t="s">
        <v>122</v>
      </c>
    </row>
    <row r="126" spans="1:8" s="103" customFormat="1" ht="27" customHeight="1" x14ac:dyDescent="0.25">
      <c r="A126" s="104">
        <v>42857</v>
      </c>
      <c r="B126" s="105" t="s">
        <v>1976</v>
      </c>
      <c r="C126" s="106">
        <v>8700</v>
      </c>
      <c r="D126" s="106" t="s">
        <v>122</v>
      </c>
      <c r="E126" s="106" t="s">
        <v>122</v>
      </c>
      <c r="F126" s="106" t="s">
        <v>122</v>
      </c>
      <c r="G126" s="106" t="s">
        <v>122</v>
      </c>
      <c r="H126" s="107" t="s">
        <v>122</v>
      </c>
    </row>
    <row r="127" spans="1:8" s="103" customFormat="1" ht="27" customHeight="1" x14ac:dyDescent="0.25">
      <c r="A127" s="104">
        <v>42858</v>
      </c>
      <c r="B127" s="105" t="s">
        <v>1976</v>
      </c>
      <c r="C127" s="106">
        <v>8700</v>
      </c>
      <c r="D127" s="106" t="s">
        <v>122</v>
      </c>
      <c r="E127" s="106" t="s">
        <v>122</v>
      </c>
      <c r="F127" s="106" t="s">
        <v>122</v>
      </c>
      <c r="G127" s="106" t="s">
        <v>122</v>
      </c>
      <c r="H127" s="107" t="s">
        <v>122</v>
      </c>
    </row>
    <row r="128" spans="1:8" s="103" customFormat="1" ht="27" customHeight="1" x14ac:dyDescent="0.25">
      <c r="A128" s="104">
        <v>42859</v>
      </c>
      <c r="B128" s="105" t="s">
        <v>1976</v>
      </c>
      <c r="C128" s="106">
        <v>8700</v>
      </c>
      <c r="D128" s="106" t="s">
        <v>122</v>
      </c>
      <c r="E128" s="106" t="s">
        <v>122</v>
      </c>
      <c r="F128" s="106" t="s">
        <v>122</v>
      </c>
      <c r="G128" s="106" t="s">
        <v>122</v>
      </c>
      <c r="H128" s="107" t="s">
        <v>122</v>
      </c>
    </row>
    <row r="129" spans="1:8" s="103" customFormat="1" ht="27" customHeight="1" x14ac:dyDescent="0.25">
      <c r="A129" s="104">
        <v>42860</v>
      </c>
      <c r="B129" s="105" t="s">
        <v>1984</v>
      </c>
      <c r="C129" s="106">
        <v>8650</v>
      </c>
      <c r="D129" s="106" t="s">
        <v>122</v>
      </c>
      <c r="E129" s="106" t="s">
        <v>122</v>
      </c>
      <c r="F129" s="106" t="s">
        <v>122</v>
      </c>
      <c r="G129" s="106" t="s">
        <v>122</v>
      </c>
      <c r="H129" s="107" t="s">
        <v>122</v>
      </c>
    </row>
    <row r="130" spans="1:8" s="103" customFormat="1" ht="27" customHeight="1" x14ac:dyDescent="0.25">
      <c r="A130" s="104">
        <v>42861</v>
      </c>
      <c r="B130" s="105" t="s">
        <v>1984</v>
      </c>
      <c r="C130" s="106">
        <v>8650</v>
      </c>
      <c r="D130" s="106" t="s">
        <v>122</v>
      </c>
      <c r="E130" s="106" t="s">
        <v>122</v>
      </c>
      <c r="F130" s="106" t="s">
        <v>122</v>
      </c>
      <c r="G130" s="106" t="s">
        <v>122</v>
      </c>
      <c r="H130" s="107" t="s">
        <v>122</v>
      </c>
    </row>
    <row r="131" spans="1:8" s="103" customFormat="1" ht="27" customHeight="1" x14ac:dyDescent="0.25">
      <c r="A131" s="104">
        <v>42862</v>
      </c>
      <c r="B131" s="105" t="s">
        <v>1984</v>
      </c>
      <c r="C131" s="106">
        <v>8650</v>
      </c>
      <c r="D131" s="106" t="s">
        <v>122</v>
      </c>
      <c r="E131" s="106" t="s">
        <v>122</v>
      </c>
      <c r="F131" s="106" t="s">
        <v>122</v>
      </c>
      <c r="G131" s="106" t="s">
        <v>122</v>
      </c>
      <c r="H131" s="107" t="s">
        <v>122</v>
      </c>
    </row>
    <row r="132" spans="1:8" s="103" customFormat="1" ht="27" customHeight="1" x14ac:dyDescent="0.25">
      <c r="A132" s="104">
        <v>42863</v>
      </c>
      <c r="B132" s="105" t="s">
        <v>1976</v>
      </c>
      <c r="C132" s="106">
        <v>8700</v>
      </c>
      <c r="D132" s="106" t="s">
        <v>122</v>
      </c>
      <c r="E132" s="106" t="s">
        <v>122</v>
      </c>
      <c r="F132" s="106" t="s">
        <v>122</v>
      </c>
      <c r="G132" s="106" t="s">
        <v>122</v>
      </c>
      <c r="H132" s="107" t="s">
        <v>122</v>
      </c>
    </row>
    <row r="133" spans="1:8" s="103" customFormat="1" ht="27" customHeight="1" x14ac:dyDescent="0.25">
      <c r="A133" s="104">
        <v>42864</v>
      </c>
      <c r="B133" s="105" t="s">
        <v>1976</v>
      </c>
      <c r="C133" s="106">
        <v>8700</v>
      </c>
      <c r="D133" s="106" t="s">
        <v>122</v>
      </c>
      <c r="E133" s="106" t="s">
        <v>122</v>
      </c>
      <c r="F133" s="106" t="s">
        <v>122</v>
      </c>
      <c r="G133" s="106" t="s">
        <v>122</v>
      </c>
      <c r="H133" s="107" t="s">
        <v>122</v>
      </c>
    </row>
    <row r="134" spans="1:8" s="103" customFormat="1" ht="27" customHeight="1" x14ac:dyDescent="0.25">
      <c r="A134" s="104">
        <v>42865</v>
      </c>
      <c r="B134" s="105" t="s">
        <v>1976</v>
      </c>
      <c r="C134" s="106">
        <v>8700</v>
      </c>
      <c r="D134" s="106" t="s">
        <v>122</v>
      </c>
      <c r="E134" s="106" t="s">
        <v>122</v>
      </c>
      <c r="F134" s="106" t="s">
        <v>122</v>
      </c>
      <c r="G134" s="106" t="s">
        <v>122</v>
      </c>
      <c r="H134" s="107" t="s">
        <v>122</v>
      </c>
    </row>
    <row r="135" spans="1:8" s="103" customFormat="1" ht="27" customHeight="1" x14ac:dyDescent="0.25">
      <c r="A135" s="104">
        <v>42866</v>
      </c>
      <c r="B135" s="105" t="s">
        <v>1976</v>
      </c>
      <c r="C135" s="106">
        <v>8700</v>
      </c>
      <c r="D135" s="106" t="s">
        <v>122</v>
      </c>
      <c r="E135" s="106" t="s">
        <v>122</v>
      </c>
      <c r="F135" s="106" t="s">
        <v>122</v>
      </c>
      <c r="G135" s="106" t="s">
        <v>122</v>
      </c>
      <c r="H135" s="107" t="s">
        <v>122</v>
      </c>
    </row>
    <row r="136" spans="1:8" s="103" customFormat="1" ht="27" customHeight="1" x14ac:dyDescent="0.25">
      <c r="A136" s="104">
        <v>42867</v>
      </c>
      <c r="B136" s="105" t="s">
        <v>1984</v>
      </c>
      <c r="C136" s="106">
        <v>8650</v>
      </c>
      <c r="D136" s="106" t="s">
        <v>122</v>
      </c>
      <c r="E136" s="106" t="s">
        <v>122</v>
      </c>
      <c r="F136" s="106" t="s">
        <v>122</v>
      </c>
      <c r="G136" s="106" t="s">
        <v>122</v>
      </c>
      <c r="H136" s="107" t="s">
        <v>122</v>
      </c>
    </row>
    <row r="137" spans="1:8" s="103" customFormat="1" ht="27" customHeight="1" x14ac:dyDescent="0.25">
      <c r="A137" s="104">
        <v>42868</v>
      </c>
      <c r="B137" s="105" t="s">
        <v>1984</v>
      </c>
      <c r="C137" s="106">
        <v>8650</v>
      </c>
      <c r="D137" s="106" t="s">
        <v>122</v>
      </c>
      <c r="E137" s="106" t="s">
        <v>122</v>
      </c>
      <c r="F137" s="106" t="s">
        <v>122</v>
      </c>
      <c r="G137" s="106" t="s">
        <v>122</v>
      </c>
      <c r="H137" s="107" t="s">
        <v>122</v>
      </c>
    </row>
    <row r="138" spans="1:8" s="103" customFormat="1" ht="27" customHeight="1" x14ac:dyDescent="0.25">
      <c r="A138" s="104">
        <v>42869</v>
      </c>
      <c r="B138" s="105" t="s">
        <v>1810</v>
      </c>
      <c r="C138" s="106">
        <v>8600</v>
      </c>
      <c r="D138" s="106" t="s">
        <v>122</v>
      </c>
      <c r="E138" s="106" t="s">
        <v>122</v>
      </c>
      <c r="F138" s="106" t="s">
        <v>122</v>
      </c>
      <c r="G138" s="106" t="s">
        <v>122</v>
      </c>
      <c r="H138" s="107" t="s">
        <v>122</v>
      </c>
    </row>
    <row r="139" spans="1:8" s="103" customFormat="1" ht="27" customHeight="1" x14ac:dyDescent="0.25">
      <c r="A139" s="104">
        <v>42870</v>
      </c>
      <c r="B139" s="105" t="s">
        <v>1810</v>
      </c>
      <c r="C139" s="106">
        <v>8600</v>
      </c>
      <c r="D139" s="106" t="s">
        <v>122</v>
      </c>
      <c r="E139" s="106" t="s">
        <v>122</v>
      </c>
      <c r="F139" s="106" t="s">
        <v>122</v>
      </c>
      <c r="G139" s="106" t="s">
        <v>122</v>
      </c>
      <c r="H139" s="107" t="s">
        <v>122</v>
      </c>
    </row>
    <row r="140" spans="1:8" s="103" customFormat="1" ht="27" customHeight="1" x14ac:dyDescent="0.25">
      <c r="A140" s="104">
        <v>42871</v>
      </c>
      <c r="B140" s="105" t="s">
        <v>1810</v>
      </c>
      <c r="C140" s="106">
        <v>8600</v>
      </c>
      <c r="D140" s="106" t="s">
        <v>122</v>
      </c>
      <c r="E140" s="106" t="s">
        <v>122</v>
      </c>
      <c r="F140" s="106" t="s">
        <v>122</v>
      </c>
      <c r="G140" s="106" t="s">
        <v>122</v>
      </c>
      <c r="H140" s="107" t="s">
        <v>122</v>
      </c>
    </row>
    <row r="141" spans="1:8" s="103" customFormat="1" ht="27" customHeight="1" x14ac:dyDescent="0.25">
      <c r="A141" s="104">
        <v>42872</v>
      </c>
      <c r="B141" s="105" t="s">
        <v>1985</v>
      </c>
      <c r="C141" s="106">
        <v>8550</v>
      </c>
      <c r="D141" s="106" t="s">
        <v>122</v>
      </c>
      <c r="E141" s="106" t="s">
        <v>122</v>
      </c>
      <c r="F141" s="106" t="s">
        <v>122</v>
      </c>
      <c r="G141" s="106" t="s">
        <v>122</v>
      </c>
      <c r="H141" s="107" t="s">
        <v>122</v>
      </c>
    </row>
    <row r="142" spans="1:8" s="103" customFormat="1" ht="27" customHeight="1" x14ac:dyDescent="0.25">
      <c r="A142" s="104">
        <v>42873</v>
      </c>
      <c r="B142" s="105" t="s">
        <v>1985</v>
      </c>
      <c r="C142" s="106">
        <v>8550</v>
      </c>
      <c r="D142" s="106" t="s">
        <v>122</v>
      </c>
      <c r="E142" s="106" t="s">
        <v>122</v>
      </c>
      <c r="F142" s="106" t="s">
        <v>122</v>
      </c>
      <c r="G142" s="106" t="s">
        <v>122</v>
      </c>
      <c r="H142" s="107" t="s">
        <v>122</v>
      </c>
    </row>
    <row r="143" spans="1:8" s="103" customFormat="1" ht="27" customHeight="1" x14ac:dyDescent="0.25">
      <c r="A143" s="104">
        <v>42874</v>
      </c>
      <c r="B143" s="105" t="s">
        <v>1812</v>
      </c>
      <c r="C143" s="106">
        <v>8400</v>
      </c>
      <c r="D143" s="106" t="s">
        <v>122</v>
      </c>
      <c r="E143" s="106" t="s">
        <v>122</v>
      </c>
      <c r="F143" s="106" t="s">
        <v>122</v>
      </c>
      <c r="G143" s="106" t="s">
        <v>122</v>
      </c>
      <c r="H143" s="107" t="s">
        <v>122</v>
      </c>
    </row>
    <row r="144" spans="1:8" s="103" customFormat="1" ht="27" customHeight="1" x14ac:dyDescent="0.25">
      <c r="A144" s="104">
        <v>42875</v>
      </c>
      <c r="B144" s="105" t="s">
        <v>1812</v>
      </c>
      <c r="C144" s="106">
        <v>8400</v>
      </c>
      <c r="D144" s="106" t="s">
        <v>122</v>
      </c>
      <c r="E144" s="106" t="s">
        <v>122</v>
      </c>
      <c r="F144" s="106" t="s">
        <v>122</v>
      </c>
      <c r="G144" s="106" t="s">
        <v>122</v>
      </c>
      <c r="H144" s="107" t="s">
        <v>122</v>
      </c>
    </row>
    <row r="145" spans="1:8" s="103" customFormat="1" ht="27" customHeight="1" x14ac:dyDescent="0.25">
      <c r="A145" s="104">
        <v>42876</v>
      </c>
      <c r="B145" s="105" t="s">
        <v>1812</v>
      </c>
      <c r="C145" s="106">
        <v>8400</v>
      </c>
      <c r="D145" s="106" t="s">
        <v>122</v>
      </c>
      <c r="E145" s="106" t="s">
        <v>122</v>
      </c>
      <c r="F145" s="106" t="s">
        <v>122</v>
      </c>
      <c r="G145" s="106" t="s">
        <v>122</v>
      </c>
      <c r="H145" s="107" t="s">
        <v>122</v>
      </c>
    </row>
    <row r="146" spans="1:8" s="103" customFormat="1" ht="27" customHeight="1" x14ac:dyDescent="0.25">
      <c r="A146" s="104">
        <v>42877</v>
      </c>
      <c r="B146" s="105" t="s">
        <v>1986</v>
      </c>
      <c r="C146" s="106">
        <v>8350</v>
      </c>
      <c r="D146" s="106" t="s">
        <v>122</v>
      </c>
      <c r="E146" s="106" t="s">
        <v>122</v>
      </c>
      <c r="F146" s="106" t="s">
        <v>122</v>
      </c>
      <c r="G146" s="106" t="s">
        <v>122</v>
      </c>
      <c r="H146" s="107" t="s">
        <v>122</v>
      </c>
    </row>
    <row r="147" spans="1:8" s="103" customFormat="1" ht="27" customHeight="1" x14ac:dyDescent="0.25">
      <c r="A147" s="104">
        <v>42878</v>
      </c>
      <c r="B147" s="105" t="s">
        <v>1986</v>
      </c>
      <c r="C147" s="106">
        <v>8350</v>
      </c>
      <c r="D147" s="106" t="s">
        <v>122</v>
      </c>
      <c r="E147" s="106" t="s">
        <v>122</v>
      </c>
      <c r="F147" s="106" t="s">
        <v>122</v>
      </c>
      <c r="G147" s="106" t="s">
        <v>122</v>
      </c>
      <c r="H147" s="107" t="s">
        <v>122</v>
      </c>
    </row>
    <row r="148" spans="1:8" s="103" customFormat="1" ht="27" customHeight="1" x14ac:dyDescent="0.25">
      <c r="A148" s="104">
        <v>42879</v>
      </c>
      <c r="B148" s="105" t="s">
        <v>1986</v>
      </c>
      <c r="C148" s="106">
        <v>8350</v>
      </c>
      <c r="D148" s="106" t="s">
        <v>122</v>
      </c>
      <c r="E148" s="106" t="s">
        <v>122</v>
      </c>
      <c r="F148" s="106" t="s">
        <v>122</v>
      </c>
      <c r="G148" s="106" t="s">
        <v>122</v>
      </c>
      <c r="H148" s="107" t="s">
        <v>122</v>
      </c>
    </row>
    <row r="149" spans="1:8" s="103" customFormat="1" ht="27" customHeight="1" x14ac:dyDescent="0.25">
      <c r="A149" s="104">
        <v>42880</v>
      </c>
      <c r="B149" s="105" t="s">
        <v>1811</v>
      </c>
      <c r="C149" s="106">
        <v>8500</v>
      </c>
      <c r="D149" s="106" t="s">
        <v>122</v>
      </c>
      <c r="E149" s="106" t="s">
        <v>122</v>
      </c>
      <c r="F149" s="106" t="s">
        <v>122</v>
      </c>
      <c r="G149" s="106" t="s">
        <v>122</v>
      </c>
      <c r="H149" s="107" t="s">
        <v>122</v>
      </c>
    </row>
    <row r="150" spans="1:8" s="103" customFormat="1" ht="27" customHeight="1" x14ac:dyDescent="0.25">
      <c r="A150" s="104">
        <v>42881</v>
      </c>
      <c r="B150" s="105" t="s">
        <v>1811</v>
      </c>
      <c r="C150" s="106">
        <v>8500</v>
      </c>
      <c r="D150" s="106" t="s">
        <v>122</v>
      </c>
      <c r="E150" s="106" t="s">
        <v>122</v>
      </c>
      <c r="F150" s="106" t="s">
        <v>122</v>
      </c>
      <c r="G150" s="106" t="s">
        <v>122</v>
      </c>
      <c r="H150" s="107" t="s">
        <v>122</v>
      </c>
    </row>
    <row r="151" spans="1:8" s="103" customFormat="1" ht="27" customHeight="1" x14ac:dyDescent="0.25">
      <c r="A151" s="104">
        <v>42882</v>
      </c>
      <c r="B151" s="105" t="s">
        <v>1811</v>
      </c>
      <c r="C151" s="106">
        <v>8500</v>
      </c>
      <c r="D151" s="106" t="s">
        <v>122</v>
      </c>
      <c r="E151" s="106" t="s">
        <v>122</v>
      </c>
      <c r="F151" s="106" t="s">
        <v>122</v>
      </c>
      <c r="G151" s="106" t="s">
        <v>122</v>
      </c>
      <c r="H151" s="107" t="s">
        <v>122</v>
      </c>
    </row>
    <row r="152" spans="1:8" s="103" customFormat="1" ht="27" customHeight="1" x14ac:dyDescent="0.25">
      <c r="A152" s="104">
        <v>42883</v>
      </c>
      <c r="B152" s="105" t="s">
        <v>1811</v>
      </c>
      <c r="C152" s="106">
        <v>8500</v>
      </c>
      <c r="D152" s="106" t="s">
        <v>122</v>
      </c>
      <c r="E152" s="106" t="s">
        <v>122</v>
      </c>
      <c r="F152" s="106" t="s">
        <v>122</v>
      </c>
      <c r="G152" s="106" t="s">
        <v>122</v>
      </c>
      <c r="H152" s="107" t="s">
        <v>122</v>
      </c>
    </row>
    <row r="153" spans="1:8" s="103" customFormat="1" ht="27" customHeight="1" x14ac:dyDescent="0.25">
      <c r="A153" s="104">
        <v>42884</v>
      </c>
      <c r="B153" s="105" t="s">
        <v>1811</v>
      </c>
      <c r="C153" s="106">
        <v>8500</v>
      </c>
      <c r="D153" s="106" t="s">
        <v>122</v>
      </c>
      <c r="E153" s="106" t="s">
        <v>122</v>
      </c>
      <c r="F153" s="106" t="s">
        <v>122</v>
      </c>
      <c r="G153" s="106" t="s">
        <v>122</v>
      </c>
      <c r="H153" s="107" t="s">
        <v>122</v>
      </c>
    </row>
    <row r="154" spans="1:8" s="103" customFormat="1" ht="27" customHeight="1" x14ac:dyDescent="0.25">
      <c r="A154" s="104">
        <v>42885</v>
      </c>
      <c r="B154" s="105" t="s">
        <v>1811</v>
      </c>
      <c r="C154" s="106">
        <v>8500</v>
      </c>
      <c r="D154" s="106" t="s">
        <v>122</v>
      </c>
      <c r="E154" s="106" t="s">
        <v>122</v>
      </c>
      <c r="F154" s="106" t="s">
        <v>122</v>
      </c>
      <c r="G154" s="106" t="s">
        <v>122</v>
      </c>
      <c r="H154" s="107" t="s">
        <v>122</v>
      </c>
    </row>
    <row r="155" spans="1:8" s="103" customFormat="1" ht="27" customHeight="1" x14ac:dyDescent="0.25">
      <c r="A155" s="104">
        <v>42886</v>
      </c>
      <c r="B155" s="105" t="s">
        <v>1811</v>
      </c>
      <c r="C155" s="106">
        <v>8500</v>
      </c>
      <c r="D155" s="106" t="s">
        <v>122</v>
      </c>
      <c r="E155" s="106" t="s">
        <v>122</v>
      </c>
      <c r="F155" s="106" t="s">
        <v>122</v>
      </c>
      <c r="G155" s="106" t="s">
        <v>122</v>
      </c>
      <c r="H155" s="107" t="s">
        <v>122</v>
      </c>
    </row>
    <row r="156" spans="1:8" s="103" customFormat="1" ht="27" customHeight="1" x14ac:dyDescent="0.25">
      <c r="A156" s="104">
        <v>42887</v>
      </c>
      <c r="B156" s="105" t="s">
        <v>1987</v>
      </c>
      <c r="C156" s="106">
        <v>8450</v>
      </c>
      <c r="D156" s="106" t="s">
        <v>122</v>
      </c>
      <c r="E156" s="106" t="s">
        <v>122</v>
      </c>
      <c r="F156" s="106" t="s">
        <v>122</v>
      </c>
      <c r="G156" s="106" t="s">
        <v>122</v>
      </c>
      <c r="H156" s="107" t="s">
        <v>122</v>
      </c>
    </row>
    <row r="157" spans="1:8" s="103" customFormat="1" ht="27" customHeight="1" x14ac:dyDescent="0.25">
      <c r="A157" s="104">
        <v>42888</v>
      </c>
      <c r="B157" s="105" t="s">
        <v>1987</v>
      </c>
      <c r="C157" s="106">
        <v>8450</v>
      </c>
      <c r="D157" s="106" t="s">
        <v>122</v>
      </c>
      <c r="E157" s="106" t="s">
        <v>122</v>
      </c>
      <c r="F157" s="106" t="s">
        <v>122</v>
      </c>
      <c r="G157" s="106" t="s">
        <v>122</v>
      </c>
      <c r="H157" s="107" t="s">
        <v>122</v>
      </c>
    </row>
    <row r="158" spans="1:8" s="103" customFormat="1" ht="27" customHeight="1" x14ac:dyDescent="0.25">
      <c r="A158" s="104">
        <v>42889</v>
      </c>
      <c r="B158" s="105" t="s">
        <v>1987</v>
      </c>
      <c r="C158" s="106">
        <v>8450</v>
      </c>
      <c r="D158" s="106" t="s">
        <v>122</v>
      </c>
      <c r="E158" s="106" t="s">
        <v>122</v>
      </c>
      <c r="F158" s="106" t="s">
        <v>122</v>
      </c>
      <c r="G158" s="106" t="s">
        <v>122</v>
      </c>
      <c r="H158" s="107" t="s">
        <v>122</v>
      </c>
    </row>
    <row r="159" spans="1:8" s="103" customFormat="1" ht="27" customHeight="1" x14ac:dyDescent="0.25">
      <c r="A159" s="104">
        <v>42890</v>
      </c>
      <c r="B159" s="105" t="s">
        <v>1987</v>
      </c>
      <c r="C159" s="106">
        <v>8450</v>
      </c>
      <c r="D159" s="106" t="s">
        <v>122</v>
      </c>
      <c r="E159" s="106" t="s">
        <v>122</v>
      </c>
      <c r="F159" s="106" t="s">
        <v>122</v>
      </c>
      <c r="G159" s="106" t="s">
        <v>122</v>
      </c>
      <c r="H159" s="107" t="s">
        <v>122</v>
      </c>
    </row>
    <row r="160" spans="1:8" s="103" customFormat="1" ht="27" customHeight="1" x14ac:dyDescent="0.25">
      <c r="A160" s="104">
        <v>42891</v>
      </c>
      <c r="B160" s="105" t="s">
        <v>1812</v>
      </c>
      <c r="C160" s="106">
        <v>8400</v>
      </c>
      <c r="D160" s="106" t="s">
        <v>122</v>
      </c>
      <c r="E160" s="106" t="s">
        <v>122</v>
      </c>
      <c r="F160" s="106" t="s">
        <v>122</v>
      </c>
      <c r="G160" s="106" t="s">
        <v>122</v>
      </c>
      <c r="H160" s="107" t="s">
        <v>122</v>
      </c>
    </row>
    <row r="161" spans="1:8" s="103" customFormat="1" ht="27" customHeight="1" x14ac:dyDescent="0.25">
      <c r="A161" s="104">
        <v>42892</v>
      </c>
      <c r="B161" s="105" t="s">
        <v>1812</v>
      </c>
      <c r="C161" s="106">
        <v>8400</v>
      </c>
      <c r="D161" s="106" t="s">
        <v>122</v>
      </c>
      <c r="E161" s="106" t="s">
        <v>122</v>
      </c>
      <c r="F161" s="106" t="s">
        <v>122</v>
      </c>
      <c r="G161" s="106" t="s">
        <v>122</v>
      </c>
      <c r="H161" s="107" t="s">
        <v>122</v>
      </c>
    </row>
    <row r="162" spans="1:8" s="103" customFormat="1" ht="27" customHeight="1" x14ac:dyDescent="0.25">
      <c r="A162" s="104">
        <v>42893</v>
      </c>
      <c r="B162" s="105" t="s">
        <v>1812</v>
      </c>
      <c r="C162" s="106">
        <v>8400</v>
      </c>
      <c r="D162" s="106" t="s">
        <v>122</v>
      </c>
      <c r="E162" s="106" t="s">
        <v>122</v>
      </c>
      <c r="F162" s="106" t="s">
        <v>122</v>
      </c>
      <c r="G162" s="106" t="s">
        <v>122</v>
      </c>
      <c r="H162" s="107" t="s">
        <v>122</v>
      </c>
    </row>
    <row r="163" spans="1:8" s="103" customFormat="1" ht="27" customHeight="1" x14ac:dyDescent="0.25">
      <c r="A163" s="104">
        <v>42894</v>
      </c>
      <c r="B163" s="105" t="s">
        <v>1986</v>
      </c>
      <c r="C163" s="106">
        <v>8350</v>
      </c>
      <c r="D163" s="106" t="s">
        <v>122</v>
      </c>
      <c r="E163" s="106" t="s">
        <v>122</v>
      </c>
      <c r="F163" s="106" t="s">
        <v>122</v>
      </c>
      <c r="G163" s="106" t="s">
        <v>122</v>
      </c>
      <c r="H163" s="107" t="s">
        <v>122</v>
      </c>
    </row>
    <row r="164" spans="1:8" s="103" customFormat="1" ht="27" customHeight="1" x14ac:dyDescent="0.25">
      <c r="A164" s="104">
        <v>42895</v>
      </c>
      <c r="B164" s="105" t="s">
        <v>1986</v>
      </c>
      <c r="C164" s="106">
        <v>8350</v>
      </c>
      <c r="D164" s="106" t="s">
        <v>122</v>
      </c>
      <c r="E164" s="106" t="s">
        <v>122</v>
      </c>
      <c r="F164" s="106" t="s">
        <v>122</v>
      </c>
      <c r="G164" s="106" t="s">
        <v>122</v>
      </c>
      <c r="H164" s="107" t="s">
        <v>122</v>
      </c>
    </row>
    <row r="165" spans="1:8" s="103" customFormat="1" ht="27" customHeight="1" x14ac:dyDescent="0.25">
      <c r="A165" s="104">
        <v>42896</v>
      </c>
      <c r="B165" s="105" t="s">
        <v>1986</v>
      </c>
      <c r="C165" s="106">
        <v>8350</v>
      </c>
      <c r="D165" s="106" t="s">
        <v>122</v>
      </c>
      <c r="E165" s="106" t="s">
        <v>122</v>
      </c>
      <c r="F165" s="106" t="s">
        <v>122</v>
      </c>
      <c r="G165" s="106" t="s">
        <v>122</v>
      </c>
      <c r="H165" s="107" t="s">
        <v>122</v>
      </c>
    </row>
    <row r="166" spans="1:8" s="103" customFormat="1" ht="27" customHeight="1" x14ac:dyDescent="0.25">
      <c r="A166" s="104">
        <v>42897</v>
      </c>
      <c r="B166" s="105" t="s">
        <v>1986</v>
      </c>
      <c r="C166" s="106">
        <v>8350</v>
      </c>
      <c r="D166" s="106" t="s">
        <v>122</v>
      </c>
      <c r="E166" s="106" t="s">
        <v>122</v>
      </c>
      <c r="F166" s="106" t="s">
        <v>122</v>
      </c>
      <c r="G166" s="106" t="s">
        <v>122</v>
      </c>
      <c r="H166" s="107" t="s">
        <v>122</v>
      </c>
    </row>
    <row r="167" spans="1:8" s="103" customFormat="1" ht="27" customHeight="1" x14ac:dyDescent="0.25">
      <c r="A167" s="104">
        <v>42898</v>
      </c>
      <c r="B167" s="105" t="s">
        <v>1813</v>
      </c>
      <c r="C167" s="106">
        <v>8300</v>
      </c>
      <c r="D167" s="106" t="s">
        <v>122</v>
      </c>
      <c r="E167" s="106" t="s">
        <v>122</v>
      </c>
      <c r="F167" s="106" t="s">
        <v>122</v>
      </c>
      <c r="G167" s="106" t="s">
        <v>122</v>
      </c>
      <c r="H167" s="107" t="s">
        <v>122</v>
      </c>
    </row>
    <row r="168" spans="1:8" s="103" customFormat="1" ht="27" customHeight="1" x14ac:dyDescent="0.25">
      <c r="A168" s="104">
        <v>42899</v>
      </c>
      <c r="B168" s="105" t="s">
        <v>1813</v>
      </c>
      <c r="C168" s="106">
        <v>8300</v>
      </c>
      <c r="D168" s="106" t="s">
        <v>122</v>
      </c>
      <c r="E168" s="106" t="s">
        <v>122</v>
      </c>
      <c r="F168" s="106" t="s">
        <v>122</v>
      </c>
      <c r="G168" s="106" t="s">
        <v>122</v>
      </c>
      <c r="H168" s="107" t="s">
        <v>122</v>
      </c>
    </row>
    <row r="169" spans="1:8" s="103" customFormat="1" ht="27" customHeight="1" x14ac:dyDescent="0.25">
      <c r="A169" s="104">
        <v>42900</v>
      </c>
      <c r="B169" s="105" t="s">
        <v>1813</v>
      </c>
      <c r="C169" s="106">
        <v>8300</v>
      </c>
      <c r="D169" s="106" t="s">
        <v>122</v>
      </c>
      <c r="E169" s="106" t="s">
        <v>122</v>
      </c>
      <c r="F169" s="106" t="s">
        <v>122</v>
      </c>
      <c r="G169" s="106" t="s">
        <v>122</v>
      </c>
      <c r="H169" s="107" t="s">
        <v>122</v>
      </c>
    </row>
    <row r="170" spans="1:8" s="103" customFormat="1" ht="27" customHeight="1" x14ac:dyDescent="0.25">
      <c r="A170" s="104">
        <v>42901</v>
      </c>
      <c r="B170" s="105" t="s">
        <v>1814</v>
      </c>
      <c r="C170" s="106">
        <v>8275</v>
      </c>
      <c r="D170" s="106" t="s">
        <v>122</v>
      </c>
      <c r="E170" s="106" t="s">
        <v>122</v>
      </c>
      <c r="F170" s="106" t="s">
        <v>122</v>
      </c>
      <c r="G170" s="106" t="s">
        <v>122</v>
      </c>
      <c r="H170" s="107" t="s">
        <v>122</v>
      </c>
    </row>
    <row r="171" spans="1:8" s="103" customFormat="1" ht="27" customHeight="1" x14ac:dyDescent="0.25">
      <c r="A171" s="104">
        <v>42902</v>
      </c>
      <c r="B171" s="105" t="s">
        <v>1814</v>
      </c>
      <c r="C171" s="106">
        <v>8275</v>
      </c>
      <c r="D171" s="106" t="s">
        <v>122</v>
      </c>
      <c r="E171" s="106" t="s">
        <v>122</v>
      </c>
      <c r="F171" s="106" t="s">
        <v>122</v>
      </c>
      <c r="G171" s="106" t="s">
        <v>122</v>
      </c>
      <c r="H171" s="107" t="s">
        <v>122</v>
      </c>
    </row>
    <row r="172" spans="1:8" s="103" customFormat="1" ht="27" customHeight="1" x14ac:dyDescent="0.25">
      <c r="A172" s="104">
        <v>42903</v>
      </c>
      <c r="B172" s="105" t="s">
        <v>1814</v>
      </c>
      <c r="C172" s="106">
        <v>8275</v>
      </c>
      <c r="D172" s="106" t="s">
        <v>122</v>
      </c>
      <c r="E172" s="106" t="s">
        <v>122</v>
      </c>
      <c r="F172" s="106" t="s">
        <v>122</v>
      </c>
      <c r="G172" s="106" t="s">
        <v>122</v>
      </c>
      <c r="H172" s="107" t="s">
        <v>122</v>
      </c>
    </row>
    <row r="173" spans="1:8" s="103" customFormat="1" ht="27" customHeight="1" x14ac:dyDescent="0.25">
      <c r="A173" s="104">
        <v>42904</v>
      </c>
      <c r="B173" s="105" t="s">
        <v>1988</v>
      </c>
      <c r="C173" s="106">
        <v>8250</v>
      </c>
      <c r="D173" s="106" t="s">
        <v>122</v>
      </c>
      <c r="E173" s="106" t="s">
        <v>122</v>
      </c>
      <c r="F173" s="106" t="s">
        <v>122</v>
      </c>
      <c r="G173" s="106" t="s">
        <v>122</v>
      </c>
      <c r="H173" s="107" t="s">
        <v>122</v>
      </c>
    </row>
    <row r="174" spans="1:8" s="103" customFormat="1" ht="27" customHeight="1" x14ac:dyDescent="0.25">
      <c r="A174" s="104">
        <v>42905</v>
      </c>
      <c r="B174" s="105" t="s">
        <v>1988</v>
      </c>
      <c r="C174" s="106">
        <v>8250</v>
      </c>
      <c r="D174" s="106" t="s">
        <v>122</v>
      </c>
      <c r="E174" s="106" t="s">
        <v>122</v>
      </c>
      <c r="F174" s="106" t="s">
        <v>122</v>
      </c>
      <c r="G174" s="106" t="s">
        <v>122</v>
      </c>
      <c r="H174" s="107" t="s">
        <v>122</v>
      </c>
    </row>
    <row r="175" spans="1:8" s="103" customFormat="1" ht="27" customHeight="1" x14ac:dyDescent="0.25">
      <c r="A175" s="104">
        <v>42906</v>
      </c>
      <c r="B175" s="105" t="s">
        <v>1988</v>
      </c>
      <c r="C175" s="106">
        <v>8250</v>
      </c>
      <c r="D175" s="106" t="s">
        <v>122</v>
      </c>
      <c r="E175" s="106" t="s">
        <v>122</v>
      </c>
      <c r="F175" s="106" t="s">
        <v>122</v>
      </c>
      <c r="G175" s="106" t="s">
        <v>122</v>
      </c>
      <c r="H175" s="107" t="s">
        <v>122</v>
      </c>
    </row>
    <row r="176" spans="1:8" s="103" customFormat="1" ht="27" customHeight="1" x14ac:dyDescent="0.25">
      <c r="A176" s="104">
        <v>42907</v>
      </c>
      <c r="B176" s="105" t="s">
        <v>1989</v>
      </c>
      <c r="C176" s="106">
        <v>8225</v>
      </c>
      <c r="D176" s="106" t="s">
        <v>122</v>
      </c>
      <c r="E176" s="106" t="s">
        <v>122</v>
      </c>
      <c r="F176" s="106" t="s">
        <v>122</v>
      </c>
      <c r="G176" s="106" t="s">
        <v>122</v>
      </c>
      <c r="H176" s="107" t="s">
        <v>122</v>
      </c>
    </row>
    <row r="177" spans="1:8" s="103" customFormat="1" ht="27" customHeight="1" x14ac:dyDescent="0.25">
      <c r="A177" s="104">
        <v>42908</v>
      </c>
      <c r="B177" s="105" t="s">
        <v>1989</v>
      </c>
      <c r="C177" s="106">
        <v>8225</v>
      </c>
      <c r="D177" s="106" t="s">
        <v>122</v>
      </c>
      <c r="E177" s="106" t="s">
        <v>122</v>
      </c>
      <c r="F177" s="106" t="s">
        <v>122</v>
      </c>
      <c r="G177" s="106" t="s">
        <v>122</v>
      </c>
      <c r="H177" s="107" t="s">
        <v>122</v>
      </c>
    </row>
    <row r="178" spans="1:8" s="103" customFormat="1" ht="27" customHeight="1" x14ac:dyDescent="0.25">
      <c r="A178" s="104">
        <v>42909</v>
      </c>
      <c r="B178" s="105" t="s">
        <v>1989</v>
      </c>
      <c r="C178" s="106">
        <v>8225</v>
      </c>
      <c r="D178" s="106" t="s">
        <v>122</v>
      </c>
      <c r="E178" s="106" t="s">
        <v>122</v>
      </c>
      <c r="F178" s="106" t="s">
        <v>122</v>
      </c>
      <c r="G178" s="106" t="s">
        <v>122</v>
      </c>
      <c r="H178" s="107" t="s">
        <v>122</v>
      </c>
    </row>
    <row r="179" spans="1:8" s="103" customFormat="1" ht="27" customHeight="1" x14ac:dyDescent="0.25">
      <c r="A179" s="104">
        <v>42910</v>
      </c>
      <c r="B179" s="105" t="s">
        <v>1815</v>
      </c>
      <c r="C179" s="106">
        <v>8200</v>
      </c>
      <c r="D179" s="106" t="s">
        <v>122</v>
      </c>
      <c r="E179" s="106" t="s">
        <v>122</v>
      </c>
      <c r="F179" s="106" t="s">
        <v>122</v>
      </c>
      <c r="G179" s="106" t="s">
        <v>122</v>
      </c>
      <c r="H179" s="107" t="s">
        <v>122</v>
      </c>
    </row>
    <row r="180" spans="1:8" s="103" customFormat="1" ht="27" customHeight="1" x14ac:dyDescent="0.25">
      <c r="A180" s="104">
        <v>42911</v>
      </c>
      <c r="B180" s="105" t="s">
        <v>1815</v>
      </c>
      <c r="C180" s="106">
        <v>8200</v>
      </c>
      <c r="D180" s="106" t="s">
        <v>122</v>
      </c>
      <c r="E180" s="106" t="s">
        <v>122</v>
      </c>
      <c r="F180" s="106" t="s">
        <v>122</v>
      </c>
      <c r="G180" s="106" t="s">
        <v>122</v>
      </c>
      <c r="H180" s="107" t="s">
        <v>122</v>
      </c>
    </row>
    <row r="181" spans="1:8" s="103" customFormat="1" ht="27" customHeight="1" x14ac:dyDescent="0.25">
      <c r="A181" s="104">
        <v>42912</v>
      </c>
      <c r="B181" s="105" t="s">
        <v>1990</v>
      </c>
      <c r="C181" s="106">
        <v>8150</v>
      </c>
      <c r="D181" s="106" t="s">
        <v>122</v>
      </c>
      <c r="E181" s="106" t="s">
        <v>122</v>
      </c>
      <c r="F181" s="106" t="s">
        <v>122</v>
      </c>
      <c r="G181" s="106" t="s">
        <v>122</v>
      </c>
      <c r="H181" s="107" t="s">
        <v>122</v>
      </c>
    </row>
    <row r="182" spans="1:8" s="103" customFormat="1" ht="27" customHeight="1" x14ac:dyDescent="0.25">
      <c r="A182" s="104">
        <v>42913</v>
      </c>
      <c r="B182" s="105" t="s">
        <v>1990</v>
      </c>
      <c r="C182" s="106">
        <v>8150</v>
      </c>
      <c r="D182" s="106" t="s">
        <v>122</v>
      </c>
      <c r="E182" s="106" t="s">
        <v>122</v>
      </c>
      <c r="F182" s="106" t="s">
        <v>122</v>
      </c>
      <c r="G182" s="106" t="s">
        <v>122</v>
      </c>
      <c r="H182" s="107" t="s">
        <v>122</v>
      </c>
    </row>
    <row r="183" spans="1:8" s="103" customFormat="1" ht="27" customHeight="1" x14ac:dyDescent="0.25">
      <c r="A183" s="104">
        <v>42914</v>
      </c>
      <c r="B183" s="105" t="s">
        <v>1816</v>
      </c>
      <c r="C183" s="106">
        <v>8100</v>
      </c>
      <c r="D183" s="106" t="s">
        <v>122</v>
      </c>
      <c r="E183" s="106" t="s">
        <v>122</v>
      </c>
      <c r="F183" s="106" t="s">
        <v>122</v>
      </c>
      <c r="G183" s="106" t="s">
        <v>122</v>
      </c>
      <c r="H183" s="107" t="s">
        <v>122</v>
      </c>
    </row>
    <row r="184" spans="1:8" s="103" customFormat="1" ht="27" customHeight="1" x14ac:dyDescent="0.25">
      <c r="A184" s="104">
        <v>42915</v>
      </c>
      <c r="B184" s="105" t="s">
        <v>1816</v>
      </c>
      <c r="C184" s="106">
        <v>8100</v>
      </c>
      <c r="D184" s="106" t="s">
        <v>122</v>
      </c>
      <c r="E184" s="106" t="s">
        <v>122</v>
      </c>
      <c r="F184" s="106" t="s">
        <v>122</v>
      </c>
      <c r="G184" s="106" t="s">
        <v>122</v>
      </c>
      <c r="H184" s="107" t="s">
        <v>122</v>
      </c>
    </row>
    <row r="185" spans="1:8" s="103" customFormat="1" ht="27" customHeight="1" x14ac:dyDescent="0.25">
      <c r="A185" s="104">
        <v>42916</v>
      </c>
      <c r="B185" s="105" t="s">
        <v>1991</v>
      </c>
      <c r="C185" s="106">
        <v>8050</v>
      </c>
      <c r="D185" s="106" t="s">
        <v>122</v>
      </c>
      <c r="E185" s="106" t="s">
        <v>122</v>
      </c>
      <c r="F185" s="106" t="s">
        <v>122</v>
      </c>
      <c r="G185" s="106" t="s">
        <v>122</v>
      </c>
      <c r="H185" s="107" t="s">
        <v>122</v>
      </c>
    </row>
    <row r="186" spans="1:8" s="103" customFormat="1" ht="27" customHeight="1" x14ac:dyDescent="0.25">
      <c r="A186" s="104">
        <v>42917</v>
      </c>
      <c r="B186" s="105" t="s">
        <v>1991</v>
      </c>
      <c r="C186" s="106">
        <v>8050</v>
      </c>
      <c r="D186" s="106" t="s">
        <v>122</v>
      </c>
      <c r="E186" s="106" t="s">
        <v>122</v>
      </c>
      <c r="F186" s="106" t="s">
        <v>122</v>
      </c>
      <c r="G186" s="106" t="s">
        <v>122</v>
      </c>
      <c r="H186" s="107" t="s">
        <v>122</v>
      </c>
    </row>
    <row r="187" spans="1:8" s="103" customFormat="1" ht="27" customHeight="1" x14ac:dyDescent="0.25">
      <c r="A187" s="104">
        <v>42918</v>
      </c>
      <c r="B187" s="105" t="s">
        <v>1991</v>
      </c>
      <c r="C187" s="106">
        <v>8050</v>
      </c>
      <c r="D187" s="106" t="s">
        <v>122</v>
      </c>
      <c r="E187" s="106" t="s">
        <v>122</v>
      </c>
      <c r="F187" s="106" t="s">
        <v>122</v>
      </c>
      <c r="G187" s="106" t="s">
        <v>122</v>
      </c>
      <c r="H187" s="107" t="s">
        <v>122</v>
      </c>
    </row>
    <row r="188" spans="1:8" s="103" customFormat="1" ht="27" customHeight="1" x14ac:dyDescent="0.25">
      <c r="A188" s="104">
        <v>42919</v>
      </c>
      <c r="B188" s="105" t="s">
        <v>1818</v>
      </c>
      <c r="C188" s="106">
        <v>8000</v>
      </c>
      <c r="D188" s="106" t="s">
        <v>122</v>
      </c>
      <c r="E188" s="106" t="s">
        <v>122</v>
      </c>
      <c r="F188" s="106" t="s">
        <v>122</v>
      </c>
      <c r="G188" s="106" t="s">
        <v>122</v>
      </c>
      <c r="H188" s="107" t="s">
        <v>122</v>
      </c>
    </row>
    <row r="189" spans="1:8" s="103" customFormat="1" ht="27" customHeight="1" x14ac:dyDescent="0.25">
      <c r="A189" s="104">
        <v>42920</v>
      </c>
      <c r="B189" s="105" t="s">
        <v>1818</v>
      </c>
      <c r="C189" s="106">
        <v>8000</v>
      </c>
      <c r="D189" s="106" t="s">
        <v>122</v>
      </c>
      <c r="E189" s="106" t="s">
        <v>122</v>
      </c>
      <c r="F189" s="106" t="s">
        <v>122</v>
      </c>
      <c r="G189" s="106" t="s">
        <v>122</v>
      </c>
      <c r="H189" s="107" t="s">
        <v>122</v>
      </c>
    </row>
    <row r="190" spans="1:8" s="103" customFormat="1" ht="27" customHeight="1" x14ac:dyDescent="0.25">
      <c r="A190" s="104">
        <v>42921</v>
      </c>
      <c r="B190" s="105" t="s">
        <v>1992</v>
      </c>
      <c r="C190" s="106">
        <v>7950</v>
      </c>
      <c r="D190" s="106" t="s">
        <v>122</v>
      </c>
      <c r="E190" s="106" t="s">
        <v>122</v>
      </c>
      <c r="F190" s="106" t="s">
        <v>122</v>
      </c>
      <c r="G190" s="106" t="s">
        <v>122</v>
      </c>
      <c r="H190" s="107" t="s">
        <v>122</v>
      </c>
    </row>
    <row r="191" spans="1:8" s="103" customFormat="1" ht="27" customHeight="1" x14ac:dyDescent="0.25">
      <c r="A191" s="104">
        <v>42922</v>
      </c>
      <c r="B191" s="105" t="s">
        <v>1992</v>
      </c>
      <c r="C191" s="106">
        <v>7950</v>
      </c>
      <c r="D191" s="106" t="s">
        <v>122</v>
      </c>
      <c r="E191" s="106" t="s">
        <v>122</v>
      </c>
      <c r="F191" s="106" t="s">
        <v>122</v>
      </c>
      <c r="G191" s="106" t="s">
        <v>122</v>
      </c>
      <c r="H191" s="107" t="s">
        <v>122</v>
      </c>
    </row>
    <row r="192" spans="1:8" s="103" customFormat="1" ht="27" customHeight="1" x14ac:dyDescent="0.25">
      <c r="A192" s="104">
        <v>42923</v>
      </c>
      <c r="B192" s="105" t="s">
        <v>1819</v>
      </c>
      <c r="C192" s="106">
        <v>7900</v>
      </c>
      <c r="D192" s="106" t="s">
        <v>122</v>
      </c>
      <c r="E192" s="106" t="s">
        <v>122</v>
      </c>
      <c r="F192" s="106" t="s">
        <v>122</v>
      </c>
      <c r="G192" s="106" t="s">
        <v>122</v>
      </c>
      <c r="H192" s="107" t="s">
        <v>122</v>
      </c>
    </row>
    <row r="193" spans="1:8" s="103" customFormat="1" ht="27" customHeight="1" x14ac:dyDescent="0.25">
      <c r="A193" s="104">
        <v>42924</v>
      </c>
      <c r="B193" s="105" t="s">
        <v>1819</v>
      </c>
      <c r="C193" s="106">
        <v>7900</v>
      </c>
      <c r="D193" s="106" t="s">
        <v>122</v>
      </c>
      <c r="E193" s="106" t="s">
        <v>122</v>
      </c>
      <c r="F193" s="106" t="s">
        <v>122</v>
      </c>
      <c r="G193" s="106" t="s">
        <v>122</v>
      </c>
      <c r="H193" s="107" t="s">
        <v>122</v>
      </c>
    </row>
    <row r="194" spans="1:8" s="103" customFormat="1" ht="27" customHeight="1" x14ac:dyDescent="0.25">
      <c r="A194" s="104">
        <v>42925</v>
      </c>
      <c r="B194" s="105" t="s">
        <v>1993</v>
      </c>
      <c r="C194" s="106">
        <v>7850</v>
      </c>
      <c r="D194" s="106" t="s">
        <v>122</v>
      </c>
      <c r="E194" s="106" t="s">
        <v>122</v>
      </c>
      <c r="F194" s="106" t="s">
        <v>122</v>
      </c>
      <c r="G194" s="106" t="s">
        <v>122</v>
      </c>
      <c r="H194" s="107" t="s">
        <v>122</v>
      </c>
    </row>
    <row r="195" spans="1:8" s="103" customFormat="1" ht="27" customHeight="1" x14ac:dyDescent="0.25">
      <c r="A195" s="104">
        <v>42926</v>
      </c>
      <c r="B195" s="105" t="s">
        <v>1993</v>
      </c>
      <c r="C195" s="106">
        <v>7850</v>
      </c>
      <c r="D195" s="106" t="s">
        <v>122</v>
      </c>
      <c r="E195" s="106" t="s">
        <v>122</v>
      </c>
      <c r="F195" s="106" t="s">
        <v>122</v>
      </c>
      <c r="G195" s="106" t="s">
        <v>122</v>
      </c>
      <c r="H195" s="107" t="s">
        <v>122</v>
      </c>
    </row>
    <row r="196" spans="1:8" s="103" customFormat="1" ht="27" customHeight="1" x14ac:dyDescent="0.25">
      <c r="A196" s="104">
        <v>42927</v>
      </c>
      <c r="B196" s="105" t="s">
        <v>1820</v>
      </c>
      <c r="C196" s="106">
        <v>7800</v>
      </c>
      <c r="D196" s="106" t="s">
        <v>122</v>
      </c>
      <c r="E196" s="106" t="s">
        <v>122</v>
      </c>
      <c r="F196" s="106" t="s">
        <v>122</v>
      </c>
      <c r="G196" s="106" t="s">
        <v>122</v>
      </c>
      <c r="H196" s="107" t="s">
        <v>122</v>
      </c>
    </row>
    <row r="197" spans="1:8" s="103" customFormat="1" ht="27" customHeight="1" x14ac:dyDescent="0.25">
      <c r="A197" s="104">
        <v>42928</v>
      </c>
      <c r="B197" s="105" t="s">
        <v>1820</v>
      </c>
      <c r="C197" s="106">
        <v>7800</v>
      </c>
      <c r="D197" s="106" t="s">
        <v>122</v>
      </c>
      <c r="E197" s="106" t="s">
        <v>122</v>
      </c>
      <c r="F197" s="106" t="s">
        <v>122</v>
      </c>
      <c r="G197" s="106" t="s">
        <v>122</v>
      </c>
      <c r="H197" s="107" t="s">
        <v>122</v>
      </c>
    </row>
    <row r="198" spans="1:8" s="103" customFormat="1" ht="27" customHeight="1" x14ac:dyDescent="0.25">
      <c r="A198" s="104">
        <v>42929</v>
      </c>
      <c r="B198" s="105" t="s">
        <v>1994</v>
      </c>
      <c r="C198" s="106">
        <v>7750</v>
      </c>
      <c r="D198" s="106" t="s">
        <v>122</v>
      </c>
      <c r="E198" s="106" t="s">
        <v>122</v>
      </c>
      <c r="F198" s="106" t="s">
        <v>122</v>
      </c>
      <c r="G198" s="106" t="s">
        <v>122</v>
      </c>
      <c r="H198" s="107" t="s">
        <v>122</v>
      </c>
    </row>
    <row r="199" spans="1:8" s="103" customFormat="1" ht="27" customHeight="1" x14ac:dyDescent="0.25">
      <c r="A199" s="104">
        <v>42930</v>
      </c>
      <c r="B199" s="105" t="s">
        <v>1822</v>
      </c>
      <c r="C199" s="106">
        <v>7600</v>
      </c>
      <c r="D199" s="106" t="s">
        <v>122</v>
      </c>
      <c r="E199" s="106" t="s">
        <v>122</v>
      </c>
      <c r="F199" s="106" t="s">
        <v>122</v>
      </c>
      <c r="G199" s="106" t="s">
        <v>122</v>
      </c>
      <c r="H199" s="107" t="s">
        <v>122</v>
      </c>
    </row>
    <row r="200" spans="1:8" s="103" customFormat="1" ht="27" customHeight="1" x14ac:dyDescent="0.25">
      <c r="A200" s="104">
        <v>42931</v>
      </c>
      <c r="B200" s="105" t="s">
        <v>1823</v>
      </c>
      <c r="C200" s="106">
        <v>7500</v>
      </c>
      <c r="D200" s="106" t="s">
        <v>122</v>
      </c>
      <c r="E200" s="106" t="s">
        <v>122</v>
      </c>
      <c r="F200" s="106" t="s">
        <v>122</v>
      </c>
      <c r="G200" s="106" t="s">
        <v>122</v>
      </c>
      <c r="H200" s="107" t="s">
        <v>122</v>
      </c>
    </row>
    <row r="201" spans="1:8" s="103" customFormat="1" ht="27" customHeight="1" x14ac:dyDescent="0.25">
      <c r="A201" s="104">
        <v>42932</v>
      </c>
      <c r="B201" s="105" t="s">
        <v>1824</v>
      </c>
      <c r="C201" s="106">
        <v>7450</v>
      </c>
      <c r="D201" s="106" t="s">
        <v>122</v>
      </c>
      <c r="E201" s="106" t="s">
        <v>122</v>
      </c>
      <c r="F201" s="106" t="s">
        <v>122</v>
      </c>
      <c r="G201" s="106" t="s">
        <v>122</v>
      </c>
      <c r="H201" s="107" t="s">
        <v>122</v>
      </c>
    </row>
    <row r="202" spans="1:8" s="103" customFormat="1" ht="27" customHeight="1" x14ac:dyDescent="0.25">
      <c r="A202" s="104">
        <v>42933</v>
      </c>
      <c r="B202" s="105" t="s">
        <v>1825</v>
      </c>
      <c r="C202" s="106">
        <v>7400</v>
      </c>
      <c r="D202" s="106" t="s">
        <v>122</v>
      </c>
      <c r="E202" s="106" t="s">
        <v>122</v>
      </c>
      <c r="F202" s="106" t="s">
        <v>122</v>
      </c>
      <c r="G202" s="106" t="s">
        <v>122</v>
      </c>
      <c r="H202" s="107" t="s">
        <v>122</v>
      </c>
    </row>
    <row r="203" spans="1:8" s="103" customFormat="1" ht="27" customHeight="1" x14ac:dyDescent="0.25">
      <c r="A203" s="104">
        <v>42934</v>
      </c>
      <c r="B203" s="105" t="s">
        <v>1825</v>
      </c>
      <c r="C203" s="106">
        <v>7400</v>
      </c>
      <c r="D203" s="106" t="s">
        <v>122</v>
      </c>
      <c r="E203" s="106" t="s">
        <v>122</v>
      </c>
      <c r="F203" s="106" t="s">
        <v>122</v>
      </c>
      <c r="G203" s="106" t="s">
        <v>122</v>
      </c>
      <c r="H203" s="107" t="s">
        <v>122</v>
      </c>
    </row>
    <row r="204" spans="1:8" s="103" customFormat="1" ht="27" customHeight="1" x14ac:dyDescent="0.25">
      <c r="A204" s="104">
        <v>42935</v>
      </c>
      <c r="B204" s="105" t="s">
        <v>1995</v>
      </c>
      <c r="C204" s="106">
        <v>7350</v>
      </c>
      <c r="D204" s="106" t="s">
        <v>122</v>
      </c>
      <c r="E204" s="106" t="s">
        <v>122</v>
      </c>
      <c r="F204" s="106" t="s">
        <v>122</v>
      </c>
      <c r="G204" s="106" t="s">
        <v>122</v>
      </c>
      <c r="H204" s="107" t="s">
        <v>122</v>
      </c>
    </row>
    <row r="205" spans="1:8" s="103" customFormat="1" ht="27" customHeight="1" x14ac:dyDescent="0.25">
      <c r="A205" s="104">
        <v>42936</v>
      </c>
      <c r="B205" s="105" t="s">
        <v>1995</v>
      </c>
      <c r="C205" s="106">
        <v>7350</v>
      </c>
      <c r="D205" s="106" t="s">
        <v>122</v>
      </c>
      <c r="E205" s="106" t="s">
        <v>122</v>
      </c>
      <c r="F205" s="106" t="s">
        <v>122</v>
      </c>
      <c r="G205" s="106" t="s">
        <v>122</v>
      </c>
      <c r="H205" s="107" t="s">
        <v>122</v>
      </c>
    </row>
    <row r="206" spans="1:8" s="103" customFormat="1" ht="27" customHeight="1" x14ac:dyDescent="0.25">
      <c r="A206" s="104">
        <v>42937</v>
      </c>
      <c r="B206" s="105" t="s">
        <v>1995</v>
      </c>
      <c r="C206" s="106">
        <v>7350</v>
      </c>
      <c r="D206" s="106" t="s">
        <v>122</v>
      </c>
      <c r="E206" s="106" t="s">
        <v>122</v>
      </c>
      <c r="F206" s="106" t="s">
        <v>122</v>
      </c>
      <c r="G206" s="106" t="s">
        <v>122</v>
      </c>
      <c r="H206" s="107" t="s">
        <v>122</v>
      </c>
    </row>
    <row r="207" spans="1:8" s="103" customFormat="1" ht="27" customHeight="1" x14ac:dyDescent="0.25">
      <c r="A207" s="104">
        <v>42938</v>
      </c>
      <c r="B207" s="105" t="s">
        <v>1826</v>
      </c>
      <c r="C207" s="106">
        <v>7300</v>
      </c>
      <c r="D207" s="106" t="s">
        <v>122</v>
      </c>
      <c r="E207" s="106" t="s">
        <v>122</v>
      </c>
      <c r="F207" s="106" t="s">
        <v>122</v>
      </c>
      <c r="G207" s="106" t="s">
        <v>122</v>
      </c>
      <c r="H207" s="107" t="s">
        <v>122</v>
      </c>
    </row>
    <row r="208" spans="1:8" s="103" customFormat="1" ht="27" customHeight="1" x14ac:dyDescent="0.25">
      <c r="A208" s="104">
        <v>42939</v>
      </c>
      <c r="B208" s="105" t="s">
        <v>1826</v>
      </c>
      <c r="C208" s="106">
        <v>7300</v>
      </c>
      <c r="D208" s="106" t="s">
        <v>122</v>
      </c>
      <c r="E208" s="106" t="s">
        <v>122</v>
      </c>
      <c r="F208" s="106" t="s">
        <v>122</v>
      </c>
      <c r="G208" s="106" t="s">
        <v>122</v>
      </c>
      <c r="H208" s="107" t="s">
        <v>122</v>
      </c>
    </row>
    <row r="209" spans="1:8" s="103" customFormat="1" ht="27" customHeight="1" x14ac:dyDescent="0.25">
      <c r="A209" s="104">
        <v>42940</v>
      </c>
      <c r="B209" s="105" t="s">
        <v>1826</v>
      </c>
      <c r="C209" s="106">
        <v>7300</v>
      </c>
      <c r="D209" s="106" t="s">
        <v>122</v>
      </c>
      <c r="E209" s="106" t="s">
        <v>122</v>
      </c>
      <c r="F209" s="106" t="s">
        <v>122</v>
      </c>
      <c r="G209" s="106" t="s">
        <v>122</v>
      </c>
      <c r="H209" s="107" t="s">
        <v>122</v>
      </c>
    </row>
    <row r="210" spans="1:8" s="103" customFormat="1" ht="27" customHeight="1" x14ac:dyDescent="0.25">
      <c r="A210" s="104">
        <v>42941</v>
      </c>
      <c r="B210" s="105" t="s">
        <v>1996</v>
      </c>
      <c r="C210" s="106">
        <v>7250</v>
      </c>
      <c r="D210" s="106" t="s">
        <v>122</v>
      </c>
      <c r="E210" s="106" t="s">
        <v>122</v>
      </c>
      <c r="F210" s="106" t="s">
        <v>122</v>
      </c>
      <c r="G210" s="106" t="s">
        <v>122</v>
      </c>
      <c r="H210" s="107" t="s">
        <v>122</v>
      </c>
    </row>
    <row r="211" spans="1:8" s="103" customFormat="1" ht="27" customHeight="1" x14ac:dyDescent="0.25">
      <c r="A211" s="104">
        <v>42942</v>
      </c>
      <c r="B211" s="105" t="s">
        <v>1996</v>
      </c>
      <c r="C211" s="106">
        <v>7250</v>
      </c>
      <c r="D211" s="106" t="s">
        <v>122</v>
      </c>
      <c r="E211" s="106" t="s">
        <v>122</v>
      </c>
      <c r="F211" s="106" t="s">
        <v>122</v>
      </c>
      <c r="G211" s="106" t="s">
        <v>122</v>
      </c>
      <c r="H211" s="107" t="s">
        <v>122</v>
      </c>
    </row>
    <row r="212" spans="1:8" s="103" customFormat="1" ht="27" customHeight="1" x14ac:dyDescent="0.25">
      <c r="A212" s="104">
        <v>42943</v>
      </c>
      <c r="B212" s="105" t="s">
        <v>1996</v>
      </c>
      <c r="C212" s="106">
        <v>7250</v>
      </c>
      <c r="D212" s="106" t="s">
        <v>122</v>
      </c>
      <c r="E212" s="106" t="s">
        <v>122</v>
      </c>
      <c r="F212" s="106" t="s">
        <v>122</v>
      </c>
      <c r="G212" s="106" t="s">
        <v>122</v>
      </c>
      <c r="H212" s="107" t="s">
        <v>122</v>
      </c>
    </row>
    <row r="213" spans="1:8" s="103" customFormat="1" ht="27" customHeight="1" x14ac:dyDescent="0.25">
      <c r="A213" s="104">
        <v>42944</v>
      </c>
      <c r="B213" s="105" t="s">
        <v>1827</v>
      </c>
      <c r="C213" s="106">
        <v>7200</v>
      </c>
      <c r="D213" s="106" t="s">
        <v>122</v>
      </c>
      <c r="E213" s="106" t="s">
        <v>122</v>
      </c>
      <c r="F213" s="106" t="s">
        <v>122</v>
      </c>
      <c r="G213" s="106" t="s">
        <v>122</v>
      </c>
      <c r="H213" s="107" t="s">
        <v>122</v>
      </c>
    </row>
    <row r="214" spans="1:8" s="103" customFormat="1" ht="27" customHeight="1" x14ac:dyDescent="0.25">
      <c r="A214" s="104">
        <v>42945</v>
      </c>
      <c r="B214" s="105" t="s">
        <v>1827</v>
      </c>
      <c r="C214" s="106">
        <v>7200</v>
      </c>
      <c r="D214" s="106" t="s">
        <v>122</v>
      </c>
      <c r="E214" s="106" t="s">
        <v>122</v>
      </c>
      <c r="F214" s="106" t="s">
        <v>122</v>
      </c>
      <c r="G214" s="106" t="s">
        <v>122</v>
      </c>
      <c r="H214" s="107" t="s">
        <v>122</v>
      </c>
    </row>
    <row r="215" spans="1:8" s="103" customFormat="1" ht="27" customHeight="1" x14ac:dyDescent="0.25">
      <c r="A215" s="104">
        <v>42946</v>
      </c>
      <c r="B215" s="105" t="s">
        <v>1828</v>
      </c>
      <c r="C215" s="106">
        <v>7100</v>
      </c>
      <c r="D215" s="106" t="s">
        <v>122</v>
      </c>
      <c r="E215" s="106" t="s">
        <v>122</v>
      </c>
      <c r="F215" s="106" t="s">
        <v>122</v>
      </c>
      <c r="G215" s="106" t="s">
        <v>122</v>
      </c>
      <c r="H215" s="107" t="s">
        <v>122</v>
      </c>
    </row>
    <row r="216" spans="1:8" s="103" customFormat="1" ht="27" customHeight="1" x14ac:dyDescent="0.25">
      <c r="A216" s="104">
        <v>42947</v>
      </c>
      <c r="B216" s="105" t="s">
        <v>1997</v>
      </c>
      <c r="C216" s="106">
        <v>7050</v>
      </c>
      <c r="D216" s="106" t="s">
        <v>122</v>
      </c>
      <c r="E216" s="106" t="s">
        <v>122</v>
      </c>
      <c r="F216" s="106" t="s">
        <v>122</v>
      </c>
      <c r="G216" s="106" t="s">
        <v>122</v>
      </c>
      <c r="H216" s="107" t="s">
        <v>122</v>
      </c>
    </row>
    <row r="217" spans="1:8" s="103" customFormat="1" ht="27" customHeight="1" x14ac:dyDescent="0.25">
      <c r="A217" s="104">
        <v>42948</v>
      </c>
      <c r="B217" s="105" t="s">
        <v>1829</v>
      </c>
      <c r="C217" s="106">
        <v>7000</v>
      </c>
      <c r="D217" s="106" t="s">
        <v>122</v>
      </c>
      <c r="E217" s="106" t="s">
        <v>122</v>
      </c>
      <c r="F217" s="106" t="s">
        <v>122</v>
      </c>
      <c r="G217" s="106" t="s">
        <v>122</v>
      </c>
      <c r="H217" s="107" t="s">
        <v>122</v>
      </c>
    </row>
    <row r="218" spans="1:8" s="103" customFormat="1" ht="27" customHeight="1" x14ac:dyDescent="0.25">
      <c r="A218" s="104">
        <v>42949</v>
      </c>
      <c r="B218" s="105" t="s">
        <v>1998</v>
      </c>
      <c r="C218" s="106">
        <v>6975</v>
      </c>
      <c r="D218" s="106" t="s">
        <v>122</v>
      </c>
      <c r="E218" s="106" t="s">
        <v>122</v>
      </c>
      <c r="F218" s="106" t="s">
        <v>122</v>
      </c>
      <c r="G218" s="106" t="s">
        <v>122</v>
      </c>
      <c r="H218" s="107" t="s">
        <v>122</v>
      </c>
    </row>
    <row r="219" spans="1:8" s="103" customFormat="1" ht="27" customHeight="1" x14ac:dyDescent="0.25">
      <c r="A219" s="104">
        <v>42950</v>
      </c>
      <c r="B219" s="105" t="s">
        <v>1998</v>
      </c>
      <c r="C219" s="106">
        <v>6975</v>
      </c>
      <c r="D219" s="106" t="s">
        <v>122</v>
      </c>
      <c r="E219" s="106" t="s">
        <v>122</v>
      </c>
      <c r="F219" s="106" t="s">
        <v>122</v>
      </c>
      <c r="G219" s="106" t="s">
        <v>122</v>
      </c>
      <c r="H219" s="107" t="s">
        <v>122</v>
      </c>
    </row>
    <row r="220" spans="1:8" s="103" customFormat="1" ht="27" customHeight="1" x14ac:dyDescent="0.25">
      <c r="A220" s="104">
        <v>42951</v>
      </c>
      <c r="B220" s="105" t="s">
        <v>1974</v>
      </c>
      <c r="C220" s="106">
        <v>6950</v>
      </c>
      <c r="D220" s="106" t="s">
        <v>122</v>
      </c>
      <c r="E220" s="106" t="s">
        <v>122</v>
      </c>
      <c r="F220" s="106" t="s">
        <v>122</v>
      </c>
      <c r="G220" s="106" t="s">
        <v>122</v>
      </c>
      <c r="H220" s="107" t="s">
        <v>122</v>
      </c>
    </row>
    <row r="221" spans="1:8" s="103" customFormat="1" ht="27" customHeight="1" x14ac:dyDescent="0.25">
      <c r="A221" s="104">
        <v>42952</v>
      </c>
      <c r="B221" s="105" t="s">
        <v>1999</v>
      </c>
      <c r="C221" s="106">
        <v>6925</v>
      </c>
      <c r="D221" s="106" t="s">
        <v>122</v>
      </c>
      <c r="E221" s="106" t="s">
        <v>122</v>
      </c>
      <c r="F221" s="106" t="s">
        <v>122</v>
      </c>
      <c r="G221" s="106" t="s">
        <v>122</v>
      </c>
      <c r="H221" s="107" t="s">
        <v>122</v>
      </c>
    </row>
    <row r="222" spans="1:8" s="103" customFormat="1" ht="27" customHeight="1" x14ac:dyDescent="0.25">
      <c r="A222" s="104">
        <v>42953</v>
      </c>
      <c r="B222" s="105" t="s">
        <v>1999</v>
      </c>
      <c r="C222" s="106">
        <v>6925</v>
      </c>
      <c r="D222" s="106" t="s">
        <v>122</v>
      </c>
      <c r="E222" s="106" t="s">
        <v>122</v>
      </c>
      <c r="F222" s="106" t="s">
        <v>122</v>
      </c>
      <c r="G222" s="106" t="s">
        <v>122</v>
      </c>
      <c r="H222" s="107" t="s">
        <v>122</v>
      </c>
    </row>
    <row r="223" spans="1:8" s="103" customFormat="1" ht="27" customHeight="1" x14ac:dyDescent="0.25">
      <c r="A223" s="104">
        <v>42954</v>
      </c>
      <c r="B223" s="105" t="s">
        <v>1831</v>
      </c>
      <c r="C223" s="106">
        <v>6900</v>
      </c>
      <c r="D223" s="106" t="s">
        <v>122</v>
      </c>
      <c r="E223" s="106" t="s">
        <v>122</v>
      </c>
      <c r="F223" s="106" t="s">
        <v>122</v>
      </c>
      <c r="G223" s="106" t="s">
        <v>122</v>
      </c>
      <c r="H223" s="107" t="s">
        <v>122</v>
      </c>
    </row>
    <row r="224" spans="1:8" s="103" customFormat="1" ht="27" customHeight="1" x14ac:dyDescent="0.25">
      <c r="A224" s="104">
        <v>42955</v>
      </c>
      <c r="B224" s="105" t="s">
        <v>1831</v>
      </c>
      <c r="C224" s="106">
        <v>6900</v>
      </c>
      <c r="D224" s="106" t="s">
        <v>122</v>
      </c>
      <c r="E224" s="106" t="s">
        <v>122</v>
      </c>
      <c r="F224" s="106" t="s">
        <v>122</v>
      </c>
      <c r="G224" s="106" t="s">
        <v>122</v>
      </c>
      <c r="H224" s="107" t="s">
        <v>122</v>
      </c>
    </row>
    <row r="225" spans="1:8" s="103" customFormat="1" ht="27" customHeight="1" x14ac:dyDescent="0.25">
      <c r="A225" s="104">
        <v>42956</v>
      </c>
      <c r="B225" s="105" t="s">
        <v>1831</v>
      </c>
      <c r="C225" s="106">
        <v>6900</v>
      </c>
      <c r="D225" s="106" t="s">
        <v>122</v>
      </c>
      <c r="E225" s="106" t="s">
        <v>122</v>
      </c>
      <c r="F225" s="106" t="s">
        <v>122</v>
      </c>
      <c r="G225" s="106" t="s">
        <v>122</v>
      </c>
      <c r="H225" s="107" t="s">
        <v>122</v>
      </c>
    </row>
    <row r="226" spans="1:8" s="103" customFormat="1" ht="27" customHeight="1" x14ac:dyDescent="0.25">
      <c r="A226" s="104">
        <v>42957</v>
      </c>
      <c r="B226" s="105" t="s">
        <v>1831</v>
      </c>
      <c r="C226" s="106">
        <v>6900</v>
      </c>
      <c r="D226" s="106" t="s">
        <v>122</v>
      </c>
      <c r="E226" s="106" t="s">
        <v>122</v>
      </c>
      <c r="F226" s="106" t="s">
        <v>122</v>
      </c>
      <c r="G226" s="106" t="s">
        <v>122</v>
      </c>
      <c r="H226" s="107" t="s">
        <v>122</v>
      </c>
    </row>
    <row r="227" spans="1:8" s="103" customFormat="1" ht="27" customHeight="1" x14ac:dyDescent="0.25">
      <c r="A227" s="104">
        <v>42958</v>
      </c>
      <c r="B227" s="105" t="s">
        <v>1832</v>
      </c>
      <c r="C227" s="106">
        <v>6800</v>
      </c>
      <c r="D227" s="106" t="s">
        <v>122</v>
      </c>
      <c r="E227" s="106" t="s">
        <v>122</v>
      </c>
      <c r="F227" s="106" t="s">
        <v>122</v>
      </c>
      <c r="G227" s="106" t="s">
        <v>122</v>
      </c>
      <c r="H227" s="107" t="s">
        <v>122</v>
      </c>
    </row>
    <row r="228" spans="1:8" s="103" customFormat="1" ht="27" customHeight="1" x14ac:dyDescent="0.25">
      <c r="A228" s="104">
        <v>42959</v>
      </c>
      <c r="B228" s="105" t="s">
        <v>1832</v>
      </c>
      <c r="C228" s="106">
        <v>6800</v>
      </c>
      <c r="D228" s="106" t="s">
        <v>122</v>
      </c>
      <c r="E228" s="106" t="s">
        <v>122</v>
      </c>
      <c r="F228" s="106" t="s">
        <v>122</v>
      </c>
      <c r="G228" s="106" t="s">
        <v>122</v>
      </c>
      <c r="H228" s="107" t="s">
        <v>122</v>
      </c>
    </row>
    <row r="229" spans="1:8" s="103" customFormat="1" ht="27" customHeight="1" x14ac:dyDescent="0.25">
      <c r="A229" s="104">
        <v>42960</v>
      </c>
      <c r="B229" s="105" t="s">
        <v>1832</v>
      </c>
      <c r="C229" s="106">
        <v>6800</v>
      </c>
      <c r="D229" s="106" t="s">
        <v>122</v>
      </c>
      <c r="E229" s="106" t="s">
        <v>122</v>
      </c>
      <c r="F229" s="106" t="s">
        <v>122</v>
      </c>
      <c r="G229" s="106" t="s">
        <v>122</v>
      </c>
      <c r="H229" s="107" t="s">
        <v>122</v>
      </c>
    </row>
    <row r="230" spans="1:8" s="103" customFormat="1" ht="27" customHeight="1" x14ac:dyDescent="0.25">
      <c r="A230" s="104">
        <v>42961</v>
      </c>
      <c r="B230" s="105" t="s">
        <v>1832</v>
      </c>
      <c r="C230" s="106">
        <v>6800</v>
      </c>
      <c r="D230" s="106" t="s">
        <v>122</v>
      </c>
      <c r="E230" s="106" t="s">
        <v>122</v>
      </c>
      <c r="F230" s="106" t="s">
        <v>122</v>
      </c>
      <c r="G230" s="106" t="s">
        <v>122</v>
      </c>
      <c r="H230" s="107" t="s">
        <v>122</v>
      </c>
    </row>
    <row r="231" spans="1:8" s="103" customFormat="1" ht="27" customHeight="1" x14ac:dyDescent="0.25">
      <c r="A231" s="104">
        <v>42962</v>
      </c>
      <c r="B231" s="105" t="s">
        <v>1832</v>
      </c>
      <c r="C231" s="106">
        <v>6800</v>
      </c>
      <c r="D231" s="106" t="s">
        <v>122</v>
      </c>
      <c r="E231" s="106" t="s">
        <v>122</v>
      </c>
      <c r="F231" s="106" t="s">
        <v>122</v>
      </c>
      <c r="G231" s="106" t="s">
        <v>122</v>
      </c>
      <c r="H231" s="107" t="s">
        <v>122</v>
      </c>
    </row>
    <row r="232" spans="1:8" s="103" customFormat="1" ht="27" customHeight="1" x14ac:dyDescent="0.25">
      <c r="A232" s="104">
        <v>42963</v>
      </c>
      <c r="B232" s="105" t="s">
        <v>1832</v>
      </c>
      <c r="C232" s="106">
        <v>6800</v>
      </c>
      <c r="D232" s="106" t="s">
        <v>122</v>
      </c>
      <c r="E232" s="106" t="s">
        <v>122</v>
      </c>
      <c r="F232" s="106" t="s">
        <v>122</v>
      </c>
      <c r="G232" s="106" t="s">
        <v>122</v>
      </c>
      <c r="H232" s="107" t="s">
        <v>122</v>
      </c>
    </row>
    <row r="233" spans="1:8" s="103" customFormat="1" ht="27" customHeight="1" x14ac:dyDescent="0.25">
      <c r="A233" s="104">
        <v>42964</v>
      </c>
      <c r="B233" s="105" t="s">
        <v>1832</v>
      </c>
      <c r="C233" s="106">
        <v>6800</v>
      </c>
      <c r="D233" s="106" t="s">
        <v>122</v>
      </c>
      <c r="E233" s="106" t="s">
        <v>122</v>
      </c>
      <c r="F233" s="106" t="s">
        <v>122</v>
      </c>
      <c r="G233" s="106" t="s">
        <v>122</v>
      </c>
      <c r="H233" s="107" t="s">
        <v>122</v>
      </c>
    </row>
    <row r="234" spans="1:8" s="103" customFormat="1" ht="27" customHeight="1" x14ac:dyDescent="0.25">
      <c r="A234" s="104">
        <v>42965</v>
      </c>
      <c r="B234" s="105" t="s">
        <v>1832</v>
      </c>
      <c r="C234" s="106">
        <v>6800</v>
      </c>
      <c r="D234" s="106" t="s">
        <v>122</v>
      </c>
      <c r="E234" s="106" t="s">
        <v>122</v>
      </c>
      <c r="F234" s="106" t="s">
        <v>122</v>
      </c>
      <c r="G234" s="106" t="s">
        <v>122</v>
      </c>
      <c r="H234" s="107" t="s">
        <v>122</v>
      </c>
    </row>
    <row r="235" spans="1:8" s="103" customFormat="1" ht="27" customHeight="1" x14ac:dyDescent="0.25">
      <c r="A235" s="104">
        <v>42966</v>
      </c>
      <c r="B235" s="105" t="s">
        <v>2000</v>
      </c>
      <c r="C235" s="106">
        <v>6750</v>
      </c>
      <c r="D235" s="106" t="s">
        <v>122</v>
      </c>
      <c r="E235" s="106" t="s">
        <v>122</v>
      </c>
      <c r="F235" s="106" t="s">
        <v>122</v>
      </c>
      <c r="G235" s="106" t="s">
        <v>122</v>
      </c>
      <c r="H235" s="107" t="s">
        <v>122</v>
      </c>
    </row>
    <row r="236" spans="1:8" s="103" customFormat="1" ht="27" customHeight="1" x14ac:dyDescent="0.25">
      <c r="A236" s="104">
        <v>42967</v>
      </c>
      <c r="B236" s="105" t="s">
        <v>2000</v>
      </c>
      <c r="C236" s="106">
        <v>6750</v>
      </c>
      <c r="D236" s="106" t="s">
        <v>122</v>
      </c>
      <c r="E236" s="106" t="s">
        <v>122</v>
      </c>
      <c r="F236" s="106" t="s">
        <v>122</v>
      </c>
      <c r="G236" s="106" t="s">
        <v>122</v>
      </c>
      <c r="H236" s="107" t="s">
        <v>122</v>
      </c>
    </row>
    <row r="237" spans="1:8" s="103" customFormat="1" ht="27" customHeight="1" x14ac:dyDescent="0.25">
      <c r="A237" s="104">
        <v>42968</v>
      </c>
      <c r="B237" s="105" t="s">
        <v>1833</v>
      </c>
      <c r="C237" s="106">
        <v>6700</v>
      </c>
      <c r="D237" s="106" t="s">
        <v>122</v>
      </c>
      <c r="E237" s="106" t="s">
        <v>122</v>
      </c>
      <c r="F237" s="106" t="s">
        <v>122</v>
      </c>
      <c r="G237" s="106" t="s">
        <v>122</v>
      </c>
      <c r="H237" s="107" t="s">
        <v>122</v>
      </c>
    </row>
    <row r="238" spans="1:8" s="103" customFormat="1" ht="27" customHeight="1" x14ac:dyDescent="0.25">
      <c r="A238" s="104">
        <v>42969</v>
      </c>
      <c r="B238" s="105" t="s">
        <v>1833</v>
      </c>
      <c r="C238" s="106">
        <v>6700</v>
      </c>
      <c r="D238" s="106" t="s">
        <v>122</v>
      </c>
      <c r="E238" s="106" t="s">
        <v>122</v>
      </c>
      <c r="F238" s="106" t="s">
        <v>122</v>
      </c>
      <c r="G238" s="106" t="s">
        <v>122</v>
      </c>
      <c r="H238" s="107" t="s">
        <v>122</v>
      </c>
    </row>
    <row r="239" spans="1:8" s="103" customFormat="1" ht="27" customHeight="1" x14ac:dyDescent="0.25">
      <c r="A239" s="104">
        <v>42970</v>
      </c>
      <c r="B239" s="105" t="s">
        <v>2001</v>
      </c>
      <c r="C239" s="106">
        <v>6650</v>
      </c>
      <c r="D239" s="106" t="s">
        <v>122</v>
      </c>
      <c r="E239" s="106" t="s">
        <v>122</v>
      </c>
      <c r="F239" s="106" t="s">
        <v>122</v>
      </c>
      <c r="G239" s="106" t="s">
        <v>122</v>
      </c>
      <c r="H239" s="107" t="s">
        <v>122</v>
      </c>
    </row>
    <row r="240" spans="1:8" s="103" customFormat="1" ht="27" customHeight="1" x14ac:dyDescent="0.25">
      <c r="A240" s="104">
        <v>42971</v>
      </c>
      <c r="B240" s="105" t="s">
        <v>2001</v>
      </c>
      <c r="C240" s="106">
        <v>6650</v>
      </c>
      <c r="D240" s="106" t="s">
        <v>122</v>
      </c>
      <c r="E240" s="106" t="s">
        <v>122</v>
      </c>
      <c r="F240" s="106" t="s">
        <v>122</v>
      </c>
      <c r="G240" s="106" t="s">
        <v>122</v>
      </c>
      <c r="H240" s="107" t="s">
        <v>122</v>
      </c>
    </row>
    <row r="241" spans="1:8" s="103" customFormat="1" ht="27" customHeight="1" x14ac:dyDescent="0.25">
      <c r="A241" s="104">
        <v>42972</v>
      </c>
      <c r="B241" s="105" t="s">
        <v>2001</v>
      </c>
      <c r="C241" s="106">
        <v>6650</v>
      </c>
      <c r="D241" s="106" t="s">
        <v>122</v>
      </c>
      <c r="E241" s="106" t="s">
        <v>122</v>
      </c>
      <c r="F241" s="106" t="s">
        <v>122</v>
      </c>
      <c r="G241" s="106" t="s">
        <v>122</v>
      </c>
      <c r="H241" s="107" t="s">
        <v>122</v>
      </c>
    </row>
    <row r="242" spans="1:8" s="103" customFormat="1" ht="27" customHeight="1" x14ac:dyDescent="0.25">
      <c r="A242" s="104">
        <v>42973</v>
      </c>
      <c r="B242" s="105" t="s">
        <v>1834</v>
      </c>
      <c r="C242" s="106">
        <v>6600</v>
      </c>
      <c r="D242" s="106" t="s">
        <v>122</v>
      </c>
      <c r="E242" s="106" t="s">
        <v>122</v>
      </c>
      <c r="F242" s="106" t="s">
        <v>122</v>
      </c>
      <c r="G242" s="106" t="s">
        <v>122</v>
      </c>
      <c r="H242" s="107" t="s">
        <v>122</v>
      </c>
    </row>
    <row r="243" spans="1:8" s="103" customFormat="1" ht="27" customHeight="1" x14ac:dyDescent="0.25">
      <c r="A243" s="104">
        <v>42974</v>
      </c>
      <c r="B243" s="105" t="s">
        <v>1834</v>
      </c>
      <c r="C243" s="106">
        <v>6600</v>
      </c>
      <c r="D243" s="106" t="s">
        <v>122</v>
      </c>
      <c r="E243" s="106" t="s">
        <v>122</v>
      </c>
      <c r="F243" s="106" t="s">
        <v>122</v>
      </c>
      <c r="G243" s="106" t="s">
        <v>122</v>
      </c>
      <c r="H243" s="107" t="s">
        <v>122</v>
      </c>
    </row>
    <row r="244" spans="1:8" s="103" customFormat="1" ht="27" customHeight="1" x14ac:dyDescent="0.25">
      <c r="A244" s="104">
        <v>42975</v>
      </c>
      <c r="B244" s="105" t="s">
        <v>1834</v>
      </c>
      <c r="C244" s="106">
        <v>6600</v>
      </c>
      <c r="D244" s="106" t="s">
        <v>122</v>
      </c>
      <c r="E244" s="106" t="s">
        <v>122</v>
      </c>
      <c r="F244" s="106" t="s">
        <v>122</v>
      </c>
      <c r="G244" s="106" t="s">
        <v>122</v>
      </c>
      <c r="H244" s="107" t="s">
        <v>122</v>
      </c>
    </row>
    <row r="245" spans="1:8" s="103" customFormat="1" ht="27" customHeight="1" x14ac:dyDescent="0.25">
      <c r="A245" s="104">
        <v>42976</v>
      </c>
      <c r="B245" s="105" t="s">
        <v>1834</v>
      </c>
      <c r="C245" s="106">
        <v>6600</v>
      </c>
      <c r="D245" s="106" t="s">
        <v>122</v>
      </c>
      <c r="E245" s="106" t="s">
        <v>122</v>
      </c>
      <c r="F245" s="106" t="s">
        <v>122</v>
      </c>
      <c r="G245" s="106" t="s">
        <v>122</v>
      </c>
      <c r="H245" s="107" t="s">
        <v>122</v>
      </c>
    </row>
    <row r="246" spans="1:8" s="103" customFormat="1" ht="27" customHeight="1" x14ac:dyDescent="0.25">
      <c r="A246" s="104">
        <v>42977</v>
      </c>
      <c r="B246" s="105" t="s">
        <v>2002</v>
      </c>
      <c r="C246" s="106">
        <v>6550</v>
      </c>
      <c r="D246" s="106" t="s">
        <v>122</v>
      </c>
      <c r="E246" s="106" t="s">
        <v>122</v>
      </c>
      <c r="F246" s="106" t="s">
        <v>122</v>
      </c>
      <c r="G246" s="106" t="s">
        <v>122</v>
      </c>
      <c r="H246" s="107" t="s">
        <v>122</v>
      </c>
    </row>
    <row r="247" spans="1:8" s="103" customFormat="1" ht="27" customHeight="1" x14ac:dyDescent="0.25">
      <c r="A247" s="104">
        <v>42978</v>
      </c>
      <c r="B247" s="105" t="s">
        <v>2002</v>
      </c>
      <c r="C247" s="106">
        <v>6550</v>
      </c>
      <c r="D247" s="106" t="s">
        <v>122</v>
      </c>
      <c r="E247" s="106" t="s">
        <v>122</v>
      </c>
      <c r="F247" s="106" t="s">
        <v>122</v>
      </c>
      <c r="G247" s="106" t="s">
        <v>122</v>
      </c>
      <c r="H247" s="107" t="s">
        <v>122</v>
      </c>
    </row>
    <row r="248" spans="1:8" s="103" customFormat="1" ht="27" customHeight="1" x14ac:dyDescent="0.25">
      <c r="A248" s="104">
        <v>42979</v>
      </c>
      <c r="B248" s="105" t="s">
        <v>1831</v>
      </c>
      <c r="C248" s="106">
        <v>6900</v>
      </c>
      <c r="D248" s="106" t="s">
        <v>122</v>
      </c>
      <c r="E248" s="106" t="s">
        <v>122</v>
      </c>
      <c r="F248" s="106" t="s">
        <v>122</v>
      </c>
      <c r="G248" s="106" t="s">
        <v>122</v>
      </c>
      <c r="H248" s="107" t="s">
        <v>122</v>
      </c>
    </row>
    <row r="249" spans="1:8" s="103" customFormat="1" ht="27" customHeight="1" x14ac:dyDescent="0.25">
      <c r="A249" s="104">
        <v>42980</v>
      </c>
      <c r="B249" s="105" t="s">
        <v>1831</v>
      </c>
      <c r="C249" s="106">
        <v>6900</v>
      </c>
      <c r="D249" s="106" t="s">
        <v>122</v>
      </c>
      <c r="E249" s="106" t="s">
        <v>122</v>
      </c>
      <c r="F249" s="106" t="s">
        <v>122</v>
      </c>
      <c r="G249" s="106" t="s">
        <v>122</v>
      </c>
      <c r="H249" s="107" t="s">
        <v>122</v>
      </c>
    </row>
    <row r="250" spans="1:8" s="103" customFormat="1" ht="27" customHeight="1" x14ac:dyDescent="0.25">
      <c r="A250" s="104">
        <v>42981</v>
      </c>
      <c r="B250" s="105" t="s">
        <v>1831</v>
      </c>
      <c r="C250" s="106">
        <v>6900</v>
      </c>
      <c r="D250" s="106" t="s">
        <v>122</v>
      </c>
      <c r="E250" s="106" t="s">
        <v>122</v>
      </c>
      <c r="F250" s="106" t="s">
        <v>122</v>
      </c>
      <c r="G250" s="106" t="s">
        <v>122</v>
      </c>
      <c r="H250" s="107" t="s">
        <v>122</v>
      </c>
    </row>
    <row r="251" spans="1:8" s="103" customFormat="1" ht="27" customHeight="1" x14ac:dyDescent="0.25">
      <c r="A251" s="104">
        <v>42982</v>
      </c>
      <c r="B251" s="105" t="s">
        <v>1831</v>
      </c>
      <c r="C251" s="106">
        <v>6900</v>
      </c>
      <c r="D251" s="106" t="s">
        <v>122</v>
      </c>
      <c r="E251" s="106" t="s">
        <v>122</v>
      </c>
      <c r="F251" s="106" t="s">
        <v>122</v>
      </c>
      <c r="G251" s="106" t="s">
        <v>122</v>
      </c>
      <c r="H251" s="107" t="s">
        <v>122</v>
      </c>
    </row>
    <row r="252" spans="1:8" s="103" customFormat="1" ht="27" customHeight="1" x14ac:dyDescent="0.25">
      <c r="A252" s="104">
        <v>42983</v>
      </c>
      <c r="B252" s="105" t="s">
        <v>1831</v>
      </c>
      <c r="C252" s="106">
        <v>6900</v>
      </c>
      <c r="D252" s="106" t="s">
        <v>122</v>
      </c>
      <c r="E252" s="106" t="s">
        <v>122</v>
      </c>
      <c r="F252" s="106" t="s">
        <v>122</v>
      </c>
      <c r="G252" s="106" t="s">
        <v>122</v>
      </c>
      <c r="H252" s="107" t="s">
        <v>122</v>
      </c>
    </row>
    <row r="253" spans="1:8" s="103" customFormat="1" ht="27" customHeight="1" x14ac:dyDescent="0.25">
      <c r="A253" s="104">
        <v>42984</v>
      </c>
      <c r="B253" s="105" t="s">
        <v>1974</v>
      </c>
      <c r="C253" s="106">
        <v>6950</v>
      </c>
      <c r="D253" s="106" t="s">
        <v>122</v>
      </c>
      <c r="E253" s="106" t="s">
        <v>122</v>
      </c>
      <c r="F253" s="106" t="s">
        <v>122</v>
      </c>
      <c r="G253" s="106" t="s">
        <v>122</v>
      </c>
      <c r="H253" s="107" t="s">
        <v>122</v>
      </c>
    </row>
    <row r="254" spans="1:8" s="103" customFormat="1" ht="27" customHeight="1" x14ac:dyDescent="0.25">
      <c r="A254" s="104">
        <v>42985</v>
      </c>
      <c r="B254" s="105" t="s">
        <v>1974</v>
      </c>
      <c r="C254" s="106">
        <v>6950</v>
      </c>
      <c r="D254" s="106" t="s">
        <v>122</v>
      </c>
      <c r="E254" s="106" t="s">
        <v>122</v>
      </c>
      <c r="F254" s="106" t="s">
        <v>122</v>
      </c>
      <c r="G254" s="106" t="s">
        <v>122</v>
      </c>
      <c r="H254" s="107" t="s">
        <v>122</v>
      </c>
    </row>
    <row r="255" spans="1:8" s="103" customFormat="1" ht="27" customHeight="1" x14ac:dyDescent="0.25">
      <c r="A255" s="104">
        <v>42986</v>
      </c>
      <c r="B255" s="105" t="s">
        <v>1974</v>
      </c>
      <c r="C255" s="106">
        <v>6950</v>
      </c>
      <c r="D255" s="106" t="s">
        <v>122</v>
      </c>
      <c r="E255" s="106" t="s">
        <v>122</v>
      </c>
      <c r="F255" s="106" t="s">
        <v>122</v>
      </c>
      <c r="G255" s="106" t="s">
        <v>122</v>
      </c>
      <c r="H255" s="107" t="s">
        <v>122</v>
      </c>
    </row>
    <row r="256" spans="1:8" s="103" customFormat="1" ht="27" customHeight="1" x14ac:dyDescent="0.25">
      <c r="A256" s="104">
        <v>42987</v>
      </c>
      <c r="B256" s="105" t="s">
        <v>1974</v>
      </c>
      <c r="C256" s="106">
        <v>6950</v>
      </c>
      <c r="D256" s="106" t="s">
        <v>122</v>
      </c>
      <c r="E256" s="106" t="s">
        <v>122</v>
      </c>
      <c r="F256" s="106" t="s">
        <v>122</v>
      </c>
      <c r="G256" s="106" t="s">
        <v>122</v>
      </c>
      <c r="H256" s="107" t="s">
        <v>122</v>
      </c>
    </row>
    <row r="257" spans="1:8" s="103" customFormat="1" ht="27" customHeight="1" x14ac:dyDescent="0.25">
      <c r="A257" s="104">
        <v>42988</v>
      </c>
      <c r="B257" s="105" t="s">
        <v>1974</v>
      </c>
      <c r="C257" s="106">
        <v>6950</v>
      </c>
      <c r="D257" s="106" t="s">
        <v>122</v>
      </c>
      <c r="E257" s="106" t="s">
        <v>122</v>
      </c>
      <c r="F257" s="106" t="s">
        <v>122</v>
      </c>
      <c r="G257" s="106" t="s">
        <v>122</v>
      </c>
      <c r="H257" s="107" t="s">
        <v>122</v>
      </c>
    </row>
    <row r="258" spans="1:8" s="103" customFormat="1" ht="27" customHeight="1" x14ac:dyDescent="0.25">
      <c r="A258" s="104">
        <v>42989</v>
      </c>
      <c r="B258" s="105" t="s">
        <v>1974</v>
      </c>
      <c r="C258" s="106">
        <v>6950</v>
      </c>
      <c r="D258" s="106" t="s">
        <v>122</v>
      </c>
      <c r="E258" s="106" t="s">
        <v>122</v>
      </c>
      <c r="F258" s="106" t="s">
        <v>122</v>
      </c>
      <c r="G258" s="106" t="s">
        <v>122</v>
      </c>
      <c r="H258" s="107" t="s">
        <v>122</v>
      </c>
    </row>
    <row r="259" spans="1:8" s="103" customFormat="1" ht="27" customHeight="1" x14ac:dyDescent="0.25">
      <c r="A259" s="104">
        <v>42990</v>
      </c>
      <c r="B259" s="105" t="s">
        <v>1829</v>
      </c>
      <c r="C259" s="106">
        <v>7000</v>
      </c>
      <c r="D259" s="106" t="s">
        <v>122</v>
      </c>
      <c r="E259" s="106" t="s">
        <v>122</v>
      </c>
      <c r="F259" s="106" t="s">
        <v>122</v>
      </c>
      <c r="G259" s="106" t="s">
        <v>122</v>
      </c>
      <c r="H259" s="107" t="s">
        <v>122</v>
      </c>
    </row>
    <row r="260" spans="1:8" s="103" customFormat="1" ht="27" customHeight="1" x14ac:dyDescent="0.25">
      <c r="A260" s="104">
        <v>42991</v>
      </c>
      <c r="B260" s="105" t="s">
        <v>1825</v>
      </c>
      <c r="C260" s="106">
        <v>7400</v>
      </c>
      <c r="D260" s="106" t="s">
        <v>122</v>
      </c>
      <c r="E260" s="106" t="s">
        <v>122</v>
      </c>
      <c r="F260" s="106" t="s">
        <v>122</v>
      </c>
      <c r="G260" s="106" t="s">
        <v>122</v>
      </c>
      <c r="H260" s="107" t="s">
        <v>122</v>
      </c>
    </row>
    <row r="261" spans="1:8" s="103" customFormat="1" ht="27" customHeight="1" x14ac:dyDescent="0.25">
      <c r="A261" s="104">
        <v>42992</v>
      </c>
      <c r="B261" s="105" t="s">
        <v>1825</v>
      </c>
      <c r="C261" s="106">
        <v>7400</v>
      </c>
      <c r="D261" s="106" t="s">
        <v>122</v>
      </c>
      <c r="E261" s="106" t="s">
        <v>122</v>
      </c>
      <c r="F261" s="106" t="s">
        <v>122</v>
      </c>
      <c r="G261" s="106" t="s">
        <v>122</v>
      </c>
      <c r="H261" s="107" t="s">
        <v>122</v>
      </c>
    </row>
    <row r="262" spans="1:8" s="103" customFormat="1" ht="27" customHeight="1" x14ac:dyDescent="0.25">
      <c r="A262" s="104">
        <v>42993</v>
      </c>
      <c r="B262" s="105" t="s">
        <v>1825</v>
      </c>
      <c r="C262" s="106">
        <v>7400</v>
      </c>
      <c r="D262" s="106" t="s">
        <v>122</v>
      </c>
      <c r="E262" s="106" t="s">
        <v>122</v>
      </c>
      <c r="F262" s="106" t="s">
        <v>122</v>
      </c>
      <c r="G262" s="106" t="s">
        <v>122</v>
      </c>
      <c r="H262" s="107" t="s">
        <v>122</v>
      </c>
    </row>
    <row r="263" spans="1:8" s="103" customFormat="1" ht="27" customHeight="1" x14ac:dyDescent="0.25">
      <c r="A263" s="104">
        <v>42994</v>
      </c>
      <c r="B263" s="105" t="s">
        <v>1825</v>
      </c>
      <c r="C263" s="106">
        <v>7400</v>
      </c>
      <c r="D263" s="106" t="s">
        <v>122</v>
      </c>
      <c r="E263" s="106" t="s">
        <v>122</v>
      </c>
      <c r="F263" s="106" t="s">
        <v>122</v>
      </c>
      <c r="G263" s="106" t="s">
        <v>122</v>
      </c>
      <c r="H263" s="107" t="s">
        <v>122</v>
      </c>
    </row>
    <row r="264" spans="1:8" s="103" customFormat="1" ht="27" customHeight="1" x14ac:dyDescent="0.25">
      <c r="A264" s="104">
        <v>42995</v>
      </c>
      <c r="B264" s="105" t="s">
        <v>1825</v>
      </c>
      <c r="C264" s="106">
        <v>7400</v>
      </c>
      <c r="D264" s="106" t="s">
        <v>122</v>
      </c>
      <c r="E264" s="106" t="s">
        <v>122</v>
      </c>
      <c r="F264" s="106" t="s">
        <v>122</v>
      </c>
      <c r="G264" s="106" t="s">
        <v>122</v>
      </c>
      <c r="H264" s="107" t="s">
        <v>122</v>
      </c>
    </row>
    <row r="265" spans="1:8" s="103" customFormat="1" ht="27" customHeight="1" x14ac:dyDescent="0.25">
      <c r="A265" s="104">
        <v>42996</v>
      </c>
      <c r="B265" s="105" t="s">
        <v>1825</v>
      </c>
      <c r="C265" s="106">
        <v>7400</v>
      </c>
      <c r="D265" s="106" t="s">
        <v>122</v>
      </c>
      <c r="E265" s="106" t="s">
        <v>122</v>
      </c>
      <c r="F265" s="106" t="s">
        <v>122</v>
      </c>
      <c r="G265" s="106" t="s">
        <v>122</v>
      </c>
      <c r="H265" s="107" t="s">
        <v>122</v>
      </c>
    </row>
    <row r="266" spans="1:8" s="103" customFormat="1" ht="27" customHeight="1" x14ac:dyDescent="0.25">
      <c r="A266" s="104">
        <v>42997</v>
      </c>
      <c r="B266" s="105" t="s">
        <v>1825</v>
      </c>
      <c r="C266" s="106">
        <v>7400</v>
      </c>
      <c r="D266" s="106" t="s">
        <v>122</v>
      </c>
      <c r="E266" s="106" t="s">
        <v>122</v>
      </c>
      <c r="F266" s="106" t="s">
        <v>122</v>
      </c>
      <c r="G266" s="106" t="s">
        <v>122</v>
      </c>
      <c r="H266" s="107" t="s">
        <v>122</v>
      </c>
    </row>
    <row r="267" spans="1:8" s="103" customFormat="1" ht="27" customHeight="1" x14ac:dyDescent="0.25">
      <c r="A267" s="104">
        <v>42998</v>
      </c>
      <c r="B267" s="105" t="s">
        <v>1825</v>
      </c>
      <c r="C267" s="106">
        <v>7400</v>
      </c>
      <c r="D267" s="106" t="s">
        <v>122</v>
      </c>
      <c r="E267" s="106" t="s">
        <v>122</v>
      </c>
      <c r="F267" s="106" t="s">
        <v>122</v>
      </c>
      <c r="G267" s="106" t="s">
        <v>122</v>
      </c>
      <c r="H267" s="107" t="s">
        <v>122</v>
      </c>
    </row>
    <row r="268" spans="1:8" s="103" customFormat="1" ht="27" customHeight="1" x14ac:dyDescent="0.25">
      <c r="A268" s="104">
        <v>42999</v>
      </c>
      <c r="B268" s="105" t="s">
        <v>1825</v>
      </c>
      <c r="C268" s="106">
        <v>7400</v>
      </c>
      <c r="D268" s="106" t="s">
        <v>122</v>
      </c>
      <c r="E268" s="106" t="s">
        <v>122</v>
      </c>
      <c r="F268" s="106" t="s">
        <v>122</v>
      </c>
      <c r="G268" s="106" t="s">
        <v>122</v>
      </c>
      <c r="H268" s="107" t="s">
        <v>122</v>
      </c>
    </row>
    <row r="269" spans="1:8" s="103" customFormat="1" ht="27" customHeight="1" x14ac:dyDescent="0.25">
      <c r="A269" s="104">
        <v>43000</v>
      </c>
      <c r="B269" s="105" t="s">
        <v>1995</v>
      </c>
      <c r="C269" s="106">
        <v>7350</v>
      </c>
      <c r="D269" s="106" t="s">
        <v>122</v>
      </c>
      <c r="E269" s="106" t="s">
        <v>122</v>
      </c>
      <c r="F269" s="106" t="s">
        <v>122</v>
      </c>
      <c r="G269" s="106" t="s">
        <v>122</v>
      </c>
      <c r="H269" s="107" t="s">
        <v>122</v>
      </c>
    </row>
    <row r="270" spans="1:8" s="103" customFormat="1" ht="27" customHeight="1" x14ac:dyDescent="0.25">
      <c r="A270" s="104">
        <v>43001</v>
      </c>
      <c r="B270" s="105" t="s">
        <v>1995</v>
      </c>
      <c r="C270" s="106">
        <v>7350</v>
      </c>
      <c r="D270" s="106" t="s">
        <v>122</v>
      </c>
      <c r="E270" s="106" t="s">
        <v>122</v>
      </c>
      <c r="F270" s="106" t="s">
        <v>122</v>
      </c>
      <c r="G270" s="106" t="s">
        <v>122</v>
      </c>
      <c r="H270" s="107" t="s">
        <v>122</v>
      </c>
    </row>
    <row r="271" spans="1:8" s="103" customFormat="1" ht="27" customHeight="1" x14ac:dyDescent="0.25">
      <c r="A271" s="104">
        <v>43002</v>
      </c>
      <c r="B271" s="105" t="s">
        <v>1995</v>
      </c>
      <c r="C271" s="106">
        <v>7350</v>
      </c>
      <c r="D271" s="106" t="s">
        <v>122</v>
      </c>
      <c r="E271" s="106" t="s">
        <v>122</v>
      </c>
      <c r="F271" s="106" t="s">
        <v>122</v>
      </c>
      <c r="G271" s="106" t="s">
        <v>122</v>
      </c>
      <c r="H271" s="107" t="s">
        <v>122</v>
      </c>
    </row>
    <row r="272" spans="1:8" s="103" customFormat="1" ht="27" customHeight="1" x14ac:dyDescent="0.25">
      <c r="A272" s="104">
        <v>43003</v>
      </c>
      <c r="B272" s="105" t="s">
        <v>1826</v>
      </c>
      <c r="C272" s="106">
        <v>7300</v>
      </c>
      <c r="D272" s="106" t="s">
        <v>122</v>
      </c>
      <c r="E272" s="106" t="s">
        <v>122</v>
      </c>
      <c r="F272" s="106" t="s">
        <v>122</v>
      </c>
      <c r="G272" s="106" t="s">
        <v>122</v>
      </c>
      <c r="H272" s="107" t="s">
        <v>122</v>
      </c>
    </row>
    <row r="273" spans="1:8" s="103" customFormat="1" ht="27" customHeight="1" x14ac:dyDescent="0.25">
      <c r="A273" s="104">
        <v>43004</v>
      </c>
      <c r="B273" s="105" t="s">
        <v>1826</v>
      </c>
      <c r="C273" s="106">
        <v>7300</v>
      </c>
      <c r="D273" s="106" t="s">
        <v>122</v>
      </c>
      <c r="E273" s="106" t="s">
        <v>122</v>
      </c>
      <c r="F273" s="106" t="s">
        <v>122</v>
      </c>
      <c r="G273" s="106" t="s">
        <v>122</v>
      </c>
      <c r="H273" s="107" t="s">
        <v>122</v>
      </c>
    </row>
    <row r="274" spans="1:8" s="103" customFormat="1" ht="27" customHeight="1" x14ac:dyDescent="0.25">
      <c r="A274" s="104">
        <v>43005</v>
      </c>
      <c r="B274" s="105" t="s">
        <v>1826</v>
      </c>
      <c r="C274" s="106">
        <v>7300</v>
      </c>
      <c r="D274" s="106" t="s">
        <v>122</v>
      </c>
      <c r="E274" s="106" t="s">
        <v>122</v>
      </c>
      <c r="F274" s="106" t="s">
        <v>122</v>
      </c>
      <c r="G274" s="106" t="s">
        <v>122</v>
      </c>
      <c r="H274" s="107" t="s">
        <v>122</v>
      </c>
    </row>
    <row r="275" spans="1:8" s="103" customFormat="1" ht="27" customHeight="1" x14ac:dyDescent="0.25">
      <c r="A275" s="104">
        <v>43006</v>
      </c>
      <c r="B275" s="105" t="s">
        <v>2003</v>
      </c>
      <c r="C275" s="106">
        <v>7250</v>
      </c>
      <c r="D275" s="106" t="s">
        <v>122</v>
      </c>
      <c r="E275" s="106" t="s">
        <v>122</v>
      </c>
      <c r="F275" s="106" t="s">
        <v>122</v>
      </c>
      <c r="G275" s="106" t="s">
        <v>122</v>
      </c>
      <c r="H275" s="107" t="s">
        <v>122</v>
      </c>
    </row>
    <row r="276" spans="1:8" s="103" customFormat="1" ht="27" customHeight="1" x14ac:dyDescent="0.25">
      <c r="A276" s="104">
        <v>43007</v>
      </c>
      <c r="B276" s="105" t="s">
        <v>2003</v>
      </c>
      <c r="C276" s="106">
        <v>7250</v>
      </c>
      <c r="D276" s="106" t="s">
        <v>122</v>
      </c>
      <c r="E276" s="106" t="s">
        <v>122</v>
      </c>
      <c r="F276" s="106" t="s">
        <v>122</v>
      </c>
      <c r="G276" s="106" t="s">
        <v>122</v>
      </c>
      <c r="H276" s="107" t="s">
        <v>122</v>
      </c>
    </row>
    <row r="277" spans="1:8" s="103" customFormat="1" ht="27" customHeight="1" x14ac:dyDescent="0.25">
      <c r="A277" s="104">
        <v>43008</v>
      </c>
      <c r="B277" s="105" t="s">
        <v>2004</v>
      </c>
      <c r="C277" s="106">
        <v>7200</v>
      </c>
      <c r="D277" s="106" t="s">
        <v>122</v>
      </c>
      <c r="E277" s="106" t="s">
        <v>122</v>
      </c>
      <c r="F277" s="106" t="s">
        <v>122</v>
      </c>
      <c r="G277" s="106" t="s">
        <v>122</v>
      </c>
      <c r="H277" s="107" t="s">
        <v>122</v>
      </c>
    </row>
    <row r="278" spans="1:8" s="103" customFormat="1" ht="27" customHeight="1" x14ac:dyDescent="0.25">
      <c r="A278" s="104">
        <v>43009</v>
      </c>
      <c r="B278" s="105" t="s">
        <v>2004</v>
      </c>
      <c r="C278" s="106">
        <v>7200</v>
      </c>
      <c r="D278" s="106" t="s">
        <v>122</v>
      </c>
      <c r="E278" s="106" t="s">
        <v>122</v>
      </c>
      <c r="F278" s="106" t="s">
        <v>122</v>
      </c>
      <c r="G278" s="106" t="s">
        <v>122</v>
      </c>
      <c r="H278" s="107" t="s">
        <v>122</v>
      </c>
    </row>
    <row r="279" spans="1:8" s="103" customFormat="1" ht="27" customHeight="1" x14ac:dyDescent="0.25">
      <c r="A279" s="104">
        <v>43010</v>
      </c>
      <c r="B279" s="105" t="s">
        <v>2004</v>
      </c>
      <c r="C279" s="106">
        <v>7200</v>
      </c>
      <c r="D279" s="106" t="s">
        <v>122</v>
      </c>
      <c r="E279" s="106" t="s">
        <v>122</v>
      </c>
      <c r="F279" s="106" t="s">
        <v>122</v>
      </c>
      <c r="G279" s="106" t="s">
        <v>122</v>
      </c>
      <c r="H279" s="107" t="s">
        <v>122</v>
      </c>
    </row>
    <row r="280" spans="1:8" s="103" customFormat="1" ht="27" customHeight="1" x14ac:dyDescent="0.25">
      <c r="A280" s="104">
        <v>43011</v>
      </c>
      <c r="B280" s="105" t="s">
        <v>2005</v>
      </c>
      <c r="C280" s="106">
        <v>7150</v>
      </c>
      <c r="D280" s="106" t="s">
        <v>122</v>
      </c>
      <c r="E280" s="106" t="s">
        <v>122</v>
      </c>
      <c r="F280" s="106" t="s">
        <v>122</v>
      </c>
      <c r="G280" s="106" t="s">
        <v>122</v>
      </c>
      <c r="H280" s="107" t="s">
        <v>122</v>
      </c>
    </row>
    <row r="281" spans="1:8" s="103" customFormat="1" ht="27" customHeight="1" x14ac:dyDescent="0.25">
      <c r="A281" s="104">
        <v>43012</v>
      </c>
      <c r="B281" s="105" t="s">
        <v>2005</v>
      </c>
      <c r="C281" s="106">
        <v>7150</v>
      </c>
      <c r="D281" s="106" t="s">
        <v>122</v>
      </c>
      <c r="E281" s="106" t="s">
        <v>122</v>
      </c>
      <c r="F281" s="106" t="s">
        <v>122</v>
      </c>
      <c r="G281" s="106" t="s">
        <v>122</v>
      </c>
      <c r="H281" s="107" t="s">
        <v>122</v>
      </c>
    </row>
    <row r="282" spans="1:8" s="103" customFormat="1" ht="27" customHeight="1" x14ac:dyDescent="0.25">
      <c r="A282" s="104">
        <v>43013</v>
      </c>
      <c r="B282" s="105" t="s">
        <v>1828</v>
      </c>
      <c r="C282" s="106">
        <v>7100</v>
      </c>
      <c r="D282" s="106" t="s">
        <v>122</v>
      </c>
      <c r="E282" s="106" t="s">
        <v>122</v>
      </c>
      <c r="F282" s="106" t="s">
        <v>122</v>
      </c>
      <c r="G282" s="106" t="s">
        <v>122</v>
      </c>
      <c r="H282" s="107" t="s">
        <v>122</v>
      </c>
    </row>
    <row r="283" spans="1:8" s="103" customFormat="1" ht="27" customHeight="1" x14ac:dyDescent="0.25">
      <c r="A283" s="104">
        <v>43014</v>
      </c>
      <c r="B283" s="105" t="s">
        <v>1828</v>
      </c>
      <c r="C283" s="106">
        <v>7100</v>
      </c>
      <c r="D283" s="106" t="s">
        <v>122</v>
      </c>
      <c r="E283" s="106" t="s">
        <v>122</v>
      </c>
      <c r="F283" s="106" t="s">
        <v>122</v>
      </c>
      <c r="G283" s="106" t="s">
        <v>122</v>
      </c>
      <c r="H283" s="107" t="s">
        <v>122</v>
      </c>
    </row>
    <row r="284" spans="1:8" s="103" customFormat="1" ht="27" customHeight="1" x14ac:dyDescent="0.25">
      <c r="A284" s="104">
        <v>43015</v>
      </c>
      <c r="B284" s="105" t="s">
        <v>1828</v>
      </c>
      <c r="C284" s="106">
        <v>7100</v>
      </c>
      <c r="D284" s="106" t="s">
        <v>122</v>
      </c>
      <c r="E284" s="106" t="s">
        <v>122</v>
      </c>
      <c r="F284" s="106" t="s">
        <v>122</v>
      </c>
      <c r="G284" s="106" t="s">
        <v>122</v>
      </c>
      <c r="H284" s="107" t="s">
        <v>122</v>
      </c>
    </row>
    <row r="285" spans="1:8" s="103" customFormat="1" ht="27" customHeight="1" x14ac:dyDescent="0.25">
      <c r="A285" s="104">
        <v>43016</v>
      </c>
      <c r="B285" s="105" t="s">
        <v>1997</v>
      </c>
      <c r="C285" s="106">
        <v>7050</v>
      </c>
      <c r="D285" s="106" t="s">
        <v>122</v>
      </c>
      <c r="E285" s="106" t="s">
        <v>122</v>
      </c>
      <c r="F285" s="106" t="s">
        <v>122</v>
      </c>
      <c r="G285" s="106" t="s">
        <v>122</v>
      </c>
      <c r="H285" s="107" t="s">
        <v>122</v>
      </c>
    </row>
    <row r="286" spans="1:8" s="103" customFormat="1" ht="27" customHeight="1" x14ac:dyDescent="0.25">
      <c r="A286" s="104">
        <v>43017</v>
      </c>
      <c r="B286" s="105" t="s">
        <v>1997</v>
      </c>
      <c r="C286" s="106">
        <v>7050</v>
      </c>
      <c r="D286" s="106" t="s">
        <v>122</v>
      </c>
      <c r="E286" s="106" t="s">
        <v>122</v>
      </c>
      <c r="F286" s="106" t="s">
        <v>122</v>
      </c>
      <c r="G286" s="106" t="s">
        <v>122</v>
      </c>
      <c r="H286" s="107" t="s">
        <v>122</v>
      </c>
    </row>
    <row r="287" spans="1:8" s="103" customFormat="1" ht="27" customHeight="1" x14ac:dyDescent="0.25">
      <c r="A287" s="104">
        <v>43018</v>
      </c>
      <c r="B287" s="105" t="s">
        <v>1997</v>
      </c>
      <c r="C287" s="106">
        <v>7050</v>
      </c>
      <c r="D287" s="106" t="s">
        <v>122</v>
      </c>
      <c r="E287" s="106" t="s">
        <v>122</v>
      </c>
      <c r="F287" s="106" t="s">
        <v>122</v>
      </c>
      <c r="G287" s="106" t="s">
        <v>122</v>
      </c>
      <c r="H287" s="107" t="s">
        <v>122</v>
      </c>
    </row>
    <row r="288" spans="1:8" s="103" customFormat="1" ht="27" customHeight="1" x14ac:dyDescent="0.25">
      <c r="A288" s="104">
        <v>43019</v>
      </c>
      <c r="B288" s="105" t="s">
        <v>1997</v>
      </c>
      <c r="C288" s="106">
        <v>7050</v>
      </c>
      <c r="D288" s="106" t="s">
        <v>122</v>
      </c>
      <c r="E288" s="106" t="s">
        <v>122</v>
      </c>
      <c r="F288" s="106" t="s">
        <v>122</v>
      </c>
      <c r="G288" s="106" t="s">
        <v>122</v>
      </c>
      <c r="H288" s="107" t="s">
        <v>122</v>
      </c>
    </row>
    <row r="289" spans="1:8" s="103" customFormat="1" ht="27" customHeight="1" x14ac:dyDescent="0.25">
      <c r="A289" s="104">
        <v>43020</v>
      </c>
      <c r="B289" s="105" t="s">
        <v>1829</v>
      </c>
      <c r="C289" s="106">
        <v>7000</v>
      </c>
      <c r="D289" s="106" t="s">
        <v>122</v>
      </c>
      <c r="E289" s="106" t="s">
        <v>122</v>
      </c>
      <c r="F289" s="106" t="s">
        <v>122</v>
      </c>
      <c r="G289" s="106" t="s">
        <v>122</v>
      </c>
      <c r="H289" s="107" t="s">
        <v>122</v>
      </c>
    </row>
    <row r="290" spans="1:8" s="103" customFormat="1" ht="27" customHeight="1" x14ac:dyDescent="0.25">
      <c r="A290" s="104">
        <v>43021</v>
      </c>
      <c r="B290" s="105" t="s">
        <v>1829</v>
      </c>
      <c r="C290" s="106">
        <v>7000</v>
      </c>
      <c r="D290" s="106" t="s">
        <v>122</v>
      </c>
      <c r="E290" s="106" t="s">
        <v>122</v>
      </c>
      <c r="F290" s="106" t="s">
        <v>122</v>
      </c>
      <c r="G290" s="106" t="s">
        <v>122</v>
      </c>
      <c r="H290" s="107" t="s">
        <v>122</v>
      </c>
    </row>
    <row r="291" spans="1:8" s="103" customFormat="1" ht="27" customHeight="1" x14ac:dyDescent="0.25">
      <c r="A291" s="104">
        <v>43022</v>
      </c>
      <c r="B291" s="105" t="s">
        <v>1998</v>
      </c>
      <c r="C291" s="106">
        <v>6975</v>
      </c>
      <c r="D291" s="106" t="s">
        <v>122</v>
      </c>
      <c r="E291" s="106" t="s">
        <v>122</v>
      </c>
      <c r="F291" s="106" t="s">
        <v>122</v>
      </c>
      <c r="G291" s="106" t="s">
        <v>122</v>
      </c>
      <c r="H291" s="107" t="s">
        <v>122</v>
      </c>
    </row>
    <row r="292" spans="1:8" s="103" customFormat="1" ht="27" customHeight="1" x14ac:dyDescent="0.25">
      <c r="A292" s="104">
        <v>43023</v>
      </c>
      <c r="B292" s="105" t="s">
        <v>1998</v>
      </c>
      <c r="C292" s="106">
        <v>6975</v>
      </c>
      <c r="D292" s="106" t="s">
        <v>122</v>
      </c>
      <c r="E292" s="106" t="s">
        <v>122</v>
      </c>
      <c r="F292" s="106" t="s">
        <v>122</v>
      </c>
      <c r="G292" s="106" t="s">
        <v>122</v>
      </c>
      <c r="H292" s="107" t="s">
        <v>122</v>
      </c>
    </row>
    <row r="293" spans="1:8" s="103" customFormat="1" ht="27" customHeight="1" x14ac:dyDescent="0.25">
      <c r="A293" s="104">
        <v>43024</v>
      </c>
      <c r="B293" s="105" t="s">
        <v>1998</v>
      </c>
      <c r="C293" s="106">
        <v>6975</v>
      </c>
      <c r="D293" s="106" t="s">
        <v>122</v>
      </c>
      <c r="E293" s="106" t="s">
        <v>122</v>
      </c>
      <c r="F293" s="106" t="s">
        <v>122</v>
      </c>
      <c r="G293" s="106" t="s">
        <v>122</v>
      </c>
      <c r="H293" s="107" t="s">
        <v>122</v>
      </c>
    </row>
    <row r="294" spans="1:8" s="103" customFormat="1" ht="27" customHeight="1" x14ac:dyDescent="0.25">
      <c r="A294" s="104">
        <v>43025</v>
      </c>
      <c r="B294" s="105" t="s">
        <v>1974</v>
      </c>
      <c r="C294" s="106">
        <v>6950</v>
      </c>
      <c r="D294" s="106" t="s">
        <v>122</v>
      </c>
      <c r="E294" s="106" t="s">
        <v>122</v>
      </c>
      <c r="F294" s="106" t="s">
        <v>122</v>
      </c>
      <c r="G294" s="106" t="s">
        <v>122</v>
      </c>
      <c r="H294" s="107" t="s">
        <v>122</v>
      </c>
    </row>
    <row r="295" spans="1:8" s="103" customFormat="1" ht="27" customHeight="1" x14ac:dyDescent="0.25">
      <c r="A295" s="104">
        <v>43026</v>
      </c>
      <c r="B295" s="105" t="s">
        <v>1974</v>
      </c>
      <c r="C295" s="106">
        <v>6950</v>
      </c>
      <c r="D295" s="106" t="s">
        <v>122</v>
      </c>
      <c r="E295" s="106" t="s">
        <v>122</v>
      </c>
      <c r="F295" s="106" t="s">
        <v>122</v>
      </c>
      <c r="G295" s="106" t="s">
        <v>122</v>
      </c>
      <c r="H295" s="107" t="s">
        <v>122</v>
      </c>
    </row>
    <row r="296" spans="1:8" s="103" customFormat="1" ht="27" customHeight="1" x14ac:dyDescent="0.25">
      <c r="A296" s="104">
        <v>43027</v>
      </c>
      <c r="B296" s="105" t="s">
        <v>1974</v>
      </c>
      <c r="C296" s="106">
        <v>6950</v>
      </c>
      <c r="D296" s="106" t="s">
        <v>122</v>
      </c>
      <c r="E296" s="106" t="s">
        <v>122</v>
      </c>
      <c r="F296" s="106" t="s">
        <v>122</v>
      </c>
      <c r="G296" s="106" t="s">
        <v>122</v>
      </c>
      <c r="H296" s="107" t="s">
        <v>122</v>
      </c>
    </row>
    <row r="297" spans="1:8" s="103" customFormat="1" ht="27" customHeight="1" x14ac:dyDescent="0.25">
      <c r="A297" s="104">
        <v>43028</v>
      </c>
      <c r="B297" s="105" t="s">
        <v>1974</v>
      </c>
      <c r="C297" s="106">
        <v>6950</v>
      </c>
      <c r="D297" s="106" t="s">
        <v>122</v>
      </c>
      <c r="E297" s="106" t="s">
        <v>122</v>
      </c>
      <c r="F297" s="106" t="s">
        <v>122</v>
      </c>
      <c r="G297" s="106" t="s">
        <v>122</v>
      </c>
      <c r="H297" s="107" t="s">
        <v>122</v>
      </c>
    </row>
    <row r="298" spans="1:8" s="103" customFormat="1" ht="27" customHeight="1" x14ac:dyDescent="0.25">
      <c r="A298" s="104">
        <v>43029</v>
      </c>
      <c r="B298" s="105" t="s">
        <v>1974</v>
      </c>
      <c r="C298" s="106">
        <v>6950</v>
      </c>
      <c r="D298" s="106" t="s">
        <v>122</v>
      </c>
      <c r="E298" s="106" t="s">
        <v>122</v>
      </c>
      <c r="F298" s="106" t="s">
        <v>122</v>
      </c>
      <c r="G298" s="106" t="s">
        <v>122</v>
      </c>
      <c r="H298" s="107" t="s">
        <v>122</v>
      </c>
    </row>
    <row r="299" spans="1:8" s="103" customFormat="1" ht="27" customHeight="1" x14ac:dyDescent="0.25">
      <c r="A299" s="104">
        <v>43030</v>
      </c>
      <c r="B299" s="105" t="s">
        <v>1974</v>
      </c>
      <c r="C299" s="106">
        <v>6950</v>
      </c>
      <c r="D299" s="106" t="s">
        <v>122</v>
      </c>
      <c r="E299" s="106" t="s">
        <v>122</v>
      </c>
      <c r="F299" s="106" t="s">
        <v>122</v>
      </c>
      <c r="G299" s="106" t="s">
        <v>122</v>
      </c>
      <c r="H299" s="107" t="s">
        <v>122</v>
      </c>
    </row>
    <row r="300" spans="1:8" s="103" customFormat="1" ht="27" customHeight="1" x14ac:dyDescent="0.25">
      <c r="A300" s="104">
        <v>43031</v>
      </c>
      <c r="B300" s="105" t="s">
        <v>1999</v>
      </c>
      <c r="C300" s="106">
        <v>6925</v>
      </c>
      <c r="D300" s="106" t="s">
        <v>122</v>
      </c>
      <c r="E300" s="106" t="s">
        <v>122</v>
      </c>
      <c r="F300" s="106" t="s">
        <v>122</v>
      </c>
      <c r="G300" s="106" t="s">
        <v>122</v>
      </c>
      <c r="H300" s="107" t="s">
        <v>122</v>
      </c>
    </row>
    <row r="301" spans="1:8" s="103" customFormat="1" ht="27" customHeight="1" x14ac:dyDescent="0.25">
      <c r="A301" s="104">
        <v>43032</v>
      </c>
      <c r="B301" s="105" t="s">
        <v>1999</v>
      </c>
      <c r="C301" s="106">
        <v>6925</v>
      </c>
      <c r="D301" s="106" t="s">
        <v>122</v>
      </c>
      <c r="E301" s="106" t="s">
        <v>122</v>
      </c>
      <c r="F301" s="106" t="s">
        <v>122</v>
      </c>
      <c r="G301" s="106" t="s">
        <v>122</v>
      </c>
      <c r="H301" s="107" t="s">
        <v>122</v>
      </c>
    </row>
    <row r="302" spans="1:8" s="103" customFormat="1" ht="27" customHeight="1" x14ac:dyDescent="0.25">
      <c r="A302" s="104">
        <v>43033</v>
      </c>
      <c r="B302" s="105" t="s">
        <v>1999</v>
      </c>
      <c r="C302" s="106">
        <v>6925</v>
      </c>
      <c r="D302" s="106" t="s">
        <v>122</v>
      </c>
      <c r="E302" s="106" t="s">
        <v>122</v>
      </c>
      <c r="F302" s="106" t="s">
        <v>122</v>
      </c>
      <c r="G302" s="106" t="s">
        <v>122</v>
      </c>
      <c r="H302" s="107" t="s">
        <v>122</v>
      </c>
    </row>
    <row r="303" spans="1:8" s="103" customFormat="1" ht="27" customHeight="1" x14ac:dyDescent="0.25">
      <c r="A303" s="104">
        <v>43034</v>
      </c>
      <c r="B303" s="105" t="s">
        <v>1831</v>
      </c>
      <c r="C303" s="106">
        <v>6900</v>
      </c>
      <c r="D303" s="106" t="s">
        <v>122</v>
      </c>
      <c r="E303" s="106" t="s">
        <v>122</v>
      </c>
      <c r="F303" s="106" t="s">
        <v>122</v>
      </c>
      <c r="G303" s="106" t="s">
        <v>122</v>
      </c>
      <c r="H303" s="107" t="s">
        <v>122</v>
      </c>
    </row>
    <row r="304" spans="1:8" s="103" customFormat="1" ht="27" customHeight="1" x14ac:dyDescent="0.25">
      <c r="A304" s="104">
        <v>43035</v>
      </c>
      <c r="B304" s="105" t="s">
        <v>1823</v>
      </c>
      <c r="C304" s="106">
        <v>7500</v>
      </c>
      <c r="D304" s="106" t="s">
        <v>122</v>
      </c>
      <c r="E304" s="106" t="s">
        <v>122</v>
      </c>
      <c r="F304" s="106" t="s">
        <v>122</v>
      </c>
      <c r="G304" s="106" t="s">
        <v>122</v>
      </c>
      <c r="H304" s="107" t="s">
        <v>122</v>
      </c>
    </row>
    <row r="305" spans="1:8" s="103" customFormat="1" ht="27" customHeight="1" x14ac:dyDescent="0.25">
      <c r="A305" s="104">
        <v>43036</v>
      </c>
      <c r="B305" s="105" t="s">
        <v>1823</v>
      </c>
      <c r="C305" s="106">
        <v>7500</v>
      </c>
      <c r="D305" s="106" t="s">
        <v>122</v>
      </c>
      <c r="E305" s="106" t="s">
        <v>122</v>
      </c>
      <c r="F305" s="106" t="s">
        <v>122</v>
      </c>
      <c r="G305" s="106" t="s">
        <v>122</v>
      </c>
      <c r="H305" s="107" t="s">
        <v>122</v>
      </c>
    </row>
    <row r="306" spans="1:8" s="103" customFormat="1" ht="27" customHeight="1" x14ac:dyDescent="0.25">
      <c r="A306" s="104">
        <v>43037</v>
      </c>
      <c r="B306" s="105" t="s">
        <v>1823</v>
      </c>
      <c r="C306" s="106">
        <v>7500</v>
      </c>
      <c r="D306" s="106" t="s">
        <v>122</v>
      </c>
      <c r="E306" s="106" t="s">
        <v>122</v>
      </c>
      <c r="F306" s="106" t="s">
        <v>122</v>
      </c>
      <c r="G306" s="106" t="s">
        <v>122</v>
      </c>
      <c r="H306" s="107" t="s">
        <v>122</v>
      </c>
    </row>
    <row r="307" spans="1:8" s="103" customFormat="1" ht="27" customHeight="1" x14ac:dyDescent="0.25">
      <c r="A307" s="104">
        <v>43038</v>
      </c>
      <c r="B307" s="105" t="s">
        <v>1823</v>
      </c>
      <c r="C307" s="106">
        <v>7500</v>
      </c>
      <c r="D307" s="106" t="s">
        <v>122</v>
      </c>
      <c r="E307" s="106" t="s">
        <v>122</v>
      </c>
      <c r="F307" s="106" t="s">
        <v>122</v>
      </c>
      <c r="G307" s="106" t="s">
        <v>122</v>
      </c>
      <c r="H307" s="107" t="s">
        <v>122</v>
      </c>
    </row>
    <row r="308" spans="1:8" s="103" customFormat="1" ht="27" customHeight="1" x14ac:dyDescent="0.25">
      <c r="A308" s="104">
        <v>43039</v>
      </c>
      <c r="B308" s="105" t="s">
        <v>1822</v>
      </c>
      <c r="C308" s="106">
        <v>7600</v>
      </c>
      <c r="D308" s="106" t="s">
        <v>122</v>
      </c>
      <c r="E308" s="106" t="s">
        <v>122</v>
      </c>
      <c r="F308" s="106" t="s">
        <v>122</v>
      </c>
      <c r="G308" s="106" t="s">
        <v>122</v>
      </c>
      <c r="H308" s="107" t="s">
        <v>122</v>
      </c>
    </row>
    <row r="309" spans="1:8" s="103" customFormat="1" ht="27" customHeight="1" x14ac:dyDescent="0.25">
      <c r="A309" s="104">
        <v>43040</v>
      </c>
      <c r="B309" s="105" t="s">
        <v>2006</v>
      </c>
      <c r="C309" s="106">
        <v>7600</v>
      </c>
      <c r="D309" s="106" t="s">
        <v>122</v>
      </c>
      <c r="E309" s="106" t="s">
        <v>122</v>
      </c>
      <c r="F309" s="106" t="s">
        <v>122</v>
      </c>
      <c r="G309" s="106" t="s">
        <v>122</v>
      </c>
      <c r="H309" s="107" t="s">
        <v>122</v>
      </c>
    </row>
    <row r="310" spans="1:8" s="103" customFormat="1" ht="27" customHeight="1" x14ac:dyDescent="0.25">
      <c r="A310" s="104">
        <v>43041</v>
      </c>
      <c r="B310" s="105" t="s">
        <v>2006</v>
      </c>
      <c r="C310" s="106">
        <v>7600</v>
      </c>
      <c r="D310" s="106" t="s">
        <v>122</v>
      </c>
      <c r="E310" s="106" t="s">
        <v>122</v>
      </c>
      <c r="F310" s="106" t="s">
        <v>122</v>
      </c>
      <c r="G310" s="106" t="s">
        <v>122</v>
      </c>
      <c r="H310" s="107" t="s">
        <v>122</v>
      </c>
    </row>
    <row r="311" spans="1:8" s="103" customFormat="1" ht="27" customHeight="1" x14ac:dyDescent="0.25">
      <c r="A311" s="104">
        <v>43042</v>
      </c>
      <c r="B311" s="105" t="s">
        <v>2007</v>
      </c>
      <c r="C311" s="106">
        <v>7700</v>
      </c>
      <c r="D311" s="106" t="s">
        <v>122</v>
      </c>
      <c r="E311" s="106" t="s">
        <v>122</v>
      </c>
      <c r="F311" s="106" t="s">
        <v>122</v>
      </c>
      <c r="G311" s="106" t="s">
        <v>122</v>
      </c>
      <c r="H311" s="107" t="s">
        <v>122</v>
      </c>
    </row>
    <row r="312" spans="1:8" s="103" customFormat="1" ht="27" customHeight="1" x14ac:dyDescent="0.25">
      <c r="A312" s="104">
        <v>43043</v>
      </c>
      <c r="B312" s="105" t="s">
        <v>2007</v>
      </c>
      <c r="C312" s="106">
        <v>7700</v>
      </c>
      <c r="D312" s="106" t="s">
        <v>122</v>
      </c>
      <c r="E312" s="106" t="s">
        <v>122</v>
      </c>
      <c r="F312" s="106" t="s">
        <v>122</v>
      </c>
      <c r="G312" s="106" t="s">
        <v>122</v>
      </c>
      <c r="H312" s="107" t="s">
        <v>122</v>
      </c>
    </row>
    <row r="313" spans="1:8" s="103" customFormat="1" ht="27" customHeight="1" x14ac:dyDescent="0.25">
      <c r="A313" s="104">
        <v>43044</v>
      </c>
      <c r="B313" s="105" t="s">
        <v>2008</v>
      </c>
      <c r="C313" s="106">
        <v>8300</v>
      </c>
      <c r="D313" s="106" t="s">
        <v>122</v>
      </c>
      <c r="E313" s="106" t="s">
        <v>122</v>
      </c>
      <c r="F313" s="106" t="s">
        <v>122</v>
      </c>
      <c r="G313" s="106" t="s">
        <v>122</v>
      </c>
      <c r="H313" s="107" t="s">
        <v>122</v>
      </c>
    </row>
    <row r="314" spans="1:8" s="103" customFormat="1" ht="27" customHeight="1" x14ac:dyDescent="0.25">
      <c r="A314" s="104">
        <v>43045</v>
      </c>
      <c r="B314" s="105" t="s">
        <v>2009</v>
      </c>
      <c r="C314" s="106">
        <v>8700</v>
      </c>
      <c r="D314" s="106" t="s">
        <v>122</v>
      </c>
      <c r="E314" s="106" t="s">
        <v>122</v>
      </c>
      <c r="F314" s="106" t="s">
        <v>122</v>
      </c>
      <c r="G314" s="106" t="s">
        <v>122</v>
      </c>
      <c r="H314" s="107" t="s">
        <v>122</v>
      </c>
    </row>
    <row r="315" spans="1:8" s="103" customFormat="1" ht="27" customHeight="1" x14ac:dyDescent="0.25">
      <c r="A315" s="104">
        <v>43046</v>
      </c>
      <c r="B315" s="105" t="s">
        <v>2009</v>
      </c>
      <c r="C315" s="106">
        <v>8700</v>
      </c>
      <c r="D315" s="106" t="s">
        <v>122</v>
      </c>
      <c r="E315" s="106" t="s">
        <v>122</v>
      </c>
      <c r="F315" s="106" t="s">
        <v>122</v>
      </c>
      <c r="G315" s="106" t="s">
        <v>122</v>
      </c>
      <c r="H315" s="107" t="s">
        <v>122</v>
      </c>
    </row>
    <row r="316" spans="1:8" s="103" customFormat="1" ht="27" customHeight="1" x14ac:dyDescent="0.25">
      <c r="A316" s="104">
        <v>43047</v>
      </c>
      <c r="B316" s="105" t="s">
        <v>2009</v>
      </c>
      <c r="C316" s="106">
        <v>8700</v>
      </c>
      <c r="D316" s="106" t="s">
        <v>122</v>
      </c>
      <c r="E316" s="106" t="s">
        <v>122</v>
      </c>
      <c r="F316" s="106" t="s">
        <v>122</v>
      </c>
      <c r="G316" s="106" t="s">
        <v>122</v>
      </c>
      <c r="H316" s="107" t="s">
        <v>122</v>
      </c>
    </row>
    <row r="317" spans="1:8" s="103" customFormat="1" ht="27" customHeight="1" x14ac:dyDescent="0.25">
      <c r="A317" s="104">
        <v>43048</v>
      </c>
      <c r="B317" s="105" t="s">
        <v>2010</v>
      </c>
      <c r="C317" s="106">
        <v>8800</v>
      </c>
      <c r="D317" s="106" t="s">
        <v>122</v>
      </c>
      <c r="E317" s="106" t="s">
        <v>122</v>
      </c>
      <c r="F317" s="106" t="s">
        <v>122</v>
      </c>
      <c r="G317" s="106" t="s">
        <v>122</v>
      </c>
      <c r="H317" s="107" t="s">
        <v>122</v>
      </c>
    </row>
    <row r="318" spans="1:8" s="103" customFormat="1" ht="27" customHeight="1" x14ac:dyDescent="0.25">
      <c r="A318" s="104">
        <v>43049</v>
      </c>
      <c r="B318" s="105" t="s">
        <v>2011</v>
      </c>
      <c r="C318" s="106">
        <v>9000</v>
      </c>
      <c r="D318" s="106" t="s">
        <v>122</v>
      </c>
      <c r="E318" s="106" t="s">
        <v>122</v>
      </c>
      <c r="F318" s="106" t="s">
        <v>122</v>
      </c>
      <c r="G318" s="106" t="s">
        <v>122</v>
      </c>
      <c r="H318" s="107" t="s">
        <v>122</v>
      </c>
    </row>
    <row r="319" spans="1:8" s="103" customFormat="1" ht="27" customHeight="1" x14ac:dyDescent="0.25">
      <c r="A319" s="104">
        <v>43050</v>
      </c>
      <c r="B319" s="105" t="s">
        <v>2012</v>
      </c>
      <c r="C319" s="106">
        <v>9100</v>
      </c>
      <c r="D319" s="106" t="s">
        <v>122</v>
      </c>
      <c r="E319" s="106" t="s">
        <v>122</v>
      </c>
      <c r="F319" s="106" t="s">
        <v>122</v>
      </c>
      <c r="G319" s="106" t="s">
        <v>122</v>
      </c>
      <c r="H319" s="107" t="s">
        <v>122</v>
      </c>
    </row>
    <row r="320" spans="1:8" s="103" customFormat="1" ht="27" customHeight="1" x14ac:dyDescent="0.25">
      <c r="A320" s="104">
        <v>43051</v>
      </c>
      <c r="B320" s="105" t="s">
        <v>2012</v>
      </c>
      <c r="C320" s="106">
        <v>9100</v>
      </c>
      <c r="D320" s="106" t="s">
        <v>122</v>
      </c>
      <c r="E320" s="106" t="s">
        <v>122</v>
      </c>
      <c r="F320" s="106" t="s">
        <v>122</v>
      </c>
      <c r="G320" s="106" t="s">
        <v>122</v>
      </c>
      <c r="H320" s="107" t="s">
        <v>122</v>
      </c>
    </row>
    <row r="321" spans="1:8" s="103" customFormat="1" ht="27" customHeight="1" x14ac:dyDescent="0.25">
      <c r="A321" s="104">
        <v>43052</v>
      </c>
      <c r="B321" s="105" t="s">
        <v>2012</v>
      </c>
      <c r="C321" s="106">
        <v>9100</v>
      </c>
      <c r="D321" s="106" t="s">
        <v>122</v>
      </c>
      <c r="E321" s="106" t="s">
        <v>122</v>
      </c>
      <c r="F321" s="106" t="s">
        <v>122</v>
      </c>
      <c r="G321" s="106" t="s">
        <v>122</v>
      </c>
      <c r="H321" s="107" t="s">
        <v>122</v>
      </c>
    </row>
    <row r="322" spans="1:8" s="103" customFormat="1" ht="27" customHeight="1" x14ac:dyDescent="0.25">
      <c r="A322" s="104">
        <v>43053</v>
      </c>
      <c r="B322" s="105" t="s">
        <v>2012</v>
      </c>
      <c r="C322" s="106">
        <v>9100</v>
      </c>
      <c r="D322" s="106" t="s">
        <v>122</v>
      </c>
      <c r="E322" s="106" t="s">
        <v>122</v>
      </c>
      <c r="F322" s="106" t="s">
        <v>122</v>
      </c>
      <c r="G322" s="106" t="s">
        <v>122</v>
      </c>
      <c r="H322" s="107" t="s">
        <v>122</v>
      </c>
    </row>
    <row r="323" spans="1:8" s="103" customFormat="1" ht="27" customHeight="1" x14ac:dyDescent="0.25">
      <c r="A323" s="104">
        <v>43054</v>
      </c>
      <c r="B323" s="105" t="s">
        <v>2012</v>
      </c>
      <c r="C323" s="106">
        <v>9100</v>
      </c>
      <c r="D323" s="106" t="s">
        <v>122</v>
      </c>
      <c r="E323" s="106" t="s">
        <v>122</v>
      </c>
      <c r="F323" s="106" t="s">
        <v>122</v>
      </c>
      <c r="G323" s="106" t="s">
        <v>122</v>
      </c>
      <c r="H323" s="107" t="s">
        <v>122</v>
      </c>
    </row>
    <row r="324" spans="1:8" s="103" customFormat="1" ht="27" customHeight="1" x14ac:dyDescent="0.25">
      <c r="A324" s="104">
        <v>43055</v>
      </c>
      <c r="B324" s="105" t="s">
        <v>2012</v>
      </c>
      <c r="C324" s="106">
        <v>9100</v>
      </c>
      <c r="D324" s="106" t="s">
        <v>122</v>
      </c>
      <c r="E324" s="106" t="s">
        <v>122</v>
      </c>
      <c r="F324" s="106" t="s">
        <v>122</v>
      </c>
      <c r="G324" s="106" t="s">
        <v>122</v>
      </c>
      <c r="H324" s="107" t="s">
        <v>122</v>
      </c>
    </row>
    <row r="325" spans="1:8" s="103" customFormat="1" ht="27" customHeight="1" x14ac:dyDescent="0.25">
      <c r="A325" s="104">
        <v>43056</v>
      </c>
      <c r="B325" s="105" t="s">
        <v>2012</v>
      </c>
      <c r="C325" s="106">
        <v>9100</v>
      </c>
      <c r="D325" s="106" t="s">
        <v>122</v>
      </c>
      <c r="E325" s="106" t="s">
        <v>122</v>
      </c>
      <c r="F325" s="106" t="s">
        <v>122</v>
      </c>
      <c r="G325" s="106" t="s">
        <v>122</v>
      </c>
      <c r="H325" s="107" t="s">
        <v>122</v>
      </c>
    </row>
    <row r="326" spans="1:8" s="103" customFormat="1" ht="27" customHeight="1" x14ac:dyDescent="0.25">
      <c r="A326" s="104">
        <v>43057</v>
      </c>
      <c r="B326" s="105" t="s">
        <v>2012</v>
      </c>
      <c r="C326" s="106">
        <v>9100</v>
      </c>
      <c r="D326" s="106" t="s">
        <v>122</v>
      </c>
      <c r="E326" s="106" t="s">
        <v>122</v>
      </c>
      <c r="F326" s="106" t="s">
        <v>122</v>
      </c>
      <c r="G326" s="106" t="s">
        <v>122</v>
      </c>
      <c r="H326" s="107" t="s">
        <v>122</v>
      </c>
    </row>
    <row r="327" spans="1:8" s="103" customFormat="1" ht="27" customHeight="1" x14ac:dyDescent="0.25">
      <c r="A327" s="104">
        <v>43058</v>
      </c>
      <c r="B327" s="105" t="s">
        <v>2012</v>
      </c>
      <c r="C327" s="106">
        <v>9100</v>
      </c>
      <c r="D327" s="106" t="s">
        <v>122</v>
      </c>
      <c r="E327" s="106" t="s">
        <v>122</v>
      </c>
      <c r="F327" s="106" t="s">
        <v>122</v>
      </c>
      <c r="G327" s="106" t="s">
        <v>122</v>
      </c>
      <c r="H327" s="107" t="s">
        <v>122</v>
      </c>
    </row>
    <row r="328" spans="1:8" s="103" customFormat="1" ht="27" customHeight="1" x14ac:dyDescent="0.25">
      <c r="A328" s="104">
        <v>43059</v>
      </c>
      <c r="B328" s="105" t="s">
        <v>2012</v>
      </c>
      <c r="C328" s="106">
        <v>9100</v>
      </c>
      <c r="D328" s="106" t="s">
        <v>122</v>
      </c>
      <c r="E328" s="106" t="s">
        <v>122</v>
      </c>
      <c r="F328" s="106" t="s">
        <v>122</v>
      </c>
      <c r="G328" s="106" t="s">
        <v>122</v>
      </c>
      <c r="H328" s="107" t="s">
        <v>122</v>
      </c>
    </row>
    <row r="329" spans="1:8" s="103" customFormat="1" ht="27" customHeight="1" x14ac:dyDescent="0.25">
      <c r="A329" s="104">
        <v>43060</v>
      </c>
      <c r="B329" s="105" t="s">
        <v>2012</v>
      </c>
      <c r="C329" s="106">
        <v>9100</v>
      </c>
      <c r="D329" s="106" t="s">
        <v>122</v>
      </c>
      <c r="E329" s="106" t="s">
        <v>122</v>
      </c>
      <c r="F329" s="106" t="s">
        <v>122</v>
      </c>
      <c r="G329" s="106" t="s">
        <v>122</v>
      </c>
      <c r="H329" s="107" t="s">
        <v>122</v>
      </c>
    </row>
    <row r="330" spans="1:8" s="103" customFormat="1" ht="27" customHeight="1" x14ac:dyDescent="0.25">
      <c r="A330" s="104">
        <v>43061</v>
      </c>
      <c r="B330" s="105" t="s">
        <v>2012</v>
      </c>
      <c r="C330" s="106">
        <v>9100</v>
      </c>
      <c r="D330" s="106" t="s">
        <v>122</v>
      </c>
      <c r="E330" s="106" t="s">
        <v>122</v>
      </c>
      <c r="F330" s="106" t="s">
        <v>122</v>
      </c>
      <c r="G330" s="106" t="s">
        <v>122</v>
      </c>
      <c r="H330" s="107" t="s">
        <v>122</v>
      </c>
    </row>
    <row r="331" spans="1:8" s="103" customFormat="1" ht="27" customHeight="1" x14ac:dyDescent="0.25">
      <c r="A331" s="104">
        <v>43062</v>
      </c>
      <c r="B331" s="105" t="s">
        <v>2012</v>
      </c>
      <c r="C331" s="106">
        <v>9100</v>
      </c>
      <c r="D331" s="106" t="s">
        <v>122</v>
      </c>
      <c r="E331" s="106" t="s">
        <v>122</v>
      </c>
      <c r="F331" s="106" t="s">
        <v>122</v>
      </c>
      <c r="G331" s="106" t="s">
        <v>122</v>
      </c>
      <c r="H331" s="107" t="s">
        <v>122</v>
      </c>
    </row>
    <row r="332" spans="1:8" s="103" customFormat="1" ht="27" customHeight="1" x14ac:dyDescent="0.25">
      <c r="A332" s="104">
        <v>43063</v>
      </c>
      <c r="B332" s="105" t="s">
        <v>2013</v>
      </c>
      <c r="C332" s="106">
        <v>9050</v>
      </c>
      <c r="D332" s="106" t="s">
        <v>122</v>
      </c>
      <c r="E332" s="106" t="s">
        <v>122</v>
      </c>
      <c r="F332" s="106" t="s">
        <v>122</v>
      </c>
      <c r="G332" s="106" t="s">
        <v>122</v>
      </c>
      <c r="H332" s="107" t="s">
        <v>122</v>
      </c>
    </row>
    <row r="333" spans="1:8" s="103" customFormat="1" ht="27" customHeight="1" x14ac:dyDescent="0.25">
      <c r="A333" s="104">
        <v>43064</v>
      </c>
      <c r="B333" s="105" t="s">
        <v>2014</v>
      </c>
      <c r="C333" s="106">
        <v>9200</v>
      </c>
      <c r="D333" s="106" t="s">
        <v>122</v>
      </c>
      <c r="E333" s="106" t="s">
        <v>122</v>
      </c>
      <c r="F333" s="106" t="s">
        <v>122</v>
      </c>
      <c r="G333" s="106" t="s">
        <v>122</v>
      </c>
      <c r="H333" s="107" t="s">
        <v>122</v>
      </c>
    </row>
    <row r="334" spans="1:8" s="103" customFormat="1" ht="27" customHeight="1" x14ac:dyDescent="0.25">
      <c r="A334" s="104">
        <v>43065</v>
      </c>
      <c r="B334" s="105" t="s">
        <v>2015</v>
      </c>
      <c r="C334" s="106">
        <v>9300</v>
      </c>
      <c r="D334" s="106" t="s">
        <v>122</v>
      </c>
      <c r="E334" s="106" t="s">
        <v>122</v>
      </c>
      <c r="F334" s="106" t="s">
        <v>122</v>
      </c>
      <c r="G334" s="106" t="s">
        <v>122</v>
      </c>
      <c r="H334" s="107" t="s">
        <v>122</v>
      </c>
    </row>
    <row r="335" spans="1:8" s="103" customFormat="1" ht="27" customHeight="1" x14ac:dyDescent="0.25">
      <c r="A335" s="104">
        <v>43066</v>
      </c>
      <c r="B335" s="105" t="s">
        <v>2016</v>
      </c>
      <c r="C335" s="106">
        <v>9500</v>
      </c>
      <c r="D335" s="106" t="s">
        <v>122</v>
      </c>
      <c r="E335" s="106" t="s">
        <v>122</v>
      </c>
      <c r="F335" s="106" t="s">
        <v>122</v>
      </c>
      <c r="G335" s="106" t="s">
        <v>122</v>
      </c>
      <c r="H335" s="107" t="s">
        <v>122</v>
      </c>
    </row>
    <row r="336" spans="1:8" s="103" customFormat="1" ht="27" customHeight="1" x14ac:dyDescent="0.25">
      <c r="A336" s="104">
        <v>43067</v>
      </c>
      <c r="B336" s="105" t="s">
        <v>2017</v>
      </c>
      <c r="C336" s="106">
        <v>9600</v>
      </c>
      <c r="D336" s="106" t="s">
        <v>122</v>
      </c>
      <c r="E336" s="106" t="s">
        <v>122</v>
      </c>
      <c r="F336" s="106" t="s">
        <v>122</v>
      </c>
      <c r="G336" s="106" t="s">
        <v>122</v>
      </c>
      <c r="H336" s="107" t="s">
        <v>122</v>
      </c>
    </row>
    <row r="337" spans="1:8" s="103" customFormat="1" ht="27" customHeight="1" x14ac:dyDescent="0.25">
      <c r="A337" s="104">
        <v>43068</v>
      </c>
      <c r="B337" s="105" t="s">
        <v>1784</v>
      </c>
      <c r="C337" s="106">
        <v>10200</v>
      </c>
      <c r="D337" s="106" t="s">
        <v>122</v>
      </c>
      <c r="E337" s="106" t="s">
        <v>122</v>
      </c>
      <c r="F337" s="106" t="s">
        <v>122</v>
      </c>
      <c r="G337" s="106" t="s">
        <v>122</v>
      </c>
      <c r="H337" s="107" t="s">
        <v>122</v>
      </c>
    </row>
    <row r="338" spans="1:8" s="103" customFormat="1" ht="27" customHeight="1" x14ac:dyDescent="0.25">
      <c r="A338" s="104">
        <v>43069</v>
      </c>
      <c r="B338" s="105" t="s">
        <v>1795</v>
      </c>
      <c r="C338" s="106">
        <v>10800</v>
      </c>
      <c r="D338" s="106" t="s">
        <v>122</v>
      </c>
      <c r="E338" s="106" t="s">
        <v>122</v>
      </c>
      <c r="F338" s="106" t="s">
        <v>122</v>
      </c>
      <c r="G338" s="106" t="s">
        <v>122</v>
      </c>
      <c r="H338" s="107" t="s">
        <v>122</v>
      </c>
    </row>
    <row r="339" spans="1:8" s="103" customFormat="1" ht="27" customHeight="1" x14ac:dyDescent="0.25">
      <c r="A339" s="104">
        <v>43070</v>
      </c>
      <c r="B339" s="105" t="s">
        <v>1769</v>
      </c>
      <c r="C339" s="106">
        <v>11200</v>
      </c>
      <c r="D339" s="106" t="s">
        <v>122</v>
      </c>
      <c r="E339" s="106" t="s">
        <v>122</v>
      </c>
      <c r="F339" s="106" t="s">
        <v>122</v>
      </c>
      <c r="G339" s="106" t="s">
        <v>122</v>
      </c>
      <c r="H339" s="107" t="s">
        <v>122</v>
      </c>
    </row>
    <row r="340" spans="1:8" s="103" customFormat="1" ht="27" customHeight="1" x14ac:dyDescent="0.25">
      <c r="A340" s="104">
        <v>43071</v>
      </c>
      <c r="B340" s="105" t="s">
        <v>2018</v>
      </c>
      <c r="C340" s="106">
        <v>11300</v>
      </c>
      <c r="D340" s="106" t="s">
        <v>122</v>
      </c>
      <c r="E340" s="106" t="s">
        <v>122</v>
      </c>
      <c r="F340" s="106" t="s">
        <v>122</v>
      </c>
      <c r="G340" s="106" t="s">
        <v>122</v>
      </c>
      <c r="H340" s="107" t="s">
        <v>122</v>
      </c>
    </row>
    <row r="341" spans="1:8" s="103" customFormat="1" ht="27" customHeight="1" x14ac:dyDescent="0.25">
      <c r="A341" s="104">
        <v>43072</v>
      </c>
      <c r="B341" s="105" t="s">
        <v>1771</v>
      </c>
      <c r="C341" s="106">
        <v>11400</v>
      </c>
      <c r="D341" s="106" t="s">
        <v>122</v>
      </c>
      <c r="E341" s="106" t="s">
        <v>122</v>
      </c>
      <c r="F341" s="106" t="s">
        <v>122</v>
      </c>
      <c r="G341" s="106" t="s">
        <v>122</v>
      </c>
      <c r="H341" s="107" t="s">
        <v>122</v>
      </c>
    </row>
    <row r="342" spans="1:8" s="103" customFormat="1" ht="27" customHeight="1" x14ac:dyDescent="0.25">
      <c r="A342" s="104">
        <v>43073</v>
      </c>
      <c r="B342" s="105" t="s">
        <v>1796</v>
      </c>
      <c r="C342" s="106">
        <v>11500</v>
      </c>
      <c r="D342" s="106" t="s">
        <v>122</v>
      </c>
      <c r="E342" s="106" t="s">
        <v>122</v>
      </c>
      <c r="F342" s="106" t="s">
        <v>122</v>
      </c>
      <c r="G342" s="106" t="s">
        <v>122</v>
      </c>
      <c r="H342" s="107" t="s">
        <v>122</v>
      </c>
    </row>
    <row r="343" spans="1:8" s="103" customFormat="1" ht="27" customHeight="1" x14ac:dyDescent="0.25">
      <c r="A343" s="104">
        <v>43074</v>
      </c>
      <c r="B343" s="105" t="s">
        <v>1796</v>
      </c>
      <c r="C343" s="106">
        <v>11500</v>
      </c>
      <c r="D343" s="106" t="s">
        <v>122</v>
      </c>
      <c r="E343" s="106" t="s">
        <v>122</v>
      </c>
      <c r="F343" s="106" t="s">
        <v>122</v>
      </c>
      <c r="G343" s="106" t="s">
        <v>122</v>
      </c>
      <c r="H343" s="107" t="s">
        <v>122</v>
      </c>
    </row>
    <row r="344" spans="1:8" s="103" customFormat="1" ht="27" customHeight="1" x14ac:dyDescent="0.25">
      <c r="A344" s="104">
        <v>43075</v>
      </c>
      <c r="B344" s="105" t="s">
        <v>1796</v>
      </c>
      <c r="C344" s="106">
        <v>11500</v>
      </c>
      <c r="D344" s="106" t="s">
        <v>122</v>
      </c>
      <c r="E344" s="106" t="s">
        <v>122</v>
      </c>
      <c r="F344" s="106" t="s">
        <v>122</v>
      </c>
      <c r="G344" s="106" t="s">
        <v>122</v>
      </c>
      <c r="H344" s="107" t="s">
        <v>122</v>
      </c>
    </row>
    <row r="345" spans="1:8" s="103" customFormat="1" ht="27" customHeight="1" x14ac:dyDescent="0.25">
      <c r="A345" s="104">
        <v>43076</v>
      </c>
      <c r="B345" s="105" t="s">
        <v>1796</v>
      </c>
      <c r="C345" s="106">
        <v>11500</v>
      </c>
      <c r="D345" s="106" t="s">
        <v>122</v>
      </c>
      <c r="E345" s="106" t="s">
        <v>122</v>
      </c>
      <c r="F345" s="106" t="s">
        <v>122</v>
      </c>
      <c r="G345" s="106" t="s">
        <v>122</v>
      </c>
      <c r="H345" s="107" t="s">
        <v>122</v>
      </c>
    </row>
    <row r="346" spans="1:8" s="103" customFormat="1" ht="27" customHeight="1" x14ac:dyDescent="0.25">
      <c r="A346" s="104">
        <v>43077</v>
      </c>
      <c r="B346" s="105" t="s">
        <v>1796</v>
      </c>
      <c r="C346" s="106">
        <v>11500</v>
      </c>
      <c r="D346" s="106" t="s">
        <v>122</v>
      </c>
      <c r="E346" s="106" t="s">
        <v>122</v>
      </c>
      <c r="F346" s="106" t="s">
        <v>122</v>
      </c>
      <c r="G346" s="106" t="s">
        <v>122</v>
      </c>
      <c r="H346" s="107" t="s">
        <v>122</v>
      </c>
    </row>
    <row r="347" spans="1:8" s="103" customFormat="1" ht="27" customHeight="1" x14ac:dyDescent="0.25">
      <c r="A347" s="104">
        <v>43078</v>
      </c>
      <c r="B347" s="105" t="s">
        <v>1796</v>
      </c>
      <c r="C347" s="106">
        <v>11500</v>
      </c>
      <c r="D347" s="106" t="s">
        <v>122</v>
      </c>
      <c r="E347" s="106" t="s">
        <v>122</v>
      </c>
      <c r="F347" s="106" t="s">
        <v>122</v>
      </c>
      <c r="G347" s="106" t="s">
        <v>122</v>
      </c>
      <c r="H347" s="107" t="s">
        <v>122</v>
      </c>
    </row>
    <row r="348" spans="1:8" s="103" customFormat="1" ht="27" customHeight="1" x14ac:dyDescent="0.25">
      <c r="A348" s="104">
        <v>43079</v>
      </c>
      <c r="B348" s="105" t="s">
        <v>1796</v>
      </c>
      <c r="C348" s="106">
        <v>11500</v>
      </c>
      <c r="D348" s="106" t="s">
        <v>122</v>
      </c>
      <c r="E348" s="106" t="s">
        <v>122</v>
      </c>
      <c r="F348" s="106" t="s">
        <v>122</v>
      </c>
      <c r="G348" s="106" t="s">
        <v>122</v>
      </c>
      <c r="H348" s="107" t="s">
        <v>122</v>
      </c>
    </row>
    <row r="349" spans="1:8" s="103" customFormat="1" ht="27" customHeight="1" x14ac:dyDescent="0.25">
      <c r="A349" s="104">
        <v>43080</v>
      </c>
      <c r="B349" s="105" t="s">
        <v>1796</v>
      </c>
      <c r="C349" s="106">
        <v>11500</v>
      </c>
      <c r="D349" s="106" t="s">
        <v>122</v>
      </c>
      <c r="E349" s="106" t="s">
        <v>122</v>
      </c>
      <c r="F349" s="106" t="s">
        <v>122</v>
      </c>
      <c r="G349" s="106" t="s">
        <v>122</v>
      </c>
      <c r="H349" s="107" t="s">
        <v>122</v>
      </c>
    </row>
    <row r="350" spans="1:8" s="103" customFormat="1" ht="27" customHeight="1" x14ac:dyDescent="0.25">
      <c r="A350" s="104">
        <v>43081</v>
      </c>
      <c r="B350" s="105" t="s">
        <v>1796</v>
      </c>
      <c r="C350" s="106">
        <v>11500</v>
      </c>
      <c r="D350" s="106" t="s">
        <v>122</v>
      </c>
      <c r="E350" s="106" t="s">
        <v>122</v>
      </c>
      <c r="F350" s="106" t="s">
        <v>122</v>
      </c>
      <c r="G350" s="106" t="s">
        <v>122</v>
      </c>
      <c r="H350" s="107" t="s">
        <v>122</v>
      </c>
    </row>
    <row r="351" spans="1:8" s="103" customFormat="1" ht="27" customHeight="1" x14ac:dyDescent="0.25">
      <c r="A351" s="104">
        <v>43082</v>
      </c>
      <c r="B351" s="105" t="s">
        <v>1796</v>
      </c>
      <c r="C351" s="106">
        <v>11500</v>
      </c>
      <c r="D351" s="106" t="s">
        <v>122</v>
      </c>
      <c r="E351" s="106" t="s">
        <v>122</v>
      </c>
      <c r="F351" s="106" t="s">
        <v>122</v>
      </c>
      <c r="G351" s="106" t="s">
        <v>122</v>
      </c>
      <c r="H351" s="107" t="s">
        <v>122</v>
      </c>
    </row>
    <row r="352" spans="1:8" s="103" customFormat="1" ht="27" customHeight="1" x14ac:dyDescent="0.25">
      <c r="A352" s="104">
        <v>43083</v>
      </c>
      <c r="B352" s="105" t="s">
        <v>1796</v>
      </c>
      <c r="C352" s="106">
        <v>11500</v>
      </c>
      <c r="D352" s="106" t="s">
        <v>122</v>
      </c>
      <c r="E352" s="106" t="s">
        <v>122</v>
      </c>
      <c r="F352" s="106" t="s">
        <v>122</v>
      </c>
      <c r="G352" s="106" t="s">
        <v>122</v>
      </c>
      <c r="H352" s="107" t="s">
        <v>122</v>
      </c>
    </row>
    <row r="353" spans="1:8" s="103" customFormat="1" ht="27" customHeight="1" x14ac:dyDescent="0.25">
      <c r="A353" s="104">
        <v>43084</v>
      </c>
      <c r="B353" s="105" t="s">
        <v>1796</v>
      </c>
      <c r="C353" s="106">
        <v>11500</v>
      </c>
      <c r="D353" s="106" t="s">
        <v>122</v>
      </c>
      <c r="E353" s="106" t="s">
        <v>122</v>
      </c>
      <c r="F353" s="106" t="s">
        <v>122</v>
      </c>
      <c r="G353" s="106" t="s">
        <v>122</v>
      </c>
      <c r="H353" s="107" t="s">
        <v>122</v>
      </c>
    </row>
    <row r="354" spans="1:8" s="103" customFormat="1" ht="27" customHeight="1" x14ac:dyDescent="0.25">
      <c r="A354" s="104">
        <v>43085</v>
      </c>
      <c r="B354" s="105" t="s">
        <v>1796</v>
      </c>
      <c r="C354" s="106">
        <v>11500</v>
      </c>
      <c r="D354" s="106" t="s">
        <v>122</v>
      </c>
      <c r="E354" s="106" t="s">
        <v>122</v>
      </c>
      <c r="F354" s="106" t="s">
        <v>122</v>
      </c>
      <c r="G354" s="106" t="s">
        <v>122</v>
      </c>
      <c r="H354" s="107" t="s">
        <v>122</v>
      </c>
    </row>
    <row r="355" spans="1:8" s="103" customFormat="1" ht="27" customHeight="1" x14ac:dyDescent="0.25">
      <c r="A355" s="104">
        <v>43086</v>
      </c>
      <c r="B355" s="105" t="s">
        <v>1796</v>
      </c>
      <c r="C355" s="106">
        <v>11500</v>
      </c>
      <c r="D355" s="106" t="s">
        <v>122</v>
      </c>
      <c r="E355" s="106" t="s">
        <v>122</v>
      </c>
      <c r="F355" s="106" t="s">
        <v>122</v>
      </c>
      <c r="G355" s="106" t="s">
        <v>122</v>
      </c>
      <c r="H355" s="107" t="s">
        <v>122</v>
      </c>
    </row>
    <row r="356" spans="1:8" s="103" customFormat="1" ht="27" customHeight="1" x14ac:dyDescent="0.25">
      <c r="A356" s="104">
        <v>43087</v>
      </c>
      <c r="B356" s="105" t="s">
        <v>1796</v>
      </c>
      <c r="C356" s="106">
        <v>11500</v>
      </c>
      <c r="D356" s="106" t="s">
        <v>122</v>
      </c>
      <c r="E356" s="106" t="s">
        <v>122</v>
      </c>
      <c r="F356" s="106" t="s">
        <v>122</v>
      </c>
      <c r="G356" s="106" t="s">
        <v>122</v>
      </c>
      <c r="H356" s="107" t="s">
        <v>122</v>
      </c>
    </row>
    <row r="357" spans="1:8" s="103" customFormat="1" ht="27" customHeight="1" x14ac:dyDescent="0.25">
      <c r="A357" s="104">
        <v>43088</v>
      </c>
      <c r="B357" s="105" t="s">
        <v>1796</v>
      </c>
      <c r="C357" s="106">
        <v>11500</v>
      </c>
      <c r="D357" s="106" t="s">
        <v>122</v>
      </c>
      <c r="E357" s="106" t="s">
        <v>122</v>
      </c>
      <c r="F357" s="106" t="s">
        <v>122</v>
      </c>
      <c r="G357" s="106" t="s">
        <v>122</v>
      </c>
      <c r="H357" s="107" t="s">
        <v>122</v>
      </c>
    </row>
    <row r="358" spans="1:8" s="103" customFormat="1" ht="27" customHeight="1" x14ac:dyDescent="0.25">
      <c r="A358" s="104">
        <v>43089</v>
      </c>
      <c r="B358" s="105" t="s">
        <v>1797</v>
      </c>
      <c r="C358" s="106">
        <v>11600</v>
      </c>
      <c r="D358" s="106" t="s">
        <v>122</v>
      </c>
      <c r="E358" s="106" t="s">
        <v>122</v>
      </c>
      <c r="F358" s="106" t="s">
        <v>122</v>
      </c>
      <c r="G358" s="106" t="s">
        <v>122</v>
      </c>
      <c r="H358" s="107" t="s">
        <v>122</v>
      </c>
    </row>
    <row r="359" spans="1:8" s="103" customFormat="1" ht="27" customHeight="1" x14ac:dyDescent="0.25">
      <c r="A359" s="104">
        <v>43090</v>
      </c>
      <c r="B359" s="105" t="s">
        <v>1797</v>
      </c>
      <c r="C359" s="106">
        <v>11600</v>
      </c>
      <c r="D359" s="106" t="s">
        <v>122</v>
      </c>
      <c r="E359" s="106" t="s">
        <v>122</v>
      </c>
      <c r="F359" s="106" t="s">
        <v>122</v>
      </c>
      <c r="G359" s="106" t="s">
        <v>122</v>
      </c>
      <c r="H359" s="107" t="s">
        <v>122</v>
      </c>
    </row>
    <row r="360" spans="1:8" s="103" customFormat="1" ht="27" customHeight="1" x14ac:dyDescent="0.25">
      <c r="A360" s="104">
        <v>43091</v>
      </c>
      <c r="B360" s="105" t="s">
        <v>1797</v>
      </c>
      <c r="C360" s="106">
        <v>11600</v>
      </c>
      <c r="D360" s="106" t="s">
        <v>122</v>
      </c>
      <c r="E360" s="106" t="s">
        <v>122</v>
      </c>
      <c r="F360" s="106" t="s">
        <v>122</v>
      </c>
      <c r="G360" s="106" t="s">
        <v>122</v>
      </c>
      <c r="H360" s="107" t="s">
        <v>122</v>
      </c>
    </row>
    <row r="361" spans="1:8" s="103" customFormat="1" ht="27" customHeight="1" x14ac:dyDescent="0.25">
      <c r="A361" s="104">
        <v>43092</v>
      </c>
      <c r="B361" s="105" t="s">
        <v>1797</v>
      </c>
      <c r="C361" s="106">
        <v>11600</v>
      </c>
      <c r="D361" s="106" t="s">
        <v>122</v>
      </c>
      <c r="E361" s="106" t="s">
        <v>122</v>
      </c>
      <c r="F361" s="106" t="s">
        <v>122</v>
      </c>
      <c r="G361" s="106" t="s">
        <v>122</v>
      </c>
      <c r="H361" s="107" t="s">
        <v>122</v>
      </c>
    </row>
    <row r="362" spans="1:8" s="103" customFormat="1" ht="27" customHeight="1" x14ac:dyDescent="0.25">
      <c r="A362" s="104">
        <v>43093</v>
      </c>
      <c r="B362" s="105" t="s">
        <v>1797</v>
      </c>
      <c r="C362" s="106">
        <v>11600</v>
      </c>
      <c r="D362" s="106" t="s">
        <v>122</v>
      </c>
      <c r="E362" s="106" t="s">
        <v>122</v>
      </c>
      <c r="F362" s="106" t="s">
        <v>122</v>
      </c>
      <c r="G362" s="106" t="s">
        <v>122</v>
      </c>
      <c r="H362" s="107" t="s">
        <v>122</v>
      </c>
    </row>
    <row r="363" spans="1:8" s="103" customFormat="1" ht="27" customHeight="1" x14ac:dyDescent="0.25">
      <c r="A363" s="104">
        <v>43094</v>
      </c>
      <c r="B363" s="105" t="s">
        <v>1797</v>
      </c>
      <c r="C363" s="106">
        <v>11600</v>
      </c>
      <c r="D363" s="106" t="s">
        <v>122</v>
      </c>
      <c r="E363" s="106" t="s">
        <v>122</v>
      </c>
      <c r="F363" s="106" t="s">
        <v>122</v>
      </c>
      <c r="G363" s="106" t="s">
        <v>122</v>
      </c>
      <c r="H363" s="107" t="s">
        <v>122</v>
      </c>
    </row>
    <row r="364" spans="1:8" s="103" customFormat="1" ht="27" customHeight="1" x14ac:dyDescent="0.25">
      <c r="A364" s="104">
        <v>43095</v>
      </c>
      <c r="B364" s="105" t="s">
        <v>1797</v>
      </c>
      <c r="C364" s="106">
        <v>11600</v>
      </c>
      <c r="D364" s="106" t="s">
        <v>122</v>
      </c>
      <c r="E364" s="106" t="s">
        <v>122</v>
      </c>
      <c r="F364" s="106" t="s">
        <v>122</v>
      </c>
      <c r="G364" s="106" t="s">
        <v>122</v>
      </c>
      <c r="H364" s="107" t="s">
        <v>122</v>
      </c>
    </row>
    <row r="365" spans="1:8" s="103" customFormat="1" ht="27" customHeight="1" x14ac:dyDescent="0.25">
      <c r="A365" s="104">
        <v>43096</v>
      </c>
      <c r="B365" s="105" t="s">
        <v>1797</v>
      </c>
      <c r="C365" s="106">
        <v>11600</v>
      </c>
      <c r="D365" s="106" t="s">
        <v>122</v>
      </c>
      <c r="E365" s="106" t="s">
        <v>122</v>
      </c>
      <c r="F365" s="106" t="s">
        <v>122</v>
      </c>
      <c r="G365" s="106" t="s">
        <v>122</v>
      </c>
      <c r="H365" s="107" t="s">
        <v>122</v>
      </c>
    </row>
    <row r="366" spans="1:8" s="103" customFormat="1" ht="27" customHeight="1" x14ac:dyDescent="0.25">
      <c r="A366" s="104">
        <v>43097</v>
      </c>
      <c r="B366" s="105" t="s">
        <v>1797</v>
      </c>
      <c r="C366" s="106">
        <v>11600</v>
      </c>
      <c r="D366" s="106" t="s">
        <v>122</v>
      </c>
      <c r="E366" s="106" t="s">
        <v>122</v>
      </c>
      <c r="F366" s="106" t="s">
        <v>122</v>
      </c>
      <c r="G366" s="106" t="s">
        <v>122</v>
      </c>
      <c r="H366" s="107" t="s">
        <v>122</v>
      </c>
    </row>
    <row r="367" spans="1:8" s="103" customFormat="1" ht="27" customHeight="1" x14ac:dyDescent="0.25">
      <c r="A367" s="104">
        <v>43098</v>
      </c>
      <c r="B367" s="105" t="s">
        <v>1797</v>
      </c>
      <c r="C367" s="106">
        <v>11600</v>
      </c>
      <c r="D367" s="106" t="s">
        <v>122</v>
      </c>
      <c r="E367" s="106" t="s">
        <v>122</v>
      </c>
      <c r="F367" s="106" t="s">
        <v>122</v>
      </c>
      <c r="G367" s="106" t="s">
        <v>122</v>
      </c>
      <c r="H367" s="107" t="s">
        <v>122</v>
      </c>
    </row>
    <row r="368" spans="1:8" s="103" customFormat="1" ht="27" customHeight="1" x14ac:dyDescent="0.25">
      <c r="A368" s="104">
        <v>43099</v>
      </c>
      <c r="B368" s="105" t="s">
        <v>1797</v>
      </c>
      <c r="C368" s="106">
        <v>11600</v>
      </c>
      <c r="D368" s="106" t="s">
        <v>122</v>
      </c>
      <c r="E368" s="106" t="s">
        <v>122</v>
      </c>
      <c r="F368" s="106" t="s">
        <v>122</v>
      </c>
      <c r="G368" s="106" t="s">
        <v>122</v>
      </c>
      <c r="H368" s="107" t="s">
        <v>122</v>
      </c>
    </row>
    <row r="369" spans="1:8" s="103" customFormat="1" ht="27" customHeight="1" thickBot="1" x14ac:dyDescent="0.3">
      <c r="A369" s="109">
        <v>43100</v>
      </c>
      <c r="B369" s="110" t="s">
        <v>1797</v>
      </c>
      <c r="C369" s="256">
        <v>11600</v>
      </c>
      <c r="D369" s="110" t="s">
        <v>122</v>
      </c>
      <c r="E369" s="110" t="s">
        <v>122</v>
      </c>
      <c r="F369" s="110" t="s">
        <v>122</v>
      </c>
      <c r="G369" s="110" t="s">
        <v>122</v>
      </c>
      <c r="H369" s="111" t="s">
        <v>122</v>
      </c>
    </row>
  </sheetData>
  <mergeCells count="6">
    <mergeCell ref="B3:B4"/>
    <mergeCell ref="A3:A4"/>
    <mergeCell ref="C3:C4"/>
    <mergeCell ref="D3:G3"/>
    <mergeCell ref="A1:H2"/>
    <mergeCell ref="H3:H4"/>
  </mergeCells>
  <printOptions horizontalCentered="1"/>
  <pageMargins left="1.2"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68"/>
  <sheetViews>
    <sheetView workbookViewId="0">
      <selection activeCell="D7" sqref="D7"/>
    </sheetView>
  </sheetViews>
  <sheetFormatPr defaultRowHeight="15" x14ac:dyDescent="0.25"/>
  <cols>
    <col min="1" max="1" width="11.42578125" customWidth="1"/>
    <col min="2" max="2" width="12.85546875" customWidth="1"/>
    <col min="3" max="3" width="10.7109375" customWidth="1"/>
    <col min="4" max="4" width="7.42578125" customWidth="1"/>
    <col min="6" max="6" width="8.140625" customWidth="1"/>
    <col min="8" max="8" width="10.42578125" customWidth="1"/>
  </cols>
  <sheetData>
    <row r="1" spans="1:12" ht="38.25" customHeight="1" thickBot="1" x14ac:dyDescent="0.45">
      <c r="A1" s="498" t="s">
        <v>2706</v>
      </c>
      <c r="B1" s="498"/>
      <c r="C1" s="498"/>
      <c r="D1" s="498"/>
      <c r="E1" s="498"/>
      <c r="F1" s="498"/>
      <c r="G1" s="498"/>
      <c r="H1" s="498"/>
      <c r="I1" s="81"/>
      <c r="J1" s="81"/>
    </row>
    <row r="2" spans="1:12" ht="19.5" customHeight="1" x14ac:dyDescent="0.25">
      <c r="A2" s="485" t="s">
        <v>1761</v>
      </c>
      <c r="B2" s="502" t="s">
        <v>2617</v>
      </c>
      <c r="C2" s="476" t="s">
        <v>2618</v>
      </c>
      <c r="D2" s="504" t="s">
        <v>2294</v>
      </c>
      <c r="E2" s="505"/>
      <c r="F2" s="505"/>
      <c r="G2" s="505"/>
      <c r="H2" s="499" t="s">
        <v>2670</v>
      </c>
      <c r="I2" s="82"/>
      <c r="J2" s="82"/>
      <c r="K2" s="82"/>
      <c r="L2" s="82"/>
    </row>
    <row r="3" spans="1:12" ht="39" customHeight="1" thickBot="1" x14ac:dyDescent="0.3">
      <c r="A3" s="501"/>
      <c r="B3" s="503"/>
      <c r="C3" s="506"/>
      <c r="D3" s="83" t="s">
        <v>1774</v>
      </c>
      <c r="E3" s="84" t="s">
        <v>735</v>
      </c>
      <c r="F3" s="85" t="s">
        <v>1775</v>
      </c>
      <c r="G3" s="84" t="s">
        <v>735</v>
      </c>
      <c r="H3" s="500"/>
      <c r="I3" s="82"/>
      <c r="J3" s="82"/>
      <c r="K3" s="82"/>
      <c r="L3" s="82"/>
    </row>
    <row r="4" spans="1:12" ht="27" customHeight="1" x14ac:dyDescent="0.25">
      <c r="A4" s="258">
        <v>43101</v>
      </c>
      <c r="B4" s="259" t="s">
        <v>1797</v>
      </c>
      <c r="C4" s="260">
        <v>11600</v>
      </c>
      <c r="D4" s="234" t="s">
        <v>122</v>
      </c>
      <c r="E4" s="234" t="s">
        <v>122</v>
      </c>
      <c r="F4" s="234" t="s">
        <v>122</v>
      </c>
      <c r="G4" s="234" t="s">
        <v>122</v>
      </c>
      <c r="H4" s="261" t="s">
        <v>122</v>
      </c>
    </row>
    <row r="5" spans="1:12" ht="27" customHeight="1" x14ac:dyDescent="0.25">
      <c r="A5" s="262">
        <v>43102</v>
      </c>
      <c r="B5" s="263" t="s">
        <v>1797</v>
      </c>
      <c r="C5" s="264">
        <v>11600</v>
      </c>
      <c r="D5" s="238" t="s">
        <v>122</v>
      </c>
      <c r="E5" s="238" t="s">
        <v>122</v>
      </c>
      <c r="F5" s="238" t="s">
        <v>122</v>
      </c>
      <c r="G5" s="238" t="s">
        <v>122</v>
      </c>
      <c r="H5" s="92" t="s">
        <v>122</v>
      </c>
    </row>
    <row r="6" spans="1:12" ht="27" customHeight="1" x14ac:dyDescent="0.25">
      <c r="A6" s="262">
        <v>43103</v>
      </c>
      <c r="B6" s="263" t="s">
        <v>1797</v>
      </c>
      <c r="C6" s="264">
        <v>11600</v>
      </c>
      <c r="D6" s="238" t="s">
        <v>122</v>
      </c>
      <c r="E6" s="238" t="s">
        <v>122</v>
      </c>
      <c r="F6" s="238" t="s">
        <v>122</v>
      </c>
      <c r="G6" s="238" t="s">
        <v>122</v>
      </c>
      <c r="H6" s="92" t="s">
        <v>122</v>
      </c>
    </row>
    <row r="7" spans="1:12" ht="27" customHeight="1" x14ac:dyDescent="0.25">
      <c r="A7" s="262">
        <v>43104</v>
      </c>
      <c r="B7" s="263" t="s">
        <v>1797</v>
      </c>
      <c r="C7" s="264">
        <v>11600</v>
      </c>
      <c r="D7" s="238" t="s">
        <v>122</v>
      </c>
      <c r="E7" s="238" t="s">
        <v>122</v>
      </c>
      <c r="F7" s="238" t="s">
        <v>122</v>
      </c>
      <c r="G7" s="238" t="s">
        <v>122</v>
      </c>
      <c r="H7" s="92" t="s">
        <v>122</v>
      </c>
    </row>
    <row r="8" spans="1:12" ht="27" customHeight="1" x14ac:dyDescent="0.25">
      <c r="A8" s="262">
        <v>43105</v>
      </c>
      <c r="B8" s="263" t="s">
        <v>1797</v>
      </c>
      <c r="C8" s="264">
        <v>11600</v>
      </c>
      <c r="D8" s="238" t="s">
        <v>122</v>
      </c>
      <c r="E8" s="238" t="s">
        <v>122</v>
      </c>
      <c r="F8" s="238" t="s">
        <v>122</v>
      </c>
      <c r="G8" s="238" t="s">
        <v>122</v>
      </c>
      <c r="H8" s="92" t="s">
        <v>122</v>
      </c>
    </row>
    <row r="9" spans="1:12" ht="27" customHeight="1" x14ac:dyDescent="0.25">
      <c r="A9" s="262">
        <v>43106</v>
      </c>
      <c r="B9" s="263" t="s">
        <v>1797</v>
      </c>
      <c r="C9" s="264">
        <v>11600</v>
      </c>
      <c r="D9" s="238" t="s">
        <v>122</v>
      </c>
      <c r="E9" s="238" t="s">
        <v>122</v>
      </c>
      <c r="F9" s="238" t="s">
        <v>122</v>
      </c>
      <c r="G9" s="238" t="s">
        <v>122</v>
      </c>
      <c r="H9" s="92" t="s">
        <v>122</v>
      </c>
    </row>
    <row r="10" spans="1:12" ht="27" customHeight="1" x14ac:dyDescent="0.25">
      <c r="A10" s="262">
        <v>43107</v>
      </c>
      <c r="B10" s="263" t="s">
        <v>1797</v>
      </c>
      <c r="C10" s="264">
        <v>11600</v>
      </c>
      <c r="D10" s="238" t="s">
        <v>122</v>
      </c>
      <c r="E10" s="238" t="s">
        <v>122</v>
      </c>
      <c r="F10" s="238" t="s">
        <v>122</v>
      </c>
      <c r="G10" s="238" t="s">
        <v>122</v>
      </c>
      <c r="H10" s="92" t="s">
        <v>122</v>
      </c>
    </row>
    <row r="11" spans="1:12" ht="27" customHeight="1" x14ac:dyDescent="0.25">
      <c r="A11" s="262">
        <v>43108</v>
      </c>
      <c r="B11" s="263" t="s">
        <v>1797</v>
      </c>
      <c r="C11" s="264">
        <v>11600</v>
      </c>
      <c r="D11" s="238" t="s">
        <v>122</v>
      </c>
      <c r="E11" s="238" t="s">
        <v>122</v>
      </c>
      <c r="F11" s="238" t="s">
        <v>122</v>
      </c>
      <c r="G11" s="238" t="s">
        <v>122</v>
      </c>
      <c r="H11" s="92" t="s">
        <v>122</v>
      </c>
    </row>
    <row r="12" spans="1:12" ht="27" customHeight="1" x14ac:dyDescent="0.25">
      <c r="A12" s="262">
        <v>43109</v>
      </c>
      <c r="B12" s="263" t="s">
        <v>1797</v>
      </c>
      <c r="C12" s="264">
        <v>11600</v>
      </c>
      <c r="D12" s="238" t="s">
        <v>122</v>
      </c>
      <c r="E12" s="238" t="s">
        <v>122</v>
      </c>
      <c r="F12" s="238" t="s">
        <v>122</v>
      </c>
      <c r="G12" s="238" t="s">
        <v>122</v>
      </c>
      <c r="H12" s="92" t="s">
        <v>122</v>
      </c>
    </row>
    <row r="13" spans="1:12" ht="27" customHeight="1" x14ac:dyDescent="0.25">
      <c r="A13" s="262">
        <v>43110</v>
      </c>
      <c r="B13" s="263" t="s">
        <v>1797</v>
      </c>
      <c r="C13" s="264">
        <v>11600</v>
      </c>
      <c r="D13" s="238" t="s">
        <v>122</v>
      </c>
      <c r="E13" s="238" t="s">
        <v>122</v>
      </c>
      <c r="F13" s="238" t="s">
        <v>122</v>
      </c>
      <c r="G13" s="238" t="s">
        <v>122</v>
      </c>
      <c r="H13" s="92" t="s">
        <v>122</v>
      </c>
    </row>
    <row r="14" spans="1:12" ht="27" customHeight="1" x14ac:dyDescent="0.25">
      <c r="A14" s="262">
        <v>43111</v>
      </c>
      <c r="B14" s="263" t="s">
        <v>1796</v>
      </c>
      <c r="C14" s="264">
        <v>11500</v>
      </c>
      <c r="D14" s="238" t="s">
        <v>122</v>
      </c>
      <c r="E14" s="238" t="s">
        <v>122</v>
      </c>
      <c r="F14" s="238" t="s">
        <v>122</v>
      </c>
      <c r="G14" s="238" t="s">
        <v>122</v>
      </c>
      <c r="H14" s="92" t="s">
        <v>122</v>
      </c>
    </row>
    <row r="15" spans="1:12" ht="27" customHeight="1" x14ac:dyDescent="0.25">
      <c r="A15" s="262">
        <v>43112</v>
      </c>
      <c r="B15" s="263" t="s">
        <v>1797</v>
      </c>
      <c r="C15" s="264">
        <v>11600</v>
      </c>
      <c r="D15" s="238" t="s">
        <v>122</v>
      </c>
      <c r="E15" s="238" t="s">
        <v>122</v>
      </c>
      <c r="F15" s="238" t="s">
        <v>122</v>
      </c>
      <c r="G15" s="238" t="s">
        <v>122</v>
      </c>
      <c r="H15" s="92" t="s">
        <v>122</v>
      </c>
    </row>
    <row r="16" spans="1:12" ht="27" customHeight="1" x14ac:dyDescent="0.25">
      <c r="A16" s="262">
        <v>43113</v>
      </c>
      <c r="B16" s="263" t="s">
        <v>1835</v>
      </c>
      <c r="C16" s="264">
        <v>12200</v>
      </c>
      <c r="D16" s="238" t="s">
        <v>122</v>
      </c>
      <c r="E16" s="238" t="s">
        <v>122</v>
      </c>
      <c r="F16" s="238" t="s">
        <v>122</v>
      </c>
      <c r="G16" s="238" t="s">
        <v>122</v>
      </c>
      <c r="H16" s="92" t="s">
        <v>122</v>
      </c>
    </row>
    <row r="17" spans="1:8" ht="27" customHeight="1" x14ac:dyDescent="0.25">
      <c r="A17" s="262">
        <v>43114</v>
      </c>
      <c r="B17" s="263" t="s">
        <v>1837</v>
      </c>
      <c r="C17" s="264">
        <v>12500</v>
      </c>
      <c r="D17" s="238" t="s">
        <v>122</v>
      </c>
      <c r="E17" s="238" t="s">
        <v>122</v>
      </c>
      <c r="F17" s="238" t="s">
        <v>122</v>
      </c>
      <c r="G17" s="238" t="s">
        <v>122</v>
      </c>
      <c r="H17" s="92" t="s">
        <v>122</v>
      </c>
    </row>
    <row r="18" spans="1:8" ht="27" customHeight="1" x14ac:dyDescent="0.25">
      <c r="A18" s="262">
        <v>43115</v>
      </c>
      <c r="B18" s="263" t="s">
        <v>1838</v>
      </c>
      <c r="C18" s="264">
        <v>12900</v>
      </c>
      <c r="D18" s="238" t="s">
        <v>122</v>
      </c>
      <c r="E18" s="238" t="s">
        <v>122</v>
      </c>
      <c r="F18" s="238" t="s">
        <v>122</v>
      </c>
      <c r="G18" s="238" t="s">
        <v>122</v>
      </c>
      <c r="H18" s="92" t="s">
        <v>122</v>
      </c>
    </row>
    <row r="19" spans="1:8" ht="27" customHeight="1" x14ac:dyDescent="0.25">
      <c r="A19" s="262">
        <v>43116</v>
      </c>
      <c r="B19" s="263" t="s">
        <v>1838</v>
      </c>
      <c r="C19" s="264">
        <v>12900</v>
      </c>
      <c r="D19" s="238" t="s">
        <v>122</v>
      </c>
      <c r="E19" s="238" t="s">
        <v>122</v>
      </c>
      <c r="F19" s="238" t="s">
        <v>122</v>
      </c>
      <c r="G19" s="238" t="s">
        <v>122</v>
      </c>
      <c r="H19" s="92" t="s">
        <v>122</v>
      </c>
    </row>
    <row r="20" spans="1:8" ht="27" customHeight="1" x14ac:dyDescent="0.25">
      <c r="A20" s="262">
        <v>43117</v>
      </c>
      <c r="B20" s="263" t="s">
        <v>2615</v>
      </c>
      <c r="C20" s="264">
        <v>12950</v>
      </c>
      <c r="D20" s="238" t="s">
        <v>122</v>
      </c>
      <c r="E20" s="238" t="s">
        <v>122</v>
      </c>
      <c r="F20" s="238" t="s">
        <v>122</v>
      </c>
      <c r="G20" s="238" t="s">
        <v>122</v>
      </c>
      <c r="H20" s="92" t="s">
        <v>122</v>
      </c>
    </row>
    <row r="21" spans="1:8" ht="27" customHeight="1" x14ac:dyDescent="0.25">
      <c r="A21" s="262">
        <v>43118</v>
      </c>
      <c r="B21" s="263" t="s">
        <v>2615</v>
      </c>
      <c r="C21" s="264">
        <v>12950</v>
      </c>
      <c r="D21" s="238" t="s">
        <v>122</v>
      </c>
      <c r="E21" s="238" t="s">
        <v>122</v>
      </c>
      <c r="F21" s="238" t="s">
        <v>122</v>
      </c>
      <c r="G21" s="238" t="s">
        <v>122</v>
      </c>
      <c r="H21" s="92" t="s">
        <v>122</v>
      </c>
    </row>
    <row r="22" spans="1:8" ht="27" customHeight="1" x14ac:dyDescent="0.25">
      <c r="A22" s="262">
        <v>43119</v>
      </c>
      <c r="B22" s="263" t="s">
        <v>2615</v>
      </c>
      <c r="C22" s="264">
        <v>12950</v>
      </c>
      <c r="D22" s="238" t="s">
        <v>122</v>
      </c>
      <c r="E22" s="238" t="s">
        <v>122</v>
      </c>
      <c r="F22" s="238" t="s">
        <v>122</v>
      </c>
      <c r="G22" s="238" t="s">
        <v>122</v>
      </c>
      <c r="H22" s="92" t="s">
        <v>122</v>
      </c>
    </row>
    <row r="23" spans="1:8" ht="27" customHeight="1" x14ac:dyDescent="0.25">
      <c r="A23" s="262">
        <v>43120</v>
      </c>
      <c r="B23" s="263" t="s">
        <v>2615</v>
      </c>
      <c r="C23" s="264">
        <v>12950</v>
      </c>
      <c r="D23" s="238" t="s">
        <v>122</v>
      </c>
      <c r="E23" s="238" t="s">
        <v>122</v>
      </c>
      <c r="F23" s="238" t="s">
        <v>122</v>
      </c>
      <c r="G23" s="238" t="s">
        <v>122</v>
      </c>
      <c r="H23" s="92" t="s">
        <v>122</v>
      </c>
    </row>
    <row r="24" spans="1:8" ht="27" customHeight="1" x14ac:dyDescent="0.25">
      <c r="A24" s="262">
        <v>43121</v>
      </c>
      <c r="B24" s="263" t="s">
        <v>2615</v>
      </c>
      <c r="C24" s="264">
        <v>12950</v>
      </c>
      <c r="D24" s="238" t="s">
        <v>122</v>
      </c>
      <c r="E24" s="238" t="s">
        <v>122</v>
      </c>
      <c r="F24" s="238" t="s">
        <v>122</v>
      </c>
      <c r="G24" s="238" t="s">
        <v>122</v>
      </c>
      <c r="H24" s="92" t="s">
        <v>122</v>
      </c>
    </row>
    <row r="25" spans="1:8" ht="27" customHeight="1" x14ac:dyDescent="0.25">
      <c r="A25" s="262">
        <v>43122</v>
      </c>
      <c r="B25" s="263" t="s">
        <v>2615</v>
      </c>
      <c r="C25" s="264">
        <v>12950</v>
      </c>
      <c r="D25" s="238" t="s">
        <v>122</v>
      </c>
      <c r="E25" s="238" t="s">
        <v>122</v>
      </c>
      <c r="F25" s="238" t="s">
        <v>122</v>
      </c>
      <c r="G25" s="238" t="s">
        <v>122</v>
      </c>
      <c r="H25" s="92" t="s">
        <v>122</v>
      </c>
    </row>
    <row r="26" spans="1:8" ht="27" customHeight="1" x14ac:dyDescent="0.25">
      <c r="A26" s="262">
        <v>43123</v>
      </c>
      <c r="B26" s="263" t="s">
        <v>1838</v>
      </c>
      <c r="C26" s="264">
        <v>12900</v>
      </c>
      <c r="D26" s="238" t="s">
        <v>122</v>
      </c>
      <c r="E26" s="238" t="s">
        <v>122</v>
      </c>
      <c r="F26" s="238" t="s">
        <v>122</v>
      </c>
      <c r="G26" s="238" t="s">
        <v>122</v>
      </c>
      <c r="H26" s="92" t="s">
        <v>122</v>
      </c>
    </row>
    <row r="27" spans="1:8" ht="27" customHeight="1" x14ac:dyDescent="0.25">
      <c r="A27" s="262">
        <v>43124</v>
      </c>
      <c r="B27" s="263" t="s">
        <v>1838</v>
      </c>
      <c r="C27" s="264">
        <v>12900</v>
      </c>
      <c r="D27" s="238" t="s">
        <v>122</v>
      </c>
      <c r="E27" s="238" t="s">
        <v>122</v>
      </c>
      <c r="F27" s="238" t="s">
        <v>122</v>
      </c>
      <c r="G27" s="238" t="s">
        <v>122</v>
      </c>
      <c r="H27" s="92" t="s">
        <v>122</v>
      </c>
    </row>
    <row r="28" spans="1:8" ht="27" customHeight="1" x14ac:dyDescent="0.25">
      <c r="A28" s="262">
        <v>43125</v>
      </c>
      <c r="B28" s="263" t="s">
        <v>1838</v>
      </c>
      <c r="C28" s="264">
        <v>12900</v>
      </c>
      <c r="D28" s="238" t="s">
        <v>122</v>
      </c>
      <c r="E28" s="238" t="s">
        <v>122</v>
      </c>
      <c r="F28" s="238" t="s">
        <v>122</v>
      </c>
      <c r="G28" s="238" t="s">
        <v>122</v>
      </c>
      <c r="H28" s="92" t="s">
        <v>122</v>
      </c>
    </row>
    <row r="29" spans="1:8" ht="27" customHeight="1" x14ac:dyDescent="0.25">
      <c r="A29" s="262">
        <v>43126</v>
      </c>
      <c r="B29" s="263" t="s">
        <v>1838</v>
      </c>
      <c r="C29" s="264">
        <v>12900</v>
      </c>
      <c r="D29" s="238" t="s">
        <v>122</v>
      </c>
      <c r="E29" s="238" t="s">
        <v>122</v>
      </c>
      <c r="F29" s="238" t="s">
        <v>122</v>
      </c>
      <c r="G29" s="238" t="s">
        <v>122</v>
      </c>
      <c r="H29" s="92" t="s">
        <v>122</v>
      </c>
    </row>
    <row r="30" spans="1:8" ht="27" customHeight="1" x14ac:dyDescent="0.25">
      <c r="A30" s="262">
        <v>43127</v>
      </c>
      <c r="B30" s="263" t="s">
        <v>1838</v>
      </c>
      <c r="C30" s="264">
        <v>12900</v>
      </c>
      <c r="D30" s="238" t="s">
        <v>122</v>
      </c>
      <c r="E30" s="238" t="s">
        <v>122</v>
      </c>
      <c r="F30" s="238" t="s">
        <v>122</v>
      </c>
      <c r="G30" s="238" t="s">
        <v>122</v>
      </c>
      <c r="H30" s="92" t="s">
        <v>122</v>
      </c>
    </row>
    <row r="31" spans="1:8" ht="27" customHeight="1" x14ac:dyDescent="0.25">
      <c r="A31" s="262">
        <v>43128</v>
      </c>
      <c r="B31" s="263" t="s">
        <v>1838</v>
      </c>
      <c r="C31" s="264">
        <v>12900</v>
      </c>
      <c r="D31" s="238" t="s">
        <v>122</v>
      </c>
      <c r="E31" s="238" t="s">
        <v>122</v>
      </c>
      <c r="F31" s="238" t="s">
        <v>122</v>
      </c>
      <c r="G31" s="238" t="s">
        <v>122</v>
      </c>
      <c r="H31" s="92" t="s">
        <v>122</v>
      </c>
    </row>
    <row r="32" spans="1:8" ht="27" customHeight="1" x14ac:dyDescent="0.25">
      <c r="A32" s="262">
        <v>43129</v>
      </c>
      <c r="B32" s="263" t="s">
        <v>2616</v>
      </c>
      <c r="C32" s="264">
        <v>12850</v>
      </c>
      <c r="D32" s="238" t="s">
        <v>122</v>
      </c>
      <c r="E32" s="238" t="s">
        <v>122</v>
      </c>
      <c r="F32" s="238" t="s">
        <v>122</v>
      </c>
      <c r="G32" s="238" t="s">
        <v>122</v>
      </c>
      <c r="H32" s="92" t="s">
        <v>122</v>
      </c>
    </row>
    <row r="33" spans="1:8" ht="27" customHeight="1" x14ac:dyDescent="0.25">
      <c r="A33" s="262">
        <v>43130</v>
      </c>
      <c r="B33" s="263" t="s">
        <v>2616</v>
      </c>
      <c r="C33" s="264">
        <v>12850</v>
      </c>
      <c r="D33" s="238" t="s">
        <v>122</v>
      </c>
      <c r="E33" s="238" t="s">
        <v>122</v>
      </c>
      <c r="F33" s="238" t="s">
        <v>122</v>
      </c>
      <c r="G33" s="238" t="s">
        <v>122</v>
      </c>
      <c r="H33" s="92" t="s">
        <v>122</v>
      </c>
    </row>
    <row r="34" spans="1:8" ht="27" customHeight="1" x14ac:dyDescent="0.25">
      <c r="A34" s="262">
        <v>43131</v>
      </c>
      <c r="B34" s="263" t="s">
        <v>2616</v>
      </c>
      <c r="C34" s="264">
        <v>12850</v>
      </c>
      <c r="D34" s="238" t="s">
        <v>122</v>
      </c>
      <c r="E34" s="238" t="s">
        <v>122</v>
      </c>
      <c r="F34" s="238" t="s">
        <v>122</v>
      </c>
      <c r="G34" s="238" t="s">
        <v>122</v>
      </c>
      <c r="H34" s="92" t="s">
        <v>122</v>
      </c>
    </row>
    <row r="35" spans="1:8" ht="27" customHeight="1" x14ac:dyDescent="0.25">
      <c r="A35" s="262">
        <v>43132</v>
      </c>
      <c r="B35" s="263" t="s">
        <v>2616</v>
      </c>
      <c r="C35" s="264">
        <v>12850</v>
      </c>
      <c r="D35" s="238" t="s">
        <v>122</v>
      </c>
      <c r="E35" s="238" t="s">
        <v>122</v>
      </c>
      <c r="F35" s="238" t="s">
        <v>122</v>
      </c>
      <c r="G35" s="238" t="s">
        <v>122</v>
      </c>
      <c r="H35" s="92" t="s">
        <v>122</v>
      </c>
    </row>
    <row r="36" spans="1:8" ht="27" customHeight="1" x14ac:dyDescent="0.25">
      <c r="A36" s="262">
        <v>43133</v>
      </c>
      <c r="B36" s="263" t="s">
        <v>2616</v>
      </c>
      <c r="C36" s="264">
        <v>12850</v>
      </c>
      <c r="D36" s="238" t="s">
        <v>122</v>
      </c>
      <c r="E36" s="238" t="s">
        <v>122</v>
      </c>
      <c r="F36" s="238" t="s">
        <v>122</v>
      </c>
      <c r="G36" s="238" t="s">
        <v>122</v>
      </c>
      <c r="H36" s="92" t="s">
        <v>122</v>
      </c>
    </row>
    <row r="37" spans="1:8" ht="27" customHeight="1" x14ac:dyDescent="0.25">
      <c r="A37" s="262">
        <v>43134</v>
      </c>
      <c r="B37" s="263" t="s">
        <v>2616</v>
      </c>
      <c r="C37" s="264">
        <v>12850</v>
      </c>
      <c r="D37" s="238" t="s">
        <v>122</v>
      </c>
      <c r="E37" s="238" t="s">
        <v>122</v>
      </c>
      <c r="F37" s="238" t="s">
        <v>122</v>
      </c>
      <c r="G37" s="238" t="s">
        <v>122</v>
      </c>
      <c r="H37" s="92" t="s">
        <v>122</v>
      </c>
    </row>
    <row r="38" spans="1:8" ht="27" customHeight="1" x14ac:dyDescent="0.25">
      <c r="A38" s="262">
        <v>43135</v>
      </c>
      <c r="B38" s="263" t="s">
        <v>2616</v>
      </c>
      <c r="C38" s="264">
        <v>12850</v>
      </c>
      <c r="D38" s="238" t="s">
        <v>122</v>
      </c>
      <c r="E38" s="238" t="s">
        <v>122</v>
      </c>
      <c r="F38" s="238" t="s">
        <v>122</v>
      </c>
      <c r="G38" s="238" t="s">
        <v>122</v>
      </c>
      <c r="H38" s="92" t="s">
        <v>122</v>
      </c>
    </row>
    <row r="39" spans="1:8" ht="27" customHeight="1" x14ac:dyDescent="0.25">
      <c r="A39" s="262">
        <v>43136</v>
      </c>
      <c r="B39" s="263" t="s">
        <v>2499</v>
      </c>
      <c r="C39" s="264">
        <v>12800</v>
      </c>
      <c r="D39" s="238" t="s">
        <v>122</v>
      </c>
      <c r="E39" s="238" t="s">
        <v>122</v>
      </c>
      <c r="F39" s="238" t="s">
        <v>122</v>
      </c>
      <c r="G39" s="238" t="s">
        <v>122</v>
      </c>
      <c r="H39" s="92" t="s">
        <v>122</v>
      </c>
    </row>
    <row r="40" spans="1:8" ht="27" customHeight="1" x14ac:dyDescent="0.25">
      <c r="A40" s="262">
        <v>43137</v>
      </c>
      <c r="B40" s="263" t="s">
        <v>2499</v>
      </c>
      <c r="C40" s="264">
        <v>12800</v>
      </c>
      <c r="D40" s="238" t="s">
        <v>122</v>
      </c>
      <c r="E40" s="238" t="s">
        <v>122</v>
      </c>
      <c r="F40" s="238" t="s">
        <v>122</v>
      </c>
      <c r="G40" s="238" t="s">
        <v>122</v>
      </c>
      <c r="H40" s="92" t="s">
        <v>122</v>
      </c>
    </row>
    <row r="41" spans="1:8" ht="27" customHeight="1" x14ac:dyDescent="0.25">
      <c r="A41" s="262">
        <v>43138</v>
      </c>
      <c r="B41" s="263" t="s">
        <v>2499</v>
      </c>
      <c r="C41" s="264">
        <v>12800</v>
      </c>
      <c r="D41" s="238" t="s">
        <v>122</v>
      </c>
      <c r="E41" s="238" t="s">
        <v>122</v>
      </c>
      <c r="F41" s="238" t="s">
        <v>122</v>
      </c>
      <c r="G41" s="238" t="s">
        <v>122</v>
      </c>
      <c r="H41" s="92" t="s">
        <v>122</v>
      </c>
    </row>
    <row r="42" spans="1:8" ht="27" customHeight="1" x14ac:dyDescent="0.25">
      <c r="A42" s="262">
        <v>43139</v>
      </c>
      <c r="B42" s="263" t="s">
        <v>2499</v>
      </c>
      <c r="C42" s="264">
        <v>12800</v>
      </c>
      <c r="D42" s="238" t="s">
        <v>122</v>
      </c>
      <c r="E42" s="238" t="s">
        <v>122</v>
      </c>
      <c r="F42" s="238" t="s">
        <v>122</v>
      </c>
      <c r="G42" s="238" t="s">
        <v>122</v>
      </c>
      <c r="H42" s="92" t="s">
        <v>122</v>
      </c>
    </row>
    <row r="43" spans="1:8" ht="27" customHeight="1" x14ac:dyDescent="0.25">
      <c r="A43" s="262">
        <v>43140</v>
      </c>
      <c r="B43" s="263" t="s">
        <v>2499</v>
      </c>
      <c r="C43" s="264">
        <v>12800</v>
      </c>
      <c r="D43" s="238" t="s">
        <v>122</v>
      </c>
      <c r="E43" s="238" t="s">
        <v>122</v>
      </c>
      <c r="F43" s="238" t="s">
        <v>122</v>
      </c>
      <c r="G43" s="238" t="s">
        <v>122</v>
      </c>
      <c r="H43" s="92" t="s">
        <v>122</v>
      </c>
    </row>
    <row r="44" spans="1:8" ht="27" customHeight="1" x14ac:dyDescent="0.25">
      <c r="A44" s="262">
        <v>43141</v>
      </c>
      <c r="B44" s="263" t="s">
        <v>2499</v>
      </c>
      <c r="C44" s="264">
        <v>12800</v>
      </c>
      <c r="D44" s="238" t="s">
        <v>122</v>
      </c>
      <c r="E44" s="238" t="s">
        <v>122</v>
      </c>
      <c r="F44" s="238" t="s">
        <v>122</v>
      </c>
      <c r="G44" s="238" t="s">
        <v>122</v>
      </c>
      <c r="H44" s="92" t="s">
        <v>122</v>
      </c>
    </row>
    <row r="45" spans="1:8" ht="27" customHeight="1" x14ac:dyDescent="0.25">
      <c r="A45" s="262">
        <v>43142</v>
      </c>
      <c r="B45" s="263" t="s">
        <v>2499</v>
      </c>
      <c r="C45" s="264">
        <v>12800</v>
      </c>
      <c r="D45" s="238" t="s">
        <v>122</v>
      </c>
      <c r="E45" s="238" t="s">
        <v>122</v>
      </c>
      <c r="F45" s="238" t="s">
        <v>122</v>
      </c>
      <c r="G45" s="238" t="s">
        <v>122</v>
      </c>
      <c r="H45" s="92" t="s">
        <v>122</v>
      </c>
    </row>
    <row r="46" spans="1:8" ht="27" customHeight="1" x14ac:dyDescent="0.25">
      <c r="A46" s="262">
        <v>43143</v>
      </c>
      <c r="B46" s="263" t="s">
        <v>2619</v>
      </c>
      <c r="C46" s="264">
        <v>12700</v>
      </c>
      <c r="D46" s="238" t="s">
        <v>122</v>
      </c>
      <c r="E46" s="238" t="s">
        <v>122</v>
      </c>
      <c r="F46" s="238" t="s">
        <v>122</v>
      </c>
      <c r="G46" s="238" t="s">
        <v>122</v>
      </c>
      <c r="H46" s="92" t="s">
        <v>122</v>
      </c>
    </row>
    <row r="47" spans="1:8" ht="27" customHeight="1" x14ac:dyDescent="0.25">
      <c r="A47" s="262">
        <v>43144</v>
      </c>
      <c r="B47" s="263" t="s">
        <v>2619</v>
      </c>
      <c r="C47" s="264">
        <v>12700</v>
      </c>
      <c r="D47" s="238" t="s">
        <v>122</v>
      </c>
      <c r="E47" s="238" t="s">
        <v>122</v>
      </c>
      <c r="F47" s="238" t="s">
        <v>122</v>
      </c>
      <c r="G47" s="238" t="s">
        <v>122</v>
      </c>
      <c r="H47" s="92" t="s">
        <v>122</v>
      </c>
    </row>
    <row r="48" spans="1:8" ht="27" customHeight="1" x14ac:dyDescent="0.25">
      <c r="A48" s="262">
        <v>43145</v>
      </c>
      <c r="B48" s="263" t="s">
        <v>2619</v>
      </c>
      <c r="C48" s="264">
        <v>12700</v>
      </c>
      <c r="D48" s="238" t="s">
        <v>122</v>
      </c>
      <c r="E48" s="238" t="s">
        <v>122</v>
      </c>
      <c r="F48" s="238" t="s">
        <v>122</v>
      </c>
      <c r="G48" s="238" t="s">
        <v>122</v>
      </c>
      <c r="H48" s="92" t="s">
        <v>122</v>
      </c>
    </row>
    <row r="49" spans="1:8" ht="27" customHeight="1" x14ac:dyDescent="0.25">
      <c r="A49" s="262">
        <v>43146</v>
      </c>
      <c r="B49" s="263" t="s">
        <v>2619</v>
      </c>
      <c r="C49" s="264">
        <v>12700</v>
      </c>
      <c r="D49" s="238" t="s">
        <v>122</v>
      </c>
      <c r="E49" s="238" t="s">
        <v>122</v>
      </c>
      <c r="F49" s="238" t="s">
        <v>122</v>
      </c>
      <c r="G49" s="238" t="s">
        <v>122</v>
      </c>
      <c r="H49" s="92" t="s">
        <v>122</v>
      </c>
    </row>
    <row r="50" spans="1:8" ht="27" customHeight="1" x14ac:dyDescent="0.25">
      <c r="A50" s="262">
        <v>43147</v>
      </c>
      <c r="B50" s="263" t="s">
        <v>2619</v>
      </c>
      <c r="C50" s="264">
        <v>12700</v>
      </c>
      <c r="D50" s="238" t="s">
        <v>122</v>
      </c>
      <c r="E50" s="238" t="s">
        <v>122</v>
      </c>
      <c r="F50" s="238" t="s">
        <v>122</v>
      </c>
      <c r="G50" s="238" t="s">
        <v>122</v>
      </c>
      <c r="H50" s="92" t="s">
        <v>122</v>
      </c>
    </row>
    <row r="51" spans="1:8" ht="27" customHeight="1" x14ac:dyDescent="0.25">
      <c r="A51" s="262">
        <v>43148</v>
      </c>
      <c r="B51" s="263" t="s">
        <v>2620</v>
      </c>
      <c r="C51" s="264">
        <v>12600</v>
      </c>
      <c r="D51" s="238" t="s">
        <v>122</v>
      </c>
      <c r="E51" s="238" t="s">
        <v>122</v>
      </c>
      <c r="F51" s="238" t="s">
        <v>122</v>
      </c>
      <c r="G51" s="238" t="s">
        <v>122</v>
      </c>
      <c r="H51" s="92" t="s">
        <v>122</v>
      </c>
    </row>
    <row r="52" spans="1:8" ht="27" customHeight="1" x14ac:dyDescent="0.25">
      <c r="A52" s="262">
        <v>43149</v>
      </c>
      <c r="B52" s="263" t="s">
        <v>2620</v>
      </c>
      <c r="C52" s="264">
        <v>12600</v>
      </c>
      <c r="D52" s="238" t="s">
        <v>122</v>
      </c>
      <c r="E52" s="238" t="s">
        <v>122</v>
      </c>
      <c r="F52" s="238" t="s">
        <v>122</v>
      </c>
      <c r="G52" s="238" t="s">
        <v>122</v>
      </c>
      <c r="H52" s="92" t="s">
        <v>122</v>
      </c>
    </row>
    <row r="53" spans="1:8" ht="27" customHeight="1" x14ac:dyDescent="0.25">
      <c r="A53" s="262">
        <v>43150</v>
      </c>
      <c r="B53" s="263" t="s">
        <v>2620</v>
      </c>
      <c r="C53" s="264">
        <v>12600</v>
      </c>
      <c r="D53" s="238" t="s">
        <v>122</v>
      </c>
      <c r="E53" s="238" t="s">
        <v>122</v>
      </c>
      <c r="F53" s="238" t="s">
        <v>122</v>
      </c>
      <c r="G53" s="238" t="s">
        <v>122</v>
      </c>
      <c r="H53" s="92" t="s">
        <v>122</v>
      </c>
    </row>
    <row r="54" spans="1:8" ht="27" customHeight="1" x14ac:dyDescent="0.25">
      <c r="A54" s="262">
        <v>43151</v>
      </c>
      <c r="B54" s="263" t="s">
        <v>2620</v>
      </c>
      <c r="C54" s="264">
        <v>12600</v>
      </c>
      <c r="D54" s="238" t="s">
        <v>122</v>
      </c>
      <c r="E54" s="238" t="s">
        <v>122</v>
      </c>
      <c r="F54" s="238" t="s">
        <v>122</v>
      </c>
      <c r="G54" s="238" t="s">
        <v>122</v>
      </c>
      <c r="H54" s="92" t="s">
        <v>122</v>
      </c>
    </row>
    <row r="55" spans="1:8" ht="27" customHeight="1" x14ac:dyDescent="0.25">
      <c r="A55" s="262">
        <v>43152</v>
      </c>
      <c r="B55" s="263" t="s">
        <v>2620</v>
      </c>
      <c r="C55" s="264">
        <v>12600</v>
      </c>
      <c r="D55" s="238" t="s">
        <v>122</v>
      </c>
      <c r="E55" s="238" t="s">
        <v>122</v>
      </c>
      <c r="F55" s="238" t="s">
        <v>122</v>
      </c>
      <c r="G55" s="238" t="s">
        <v>122</v>
      </c>
      <c r="H55" s="92" t="s">
        <v>122</v>
      </c>
    </row>
    <row r="56" spans="1:8" ht="27" customHeight="1" x14ac:dyDescent="0.25">
      <c r="A56" s="262">
        <v>43153</v>
      </c>
      <c r="B56" s="263" t="s">
        <v>2620</v>
      </c>
      <c r="C56" s="264">
        <v>12600</v>
      </c>
      <c r="D56" s="238" t="s">
        <v>122</v>
      </c>
      <c r="E56" s="238" t="s">
        <v>122</v>
      </c>
      <c r="F56" s="238" t="s">
        <v>122</v>
      </c>
      <c r="G56" s="238" t="s">
        <v>122</v>
      </c>
      <c r="H56" s="92" t="s">
        <v>122</v>
      </c>
    </row>
    <row r="57" spans="1:8" ht="27" customHeight="1" x14ac:dyDescent="0.25">
      <c r="A57" s="262">
        <v>43154</v>
      </c>
      <c r="B57" s="263" t="s">
        <v>1837</v>
      </c>
      <c r="C57" s="264">
        <v>12500</v>
      </c>
      <c r="D57" s="238" t="s">
        <v>122</v>
      </c>
      <c r="E57" s="238" t="s">
        <v>122</v>
      </c>
      <c r="F57" s="238" t="s">
        <v>122</v>
      </c>
      <c r="G57" s="238" t="s">
        <v>122</v>
      </c>
      <c r="H57" s="92" t="s">
        <v>122</v>
      </c>
    </row>
    <row r="58" spans="1:8" ht="27" customHeight="1" x14ac:dyDescent="0.25">
      <c r="A58" s="262">
        <v>43155</v>
      </c>
      <c r="B58" s="263" t="s">
        <v>1837</v>
      </c>
      <c r="C58" s="264">
        <v>12500</v>
      </c>
      <c r="D58" s="238" t="s">
        <v>122</v>
      </c>
      <c r="E58" s="238" t="s">
        <v>122</v>
      </c>
      <c r="F58" s="238" t="s">
        <v>122</v>
      </c>
      <c r="G58" s="238" t="s">
        <v>122</v>
      </c>
      <c r="H58" s="92" t="s">
        <v>122</v>
      </c>
    </row>
    <row r="59" spans="1:8" ht="27" customHeight="1" x14ac:dyDescent="0.25">
      <c r="A59" s="262">
        <v>43156</v>
      </c>
      <c r="B59" s="263" t="s">
        <v>1837</v>
      </c>
      <c r="C59" s="264">
        <v>12500</v>
      </c>
      <c r="D59" s="238" t="s">
        <v>122</v>
      </c>
      <c r="E59" s="238" t="s">
        <v>122</v>
      </c>
      <c r="F59" s="238" t="s">
        <v>122</v>
      </c>
      <c r="G59" s="238" t="s">
        <v>122</v>
      </c>
      <c r="H59" s="92" t="s">
        <v>122</v>
      </c>
    </row>
    <row r="60" spans="1:8" ht="27" customHeight="1" x14ac:dyDescent="0.25">
      <c r="A60" s="262">
        <v>43157</v>
      </c>
      <c r="B60" s="263" t="s">
        <v>2511</v>
      </c>
      <c r="C60" s="264">
        <v>12450</v>
      </c>
      <c r="D60" s="238" t="s">
        <v>122</v>
      </c>
      <c r="E60" s="238" t="s">
        <v>122</v>
      </c>
      <c r="F60" s="238" t="s">
        <v>122</v>
      </c>
      <c r="G60" s="238" t="s">
        <v>122</v>
      </c>
      <c r="H60" s="92" t="s">
        <v>122</v>
      </c>
    </row>
    <row r="61" spans="1:8" ht="27" customHeight="1" x14ac:dyDescent="0.25">
      <c r="A61" s="262">
        <v>43158</v>
      </c>
      <c r="B61" s="263" t="s">
        <v>2511</v>
      </c>
      <c r="C61" s="264">
        <v>12450</v>
      </c>
      <c r="D61" s="238" t="s">
        <v>122</v>
      </c>
      <c r="E61" s="238" t="s">
        <v>122</v>
      </c>
      <c r="F61" s="238" t="s">
        <v>122</v>
      </c>
      <c r="G61" s="238" t="s">
        <v>122</v>
      </c>
      <c r="H61" s="92" t="s">
        <v>122</v>
      </c>
    </row>
    <row r="62" spans="1:8" ht="27" customHeight="1" x14ac:dyDescent="0.25">
      <c r="A62" s="262">
        <v>43159</v>
      </c>
      <c r="B62" s="263" t="s">
        <v>2511</v>
      </c>
      <c r="C62" s="264">
        <v>12450</v>
      </c>
      <c r="D62" s="238" t="s">
        <v>122</v>
      </c>
      <c r="E62" s="238" t="s">
        <v>122</v>
      </c>
      <c r="F62" s="238" t="s">
        <v>122</v>
      </c>
      <c r="G62" s="238" t="s">
        <v>122</v>
      </c>
      <c r="H62" s="92" t="s">
        <v>122</v>
      </c>
    </row>
    <row r="63" spans="1:8" ht="27" customHeight="1" x14ac:dyDescent="0.25">
      <c r="A63" s="262">
        <v>43160</v>
      </c>
      <c r="B63" s="263" t="s">
        <v>2511</v>
      </c>
      <c r="C63" s="264">
        <v>12450</v>
      </c>
      <c r="D63" s="238" t="s">
        <v>122</v>
      </c>
      <c r="E63" s="238" t="s">
        <v>122</v>
      </c>
      <c r="F63" s="238" t="s">
        <v>122</v>
      </c>
      <c r="G63" s="238" t="s">
        <v>122</v>
      </c>
      <c r="H63" s="92" t="s">
        <v>122</v>
      </c>
    </row>
    <row r="64" spans="1:8" ht="27" customHeight="1" x14ac:dyDescent="0.25">
      <c r="A64" s="262">
        <v>43161</v>
      </c>
      <c r="B64" s="263" t="s">
        <v>2511</v>
      </c>
      <c r="C64" s="264">
        <v>12450</v>
      </c>
      <c r="D64" s="238" t="s">
        <v>122</v>
      </c>
      <c r="E64" s="238" t="s">
        <v>122</v>
      </c>
      <c r="F64" s="238" t="s">
        <v>122</v>
      </c>
      <c r="G64" s="238" t="s">
        <v>122</v>
      </c>
      <c r="H64" s="92" t="s">
        <v>122</v>
      </c>
    </row>
    <row r="65" spans="1:8" ht="27" customHeight="1" x14ac:dyDescent="0.25">
      <c r="A65" s="262">
        <v>43162</v>
      </c>
      <c r="B65" s="263" t="s">
        <v>2511</v>
      </c>
      <c r="C65" s="264">
        <v>12450</v>
      </c>
      <c r="D65" s="238" t="s">
        <v>122</v>
      </c>
      <c r="E65" s="238" t="s">
        <v>122</v>
      </c>
      <c r="F65" s="238" t="s">
        <v>122</v>
      </c>
      <c r="G65" s="238" t="s">
        <v>122</v>
      </c>
      <c r="H65" s="92" t="s">
        <v>122</v>
      </c>
    </row>
    <row r="66" spans="1:8" ht="27" customHeight="1" x14ac:dyDescent="0.25">
      <c r="A66" s="262">
        <v>43163</v>
      </c>
      <c r="B66" s="263" t="s">
        <v>2511</v>
      </c>
      <c r="C66" s="264">
        <v>12450</v>
      </c>
      <c r="D66" s="238" t="s">
        <v>122</v>
      </c>
      <c r="E66" s="238" t="s">
        <v>122</v>
      </c>
      <c r="F66" s="238" t="s">
        <v>122</v>
      </c>
      <c r="G66" s="238" t="s">
        <v>122</v>
      </c>
      <c r="H66" s="92" t="s">
        <v>122</v>
      </c>
    </row>
    <row r="67" spans="1:8" ht="27" customHeight="1" x14ac:dyDescent="0.25">
      <c r="A67" s="262">
        <v>43164</v>
      </c>
      <c r="B67" s="263" t="s">
        <v>2621</v>
      </c>
      <c r="C67" s="264">
        <v>12400</v>
      </c>
      <c r="D67" s="238" t="s">
        <v>122</v>
      </c>
      <c r="E67" s="238" t="s">
        <v>122</v>
      </c>
      <c r="F67" s="238" t="s">
        <v>122</v>
      </c>
      <c r="G67" s="238" t="s">
        <v>122</v>
      </c>
      <c r="H67" s="92" t="s">
        <v>122</v>
      </c>
    </row>
    <row r="68" spans="1:8" ht="27" customHeight="1" x14ac:dyDescent="0.25">
      <c r="A68" s="262">
        <v>43165</v>
      </c>
      <c r="B68" s="263" t="s">
        <v>2621</v>
      </c>
      <c r="C68" s="264">
        <v>12400</v>
      </c>
      <c r="D68" s="238" t="s">
        <v>122</v>
      </c>
      <c r="E68" s="238" t="s">
        <v>122</v>
      </c>
      <c r="F68" s="238" t="s">
        <v>122</v>
      </c>
      <c r="G68" s="238" t="s">
        <v>122</v>
      </c>
      <c r="H68" s="92" t="s">
        <v>122</v>
      </c>
    </row>
    <row r="69" spans="1:8" ht="27" customHeight="1" x14ac:dyDescent="0.25">
      <c r="A69" s="262">
        <v>43166</v>
      </c>
      <c r="B69" s="263" t="s">
        <v>2621</v>
      </c>
      <c r="C69" s="264">
        <v>12400</v>
      </c>
      <c r="D69" s="238" t="s">
        <v>122</v>
      </c>
      <c r="E69" s="238" t="s">
        <v>122</v>
      </c>
      <c r="F69" s="238" t="s">
        <v>122</v>
      </c>
      <c r="G69" s="238" t="s">
        <v>122</v>
      </c>
      <c r="H69" s="92" t="s">
        <v>122</v>
      </c>
    </row>
    <row r="70" spans="1:8" ht="27" customHeight="1" x14ac:dyDescent="0.25">
      <c r="A70" s="262">
        <v>43167</v>
      </c>
      <c r="B70" s="263" t="s">
        <v>2622</v>
      </c>
      <c r="C70" s="264">
        <v>12350</v>
      </c>
      <c r="D70" s="238" t="s">
        <v>122</v>
      </c>
      <c r="E70" s="238" t="s">
        <v>122</v>
      </c>
      <c r="F70" s="238" t="s">
        <v>122</v>
      </c>
      <c r="G70" s="238" t="s">
        <v>122</v>
      </c>
      <c r="H70" s="92" t="s">
        <v>122</v>
      </c>
    </row>
    <row r="71" spans="1:8" ht="27" customHeight="1" x14ac:dyDescent="0.25">
      <c r="A71" s="262">
        <v>43168</v>
      </c>
      <c r="B71" s="263" t="s">
        <v>2622</v>
      </c>
      <c r="C71" s="264">
        <v>12350</v>
      </c>
      <c r="D71" s="238" t="s">
        <v>122</v>
      </c>
      <c r="E71" s="238" t="s">
        <v>122</v>
      </c>
      <c r="F71" s="238" t="s">
        <v>122</v>
      </c>
      <c r="G71" s="238" t="s">
        <v>122</v>
      </c>
      <c r="H71" s="92" t="s">
        <v>122</v>
      </c>
    </row>
    <row r="72" spans="1:8" ht="27" customHeight="1" x14ac:dyDescent="0.25">
      <c r="A72" s="262">
        <v>43169</v>
      </c>
      <c r="B72" s="263" t="s">
        <v>2622</v>
      </c>
      <c r="C72" s="264">
        <v>12350</v>
      </c>
      <c r="D72" s="238" t="s">
        <v>122</v>
      </c>
      <c r="E72" s="238" t="s">
        <v>122</v>
      </c>
      <c r="F72" s="238" t="s">
        <v>122</v>
      </c>
      <c r="G72" s="238" t="s">
        <v>122</v>
      </c>
      <c r="H72" s="92" t="s">
        <v>122</v>
      </c>
    </row>
    <row r="73" spans="1:8" ht="27" customHeight="1" x14ac:dyDescent="0.25">
      <c r="A73" s="262">
        <v>43170</v>
      </c>
      <c r="B73" s="263" t="s">
        <v>2622</v>
      </c>
      <c r="C73" s="264">
        <v>12350</v>
      </c>
      <c r="D73" s="238" t="s">
        <v>122</v>
      </c>
      <c r="E73" s="238" t="s">
        <v>122</v>
      </c>
      <c r="F73" s="238" t="s">
        <v>122</v>
      </c>
      <c r="G73" s="238" t="s">
        <v>122</v>
      </c>
      <c r="H73" s="92" t="s">
        <v>122</v>
      </c>
    </row>
    <row r="74" spans="1:8" ht="27" customHeight="1" x14ac:dyDescent="0.25">
      <c r="A74" s="262">
        <v>43171</v>
      </c>
      <c r="B74" s="263" t="s">
        <v>1836</v>
      </c>
      <c r="C74" s="264">
        <v>12300</v>
      </c>
      <c r="D74" s="238" t="s">
        <v>122</v>
      </c>
      <c r="E74" s="238" t="s">
        <v>122</v>
      </c>
      <c r="F74" s="238" t="s">
        <v>122</v>
      </c>
      <c r="G74" s="238" t="s">
        <v>122</v>
      </c>
      <c r="H74" s="92" t="s">
        <v>122</v>
      </c>
    </row>
    <row r="75" spans="1:8" ht="27" customHeight="1" x14ac:dyDescent="0.25">
      <c r="A75" s="262">
        <v>43172</v>
      </c>
      <c r="B75" s="263" t="s">
        <v>1836</v>
      </c>
      <c r="C75" s="264">
        <v>12300</v>
      </c>
      <c r="D75" s="238" t="s">
        <v>122</v>
      </c>
      <c r="E75" s="238" t="s">
        <v>122</v>
      </c>
      <c r="F75" s="238" t="s">
        <v>122</v>
      </c>
      <c r="G75" s="238" t="s">
        <v>122</v>
      </c>
      <c r="H75" s="92" t="s">
        <v>122</v>
      </c>
    </row>
    <row r="76" spans="1:8" ht="27" customHeight="1" x14ac:dyDescent="0.25">
      <c r="A76" s="262">
        <v>43173</v>
      </c>
      <c r="B76" s="263" t="s">
        <v>1836</v>
      </c>
      <c r="C76" s="264">
        <v>12300</v>
      </c>
      <c r="D76" s="238" t="s">
        <v>122</v>
      </c>
      <c r="E76" s="238" t="s">
        <v>122</v>
      </c>
      <c r="F76" s="238" t="s">
        <v>122</v>
      </c>
      <c r="G76" s="238" t="s">
        <v>122</v>
      </c>
      <c r="H76" s="92" t="s">
        <v>122</v>
      </c>
    </row>
    <row r="77" spans="1:8" ht="27" customHeight="1" x14ac:dyDescent="0.25">
      <c r="A77" s="262">
        <v>43174</v>
      </c>
      <c r="B77" s="263" t="s">
        <v>1836</v>
      </c>
      <c r="C77" s="264">
        <v>12300</v>
      </c>
      <c r="D77" s="238" t="s">
        <v>122</v>
      </c>
      <c r="E77" s="238" t="s">
        <v>122</v>
      </c>
      <c r="F77" s="238" t="s">
        <v>122</v>
      </c>
      <c r="G77" s="238" t="s">
        <v>122</v>
      </c>
      <c r="H77" s="92" t="s">
        <v>122</v>
      </c>
    </row>
    <row r="78" spans="1:8" ht="27" customHeight="1" x14ac:dyDescent="0.25">
      <c r="A78" s="262">
        <v>43175</v>
      </c>
      <c r="B78" s="263" t="s">
        <v>1836</v>
      </c>
      <c r="C78" s="264">
        <v>12300</v>
      </c>
      <c r="D78" s="238" t="s">
        <v>122</v>
      </c>
      <c r="E78" s="238" t="s">
        <v>122</v>
      </c>
      <c r="F78" s="238" t="s">
        <v>122</v>
      </c>
      <c r="G78" s="238" t="s">
        <v>122</v>
      </c>
      <c r="H78" s="92" t="s">
        <v>122</v>
      </c>
    </row>
    <row r="79" spans="1:8" ht="27" customHeight="1" x14ac:dyDescent="0.25">
      <c r="A79" s="262">
        <v>43176</v>
      </c>
      <c r="B79" s="263" t="s">
        <v>1836</v>
      </c>
      <c r="C79" s="264">
        <v>12300</v>
      </c>
      <c r="D79" s="238" t="s">
        <v>122</v>
      </c>
      <c r="E79" s="238" t="s">
        <v>122</v>
      </c>
      <c r="F79" s="238" t="s">
        <v>122</v>
      </c>
      <c r="G79" s="238" t="s">
        <v>122</v>
      </c>
      <c r="H79" s="92" t="s">
        <v>122</v>
      </c>
    </row>
    <row r="80" spans="1:8" ht="27" customHeight="1" x14ac:dyDescent="0.25">
      <c r="A80" s="262">
        <v>43177</v>
      </c>
      <c r="B80" s="263" t="s">
        <v>1836</v>
      </c>
      <c r="C80" s="264">
        <v>12300</v>
      </c>
      <c r="D80" s="238" t="s">
        <v>122</v>
      </c>
      <c r="E80" s="238" t="s">
        <v>122</v>
      </c>
      <c r="F80" s="238" t="s">
        <v>122</v>
      </c>
      <c r="G80" s="238" t="s">
        <v>122</v>
      </c>
      <c r="H80" s="92" t="s">
        <v>122</v>
      </c>
    </row>
    <row r="81" spans="1:8" ht="27" customHeight="1" x14ac:dyDescent="0.25">
      <c r="A81" s="262">
        <v>43178</v>
      </c>
      <c r="B81" s="263" t="s">
        <v>1836</v>
      </c>
      <c r="C81" s="264">
        <v>12300</v>
      </c>
      <c r="D81" s="238" t="s">
        <v>122</v>
      </c>
      <c r="E81" s="238" t="s">
        <v>122</v>
      </c>
      <c r="F81" s="238" t="s">
        <v>122</v>
      </c>
      <c r="G81" s="238" t="s">
        <v>122</v>
      </c>
      <c r="H81" s="92" t="s">
        <v>122</v>
      </c>
    </row>
    <row r="82" spans="1:8" ht="27" customHeight="1" x14ac:dyDescent="0.25">
      <c r="A82" s="262">
        <v>43179</v>
      </c>
      <c r="B82" s="263" t="s">
        <v>1836</v>
      </c>
      <c r="C82" s="264">
        <v>12300</v>
      </c>
      <c r="D82" s="238" t="s">
        <v>122</v>
      </c>
      <c r="E82" s="238" t="s">
        <v>122</v>
      </c>
      <c r="F82" s="238" t="s">
        <v>122</v>
      </c>
      <c r="G82" s="238" t="s">
        <v>122</v>
      </c>
      <c r="H82" s="92" t="s">
        <v>122</v>
      </c>
    </row>
    <row r="83" spans="1:8" ht="27" customHeight="1" x14ac:dyDescent="0.25">
      <c r="A83" s="262">
        <v>43180</v>
      </c>
      <c r="B83" s="263" t="s">
        <v>1836</v>
      </c>
      <c r="C83" s="264">
        <v>12300</v>
      </c>
      <c r="D83" s="238" t="s">
        <v>122</v>
      </c>
      <c r="E83" s="238" t="s">
        <v>122</v>
      </c>
      <c r="F83" s="238" t="s">
        <v>122</v>
      </c>
      <c r="G83" s="238" t="s">
        <v>122</v>
      </c>
      <c r="H83" s="92" t="s">
        <v>122</v>
      </c>
    </row>
    <row r="84" spans="1:8" ht="27" customHeight="1" x14ac:dyDescent="0.25">
      <c r="A84" s="262">
        <v>43181</v>
      </c>
      <c r="B84" s="263" t="s">
        <v>1836</v>
      </c>
      <c r="C84" s="264">
        <v>12300</v>
      </c>
      <c r="D84" s="238" t="s">
        <v>122</v>
      </c>
      <c r="E84" s="238" t="s">
        <v>122</v>
      </c>
      <c r="F84" s="238" t="s">
        <v>122</v>
      </c>
      <c r="G84" s="238" t="s">
        <v>122</v>
      </c>
      <c r="H84" s="92" t="s">
        <v>122</v>
      </c>
    </row>
    <row r="85" spans="1:8" ht="27" customHeight="1" x14ac:dyDescent="0.25">
      <c r="A85" s="262">
        <v>43182</v>
      </c>
      <c r="B85" s="263" t="s">
        <v>1836</v>
      </c>
      <c r="C85" s="264">
        <v>12300</v>
      </c>
      <c r="D85" s="238" t="s">
        <v>122</v>
      </c>
      <c r="E85" s="238" t="s">
        <v>122</v>
      </c>
      <c r="F85" s="238" t="s">
        <v>122</v>
      </c>
      <c r="G85" s="238" t="s">
        <v>122</v>
      </c>
      <c r="H85" s="92" t="s">
        <v>122</v>
      </c>
    </row>
    <row r="86" spans="1:8" ht="27" customHeight="1" x14ac:dyDescent="0.25">
      <c r="A86" s="262">
        <v>43183</v>
      </c>
      <c r="B86" s="263" t="s">
        <v>2502</v>
      </c>
      <c r="C86" s="264">
        <v>12250</v>
      </c>
      <c r="D86" s="238" t="s">
        <v>122</v>
      </c>
      <c r="E86" s="238" t="s">
        <v>122</v>
      </c>
      <c r="F86" s="238" t="s">
        <v>122</v>
      </c>
      <c r="G86" s="238" t="s">
        <v>122</v>
      </c>
      <c r="H86" s="92" t="s">
        <v>122</v>
      </c>
    </row>
    <row r="87" spans="1:8" ht="27" customHeight="1" x14ac:dyDescent="0.25">
      <c r="A87" s="262">
        <v>43184</v>
      </c>
      <c r="B87" s="263" t="s">
        <v>2502</v>
      </c>
      <c r="C87" s="264">
        <v>12250</v>
      </c>
      <c r="D87" s="238" t="s">
        <v>122</v>
      </c>
      <c r="E87" s="238" t="s">
        <v>122</v>
      </c>
      <c r="F87" s="238" t="s">
        <v>122</v>
      </c>
      <c r="G87" s="238" t="s">
        <v>122</v>
      </c>
      <c r="H87" s="92" t="s">
        <v>122</v>
      </c>
    </row>
    <row r="88" spans="1:8" ht="27" customHeight="1" x14ac:dyDescent="0.25">
      <c r="A88" s="262">
        <v>43185</v>
      </c>
      <c r="B88" s="263" t="s">
        <v>2502</v>
      </c>
      <c r="C88" s="264">
        <v>12250</v>
      </c>
      <c r="D88" s="238" t="s">
        <v>122</v>
      </c>
      <c r="E88" s="238" t="s">
        <v>122</v>
      </c>
      <c r="F88" s="238" t="s">
        <v>122</v>
      </c>
      <c r="G88" s="238" t="s">
        <v>122</v>
      </c>
      <c r="H88" s="92" t="s">
        <v>122</v>
      </c>
    </row>
    <row r="89" spans="1:8" ht="27" customHeight="1" x14ac:dyDescent="0.25">
      <c r="A89" s="262">
        <v>43186</v>
      </c>
      <c r="B89" s="263" t="s">
        <v>2502</v>
      </c>
      <c r="C89" s="264">
        <v>12250</v>
      </c>
      <c r="D89" s="238" t="s">
        <v>122</v>
      </c>
      <c r="E89" s="238" t="s">
        <v>122</v>
      </c>
      <c r="F89" s="238" t="s">
        <v>122</v>
      </c>
      <c r="G89" s="238" t="s">
        <v>122</v>
      </c>
      <c r="H89" s="92" t="s">
        <v>122</v>
      </c>
    </row>
    <row r="90" spans="1:8" ht="27" customHeight="1" x14ac:dyDescent="0.25">
      <c r="A90" s="262">
        <v>43187</v>
      </c>
      <c r="B90" s="263" t="s">
        <v>2502</v>
      </c>
      <c r="C90" s="264">
        <v>12250</v>
      </c>
      <c r="D90" s="238" t="s">
        <v>122</v>
      </c>
      <c r="E90" s="238" t="s">
        <v>122</v>
      </c>
      <c r="F90" s="238" t="s">
        <v>122</v>
      </c>
      <c r="G90" s="238" t="s">
        <v>122</v>
      </c>
      <c r="H90" s="92" t="s">
        <v>122</v>
      </c>
    </row>
    <row r="91" spans="1:8" ht="27" customHeight="1" x14ac:dyDescent="0.25">
      <c r="A91" s="262">
        <v>43188</v>
      </c>
      <c r="B91" s="263" t="s">
        <v>2623</v>
      </c>
      <c r="C91" s="264">
        <v>12200</v>
      </c>
      <c r="D91" s="238" t="s">
        <v>122</v>
      </c>
      <c r="E91" s="238" t="s">
        <v>122</v>
      </c>
      <c r="F91" s="238" t="s">
        <v>122</v>
      </c>
      <c r="G91" s="238" t="s">
        <v>122</v>
      </c>
      <c r="H91" s="92" t="s">
        <v>122</v>
      </c>
    </row>
    <row r="92" spans="1:8" ht="27" customHeight="1" x14ac:dyDescent="0.25">
      <c r="A92" s="262">
        <v>43189</v>
      </c>
      <c r="B92" s="263" t="s">
        <v>2623</v>
      </c>
      <c r="C92" s="264">
        <v>12200</v>
      </c>
      <c r="D92" s="238" t="s">
        <v>122</v>
      </c>
      <c r="E92" s="238" t="s">
        <v>122</v>
      </c>
      <c r="F92" s="238" t="s">
        <v>122</v>
      </c>
      <c r="G92" s="238" t="s">
        <v>122</v>
      </c>
      <c r="H92" s="92" t="s">
        <v>122</v>
      </c>
    </row>
    <row r="93" spans="1:8" ht="27" customHeight="1" x14ac:dyDescent="0.25">
      <c r="A93" s="262">
        <v>43190</v>
      </c>
      <c r="B93" s="263" t="s">
        <v>2623</v>
      </c>
      <c r="C93" s="264">
        <v>12200</v>
      </c>
      <c r="D93" s="238" t="s">
        <v>122</v>
      </c>
      <c r="E93" s="238" t="s">
        <v>122</v>
      </c>
      <c r="F93" s="238" t="s">
        <v>122</v>
      </c>
      <c r="G93" s="238" t="s">
        <v>122</v>
      </c>
      <c r="H93" s="92" t="s">
        <v>122</v>
      </c>
    </row>
    <row r="94" spans="1:8" ht="27" customHeight="1" x14ac:dyDescent="0.25">
      <c r="A94" s="262">
        <v>43191</v>
      </c>
      <c r="B94" s="263" t="s">
        <v>1835</v>
      </c>
      <c r="C94" s="264">
        <v>12200</v>
      </c>
      <c r="D94" s="238" t="s">
        <v>122</v>
      </c>
      <c r="E94" s="238" t="s">
        <v>122</v>
      </c>
      <c r="F94" s="238" t="s">
        <v>122</v>
      </c>
      <c r="G94" s="238" t="s">
        <v>122</v>
      </c>
      <c r="H94" s="92" t="s">
        <v>122</v>
      </c>
    </row>
    <row r="95" spans="1:8" ht="27" customHeight="1" x14ac:dyDescent="0.25">
      <c r="A95" s="262">
        <v>43192</v>
      </c>
      <c r="B95" s="263" t="s">
        <v>1835</v>
      </c>
      <c r="C95" s="264">
        <v>12200</v>
      </c>
      <c r="D95" s="238" t="s">
        <v>122</v>
      </c>
      <c r="E95" s="238" t="s">
        <v>122</v>
      </c>
      <c r="F95" s="238" t="s">
        <v>122</v>
      </c>
      <c r="G95" s="238" t="s">
        <v>122</v>
      </c>
      <c r="H95" s="92" t="s">
        <v>122</v>
      </c>
    </row>
    <row r="96" spans="1:8" ht="27" customHeight="1" x14ac:dyDescent="0.25">
      <c r="A96" s="262">
        <v>43193</v>
      </c>
      <c r="B96" s="263" t="s">
        <v>1835</v>
      </c>
      <c r="C96" s="264">
        <v>12200</v>
      </c>
      <c r="D96" s="238" t="s">
        <v>122</v>
      </c>
      <c r="E96" s="238" t="s">
        <v>122</v>
      </c>
      <c r="F96" s="238" t="s">
        <v>122</v>
      </c>
      <c r="G96" s="238" t="s">
        <v>122</v>
      </c>
      <c r="H96" s="92" t="s">
        <v>122</v>
      </c>
    </row>
    <row r="97" spans="1:8" ht="27" customHeight="1" x14ac:dyDescent="0.25">
      <c r="A97" s="262">
        <v>43194</v>
      </c>
      <c r="B97" s="263" t="s">
        <v>1835</v>
      </c>
      <c r="C97" s="264">
        <v>12200</v>
      </c>
      <c r="D97" s="238" t="s">
        <v>122</v>
      </c>
      <c r="E97" s="238" t="s">
        <v>122</v>
      </c>
      <c r="F97" s="238" t="s">
        <v>122</v>
      </c>
      <c r="G97" s="238" t="s">
        <v>122</v>
      </c>
      <c r="H97" s="92" t="s">
        <v>122</v>
      </c>
    </row>
    <row r="98" spans="1:8" ht="27" customHeight="1" x14ac:dyDescent="0.25">
      <c r="A98" s="262">
        <v>43195</v>
      </c>
      <c r="B98" s="263" t="s">
        <v>1835</v>
      </c>
      <c r="C98" s="264">
        <v>12200</v>
      </c>
      <c r="D98" s="238" t="s">
        <v>122</v>
      </c>
      <c r="E98" s="238" t="s">
        <v>122</v>
      </c>
      <c r="F98" s="238" t="s">
        <v>122</v>
      </c>
      <c r="G98" s="238" t="s">
        <v>122</v>
      </c>
      <c r="H98" s="92" t="s">
        <v>122</v>
      </c>
    </row>
    <row r="99" spans="1:8" ht="27" customHeight="1" x14ac:dyDescent="0.25">
      <c r="A99" s="262">
        <v>43196</v>
      </c>
      <c r="B99" s="263" t="s">
        <v>1835</v>
      </c>
      <c r="C99" s="264">
        <v>12200</v>
      </c>
      <c r="D99" s="238" t="s">
        <v>122</v>
      </c>
      <c r="E99" s="238" t="s">
        <v>122</v>
      </c>
      <c r="F99" s="238" t="s">
        <v>122</v>
      </c>
      <c r="G99" s="238" t="s">
        <v>122</v>
      </c>
      <c r="H99" s="92" t="s">
        <v>122</v>
      </c>
    </row>
    <row r="100" spans="1:8" ht="27" customHeight="1" x14ac:dyDescent="0.25">
      <c r="A100" s="262">
        <v>43197</v>
      </c>
      <c r="B100" s="263" t="s">
        <v>1835</v>
      </c>
      <c r="C100" s="264">
        <v>12200</v>
      </c>
      <c r="D100" s="238" t="s">
        <v>122</v>
      </c>
      <c r="E100" s="238" t="s">
        <v>122</v>
      </c>
      <c r="F100" s="238" t="s">
        <v>122</v>
      </c>
      <c r="G100" s="238" t="s">
        <v>122</v>
      </c>
      <c r="H100" s="92" t="s">
        <v>122</v>
      </c>
    </row>
    <row r="101" spans="1:8" ht="27" customHeight="1" x14ac:dyDescent="0.25">
      <c r="A101" s="262">
        <v>43198</v>
      </c>
      <c r="B101" s="263" t="s">
        <v>1835</v>
      </c>
      <c r="C101" s="264">
        <v>12200</v>
      </c>
      <c r="D101" s="238" t="s">
        <v>122</v>
      </c>
      <c r="E101" s="238" t="s">
        <v>122</v>
      </c>
      <c r="F101" s="238" t="s">
        <v>122</v>
      </c>
      <c r="G101" s="238" t="s">
        <v>122</v>
      </c>
      <c r="H101" s="92" t="s">
        <v>122</v>
      </c>
    </row>
    <row r="102" spans="1:8" ht="27" customHeight="1" x14ac:dyDescent="0.25">
      <c r="A102" s="262">
        <v>43199</v>
      </c>
      <c r="B102" s="263" t="s">
        <v>1835</v>
      </c>
      <c r="C102" s="264">
        <v>12200</v>
      </c>
      <c r="D102" s="238" t="s">
        <v>122</v>
      </c>
      <c r="E102" s="238" t="s">
        <v>122</v>
      </c>
      <c r="F102" s="238" t="s">
        <v>122</v>
      </c>
      <c r="G102" s="238" t="s">
        <v>122</v>
      </c>
      <c r="H102" s="92" t="s">
        <v>122</v>
      </c>
    </row>
    <row r="103" spans="1:8" ht="27" customHeight="1" x14ac:dyDescent="0.25">
      <c r="A103" s="262">
        <v>43200</v>
      </c>
      <c r="B103" s="263" t="s">
        <v>1835</v>
      </c>
      <c r="C103" s="264">
        <v>12200</v>
      </c>
      <c r="D103" s="238" t="s">
        <v>122</v>
      </c>
      <c r="E103" s="238" t="s">
        <v>122</v>
      </c>
      <c r="F103" s="238" t="s">
        <v>122</v>
      </c>
      <c r="G103" s="238" t="s">
        <v>122</v>
      </c>
      <c r="H103" s="92" t="s">
        <v>122</v>
      </c>
    </row>
    <row r="104" spans="1:8" ht="27" customHeight="1" x14ac:dyDescent="0.25">
      <c r="A104" s="262">
        <v>43201</v>
      </c>
      <c r="B104" s="263" t="s">
        <v>1835</v>
      </c>
      <c r="C104" s="264">
        <v>12200</v>
      </c>
      <c r="D104" s="238" t="s">
        <v>122</v>
      </c>
      <c r="E104" s="238" t="s">
        <v>122</v>
      </c>
      <c r="F104" s="238" t="s">
        <v>122</v>
      </c>
      <c r="G104" s="238" t="s">
        <v>122</v>
      </c>
      <c r="H104" s="92" t="s">
        <v>122</v>
      </c>
    </row>
    <row r="105" spans="1:8" ht="27" customHeight="1" x14ac:dyDescent="0.25">
      <c r="A105" s="262">
        <v>43202</v>
      </c>
      <c r="B105" s="263" t="s">
        <v>1835</v>
      </c>
      <c r="C105" s="264">
        <v>12200</v>
      </c>
      <c r="D105" s="238" t="s">
        <v>122</v>
      </c>
      <c r="E105" s="238" t="s">
        <v>122</v>
      </c>
      <c r="F105" s="238" t="s">
        <v>122</v>
      </c>
      <c r="G105" s="238" t="s">
        <v>122</v>
      </c>
      <c r="H105" s="92" t="s">
        <v>122</v>
      </c>
    </row>
    <row r="106" spans="1:8" ht="27" customHeight="1" x14ac:dyDescent="0.25">
      <c r="A106" s="262">
        <v>43203</v>
      </c>
      <c r="B106" s="263" t="s">
        <v>1835</v>
      </c>
      <c r="C106" s="264">
        <v>12200</v>
      </c>
      <c r="D106" s="238" t="s">
        <v>122</v>
      </c>
      <c r="E106" s="238" t="s">
        <v>122</v>
      </c>
      <c r="F106" s="238" t="s">
        <v>122</v>
      </c>
      <c r="G106" s="238" t="s">
        <v>122</v>
      </c>
      <c r="H106" s="92" t="s">
        <v>122</v>
      </c>
    </row>
    <row r="107" spans="1:8" ht="27" customHeight="1" x14ac:dyDescent="0.25">
      <c r="A107" s="262">
        <v>43204</v>
      </c>
      <c r="B107" s="263" t="s">
        <v>1835</v>
      </c>
      <c r="C107" s="264">
        <v>12200</v>
      </c>
      <c r="D107" s="238" t="s">
        <v>122</v>
      </c>
      <c r="E107" s="238" t="s">
        <v>122</v>
      </c>
      <c r="F107" s="238" t="s">
        <v>122</v>
      </c>
      <c r="G107" s="238" t="s">
        <v>122</v>
      </c>
      <c r="H107" s="92" t="s">
        <v>122</v>
      </c>
    </row>
    <row r="108" spans="1:8" ht="27" customHeight="1" x14ac:dyDescent="0.25">
      <c r="A108" s="262">
        <v>43205</v>
      </c>
      <c r="B108" s="263" t="s">
        <v>1835</v>
      </c>
      <c r="C108" s="264">
        <v>12200</v>
      </c>
      <c r="D108" s="238" t="s">
        <v>122</v>
      </c>
      <c r="E108" s="238" t="s">
        <v>122</v>
      </c>
      <c r="F108" s="238" t="s">
        <v>122</v>
      </c>
      <c r="G108" s="238" t="s">
        <v>122</v>
      </c>
      <c r="H108" s="92" t="s">
        <v>122</v>
      </c>
    </row>
    <row r="109" spans="1:8" ht="27" customHeight="1" x14ac:dyDescent="0.25">
      <c r="A109" s="262">
        <v>43206</v>
      </c>
      <c r="B109" s="263" t="s">
        <v>1835</v>
      </c>
      <c r="C109" s="264">
        <v>12200</v>
      </c>
      <c r="D109" s="238" t="s">
        <v>122</v>
      </c>
      <c r="E109" s="238" t="s">
        <v>122</v>
      </c>
      <c r="F109" s="265">
        <v>0.33</v>
      </c>
      <c r="G109" s="266">
        <v>17.690000000000001</v>
      </c>
      <c r="H109" s="92" t="s">
        <v>122</v>
      </c>
    </row>
    <row r="110" spans="1:8" ht="27" customHeight="1" x14ac:dyDescent="0.25">
      <c r="A110" s="262">
        <v>43207</v>
      </c>
      <c r="B110" s="263" t="s">
        <v>2503</v>
      </c>
      <c r="C110" s="264">
        <v>12100</v>
      </c>
      <c r="D110" s="238" t="s">
        <v>122</v>
      </c>
      <c r="E110" s="238" t="s">
        <v>122</v>
      </c>
      <c r="F110" s="265">
        <v>0.46</v>
      </c>
      <c r="G110" s="266">
        <f>(21.95+26.29)/2</f>
        <v>24.119999999999997</v>
      </c>
      <c r="H110" s="92" t="s">
        <v>122</v>
      </c>
    </row>
    <row r="111" spans="1:8" ht="27" customHeight="1" x14ac:dyDescent="0.25">
      <c r="A111" s="262">
        <v>43208</v>
      </c>
      <c r="B111" s="263" t="s">
        <v>2503</v>
      </c>
      <c r="C111" s="264">
        <v>12100</v>
      </c>
      <c r="D111" s="238" t="s">
        <v>122</v>
      </c>
      <c r="E111" s="238" t="s">
        <v>122</v>
      </c>
      <c r="F111" s="265">
        <v>0.42</v>
      </c>
      <c r="G111" s="266">
        <v>21.97</v>
      </c>
      <c r="H111" s="92" t="s">
        <v>122</v>
      </c>
    </row>
    <row r="112" spans="1:8" ht="27" customHeight="1" x14ac:dyDescent="0.25">
      <c r="A112" s="262">
        <v>43209</v>
      </c>
      <c r="B112" s="263" t="s">
        <v>2409</v>
      </c>
      <c r="C112" s="264">
        <v>11900</v>
      </c>
      <c r="D112" s="238" t="s">
        <v>122</v>
      </c>
      <c r="E112" s="238" t="s">
        <v>122</v>
      </c>
      <c r="F112" s="265">
        <v>0.83</v>
      </c>
      <c r="G112" s="266">
        <f>(42.71+42.9)/2</f>
        <v>42.805</v>
      </c>
      <c r="H112" s="92" t="s">
        <v>122</v>
      </c>
    </row>
    <row r="113" spans="1:8" ht="27" customHeight="1" x14ac:dyDescent="0.25">
      <c r="A113" s="262">
        <v>43210</v>
      </c>
      <c r="B113" s="263" t="s">
        <v>1797</v>
      </c>
      <c r="C113" s="264">
        <v>11600</v>
      </c>
      <c r="D113" s="238" t="s">
        <v>122</v>
      </c>
      <c r="E113" s="238" t="s">
        <v>122</v>
      </c>
      <c r="F113" s="265">
        <v>1.08</v>
      </c>
      <c r="G113" s="266">
        <f>(54.38+54.64)/2</f>
        <v>54.510000000000005</v>
      </c>
      <c r="H113" s="92" t="s">
        <v>122</v>
      </c>
    </row>
    <row r="114" spans="1:8" ht="27" customHeight="1" x14ac:dyDescent="0.25">
      <c r="A114" s="262">
        <v>43211</v>
      </c>
      <c r="B114" s="263" t="s">
        <v>1796</v>
      </c>
      <c r="C114" s="264">
        <v>11500</v>
      </c>
      <c r="D114" s="238" t="s">
        <v>122</v>
      </c>
      <c r="E114" s="238" t="s">
        <v>122</v>
      </c>
      <c r="F114" s="265">
        <v>1.08</v>
      </c>
      <c r="G114" s="266">
        <f>(54.12+54.38)/2</f>
        <v>54.25</v>
      </c>
      <c r="H114" s="92" t="s">
        <v>122</v>
      </c>
    </row>
    <row r="115" spans="1:8" ht="27" customHeight="1" x14ac:dyDescent="0.25">
      <c r="A115" s="262">
        <v>43212</v>
      </c>
      <c r="B115" s="263" t="s">
        <v>1771</v>
      </c>
      <c r="C115" s="264">
        <v>11400</v>
      </c>
      <c r="D115" s="238" t="s">
        <v>122</v>
      </c>
      <c r="E115" s="238" t="s">
        <v>122</v>
      </c>
      <c r="F115" s="265">
        <v>1.08</v>
      </c>
      <c r="G115" s="266">
        <f>(54.12+53.87)/2</f>
        <v>53.994999999999997</v>
      </c>
      <c r="H115" s="92" t="s">
        <v>122</v>
      </c>
    </row>
    <row r="116" spans="1:8" ht="27" customHeight="1" x14ac:dyDescent="0.25">
      <c r="A116" s="262">
        <v>43213</v>
      </c>
      <c r="B116" s="263" t="s">
        <v>1770</v>
      </c>
      <c r="C116" s="264">
        <v>11300</v>
      </c>
      <c r="D116" s="238" t="s">
        <v>122</v>
      </c>
      <c r="E116" s="238" t="s">
        <v>122</v>
      </c>
      <c r="F116" s="265">
        <v>1.08</v>
      </c>
      <c r="G116" s="266">
        <f>(53.61+53.87)/2</f>
        <v>53.739999999999995</v>
      </c>
      <c r="H116" s="92" t="s">
        <v>122</v>
      </c>
    </row>
    <row r="117" spans="1:8" ht="27" customHeight="1" x14ac:dyDescent="0.25">
      <c r="A117" s="262">
        <v>43214</v>
      </c>
      <c r="B117" s="263" t="s">
        <v>1769</v>
      </c>
      <c r="C117" s="264">
        <v>11200</v>
      </c>
      <c r="D117" s="238" t="s">
        <v>122</v>
      </c>
      <c r="E117" s="238" t="s">
        <v>122</v>
      </c>
      <c r="F117" s="265">
        <v>1.08</v>
      </c>
      <c r="G117" s="266">
        <f>(53.35+53.61)/2</f>
        <v>53.480000000000004</v>
      </c>
      <c r="H117" s="92" t="s">
        <v>122</v>
      </c>
    </row>
    <row r="118" spans="1:8" ht="27" customHeight="1" x14ac:dyDescent="0.25">
      <c r="A118" s="262">
        <v>43215</v>
      </c>
      <c r="B118" s="263" t="s">
        <v>1770</v>
      </c>
      <c r="C118" s="264">
        <v>11300</v>
      </c>
      <c r="D118" s="238" t="s">
        <v>122</v>
      </c>
      <c r="E118" s="238" t="s">
        <v>122</v>
      </c>
      <c r="F118" s="265">
        <v>1.08</v>
      </c>
      <c r="G118" s="266">
        <v>53.74</v>
      </c>
      <c r="H118" s="92" t="s">
        <v>122</v>
      </c>
    </row>
    <row r="119" spans="1:8" ht="27" customHeight="1" x14ac:dyDescent="0.25">
      <c r="A119" s="262">
        <v>43216</v>
      </c>
      <c r="B119" s="263" t="s">
        <v>1769</v>
      </c>
      <c r="C119" s="264">
        <v>11200</v>
      </c>
      <c r="D119" s="238" t="s">
        <v>122</v>
      </c>
      <c r="E119" s="238" t="s">
        <v>122</v>
      </c>
      <c r="F119" s="265">
        <v>1.08</v>
      </c>
      <c r="G119" s="266">
        <v>53.48</v>
      </c>
      <c r="H119" s="92" t="s">
        <v>122</v>
      </c>
    </row>
    <row r="120" spans="1:8" ht="27" customHeight="1" x14ac:dyDescent="0.25">
      <c r="A120" s="262">
        <v>43217</v>
      </c>
      <c r="B120" s="263" t="s">
        <v>1769</v>
      </c>
      <c r="C120" s="264">
        <v>11200</v>
      </c>
      <c r="D120" s="238" t="s">
        <v>122</v>
      </c>
      <c r="E120" s="238" t="s">
        <v>122</v>
      </c>
      <c r="F120" s="265">
        <v>0.83</v>
      </c>
      <c r="G120" s="266">
        <v>41.74</v>
      </c>
      <c r="H120" s="92" t="s">
        <v>122</v>
      </c>
    </row>
    <row r="121" spans="1:8" ht="27" customHeight="1" x14ac:dyDescent="0.25">
      <c r="A121" s="262">
        <v>43218</v>
      </c>
      <c r="B121" s="263" t="s">
        <v>1778</v>
      </c>
      <c r="C121" s="264">
        <v>11100</v>
      </c>
      <c r="D121" s="238" t="s">
        <v>122</v>
      </c>
      <c r="E121" s="238" t="s">
        <v>122</v>
      </c>
      <c r="F121" s="265">
        <v>0.67</v>
      </c>
      <c r="G121" s="266">
        <v>33.549999999999997</v>
      </c>
      <c r="H121" s="92" t="s">
        <v>122</v>
      </c>
    </row>
    <row r="122" spans="1:8" ht="27" customHeight="1" x14ac:dyDescent="0.25">
      <c r="A122" s="262">
        <v>43219</v>
      </c>
      <c r="B122" s="263" t="s">
        <v>2624</v>
      </c>
      <c r="C122" s="264">
        <v>10950</v>
      </c>
      <c r="D122" s="238" t="s">
        <v>122</v>
      </c>
      <c r="E122" s="238" t="s">
        <v>122</v>
      </c>
      <c r="F122" s="265">
        <v>0.57999999999999996</v>
      </c>
      <c r="G122" s="266">
        <v>29.42</v>
      </c>
      <c r="H122" s="92" t="s">
        <v>122</v>
      </c>
    </row>
    <row r="123" spans="1:8" ht="27" customHeight="1" x14ac:dyDescent="0.25">
      <c r="A123" s="262">
        <v>43220</v>
      </c>
      <c r="B123" s="263" t="s">
        <v>1795</v>
      </c>
      <c r="C123" s="264">
        <v>10800</v>
      </c>
      <c r="D123" s="238" t="s">
        <v>122</v>
      </c>
      <c r="E123" s="238" t="s">
        <v>122</v>
      </c>
      <c r="F123" s="267">
        <v>0.5</v>
      </c>
      <c r="G123" s="266">
        <v>25.28</v>
      </c>
      <c r="H123" s="92" t="s">
        <v>122</v>
      </c>
    </row>
    <row r="124" spans="1:8" ht="27" customHeight="1" x14ac:dyDescent="0.25">
      <c r="A124" s="262">
        <v>43221</v>
      </c>
      <c r="B124" s="263" t="s">
        <v>2625</v>
      </c>
      <c r="C124" s="264">
        <v>10750</v>
      </c>
      <c r="D124" s="238" t="s">
        <v>122</v>
      </c>
      <c r="E124" s="238" t="s">
        <v>122</v>
      </c>
      <c r="F124" s="268">
        <v>0.5</v>
      </c>
      <c r="G124" s="266">
        <f>(25.16+25.28)/2</f>
        <v>25.22</v>
      </c>
      <c r="H124" s="92" t="s">
        <v>122</v>
      </c>
    </row>
    <row r="125" spans="1:8" ht="27" customHeight="1" x14ac:dyDescent="0.25">
      <c r="A125" s="262">
        <v>43222</v>
      </c>
      <c r="B125" s="263" t="s">
        <v>2626</v>
      </c>
      <c r="C125" s="264">
        <v>10750</v>
      </c>
      <c r="D125" s="238" t="s">
        <v>122</v>
      </c>
      <c r="E125" s="238" t="s">
        <v>122</v>
      </c>
      <c r="F125" s="269">
        <v>0.42</v>
      </c>
      <c r="G125" s="270">
        <f>(21.02+21.11)/2</f>
        <v>21.064999999999998</v>
      </c>
      <c r="H125" s="92" t="s">
        <v>122</v>
      </c>
    </row>
    <row r="126" spans="1:8" ht="27" customHeight="1" x14ac:dyDescent="0.25">
      <c r="A126" s="262">
        <v>43223</v>
      </c>
      <c r="B126" s="263" t="s">
        <v>2627</v>
      </c>
      <c r="C126" s="264">
        <v>10750</v>
      </c>
      <c r="D126" s="238" t="s">
        <v>122</v>
      </c>
      <c r="E126" s="238" t="s">
        <v>122</v>
      </c>
      <c r="F126" s="265">
        <v>0.17</v>
      </c>
      <c r="G126" s="266">
        <v>8.5399999999999991</v>
      </c>
      <c r="H126" s="92" t="s">
        <v>122</v>
      </c>
    </row>
    <row r="127" spans="1:8" ht="27" customHeight="1" x14ac:dyDescent="0.25">
      <c r="A127" s="262">
        <v>43224</v>
      </c>
      <c r="B127" s="263" t="s">
        <v>2625</v>
      </c>
      <c r="C127" s="264">
        <v>10750</v>
      </c>
      <c r="D127" s="238" t="s">
        <v>122</v>
      </c>
      <c r="E127" s="238" t="s">
        <v>122</v>
      </c>
      <c r="F127" s="265">
        <v>0.17</v>
      </c>
      <c r="G127" s="266">
        <v>8.56</v>
      </c>
      <c r="H127" s="92" t="s">
        <v>122</v>
      </c>
    </row>
    <row r="128" spans="1:8" ht="27" customHeight="1" x14ac:dyDescent="0.25">
      <c r="A128" s="262">
        <v>43225</v>
      </c>
      <c r="B128" s="263" t="s">
        <v>2628</v>
      </c>
      <c r="C128" s="264">
        <v>10800</v>
      </c>
      <c r="D128" s="238" t="s">
        <v>122</v>
      </c>
      <c r="E128" s="238" t="s">
        <v>122</v>
      </c>
      <c r="F128" s="265">
        <v>0.17</v>
      </c>
      <c r="G128" s="266">
        <v>8.58</v>
      </c>
      <c r="H128" s="92" t="s">
        <v>122</v>
      </c>
    </row>
    <row r="129" spans="1:8" ht="27" customHeight="1" x14ac:dyDescent="0.25">
      <c r="A129" s="262">
        <v>43226</v>
      </c>
      <c r="B129" s="263" t="s">
        <v>2629</v>
      </c>
      <c r="C129" s="264">
        <v>11200</v>
      </c>
      <c r="D129" s="238" t="s">
        <v>122</v>
      </c>
      <c r="E129" s="238" t="s">
        <v>122</v>
      </c>
      <c r="F129" s="265"/>
      <c r="G129" s="266" t="s">
        <v>122</v>
      </c>
      <c r="H129" s="92" t="s">
        <v>122</v>
      </c>
    </row>
    <row r="130" spans="1:8" ht="27" customHeight="1" x14ac:dyDescent="0.25">
      <c r="A130" s="262">
        <v>43227</v>
      </c>
      <c r="B130" s="263" t="s">
        <v>2629</v>
      </c>
      <c r="C130" s="264">
        <v>11200</v>
      </c>
      <c r="D130" s="238" t="s">
        <v>122</v>
      </c>
      <c r="E130" s="238" t="s">
        <v>122</v>
      </c>
      <c r="F130" s="265"/>
      <c r="G130" s="266" t="s">
        <v>122</v>
      </c>
      <c r="H130" s="92" t="s">
        <v>122</v>
      </c>
    </row>
    <row r="131" spans="1:8" ht="27" customHeight="1" x14ac:dyDescent="0.25">
      <c r="A131" s="262">
        <v>43228</v>
      </c>
      <c r="B131" s="263" t="s">
        <v>2629</v>
      </c>
      <c r="C131" s="264">
        <v>11200</v>
      </c>
      <c r="D131" s="238" t="s">
        <v>122</v>
      </c>
      <c r="E131" s="238" t="s">
        <v>122</v>
      </c>
      <c r="F131" s="265"/>
      <c r="G131" s="266" t="s">
        <v>122</v>
      </c>
      <c r="H131" s="92" t="s">
        <v>122</v>
      </c>
    </row>
    <row r="132" spans="1:8" ht="27" customHeight="1" x14ac:dyDescent="0.25">
      <c r="A132" s="262">
        <v>43229</v>
      </c>
      <c r="B132" s="263" t="s">
        <v>2083</v>
      </c>
      <c r="C132" s="264">
        <v>11200</v>
      </c>
      <c r="D132" s="238" t="s">
        <v>122</v>
      </c>
      <c r="E132" s="238" t="s">
        <v>122</v>
      </c>
      <c r="F132" s="265"/>
      <c r="G132" s="266" t="s">
        <v>122</v>
      </c>
      <c r="H132" s="92" t="s">
        <v>122</v>
      </c>
    </row>
    <row r="133" spans="1:8" ht="27" customHeight="1" x14ac:dyDescent="0.25">
      <c r="A133" s="262">
        <v>43230</v>
      </c>
      <c r="B133" s="263" t="s">
        <v>2630</v>
      </c>
      <c r="C133" s="264">
        <v>11300</v>
      </c>
      <c r="D133" s="238" t="s">
        <v>122</v>
      </c>
      <c r="E133" s="238" t="s">
        <v>122</v>
      </c>
      <c r="F133" s="265"/>
      <c r="G133" s="266" t="s">
        <v>122</v>
      </c>
      <c r="H133" s="92" t="s">
        <v>122</v>
      </c>
    </row>
    <row r="134" spans="1:8" ht="27" customHeight="1" x14ac:dyDescent="0.25">
      <c r="A134" s="262">
        <v>43231</v>
      </c>
      <c r="B134" s="263" t="s">
        <v>2631</v>
      </c>
      <c r="C134" s="264">
        <v>11600</v>
      </c>
      <c r="D134" s="238" t="s">
        <v>122</v>
      </c>
      <c r="E134" s="238" t="s">
        <v>122</v>
      </c>
      <c r="F134" s="265"/>
      <c r="G134" s="266" t="s">
        <v>122</v>
      </c>
      <c r="H134" s="92" t="s">
        <v>122</v>
      </c>
    </row>
    <row r="135" spans="1:8" ht="27" customHeight="1" x14ac:dyDescent="0.25">
      <c r="A135" s="262">
        <v>43232</v>
      </c>
      <c r="B135" s="263" t="s">
        <v>2050</v>
      </c>
      <c r="C135" s="264">
        <v>12200</v>
      </c>
      <c r="D135" s="238" t="s">
        <v>122</v>
      </c>
      <c r="E135" s="238" t="s">
        <v>122</v>
      </c>
      <c r="F135" s="265"/>
      <c r="G135" s="266" t="s">
        <v>122</v>
      </c>
      <c r="H135" s="92" t="s">
        <v>122</v>
      </c>
    </row>
    <row r="136" spans="1:8" ht="27" customHeight="1" x14ac:dyDescent="0.25">
      <c r="A136" s="262">
        <v>43233</v>
      </c>
      <c r="B136" s="263" t="s">
        <v>2632</v>
      </c>
      <c r="C136" s="264">
        <v>12300</v>
      </c>
      <c r="D136" s="238" t="s">
        <v>122</v>
      </c>
      <c r="E136" s="238" t="s">
        <v>122</v>
      </c>
      <c r="F136" s="265">
        <v>0.28999999999999998</v>
      </c>
      <c r="G136" s="266">
        <v>15.59</v>
      </c>
      <c r="H136" s="92" t="s">
        <v>122</v>
      </c>
    </row>
    <row r="137" spans="1:8" ht="27" customHeight="1" x14ac:dyDescent="0.25">
      <c r="A137" s="262">
        <v>43234</v>
      </c>
      <c r="B137" s="263" t="s">
        <v>2632</v>
      </c>
      <c r="C137" s="264">
        <v>12300</v>
      </c>
      <c r="D137" s="238" t="s">
        <v>122</v>
      </c>
      <c r="E137" s="238" t="s">
        <v>122</v>
      </c>
      <c r="F137" s="265">
        <v>0.28999999999999998</v>
      </c>
      <c r="G137" s="266">
        <v>15.59</v>
      </c>
      <c r="H137" s="92" t="s">
        <v>122</v>
      </c>
    </row>
    <row r="138" spans="1:8" ht="27" customHeight="1" x14ac:dyDescent="0.25">
      <c r="A138" s="262">
        <v>43235</v>
      </c>
      <c r="B138" s="263" t="s">
        <v>2633</v>
      </c>
      <c r="C138" s="264">
        <v>12400</v>
      </c>
      <c r="D138" s="238" t="s">
        <v>122</v>
      </c>
      <c r="E138" s="238" t="s">
        <v>122</v>
      </c>
      <c r="F138" s="265">
        <v>0.67</v>
      </c>
      <c r="G138" s="266">
        <v>35.08</v>
      </c>
      <c r="H138" s="92" t="s">
        <v>122</v>
      </c>
    </row>
    <row r="139" spans="1:8" ht="27" customHeight="1" x14ac:dyDescent="0.25">
      <c r="A139" s="262">
        <v>43236</v>
      </c>
      <c r="B139" s="263" t="s">
        <v>2633</v>
      </c>
      <c r="C139" s="264">
        <v>12400</v>
      </c>
      <c r="D139" s="238" t="s">
        <v>122</v>
      </c>
      <c r="E139" s="238" t="s">
        <v>122</v>
      </c>
      <c r="F139" s="265">
        <v>0.57999999999999996</v>
      </c>
      <c r="G139" s="270">
        <f>(30.76+30.89)/2</f>
        <v>30.825000000000003</v>
      </c>
      <c r="H139" s="92" t="s">
        <v>122</v>
      </c>
    </row>
    <row r="140" spans="1:8" ht="27" customHeight="1" x14ac:dyDescent="0.25">
      <c r="A140" s="262">
        <v>43237</v>
      </c>
      <c r="B140" s="263" t="s">
        <v>2634</v>
      </c>
      <c r="C140" s="264">
        <v>12400</v>
      </c>
      <c r="D140" s="238" t="s">
        <v>122</v>
      </c>
      <c r="E140" s="238" t="s">
        <v>122</v>
      </c>
      <c r="F140" s="265">
        <v>0.33</v>
      </c>
      <c r="G140" s="266">
        <v>17.84</v>
      </c>
      <c r="H140" s="92" t="s">
        <v>122</v>
      </c>
    </row>
    <row r="141" spans="1:8" ht="27" customHeight="1" x14ac:dyDescent="0.25">
      <c r="A141" s="262">
        <v>43238</v>
      </c>
      <c r="B141" s="263" t="s">
        <v>2633</v>
      </c>
      <c r="C141" s="264">
        <v>12400</v>
      </c>
      <c r="D141" s="238" t="s">
        <v>122</v>
      </c>
      <c r="E141" s="238" t="s">
        <v>122</v>
      </c>
      <c r="F141" s="265">
        <v>0.33</v>
      </c>
      <c r="G141" s="266">
        <v>17.84</v>
      </c>
      <c r="H141" s="92" t="s">
        <v>122</v>
      </c>
    </row>
    <row r="142" spans="1:8" ht="27" customHeight="1" x14ac:dyDescent="0.25">
      <c r="A142" s="262">
        <v>43239</v>
      </c>
      <c r="B142" s="263" t="s">
        <v>2633</v>
      </c>
      <c r="C142" s="264">
        <v>12400</v>
      </c>
      <c r="D142" s="238" t="s">
        <v>122</v>
      </c>
      <c r="E142" s="238" t="s">
        <v>122</v>
      </c>
      <c r="F142" s="265"/>
      <c r="G142" s="266" t="s">
        <v>122</v>
      </c>
      <c r="H142" s="92" t="s">
        <v>122</v>
      </c>
    </row>
    <row r="143" spans="1:8" ht="27" customHeight="1" x14ac:dyDescent="0.25">
      <c r="A143" s="262">
        <v>43240</v>
      </c>
      <c r="B143" s="263" t="s">
        <v>2635</v>
      </c>
      <c r="C143" s="264">
        <v>12500</v>
      </c>
      <c r="D143" s="238" t="s">
        <v>122</v>
      </c>
      <c r="E143" s="238" t="s">
        <v>122</v>
      </c>
      <c r="F143" s="265"/>
      <c r="G143" s="266" t="s">
        <v>122</v>
      </c>
      <c r="H143" s="92" t="s">
        <v>122</v>
      </c>
    </row>
    <row r="144" spans="1:8" ht="27" customHeight="1" x14ac:dyDescent="0.25">
      <c r="A144" s="262">
        <v>43241</v>
      </c>
      <c r="B144" s="263" t="s">
        <v>2049</v>
      </c>
      <c r="C144" s="264">
        <v>12500</v>
      </c>
      <c r="D144" s="238" t="s">
        <v>122</v>
      </c>
      <c r="E144" s="238" t="s">
        <v>122</v>
      </c>
      <c r="F144" s="265"/>
      <c r="G144" s="266" t="s">
        <v>122</v>
      </c>
      <c r="H144" s="92" t="s">
        <v>122</v>
      </c>
    </row>
    <row r="145" spans="1:8" ht="27" customHeight="1" x14ac:dyDescent="0.25">
      <c r="A145" s="262">
        <v>43242</v>
      </c>
      <c r="B145" s="263" t="s">
        <v>2049</v>
      </c>
      <c r="C145" s="264">
        <v>12500</v>
      </c>
      <c r="D145" s="238" t="s">
        <v>122</v>
      </c>
      <c r="E145" s="238" t="s">
        <v>122</v>
      </c>
      <c r="F145" s="265"/>
      <c r="G145" s="266" t="s">
        <v>122</v>
      </c>
      <c r="H145" s="92" t="s">
        <v>122</v>
      </c>
    </row>
    <row r="146" spans="1:8" ht="27" customHeight="1" x14ac:dyDescent="0.25">
      <c r="A146" s="262">
        <v>43243</v>
      </c>
      <c r="B146" s="263" t="s">
        <v>2635</v>
      </c>
      <c r="C146" s="264">
        <v>12500</v>
      </c>
      <c r="D146" s="238" t="s">
        <v>122</v>
      </c>
      <c r="E146" s="238" t="s">
        <v>122</v>
      </c>
      <c r="F146" s="265">
        <v>0.67</v>
      </c>
      <c r="G146" s="266">
        <v>35.229999999999997</v>
      </c>
      <c r="H146" s="92" t="s">
        <v>122</v>
      </c>
    </row>
    <row r="147" spans="1:8" ht="27" customHeight="1" x14ac:dyDescent="0.25">
      <c r="A147" s="262">
        <v>43244</v>
      </c>
      <c r="B147" s="263" t="s">
        <v>2636</v>
      </c>
      <c r="C147" s="264">
        <v>12450</v>
      </c>
      <c r="D147" s="238" t="s">
        <v>122</v>
      </c>
      <c r="E147" s="238" t="s">
        <v>122</v>
      </c>
      <c r="F147" s="265">
        <v>0.33</v>
      </c>
      <c r="G147" s="270">
        <f>(17.84+17.91)/2</f>
        <v>17.875</v>
      </c>
      <c r="H147" s="92" t="s">
        <v>122</v>
      </c>
    </row>
    <row r="148" spans="1:8" ht="27" customHeight="1" x14ac:dyDescent="0.25">
      <c r="A148" s="262">
        <v>43245</v>
      </c>
      <c r="B148" s="263" t="s">
        <v>2633</v>
      </c>
      <c r="C148" s="264">
        <v>12400</v>
      </c>
      <c r="D148" s="238" t="s">
        <v>122</v>
      </c>
      <c r="E148" s="238" t="s">
        <v>122</v>
      </c>
      <c r="F148" s="265">
        <v>0.28999999999999998</v>
      </c>
      <c r="G148" s="266">
        <f>(13.42+17.86)/2</f>
        <v>15.64</v>
      </c>
      <c r="H148" s="92" t="s">
        <v>122</v>
      </c>
    </row>
    <row r="149" spans="1:8" ht="27" customHeight="1" x14ac:dyDescent="0.25">
      <c r="A149" s="262">
        <v>43246</v>
      </c>
      <c r="B149" s="263" t="s">
        <v>2637</v>
      </c>
      <c r="C149" s="264">
        <v>12400</v>
      </c>
      <c r="D149" s="238" t="s">
        <v>122</v>
      </c>
      <c r="E149" s="238" t="s">
        <v>122</v>
      </c>
      <c r="F149" s="265">
        <v>0.25</v>
      </c>
      <c r="G149" s="270">
        <f>(13.41+13.46)/2</f>
        <v>13.435</v>
      </c>
      <c r="H149" s="92" t="s">
        <v>122</v>
      </c>
    </row>
    <row r="150" spans="1:8" ht="27" customHeight="1" x14ac:dyDescent="0.25">
      <c r="A150" s="262">
        <v>43247</v>
      </c>
      <c r="B150" s="263" t="s">
        <v>2638</v>
      </c>
      <c r="C150" s="264">
        <v>12350</v>
      </c>
      <c r="D150" s="238" t="s">
        <v>122</v>
      </c>
      <c r="E150" s="238" t="s">
        <v>122</v>
      </c>
      <c r="F150" s="265">
        <v>0.5</v>
      </c>
      <c r="G150" s="270">
        <f>(26.42+26.53)/2</f>
        <v>26.475000000000001</v>
      </c>
      <c r="H150" s="92" t="s">
        <v>122</v>
      </c>
    </row>
    <row r="151" spans="1:8" ht="27" customHeight="1" x14ac:dyDescent="0.25">
      <c r="A151" s="262">
        <v>43248</v>
      </c>
      <c r="B151" s="263" t="s">
        <v>2639</v>
      </c>
      <c r="C151" s="264">
        <v>12300</v>
      </c>
      <c r="D151" s="238" t="s">
        <v>122</v>
      </c>
      <c r="E151" s="238" t="s">
        <v>122</v>
      </c>
      <c r="F151" s="265" t="s">
        <v>122</v>
      </c>
      <c r="G151" s="266" t="s">
        <v>122</v>
      </c>
      <c r="H151" s="92" t="s">
        <v>122</v>
      </c>
    </row>
    <row r="152" spans="1:8" ht="27" customHeight="1" x14ac:dyDescent="0.25">
      <c r="A152" s="262">
        <v>43249</v>
      </c>
      <c r="B152" s="263" t="s">
        <v>2632</v>
      </c>
      <c r="C152" s="264">
        <v>12300</v>
      </c>
      <c r="D152" s="238" t="s">
        <v>122</v>
      </c>
      <c r="E152" s="238" t="s">
        <v>122</v>
      </c>
      <c r="F152" s="265" t="s">
        <v>122</v>
      </c>
      <c r="G152" s="266" t="s">
        <v>122</v>
      </c>
      <c r="H152" s="92" t="s">
        <v>122</v>
      </c>
    </row>
    <row r="153" spans="1:8" ht="27" customHeight="1" x14ac:dyDescent="0.25">
      <c r="A153" s="262">
        <v>43250</v>
      </c>
      <c r="B153" s="263" t="s">
        <v>2632</v>
      </c>
      <c r="C153" s="264">
        <v>12300</v>
      </c>
      <c r="D153" s="238" t="s">
        <v>122</v>
      </c>
      <c r="E153" s="238" t="s">
        <v>122</v>
      </c>
      <c r="F153" s="265" t="s">
        <v>122</v>
      </c>
      <c r="G153" s="266" t="s">
        <v>122</v>
      </c>
      <c r="H153" s="92" t="s">
        <v>122</v>
      </c>
    </row>
    <row r="154" spans="1:8" ht="27" customHeight="1" x14ac:dyDescent="0.25">
      <c r="A154" s="262">
        <v>43251</v>
      </c>
      <c r="B154" s="263" t="s">
        <v>2632</v>
      </c>
      <c r="C154" s="264">
        <v>12300</v>
      </c>
      <c r="D154" s="238" t="s">
        <v>122</v>
      </c>
      <c r="E154" s="238" t="s">
        <v>122</v>
      </c>
      <c r="F154" s="265" t="s">
        <v>122</v>
      </c>
      <c r="G154" s="266" t="s">
        <v>122</v>
      </c>
      <c r="H154" s="92" t="s">
        <v>122</v>
      </c>
    </row>
    <row r="155" spans="1:8" ht="27" customHeight="1" x14ac:dyDescent="0.25">
      <c r="A155" s="262">
        <v>43252</v>
      </c>
      <c r="B155" s="263" t="s">
        <v>2050</v>
      </c>
      <c r="C155" s="264">
        <v>12200</v>
      </c>
      <c r="D155" s="238" t="s">
        <v>122</v>
      </c>
      <c r="E155" s="238" t="s">
        <v>122</v>
      </c>
      <c r="F155" s="269">
        <v>0.83</v>
      </c>
      <c r="G155" s="266">
        <v>43.09</v>
      </c>
      <c r="H155" s="92" t="s">
        <v>122</v>
      </c>
    </row>
    <row r="156" spans="1:8" ht="27" customHeight="1" x14ac:dyDescent="0.25">
      <c r="A156" s="262">
        <v>43253</v>
      </c>
      <c r="B156" s="263" t="s">
        <v>2640</v>
      </c>
      <c r="C156" s="264">
        <v>12100</v>
      </c>
      <c r="D156" s="238" t="s">
        <v>122</v>
      </c>
      <c r="E156" s="238" t="s">
        <v>122</v>
      </c>
      <c r="F156" s="269">
        <v>0.75</v>
      </c>
      <c r="G156" s="266">
        <v>38.869999999999997</v>
      </c>
      <c r="H156" s="92" t="s">
        <v>122</v>
      </c>
    </row>
    <row r="157" spans="1:8" ht="27" customHeight="1" x14ac:dyDescent="0.25">
      <c r="A157" s="262">
        <v>43254</v>
      </c>
      <c r="B157" s="263" t="s">
        <v>2081</v>
      </c>
      <c r="C157" s="264">
        <v>12000</v>
      </c>
      <c r="D157" s="238" t="s">
        <v>122</v>
      </c>
      <c r="E157" s="238" t="s">
        <v>122</v>
      </c>
      <c r="F157" s="269">
        <v>0.75</v>
      </c>
      <c r="G157" s="270">
        <f>(38.7+38.87)/2</f>
        <v>38.784999999999997</v>
      </c>
      <c r="H157" s="92" t="s">
        <v>122</v>
      </c>
    </row>
    <row r="158" spans="1:8" ht="27" customHeight="1" x14ac:dyDescent="0.25">
      <c r="A158" s="262">
        <v>43255</v>
      </c>
      <c r="B158" s="263" t="s">
        <v>2641</v>
      </c>
      <c r="C158" s="264">
        <v>11800</v>
      </c>
      <c r="D158" s="238" t="s">
        <v>122</v>
      </c>
      <c r="E158" s="238" t="s">
        <v>122</v>
      </c>
      <c r="F158" s="269">
        <v>0.67</v>
      </c>
      <c r="G158" s="266">
        <v>34.47</v>
      </c>
      <c r="H158" s="92" t="s">
        <v>122</v>
      </c>
    </row>
    <row r="159" spans="1:8" ht="27" customHeight="1" x14ac:dyDescent="0.25">
      <c r="A159" s="262">
        <v>43256</v>
      </c>
      <c r="B159" s="263" t="s">
        <v>2051</v>
      </c>
      <c r="C159" s="264">
        <v>11600</v>
      </c>
      <c r="D159" s="238" t="s">
        <v>122</v>
      </c>
      <c r="E159" s="238" t="s">
        <v>122</v>
      </c>
      <c r="F159" s="269">
        <v>0.5</v>
      </c>
      <c r="G159" s="266">
        <v>25.97</v>
      </c>
      <c r="H159" s="92" t="s">
        <v>122</v>
      </c>
    </row>
    <row r="160" spans="1:8" ht="27" customHeight="1" x14ac:dyDescent="0.25">
      <c r="A160" s="262">
        <v>43257</v>
      </c>
      <c r="B160" s="263" t="s">
        <v>2051</v>
      </c>
      <c r="C160" s="264">
        <v>11600</v>
      </c>
      <c r="D160" s="238" t="s">
        <v>122</v>
      </c>
      <c r="E160" s="238" t="s">
        <v>122</v>
      </c>
      <c r="F160" s="269" t="s">
        <v>122</v>
      </c>
      <c r="G160" s="266" t="s">
        <v>122</v>
      </c>
      <c r="H160" s="92" t="s">
        <v>122</v>
      </c>
    </row>
    <row r="161" spans="1:8" ht="27" customHeight="1" x14ac:dyDescent="0.25">
      <c r="A161" s="262">
        <v>43258</v>
      </c>
      <c r="B161" s="263" t="s">
        <v>2631</v>
      </c>
      <c r="C161" s="264">
        <v>11600</v>
      </c>
      <c r="D161" s="238" t="s">
        <v>122</v>
      </c>
      <c r="E161" s="238" t="s">
        <v>122</v>
      </c>
      <c r="F161" s="269" t="s">
        <v>122</v>
      </c>
      <c r="G161" s="266" t="s">
        <v>122</v>
      </c>
      <c r="H161" s="92" t="s">
        <v>122</v>
      </c>
    </row>
    <row r="162" spans="1:8" ht="27" customHeight="1" x14ac:dyDescent="0.25">
      <c r="A162" s="262">
        <v>43259</v>
      </c>
      <c r="B162" s="263" t="s">
        <v>2051</v>
      </c>
      <c r="C162" s="264">
        <v>11600</v>
      </c>
      <c r="D162" s="238" t="s">
        <v>122</v>
      </c>
      <c r="E162" s="238" t="s">
        <v>122</v>
      </c>
      <c r="F162" s="269" t="s">
        <v>122</v>
      </c>
      <c r="G162" s="266" t="s">
        <v>122</v>
      </c>
      <c r="H162" s="92" t="s">
        <v>122</v>
      </c>
    </row>
    <row r="163" spans="1:8" ht="27" customHeight="1" x14ac:dyDescent="0.25">
      <c r="A163" s="262">
        <v>43260</v>
      </c>
      <c r="B163" s="263" t="s">
        <v>2631</v>
      </c>
      <c r="C163" s="264">
        <v>11600</v>
      </c>
      <c r="D163" s="238" t="s">
        <v>122</v>
      </c>
      <c r="E163" s="238" t="s">
        <v>122</v>
      </c>
      <c r="F163" s="269" t="s">
        <v>122</v>
      </c>
      <c r="G163" s="266" t="s">
        <v>122</v>
      </c>
      <c r="H163" s="92" t="s">
        <v>122</v>
      </c>
    </row>
    <row r="164" spans="1:8" ht="27" customHeight="1" x14ac:dyDescent="0.25">
      <c r="A164" s="262">
        <v>43261</v>
      </c>
      <c r="B164" s="263" t="s">
        <v>2051</v>
      </c>
      <c r="C164" s="264">
        <v>11600</v>
      </c>
      <c r="D164" s="238" t="s">
        <v>122</v>
      </c>
      <c r="E164" s="238" t="s">
        <v>122</v>
      </c>
      <c r="F164" s="269" t="s">
        <v>122</v>
      </c>
      <c r="G164" s="266" t="s">
        <v>122</v>
      </c>
      <c r="H164" s="92" t="s">
        <v>122</v>
      </c>
    </row>
    <row r="165" spans="1:8" ht="27" customHeight="1" x14ac:dyDescent="0.25">
      <c r="A165" s="262">
        <v>43262</v>
      </c>
      <c r="B165" s="263" t="s">
        <v>2642</v>
      </c>
      <c r="C165" s="264">
        <v>11500</v>
      </c>
      <c r="D165" s="238" t="s">
        <v>122</v>
      </c>
      <c r="E165" s="238" t="s">
        <v>122</v>
      </c>
      <c r="F165" s="269">
        <v>0.83</v>
      </c>
      <c r="G165" s="266">
        <v>42.32</v>
      </c>
      <c r="H165" s="92" t="s">
        <v>122</v>
      </c>
    </row>
    <row r="166" spans="1:8" ht="27" customHeight="1" x14ac:dyDescent="0.25">
      <c r="A166" s="262">
        <v>43263</v>
      </c>
      <c r="B166" s="263" t="s">
        <v>2643</v>
      </c>
      <c r="C166" s="264">
        <v>11400</v>
      </c>
      <c r="D166" s="238" t="s">
        <v>122</v>
      </c>
      <c r="E166" s="238" t="s">
        <v>122</v>
      </c>
      <c r="F166" s="269">
        <v>0.83</v>
      </c>
      <c r="G166" s="266">
        <v>42.13</v>
      </c>
      <c r="H166" s="92" t="s">
        <v>122</v>
      </c>
    </row>
    <row r="167" spans="1:8" ht="27" customHeight="1" x14ac:dyDescent="0.25">
      <c r="A167" s="262">
        <v>43264</v>
      </c>
      <c r="B167" s="263" t="s">
        <v>2630</v>
      </c>
      <c r="C167" s="264">
        <v>11300</v>
      </c>
      <c r="D167" s="238" t="s">
        <v>122</v>
      </c>
      <c r="E167" s="238" t="s">
        <v>122</v>
      </c>
      <c r="F167" s="269">
        <v>0.83</v>
      </c>
      <c r="G167" s="266">
        <v>41.93</v>
      </c>
      <c r="H167" s="92" t="s">
        <v>122</v>
      </c>
    </row>
    <row r="168" spans="1:8" ht="27" customHeight="1" x14ac:dyDescent="0.25">
      <c r="A168" s="262">
        <v>43265</v>
      </c>
      <c r="B168" s="263" t="s">
        <v>2083</v>
      </c>
      <c r="C168" s="264">
        <v>11200</v>
      </c>
      <c r="D168" s="238" t="s">
        <v>122</v>
      </c>
      <c r="E168" s="238" t="s">
        <v>122</v>
      </c>
      <c r="F168" s="269">
        <v>0.83</v>
      </c>
      <c r="G168" s="266">
        <v>41.74</v>
      </c>
      <c r="H168" s="92" t="s">
        <v>122</v>
      </c>
    </row>
    <row r="169" spans="1:8" ht="27" customHeight="1" x14ac:dyDescent="0.25">
      <c r="A169" s="262">
        <v>43266</v>
      </c>
      <c r="B169" s="263" t="s">
        <v>2644</v>
      </c>
      <c r="C169" s="264">
        <v>11100</v>
      </c>
      <c r="D169" s="238" t="s">
        <v>122</v>
      </c>
      <c r="E169" s="238" t="s">
        <v>122</v>
      </c>
      <c r="F169" s="269">
        <v>0.5</v>
      </c>
      <c r="G169" s="266">
        <v>25.39</v>
      </c>
      <c r="H169" s="92" t="s">
        <v>122</v>
      </c>
    </row>
    <row r="170" spans="1:8" ht="27" customHeight="1" x14ac:dyDescent="0.25">
      <c r="A170" s="262">
        <v>43267</v>
      </c>
      <c r="B170" s="263" t="s">
        <v>2628</v>
      </c>
      <c r="C170" s="264">
        <v>10800</v>
      </c>
      <c r="D170" s="238" t="s">
        <v>122</v>
      </c>
      <c r="E170" s="238" t="s">
        <v>122</v>
      </c>
      <c r="F170" s="269" t="s">
        <v>122</v>
      </c>
      <c r="G170" s="266" t="s">
        <v>122</v>
      </c>
      <c r="H170" s="92" t="s">
        <v>122</v>
      </c>
    </row>
    <row r="171" spans="1:8" ht="27" customHeight="1" x14ac:dyDescent="0.25">
      <c r="A171" s="262">
        <v>43268</v>
      </c>
      <c r="B171" s="263" t="s">
        <v>2628</v>
      </c>
      <c r="C171" s="264">
        <v>10800</v>
      </c>
      <c r="D171" s="238" t="s">
        <v>122</v>
      </c>
      <c r="E171" s="238" t="s">
        <v>122</v>
      </c>
      <c r="F171" s="269" t="s">
        <v>122</v>
      </c>
      <c r="G171" s="266" t="s">
        <v>122</v>
      </c>
      <c r="H171" s="92" t="s">
        <v>122</v>
      </c>
    </row>
    <row r="172" spans="1:8" ht="27" customHeight="1" x14ac:dyDescent="0.25">
      <c r="A172" s="262">
        <v>43269</v>
      </c>
      <c r="B172" s="263" t="s">
        <v>2628</v>
      </c>
      <c r="C172" s="264">
        <v>10800</v>
      </c>
      <c r="D172" s="238" t="s">
        <v>122</v>
      </c>
      <c r="E172" s="238" t="s">
        <v>122</v>
      </c>
      <c r="F172" s="269" t="s">
        <v>122</v>
      </c>
      <c r="G172" s="266" t="s">
        <v>122</v>
      </c>
      <c r="H172" s="92" t="s">
        <v>122</v>
      </c>
    </row>
    <row r="173" spans="1:8" ht="27" customHeight="1" x14ac:dyDescent="0.25">
      <c r="A173" s="262">
        <v>43270</v>
      </c>
      <c r="B173" s="263" t="s">
        <v>2628</v>
      </c>
      <c r="C173" s="264">
        <v>10800</v>
      </c>
      <c r="D173" s="238" t="s">
        <v>122</v>
      </c>
      <c r="E173" s="238" t="s">
        <v>122</v>
      </c>
      <c r="F173" s="269" t="s">
        <v>122</v>
      </c>
      <c r="G173" s="266" t="s">
        <v>122</v>
      </c>
      <c r="H173" s="92" t="s">
        <v>122</v>
      </c>
    </row>
    <row r="174" spans="1:8" ht="27" customHeight="1" x14ac:dyDescent="0.25">
      <c r="A174" s="262">
        <v>43271</v>
      </c>
      <c r="B174" s="263" t="s">
        <v>2628</v>
      </c>
      <c r="C174" s="264">
        <v>10800</v>
      </c>
      <c r="D174" s="238" t="s">
        <v>122</v>
      </c>
      <c r="E174" s="238" t="s">
        <v>122</v>
      </c>
      <c r="F174" s="269" t="s">
        <v>122</v>
      </c>
      <c r="G174" s="266" t="s">
        <v>122</v>
      </c>
      <c r="H174" s="92" t="s">
        <v>122</v>
      </c>
    </row>
    <row r="175" spans="1:8" ht="27" customHeight="1" x14ac:dyDescent="0.25">
      <c r="A175" s="262">
        <v>43272</v>
      </c>
      <c r="B175" s="263" t="s">
        <v>2626</v>
      </c>
      <c r="C175" s="264">
        <v>10700</v>
      </c>
      <c r="D175" s="238" t="s">
        <v>122</v>
      </c>
      <c r="E175" s="238" t="s">
        <v>122</v>
      </c>
      <c r="F175" s="269">
        <v>0.83</v>
      </c>
      <c r="G175" s="266">
        <v>41.14</v>
      </c>
      <c r="H175" s="92" t="s">
        <v>122</v>
      </c>
    </row>
    <row r="176" spans="1:8" ht="27" customHeight="1" x14ac:dyDescent="0.25">
      <c r="A176" s="262">
        <v>43273</v>
      </c>
      <c r="B176" s="263" t="s">
        <v>1781</v>
      </c>
      <c r="C176" s="264">
        <v>10600</v>
      </c>
      <c r="D176" s="238" t="s">
        <v>122</v>
      </c>
      <c r="E176" s="238" t="s">
        <v>122</v>
      </c>
      <c r="F176" s="269">
        <v>0.83</v>
      </c>
      <c r="G176" s="266">
        <v>40.94</v>
      </c>
      <c r="H176" s="92" t="s">
        <v>122</v>
      </c>
    </row>
    <row r="177" spans="1:8" ht="27" customHeight="1" x14ac:dyDescent="0.25">
      <c r="A177" s="262">
        <v>43274</v>
      </c>
      <c r="B177" s="263" t="s">
        <v>1782</v>
      </c>
      <c r="C177" s="264">
        <v>10500</v>
      </c>
      <c r="D177" s="238" t="s">
        <v>122</v>
      </c>
      <c r="E177" s="238" t="s">
        <v>122</v>
      </c>
      <c r="F177" s="269">
        <v>0.83</v>
      </c>
      <c r="G177" s="266">
        <v>40.74</v>
      </c>
      <c r="H177" s="92" t="s">
        <v>122</v>
      </c>
    </row>
    <row r="178" spans="1:8" ht="27" customHeight="1" x14ac:dyDescent="0.25">
      <c r="A178" s="262">
        <v>43275</v>
      </c>
      <c r="B178" s="263" t="s">
        <v>1768</v>
      </c>
      <c r="C178" s="264">
        <v>10400</v>
      </c>
      <c r="D178" s="238" t="s">
        <v>122</v>
      </c>
      <c r="E178" s="238" t="s">
        <v>122</v>
      </c>
      <c r="F178" s="269">
        <v>0.83</v>
      </c>
      <c r="G178" s="266">
        <v>40.54</v>
      </c>
      <c r="H178" s="92" t="s">
        <v>122</v>
      </c>
    </row>
    <row r="179" spans="1:8" ht="27" customHeight="1" x14ac:dyDescent="0.25">
      <c r="A179" s="262">
        <v>43276</v>
      </c>
      <c r="B179" s="263" t="s">
        <v>1783</v>
      </c>
      <c r="C179" s="264">
        <v>10300</v>
      </c>
      <c r="D179" s="238" t="s">
        <v>122</v>
      </c>
      <c r="E179" s="238" t="s">
        <v>122</v>
      </c>
      <c r="F179" s="269">
        <v>0.57999999999999996</v>
      </c>
      <c r="G179" s="266">
        <f>(28.59+28.73)/2</f>
        <v>28.66</v>
      </c>
      <c r="H179" s="92" t="s">
        <v>122</v>
      </c>
    </row>
    <row r="180" spans="1:8" ht="27" customHeight="1" x14ac:dyDescent="0.25">
      <c r="A180" s="262">
        <v>43277</v>
      </c>
      <c r="B180" s="263" t="s">
        <v>1784</v>
      </c>
      <c r="C180" s="264">
        <v>10200</v>
      </c>
      <c r="D180" s="238" t="s">
        <v>122</v>
      </c>
      <c r="E180" s="238" t="s">
        <v>122</v>
      </c>
      <c r="F180" s="269" t="s">
        <v>122</v>
      </c>
      <c r="G180" s="266" t="s">
        <v>122</v>
      </c>
      <c r="H180" s="92" t="s">
        <v>122</v>
      </c>
    </row>
    <row r="181" spans="1:8" ht="27" customHeight="1" x14ac:dyDescent="0.25">
      <c r="A181" s="262">
        <v>43278</v>
      </c>
      <c r="B181" s="263" t="s">
        <v>1784</v>
      </c>
      <c r="C181" s="264">
        <v>10200</v>
      </c>
      <c r="D181" s="238" t="s">
        <v>122</v>
      </c>
      <c r="E181" s="238" t="s">
        <v>122</v>
      </c>
      <c r="F181" s="269" t="s">
        <v>122</v>
      </c>
      <c r="G181" s="266" t="s">
        <v>122</v>
      </c>
      <c r="H181" s="92" t="s">
        <v>122</v>
      </c>
    </row>
    <row r="182" spans="1:8" ht="27" customHeight="1" x14ac:dyDescent="0.25">
      <c r="A182" s="262">
        <v>43279</v>
      </c>
      <c r="B182" s="263" t="s">
        <v>1784</v>
      </c>
      <c r="C182" s="264">
        <v>10200</v>
      </c>
      <c r="D182" s="238" t="s">
        <v>122</v>
      </c>
      <c r="E182" s="238" t="s">
        <v>122</v>
      </c>
      <c r="F182" s="269" t="s">
        <v>122</v>
      </c>
      <c r="G182" s="266" t="s">
        <v>122</v>
      </c>
      <c r="H182" s="92" t="s">
        <v>122</v>
      </c>
    </row>
    <row r="183" spans="1:8" ht="27" customHeight="1" x14ac:dyDescent="0.25">
      <c r="A183" s="262">
        <v>43280</v>
      </c>
      <c r="B183" s="263" t="s">
        <v>1784</v>
      </c>
      <c r="C183" s="264">
        <v>10200</v>
      </c>
      <c r="D183" s="238" t="s">
        <v>122</v>
      </c>
      <c r="E183" s="238" t="s">
        <v>122</v>
      </c>
      <c r="F183" s="269" t="s">
        <v>122</v>
      </c>
      <c r="G183" s="266" t="s">
        <v>122</v>
      </c>
      <c r="H183" s="92" t="s">
        <v>122</v>
      </c>
    </row>
    <row r="184" spans="1:8" ht="27" customHeight="1" x14ac:dyDescent="0.25">
      <c r="A184" s="262">
        <v>43281</v>
      </c>
      <c r="B184" s="263" t="s">
        <v>2645</v>
      </c>
      <c r="C184" s="264">
        <v>10100</v>
      </c>
      <c r="D184" s="238" t="s">
        <v>122</v>
      </c>
      <c r="E184" s="238" t="s">
        <v>122</v>
      </c>
      <c r="F184" s="269">
        <v>1</v>
      </c>
      <c r="G184" s="266">
        <v>47.41</v>
      </c>
      <c r="H184" s="92" t="s">
        <v>122</v>
      </c>
    </row>
    <row r="185" spans="1:8" ht="27" customHeight="1" x14ac:dyDescent="0.25">
      <c r="A185" s="262">
        <v>43282</v>
      </c>
      <c r="B185" s="263" t="s">
        <v>1786</v>
      </c>
      <c r="C185" s="264">
        <v>10000</v>
      </c>
      <c r="D185" s="238" t="s">
        <v>122</v>
      </c>
      <c r="E185" s="238" t="s">
        <v>122</v>
      </c>
      <c r="F185" s="269">
        <v>1</v>
      </c>
      <c r="G185" s="266">
        <v>47.16</v>
      </c>
      <c r="H185" s="92" t="s">
        <v>122</v>
      </c>
    </row>
    <row r="186" spans="1:8" ht="27" customHeight="1" x14ac:dyDescent="0.25">
      <c r="A186" s="262">
        <v>43283</v>
      </c>
      <c r="B186" s="263" t="s">
        <v>1786</v>
      </c>
      <c r="C186" s="264">
        <v>10000</v>
      </c>
      <c r="D186" s="238" t="s">
        <v>122</v>
      </c>
      <c r="E186" s="238" t="s">
        <v>122</v>
      </c>
      <c r="F186" s="269">
        <v>1</v>
      </c>
      <c r="G186" s="266">
        <v>47.16</v>
      </c>
      <c r="H186" s="92" t="s">
        <v>122</v>
      </c>
    </row>
    <row r="187" spans="1:8" ht="27" customHeight="1" x14ac:dyDescent="0.25">
      <c r="A187" s="262">
        <v>43284</v>
      </c>
      <c r="B187" s="263" t="s">
        <v>2646</v>
      </c>
      <c r="C187" s="264">
        <v>9750</v>
      </c>
      <c r="D187" s="238" t="s">
        <v>122</v>
      </c>
      <c r="E187" s="238" t="s">
        <v>122</v>
      </c>
      <c r="F187" s="269">
        <v>1</v>
      </c>
      <c r="G187" s="270">
        <f>(38.88+39.09)/2</f>
        <v>38.984999999999999</v>
      </c>
      <c r="H187" s="92" t="s">
        <v>122</v>
      </c>
    </row>
    <row r="188" spans="1:8" ht="27" customHeight="1" x14ac:dyDescent="0.25">
      <c r="A188" s="262">
        <v>43285</v>
      </c>
      <c r="B188" s="263" t="s">
        <v>1767</v>
      </c>
      <c r="C188" s="264">
        <v>9600</v>
      </c>
      <c r="D188" s="238" t="s">
        <v>122</v>
      </c>
      <c r="E188" s="238" t="s">
        <v>122</v>
      </c>
      <c r="F188" s="269">
        <v>0.83</v>
      </c>
      <c r="G188" s="266">
        <v>38.880000000000003</v>
      </c>
      <c r="H188" s="92" t="s">
        <v>122</v>
      </c>
    </row>
    <row r="189" spans="1:8" ht="27" customHeight="1" x14ac:dyDescent="0.25">
      <c r="A189" s="262">
        <v>43286</v>
      </c>
      <c r="B189" s="263" t="s">
        <v>1766</v>
      </c>
      <c r="C189" s="264">
        <v>9500</v>
      </c>
      <c r="D189" s="238" t="s">
        <v>122</v>
      </c>
      <c r="E189" s="238" t="s">
        <v>122</v>
      </c>
      <c r="F189" s="269" t="s">
        <v>122</v>
      </c>
      <c r="G189" s="266" t="s">
        <v>122</v>
      </c>
      <c r="H189" s="92" t="s">
        <v>122</v>
      </c>
    </row>
    <row r="190" spans="1:8" ht="27" customHeight="1" x14ac:dyDescent="0.25">
      <c r="A190" s="262">
        <v>43287</v>
      </c>
      <c r="B190" s="263" t="s">
        <v>1766</v>
      </c>
      <c r="C190" s="264">
        <v>9500</v>
      </c>
      <c r="D190" s="238" t="s">
        <v>122</v>
      </c>
      <c r="E190" s="238" t="s">
        <v>122</v>
      </c>
      <c r="F190" s="269" t="s">
        <v>122</v>
      </c>
      <c r="G190" s="266" t="s">
        <v>122</v>
      </c>
      <c r="H190" s="92" t="s">
        <v>122</v>
      </c>
    </row>
    <row r="191" spans="1:8" ht="27" customHeight="1" x14ac:dyDescent="0.25">
      <c r="A191" s="262">
        <v>43288</v>
      </c>
      <c r="B191" s="263" t="s">
        <v>1766</v>
      </c>
      <c r="C191" s="264">
        <v>9500</v>
      </c>
      <c r="D191" s="238" t="s">
        <v>122</v>
      </c>
      <c r="E191" s="238" t="s">
        <v>122</v>
      </c>
      <c r="F191" s="269" t="s">
        <v>122</v>
      </c>
      <c r="G191" s="266" t="s">
        <v>122</v>
      </c>
      <c r="H191" s="92" t="s">
        <v>122</v>
      </c>
    </row>
    <row r="192" spans="1:8" ht="27" customHeight="1" x14ac:dyDescent="0.25">
      <c r="A192" s="262">
        <v>43289</v>
      </c>
      <c r="B192" s="263" t="s">
        <v>1766</v>
      </c>
      <c r="C192" s="264">
        <v>9500</v>
      </c>
      <c r="D192" s="238" t="s">
        <v>122</v>
      </c>
      <c r="E192" s="238" t="s">
        <v>122</v>
      </c>
      <c r="F192" s="269" t="s">
        <v>122</v>
      </c>
      <c r="G192" s="266" t="s">
        <v>122</v>
      </c>
      <c r="H192" s="92" t="s">
        <v>122</v>
      </c>
    </row>
    <row r="193" spans="1:8" ht="27" customHeight="1" x14ac:dyDescent="0.25">
      <c r="A193" s="262">
        <v>43290</v>
      </c>
      <c r="B193" s="263" t="s">
        <v>1765</v>
      </c>
      <c r="C193" s="264">
        <v>9400</v>
      </c>
      <c r="D193" s="238" t="s">
        <v>122</v>
      </c>
      <c r="E193" s="238" t="s">
        <v>122</v>
      </c>
      <c r="F193" s="269">
        <v>1</v>
      </c>
      <c r="G193" s="266">
        <v>45.63</v>
      </c>
      <c r="H193" s="92" t="s">
        <v>122</v>
      </c>
    </row>
    <row r="194" spans="1:8" ht="27" customHeight="1" x14ac:dyDescent="0.25">
      <c r="A194" s="262">
        <v>43291</v>
      </c>
      <c r="B194" s="263" t="s">
        <v>1763</v>
      </c>
      <c r="C194" s="264">
        <v>9250</v>
      </c>
      <c r="D194" s="238" t="s">
        <v>122</v>
      </c>
      <c r="E194" s="238" t="s">
        <v>122</v>
      </c>
      <c r="F194" s="269">
        <v>1</v>
      </c>
      <c r="G194" s="266">
        <f>(45.11+45.37)/2</f>
        <v>45.239999999999995</v>
      </c>
      <c r="H194" s="92" t="s">
        <v>122</v>
      </c>
    </row>
    <row r="195" spans="1:8" ht="27" customHeight="1" x14ac:dyDescent="0.25">
      <c r="A195" s="262">
        <v>43292</v>
      </c>
      <c r="B195" s="263" t="s">
        <v>1791</v>
      </c>
      <c r="C195" s="264">
        <v>9150</v>
      </c>
      <c r="D195" s="238" t="s">
        <v>122</v>
      </c>
      <c r="E195" s="238" t="s">
        <v>122</v>
      </c>
      <c r="F195" s="269">
        <v>1</v>
      </c>
      <c r="G195" s="266">
        <f>(45.11+44.84)/2</f>
        <v>44.975000000000001</v>
      </c>
      <c r="H195" s="92" t="s">
        <v>122</v>
      </c>
    </row>
    <row r="196" spans="1:8" ht="27" customHeight="1" x14ac:dyDescent="0.25">
      <c r="A196" s="262">
        <v>43293</v>
      </c>
      <c r="B196" s="263" t="s">
        <v>1979</v>
      </c>
      <c r="C196" s="264">
        <v>9050</v>
      </c>
      <c r="D196" s="238" t="s">
        <v>122</v>
      </c>
      <c r="E196" s="238" t="s">
        <v>122</v>
      </c>
      <c r="F196" s="269">
        <v>0.83</v>
      </c>
      <c r="G196" s="266">
        <f>(37.59+37.81)/2</f>
        <v>37.700000000000003</v>
      </c>
      <c r="H196" s="92" t="s">
        <v>122</v>
      </c>
    </row>
    <row r="197" spans="1:8" ht="27" customHeight="1" x14ac:dyDescent="0.25">
      <c r="A197" s="262">
        <v>43294</v>
      </c>
      <c r="B197" s="263" t="s">
        <v>2406</v>
      </c>
      <c r="C197" s="264">
        <v>8950</v>
      </c>
      <c r="D197" s="238" t="s">
        <v>122</v>
      </c>
      <c r="E197" s="238" t="s">
        <v>122</v>
      </c>
      <c r="F197" s="269">
        <v>0.83</v>
      </c>
      <c r="G197" s="266">
        <f>(37.37+37.59)/2</f>
        <v>37.480000000000004</v>
      </c>
      <c r="H197" s="92" t="s">
        <v>122</v>
      </c>
    </row>
    <row r="198" spans="1:8" ht="27" customHeight="1" x14ac:dyDescent="0.25">
      <c r="A198" s="262">
        <v>43295</v>
      </c>
      <c r="B198" s="263" t="s">
        <v>1981</v>
      </c>
      <c r="C198" s="264">
        <v>8850</v>
      </c>
      <c r="D198" s="238" t="s">
        <v>122</v>
      </c>
      <c r="E198" s="238" t="s">
        <v>122</v>
      </c>
      <c r="F198" s="269" t="s">
        <v>122</v>
      </c>
      <c r="G198" s="266" t="s">
        <v>122</v>
      </c>
      <c r="H198" s="92" t="s">
        <v>122</v>
      </c>
    </row>
    <row r="199" spans="1:8" ht="27" customHeight="1" x14ac:dyDescent="0.25">
      <c r="A199" s="262">
        <v>43296</v>
      </c>
      <c r="B199" s="263" t="s">
        <v>1981</v>
      </c>
      <c r="C199" s="264">
        <v>8850</v>
      </c>
      <c r="D199" s="238" t="s">
        <v>122</v>
      </c>
      <c r="E199" s="238" t="s">
        <v>122</v>
      </c>
      <c r="F199" s="269" t="s">
        <v>122</v>
      </c>
      <c r="G199" s="266" t="s">
        <v>122</v>
      </c>
      <c r="H199" s="92" t="s">
        <v>122</v>
      </c>
    </row>
    <row r="200" spans="1:8" ht="27" customHeight="1" x14ac:dyDescent="0.25">
      <c r="A200" s="262">
        <v>43297</v>
      </c>
      <c r="B200" s="263" t="s">
        <v>1981</v>
      </c>
      <c r="C200" s="264">
        <v>8850</v>
      </c>
      <c r="D200" s="238" t="s">
        <v>122</v>
      </c>
      <c r="E200" s="238" t="s">
        <v>122</v>
      </c>
      <c r="F200" s="269" t="s">
        <v>122</v>
      </c>
      <c r="G200" s="266" t="s">
        <v>122</v>
      </c>
      <c r="H200" s="92" t="s">
        <v>122</v>
      </c>
    </row>
    <row r="201" spans="1:8" ht="27" customHeight="1" x14ac:dyDescent="0.25">
      <c r="A201" s="262">
        <v>43298</v>
      </c>
      <c r="B201" s="263" t="s">
        <v>1809</v>
      </c>
      <c r="C201" s="264">
        <v>8750</v>
      </c>
      <c r="D201" s="238" t="s">
        <v>122</v>
      </c>
      <c r="E201" s="238" t="s">
        <v>122</v>
      </c>
      <c r="F201" s="269">
        <v>1</v>
      </c>
      <c r="G201" s="266">
        <f>(43.77+44.04)/2</f>
        <v>43.905000000000001</v>
      </c>
      <c r="H201" s="92" t="s">
        <v>122</v>
      </c>
    </row>
    <row r="202" spans="1:8" ht="27" customHeight="1" x14ac:dyDescent="0.25">
      <c r="A202" s="262">
        <v>43299</v>
      </c>
      <c r="B202" s="263" t="s">
        <v>1810</v>
      </c>
      <c r="C202" s="264">
        <v>8600</v>
      </c>
      <c r="D202" s="238" t="s">
        <v>122</v>
      </c>
      <c r="E202" s="238" t="s">
        <v>122</v>
      </c>
      <c r="F202" s="269">
        <v>1.17</v>
      </c>
      <c r="G202" s="266">
        <v>50.11</v>
      </c>
      <c r="H202" s="92" t="s">
        <v>122</v>
      </c>
    </row>
    <row r="203" spans="1:8" ht="27" customHeight="1" x14ac:dyDescent="0.25">
      <c r="A203" s="262">
        <v>43300</v>
      </c>
      <c r="B203" s="263" t="s">
        <v>1987</v>
      </c>
      <c r="C203" s="264">
        <v>8450</v>
      </c>
      <c r="D203" s="238" t="s">
        <v>122</v>
      </c>
      <c r="E203" s="238" t="s">
        <v>122</v>
      </c>
      <c r="F203" s="269">
        <v>1.17</v>
      </c>
      <c r="G203" s="266">
        <v>49.75</v>
      </c>
      <c r="H203" s="92" t="s">
        <v>122</v>
      </c>
    </row>
    <row r="204" spans="1:8" ht="27" customHeight="1" x14ac:dyDescent="0.25">
      <c r="A204" s="262">
        <v>43301</v>
      </c>
      <c r="B204" s="263" t="s">
        <v>1813</v>
      </c>
      <c r="C204" s="264">
        <v>8300</v>
      </c>
      <c r="D204" s="238" t="s">
        <v>122</v>
      </c>
      <c r="E204" s="238" t="s">
        <v>122</v>
      </c>
      <c r="F204" s="269">
        <v>1.17</v>
      </c>
      <c r="G204" s="266">
        <v>49.45</v>
      </c>
      <c r="H204" s="92" t="s">
        <v>122</v>
      </c>
    </row>
    <row r="205" spans="1:8" ht="27" customHeight="1" x14ac:dyDescent="0.25">
      <c r="A205" s="262">
        <v>43302</v>
      </c>
      <c r="B205" s="263" t="s">
        <v>1814</v>
      </c>
      <c r="C205" s="264">
        <v>8275</v>
      </c>
      <c r="D205" s="238" t="s">
        <v>122</v>
      </c>
      <c r="E205" s="238" t="s">
        <v>122</v>
      </c>
      <c r="F205" s="269">
        <v>0.33</v>
      </c>
      <c r="G205" s="270">
        <f>(14.86+14.95)/2</f>
        <v>14.904999999999999</v>
      </c>
      <c r="H205" s="92" t="s">
        <v>122</v>
      </c>
    </row>
    <row r="206" spans="1:8" ht="27" customHeight="1" x14ac:dyDescent="0.25">
      <c r="A206" s="262">
        <v>43303</v>
      </c>
      <c r="B206" s="263" t="s">
        <v>2647</v>
      </c>
      <c r="C206" s="264">
        <v>8250</v>
      </c>
      <c r="D206" s="238" t="s">
        <v>122</v>
      </c>
      <c r="E206" s="238" t="s">
        <v>122</v>
      </c>
      <c r="F206" s="269" t="s">
        <v>122</v>
      </c>
      <c r="G206" s="266" t="s">
        <v>122</v>
      </c>
      <c r="H206" s="92" t="s">
        <v>122</v>
      </c>
    </row>
    <row r="207" spans="1:8" ht="27" customHeight="1" x14ac:dyDescent="0.25">
      <c r="A207" s="262">
        <v>43304</v>
      </c>
      <c r="B207" s="263" t="s">
        <v>2647</v>
      </c>
      <c r="C207" s="264">
        <v>8250</v>
      </c>
      <c r="D207" s="238" t="s">
        <v>122</v>
      </c>
      <c r="E207" s="238" t="s">
        <v>122</v>
      </c>
      <c r="F207" s="269" t="s">
        <v>122</v>
      </c>
      <c r="G207" s="266" t="s">
        <v>122</v>
      </c>
      <c r="H207" s="92" t="s">
        <v>122</v>
      </c>
    </row>
    <row r="208" spans="1:8" ht="27" customHeight="1" x14ac:dyDescent="0.25">
      <c r="A208" s="262">
        <v>43305</v>
      </c>
      <c r="B208" s="263" t="s">
        <v>2647</v>
      </c>
      <c r="C208" s="264">
        <v>8250</v>
      </c>
      <c r="D208" s="238" t="s">
        <v>122</v>
      </c>
      <c r="E208" s="238" t="s">
        <v>122</v>
      </c>
      <c r="F208" s="269" t="s">
        <v>122</v>
      </c>
      <c r="G208" s="266" t="s">
        <v>122</v>
      </c>
      <c r="H208" s="92" t="s">
        <v>122</v>
      </c>
    </row>
    <row r="209" spans="1:8" ht="27" customHeight="1" x14ac:dyDescent="0.25">
      <c r="A209" s="262">
        <v>43306</v>
      </c>
      <c r="B209" s="263" t="s">
        <v>2647</v>
      </c>
      <c r="C209" s="264">
        <v>8250</v>
      </c>
      <c r="D209" s="238" t="s">
        <v>122</v>
      </c>
      <c r="E209" s="238" t="s">
        <v>122</v>
      </c>
      <c r="F209" s="269" t="s">
        <v>122</v>
      </c>
      <c r="G209" s="266" t="s">
        <v>122</v>
      </c>
      <c r="H209" s="92" t="s">
        <v>122</v>
      </c>
    </row>
    <row r="210" spans="1:8" ht="27" customHeight="1" x14ac:dyDescent="0.25">
      <c r="A210" s="262">
        <v>43307</v>
      </c>
      <c r="B210" s="263" t="s">
        <v>2647</v>
      </c>
      <c r="C210" s="264">
        <v>8250</v>
      </c>
      <c r="D210" s="238" t="s">
        <v>122</v>
      </c>
      <c r="E210" s="238" t="s">
        <v>122</v>
      </c>
      <c r="F210" s="269" t="s">
        <v>122</v>
      </c>
      <c r="G210" s="266" t="s">
        <v>122</v>
      </c>
      <c r="H210" s="92" t="s">
        <v>122</v>
      </c>
    </row>
    <row r="211" spans="1:8" ht="27" customHeight="1" x14ac:dyDescent="0.25">
      <c r="A211" s="262">
        <v>43308</v>
      </c>
      <c r="B211" s="263" t="s">
        <v>1815</v>
      </c>
      <c r="C211" s="264">
        <v>8200</v>
      </c>
      <c r="D211" s="238" t="s">
        <v>122</v>
      </c>
      <c r="E211" s="238" t="s">
        <v>122</v>
      </c>
      <c r="F211" s="269">
        <v>1</v>
      </c>
      <c r="G211" s="266">
        <v>42.12</v>
      </c>
      <c r="H211" s="92" t="s">
        <v>122</v>
      </c>
    </row>
    <row r="212" spans="1:8" ht="27" customHeight="1" x14ac:dyDescent="0.25">
      <c r="A212" s="262">
        <v>43309</v>
      </c>
      <c r="B212" s="263" t="s">
        <v>1991</v>
      </c>
      <c r="C212" s="264">
        <v>8050</v>
      </c>
      <c r="D212" s="238" t="s">
        <v>122</v>
      </c>
      <c r="E212" s="238" t="s">
        <v>122</v>
      </c>
      <c r="F212" s="269">
        <v>1.17</v>
      </c>
      <c r="G212" s="266">
        <f>(47.8+48.14)/2</f>
        <v>47.97</v>
      </c>
      <c r="H212" s="92" t="s">
        <v>122</v>
      </c>
    </row>
    <row r="213" spans="1:8" ht="27" customHeight="1" x14ac:dyDescent="0.25">
      <c r="A213" s="262">
        <v>43310</v>
      </c>
      <c r="B213" s="263" t="s">
        <v>1819</v>
      </c>
      <c r="C213" s="264">
        <v>7900</v>
      </c>
      <c r="D213" s="238" t="s">
        <v>122</v>
      </c>
      <c r="E213" s="238" t="s">
        <v>122</v>
      </c>
      <c r="F213" s="269">
        <v>1.17</v>
      </c>
      <c r="G213" s="266">
        <v>47.47</v>
      </c>
      <c r="H213" s="92" t="s">
        <v>122</v>
      </c>
    </row>
    <row r="214" spans="1:8" ht="27" customHeight="1" x14ac:dyDescent="0.25">
      <c r="A214" s="262">
        <v>43311</v>
      </c>
      <c r="B214" s="263" t="s">
        <v>1820</v>
      </c>
      <c r="C214" s="264">
        <v>7800</v>
      </c>
      <c r="D214" s="238" t="s">
        <v>122</v>
      </c>
      <c r="E214" s="238" t="s">
        <v>122</v>
      </c>
      <c r="F214" s="268">
        <v>1</v>
      </c>
      <c r="G214" s="266">
        <v>40.98</v>
      </c>
      <c r="H214" s="92" t="s">
        <v>122</v>
      </c>
    </row>
    <row r="215" spans="1:8" ht="27" customHeight="1" x14ac:dyDescent="0.25">
      <c r="A215" s="262">
        <v>43312</v>
      </c>
      <c r="B215" s="263" t="s">
        <v>1821</v>
      </c>
      <c r="C215" s="264">
        <v>7700</v>
      </c>
      <c r="D215" s="238" t="s">
        <v>122</v>
      </c>
      <c r="E215" s="238" t="s">
        <v>122</v>
      </c>
      <c r="F215" s="269">
        <v>0.83</v>
      </c>
      <c r="G215" s="270">
        <v>34.39</v>
      </c>
      <c r="H215" s="92" t="s">
        <v>122</v>
      </c>
    </row>
    <row r="216" spans="1:8" ht="27" customHeight="1" x14ac:dyDescent="0.25">
      <c r="A216" s="262">
        <v>43313</v>
      </c>
      <c r="B216" s="263" t="s">
        <v>1822</v>
      </c>
      <c r="C216" s="264">
        <v>7600</v>
      </c>
      <c r="D216" s="238" t="s">
        <v>122</v>
      </c>
      <c r="E216" s="238" t="s">
        <v>122</v>
      </c>
      <c r="F216" s="269"/>
      <c r="G216" s="266" t="s">
        <v>122</v>
      </c>
      <c r="H216" s="92" t="s">
        <v>122</v>
      </c>
    </row>
    <row r="217" spans="1:8" ht="27" customHeight="1" x14ac:dyDescent="0.25">
      <c r="A217" s="262">
        <v>43314</v>
      </c>
      <c r="B217" s="263" t="s">
        <v>1822</v>
      </c>
      <c r="C217" s="264">
        <v>7600</v>
      </c>
      <c r="D217" s="238" t="s">
        <v>122</v>
      </c>
      <c r="E217" s="238" t="s">
        <v>122</v>
      </c>
      <c r="F217" s="269"/>
      <c r="G217" s="266" t="s">
        <v>122</v>
      </c>
      <c r="H217" s="92" t="s">
        <v>122</v>
      </c>
    </row>
    <row r="218" spans="1:8" ht="27" customHeight="1" x14ac:dyDescent="0.25">
      <c r="A218" s="262">
        <v>43315</v>
      </c>
      <c r="B218" s="263" t="s">
        <v>1822</v>
      </c>
      <c r="C218" s="264">
        <v>7600</v>
      </c>
      <c r="D218" s="238" t="s">
        <v>122</v>
      </c>
      <c r="E218" s="238" t="s">
        <v>122</v>
      </c>
      <c r="F218" s="269"/>
      <c r="G218" s="266" t="s">
        <v>122</v>
      </c>
      <c r="H218" s="92" t="s">
        <v>122</v>
      </c>
    </row>
    <row r="219" spans="1:8" ht="27" customHeight="1" x14ac:dyDescent="0.25">
      <c r="A219" s="262">
        <v>43316</v>
      </c>
      <c r="B219" s="263" t="s">
        <v>1822</v>
      </c>
      <c r="C219" s="264">
        <v>7600</v>
      </c>
      <c r="D219" s="238" t="s">
        <v>122</v>
      </c>
      <c r="E219" s="238" t="s">
        <v>122</v>
      </c>
      <c r="F219" s="269"/>
      <c r="G219" s="266" t="s">
        <v>122</v>
      </c>
      <c r="H219" s="92" t="s">
        <v>122</v>
      </c>
    </row>
    <row r="220" spans="1:8" ht="27" customHeight="1" x14ac:dyDescent="0.25">
      <c r="A220" s="262">
        <v>43317</v>
      </c>
      <c r="B220" s="263" t="s">
        <v>1822</v>
      </c>
      <c r="C220" s="264">
        <v>7600</v>
      </c>
      <c r="D220" s="238" t="s">
        <v>122</v>
      </c>
      <c r="E220" s="238" t="s">
        <v>122</v>
      </c>
      <c r="F220" s="269"/>
      <c r="G220" s="266" t="s">
        <v>122</v>
      </c>
      <c r="H220" s="92" t="s">
        <v>122</v>
      </c>
    </row>
    <row r="221" spans="1:8" ht="27" customHeight="1" x14ac:dyDescent="0.25">
      <c r="A221" s="262">
        <v>43318</v>
      </c>
      <c r="B221" s="263" t="s">
        <v>1823</v>
      </c>
      <c r="C221" s="264">
        <v>7500</v>
      </c>
      <c r="D221" s="238" t="s">
        <v>122</v>
      </c>
      <c r="E221" s="238" t="s">
        <v>122</v>
      </c>
      <c r="F221" s="269">
        <v>0.83</v>
      </c>
      <c r="G221" s="266">
        <v>33.92</v>
      </c>
      <c r="H221" s="92" t="s">
        <v>122</v>
      </c>
    </row>
    <row r="222" spans="1:8" ht="27" customHeight="1" x14ac:dyDescent="0.25">
      <c r="A222" s="262">
        <v>43319</v>
      </c>
      <c r="B222" s="263" t="s">
        <v>2648</v>
      </c>
      <c r="C222" s="264">
        <v>7425</v>
      </c>
      <c r="D222" s="238" t="s">
        <v>122</v>
      </c>
      <c r="E222" s="238" t="s">
        <v>122</v>
      </c>
      <c r="F222" s="269">
        <v>1.17</v>
      </c>
      <c r="G222" s="266">
        <v>45.7</v>
      </c>
      <c r="H222" s="92" t="s">
        <v>122</v>
      </c>
    </row>
    <row r="223" spans="1:8" ht="27" customHeight="1" x14ac:dyDescent="0.25">
      <c r="A223" s="262">
        <v>43320</v>
      </c>
      <c r="B223" s="263" t="s">
        <v>2649</v>
      </c>
      <c r="C223" s="264">
        <v>7350</v>
      </c>
      <c r="D223" s="238" t="s">
        <v>122</v>
      </c>
      <c r="E223" s="238" t="s">
        <v>122</v>
      </c>
      <c r="F223" s="269">
        <v>1.17</v>
      </c>
      <c r="G223" s="270">
        <f>(45.03+45.38)/2</f>
        <v>45.204999999999998</v>
      </c>
      <c r="H223" s="92" t="s">
        <v>122</v>
      </c>
    </row>
    <row r="224" spans="1:8" ht="27" customHeight="1" x14ac:dyDescent="0.25">
      <c r="A224" s="262">
        <v>43321</v>
      </c>
      <c r="B224" s="263" t="s">
        <v>1827</v>
      </c>
      <c r="C224" s="264">
        <v>7200</v>
      </c>
      <c r="D224" s="238" t="s">
        <v>122</v>
      </c>
      <c r="E224" s="238" t="s">
        <v>122</v>
      </c>
      <c r="F224" s="269">
        <v>1.17</v>
      </c>
      <c r="G224" s="266">
        <v>44.67</v>
      </c>
      <c r="H224" s="92" t="s">
        <v>122</v>
      </c>
    </row>
    <row r="225" spans="1:8" ht="27" customHeight="1" x14ac:dyDescent="0.25">
      <c r="A225" s="262">
        <v>43322</v>
      </c>
      <c r="B225" s="263" t="s">
        <v>1997</v>
      </c>
      <c r="C225" s="264">
        <v>7050</v>
      </c>
      <c r="D225" s="238" t="s">
        <v>122</v>
      </c>
      <c r="E225" s="238" t="s">
        <v>122</v>
      </c>
      <c r="F225" s="269">
        <v>1.17</v>
      </c>
      <c r="G225" s="266">
        <f>(44.3+43.94)/2</f>
        <v>44.12</v>
      </c>
      <c r="H225" s="92" t="s">
        <v>122</v>
      </c>
    </row>
    <row r="226" spans="1:8" ht="27" customHeight="1" x14ac:dyDescent="0.25">
      <c r="A226" s="262">
        <v>43323</v>
      </c>
      <c r="B226" s="263" t="s">
        <v>1974</v>
      </c>
      <c r="C226" s="264">
        <v>6950</v>
      </c>
      <c r="D226" s="238" t="s">
        <v>122</v>
      </c>
      <c r="E226" s="238" t="s">
        <v>122</v>
      </c>
      <c r="F226" s="269">
        <v>1.17</v>
      </c>
      <c r="G226" s="266">
        <v>43.57</v>
      </c>
      <c r="H226" s="92" t="s">
        <v>122</v>
      </c>
    </row>
    <row r="227" spans="1:8" ht="27" customHeight="1" x14ac:dyDescent="0.25">
      <c r="A227" s="262">
        <v>43324</v>
      </c>
      <c r="B227" s="263" t="s">
        <v>1831</v>
      </c>
      <c r="C227" s="264">
        <v>6900</v>
      </c>
      <c r="D227" s="267">
        <v>1.25</v>
      </c>
      <c r="E227" s="266">
        <f>(40.52+40.97)/2</f>
        <v>40.745000000000005</v>
      </c>
      <c r="F227" s="269"/>
      <c r="G227" s="266" t="s">
        <v>122</v>
      </c>
      <c r="H227" s="92" t="s">
        <v>122</v>
      </c>
    </row>
    <row r="228" spans="1:8" ht="27" customHeight="1" x14ac:dyDescent="0.25">
      <c r="A228" s="262">
        <v>43325</v>
      </c>
      <c r="B228" s="263" t="s">
        <v>2650</v>
      </c>
      <c r="C228" s="264">
        <v>6750</v>
      </c>
      <c r="D228" s="267">
        <v>1.25</v>
      </c>
      <c r="E228" s="266">
        <v>40.07</v>
      </c>
      <c r="F228" s="269"/>
      <c r="G228" s="266" t="s">
        <v>122</v>
      </c>
      <c r="H228" s="92" t="s">
        <v>122</v>
      </c>
    </row>
    <row r="229" spans="1:8" ht="27" customHeight="1" x14ac:dyDescent="0.25">
      <c r="A229" s="262">
        <v>43326</v>
      </c>
      <c r="B229" s="263" t="s">
        <v>2000</v>
      </c>
      <c r="C229" s="264">
        <v>6750</v>
      </c>
      <c r="D229" s="267" t="s">
        <v>122</v>
      </c>
      <c r="E229" s="266" t="s">
        <v>122</v>
      </c>
      <c r="F229" s="269"/>
      <c r="G229" s="266" t="s">
        <v>122</v>
      </c>
      <c r="H229" s="92" t="s">
        <v>122</v>
      </c>
    </row>
    <row r="230" spans="1:8" ht="27" customHeight="1" x14ac:dyDescent="0.25">
      <c r="A230" s="262">
        <v>43327</v>
      </c>
      <c r="B230" s="263" t="s">
        <v>2000</v>
      </c>
      <c r="C230" s="264">
        <v>6750</v>
      </c>
      <c r="D230" s="267" t="s">
        <v>122</v>
      </c>
      <c r="E230" s="266" t="s">
        <v>122</v>
      </c>
      <c r="F230" s="269"/>
      <c r="G230" s="266" t="s">
        <v>122</v>
      </c>
      <c r="H230" s="92" t="s">
        <v>122</v>
      </c>
    </row>
    <row r="231" spans="1:8" ht="27" customHeight="1" x14ac:dyDescent="0.25">
      <c r="A231" s="262">
        <v>43328</v>
      </c>
      <c r="B231" s="263" t="s">
        <v>1834</v>
      </c>
      <c r="C231" s="264">
        <v>6600</v>
      </c>
      <c r="D231" s="267">
        <v>1</v>
      </c>
      <c r="E231" s="266">
        <v>32.61</v>
      </c>
      <c r="F231" s="269"/>
      <c r="G231" s="266" t="s">
        <v>122</v>
      </c>
      <c r="H231" s="92" t="s">
        <v>122</v>
      </c>
    </row>
    <row r="232" spans="1:8" ht="27" customHeight="1" x14ac:dyDescent="0.25">
      <c r="A232" s="262">
        <v>43329</v>
      </c>
      <c r="B232" s="263" t="s">
        <v>2605</v>
      </c>
      <c r="C232" s="264">
        <v>6400</v>
      </c>
      <c r="D232" s="267">
        <v>1.25</v>
      </c>
      <c r="E232" s="270">
        <f>(37.67+38.16)/2</f>
        <v>37.914999999999999</v>
      </c>
      <c r="F232" s="269"/>
      <c r="G232" s="266" t="s">
        <v>122</v>
      </c>
      <c r="H232" s="92" t="s">
        <v>122</v>
      </c>
    </row>
    <row r="233" spans="1:8" ht="27" customHeight="1" x14ac:dyDescent="0.25">
      <c r="A233" s="262">
        <v>43330</v>
      </c>
      <c r="B233" s="263" t="s">
        <v>2604</v>
      </c>
      <c r="C233" s="264">
        <v>6300</v>
      </c>
      <c r="D233" s="267">
        <v>1</v>
      </c>
      <c r="E233" s="266">
        <v>31.12</v>
      </c>
      <c r="F233" s="269"/>
      <c r="G233" s="266" t="s">
        <v>122</v>
      </c>
      <c r="H233" s="92" t="s">
        <v>122</v>
      </c>
    </row>
    <row r="234" spans="1:8" ht="27" customHeight="1" x14ac:dyDescent="0.25">
      <c r="A234" s="262">
        <v>43331</v>
      </c>
      <c r="B234" s="263" t="s">
        <v>2603</v>
      </c>
      <c r="C234" s="264">
        <v>6250</v>
      </c>
      <c r="D234" s="267">
        <v>1</v>
      </c>
      <c r="E234" s="266">
        <v>25.94</v>
      </c>
      <c r="F234" s="269"/>
      <c r="G234" s="266" t="s">
        <v>122</v>
      </c>
      <c r="H234" s="92" t="s">
        <v>122</v>
      </c>
    </row>
    <row r="235" spans="1:8" ht="27" customHeight="1" x14ac:dyDescent="0.25">
      <c r="A235" s="262">
        <v>43332</v>
      </c>
      <c r="B235" s="263" t="s">
        <v>2651</v>
      </c>
      <c r="C235" s="264">
        <v>6200</v>
      </c>
      <c r="D235" s="267">
        <v>1</v>
      </c>
      <c r="E235" s="266">
        <v>30.35</v>
      </c>
      <c r="F235" s="269"/>
      <c r="G235" s="266" t="s">
        <v>122</v>
      </c>
      <c r="H235" s="92" t="s">
        <v>122</v>
      </c>
    </row>
    <row r="236" spans="1:8" ht="27" customHeight="1" x14ac:dyDescent="0.25">
      <c r="A236" s="262">
        <v>43333</v>
      </c>
      <c r="B236" s="263" t="s">
        <v>2652</v>
      </c>
      <c r="C236" s="264">
        <v>6125</v>
      </c>
      <c r="D236" s="267">
        <v>1.25</v>
      </c>
      <c r="E236" s="270">
        <f>(35.65+36.16)/2</f>
        <v>35.905000000000001</v>
      </c>
      <c r="F236" s="269"/>
      <c r="G236" s="266" t="s">
        <v>122</v>
      </c>
      <c r="H236" s="92" t="s">
        <v>122</v>
      </c>
    </row>
    <row r="237" spans="1:8" ht="27" customHeight="1" x14ac:dyDescent="0.25">
      <c r="A237" s="262">
        <v>43334</v>
      </c>
      <c r="B237" s="263" t="s">
        <v>2653</v>
      </c>
      <c r="C237" s="264">
        <v>5950</v>
      </c>
      <c r="D237" s="267">
        <v>1.5</v>
      </c>
      <c r="E237" s="270">
        <f>(33.5+34.05)/2</f>
        <v>33.774999999999999</v>
      </c>
      <c r="F237" s="269"/>
      <c r="G237" s="266" t="s">
        <v>122</v>
      </c>
      <c r="H237" s="92" t="s">
        <v>122</v>
      </c>
    </row>
    <row r="238" spans="1:8" ht="27" customHeight="1" x14ac:dyDescent="0.25">
      <c r="A238" s="262">
        <v>43335</v>
      </c>
      <c r="B238" s="263" t="s">
        <v>2654</v>
      </c>
      <c r="C238" s="264">
        <v>5825</v>
      </c>
      <c r="D238" s="267">
        <v>1.5</v>
      </c>
      <c r="E238" s="266">
        <f>(32.37+32.94)/2</f>
        <v>32.655000000000001</v>
      </c>
      <c r="F238" s="269"/>
      <c r="G238" s="266" t="s">
        <v>122</v>
      </c>
      <c r="H238" s="92" t="s">
        <v>122</v>
      </c>
    </row>
    <row r="239" spans="1:8" ht="27" customHeight="1" x14ac:dyDescent="0.25">
      <c r="A239" s="262">
        <v>43336</v>
      </c>
      <c r="B239" s="263" t="s">
        <v>1970</v>
      </c>
      <c r="C239" s="264">
        <v>5700</v>
      </c>
      <c r="D239" s="267">
        <v>1.5</v>
      </c>
      <c r="E239" s="266">
        <v>31.79</v>
      </c>
      <c r="F239" s="269"/>
      <c r="G239" s="266" t="s">
        <v>122</v>
      </c>
      <c r="H239" s="92" t="s">
        <v>122</v>
      </c>
    </row>
    <row r="240" spans="1:8" ht="27" customHeight="1" x14ac:dyDescent="0.25">
      <c r="A240" s="262">
        <v>43337</v>
      </c>
      <c r="B240" s="263" t="s">
        <v>2602</v>
      </c>
      <c r="C240" s="264">
        <v>5500</v>
      </c>
      <c r="D240" s="267">
        <v>1.5</v>
      </c>
      <c r="E240" s="266">
        <v>30.6</v>
      </c>
      <c r="F240" s="269"/>
      <c r="G240" s="266" t="s">
        <v>122</v>
      </c>
      <c r="H240" s="92" t="s">
        <v>122</v>
      </c>
    </row>
    <row r="241" spans="1:8" ht="27" customHeight="1" x14ac:dyDescent="0.25">
      <c r="A241" s="262">
        <v>43338</v>
      </c>
      <c r="B241" s="263" t="s">
        <v>2583</v>
      </c>
      <c r="C241" s="264">
        <v>5350</v>
      </c>
      <c r="D241" s="267">
        <v>1.5</v>
      </c>
      <c r="E241" s="266">
        <v>29.35</v>
      </c>
      <c r="F241" s="269"/>
      <c r="G241" s="266" t="s">
        <v>122</v>
      </c>
      <c r="H241" s="92" t="s">
        <v>122</v>
      </c>
    </row>
    <row r="242" spans="1:8" ht="27" customHeight="1" x14ac:dyDescent="0.25">
      <c r="A242" s="262">
        <v>43339</v>
      </c>
      <c r="B242" s="263" t="s">
        <v>2585</v>
      </c>
      <c r="C242" s="264">
        <v>5250</v>
      </c>
      <c r="D242" s="267">
        <v>1.5</v>
      </c>
      <c r="E242" s="266">
        <v>28.05</v>
      </c>
      <c r="F242" s="269"/>
      <c r="G242" s="266" t="s">
        <v>122</v>
      </c>
      <c r="H242" s="92" t="s">
        <v>122</v>
      </c>
    </row>
    <row r="243" spans="1:8" ht="27" customHeight="1" x14ac:dyDescent="0.25">
      <c r="A243" s="262">
        <v>43340</v>
      </c>
      <c r="B243" s="263" t="s">
        <v>2585</v>
      </c>
      <c r="C243" s="264">
        <v>5250</v>
      </c>
      <c r="D243" s="267" t="s">
        <v>122</v>
      </c>
      <c r="E243" s="266" t="s">
        <v>122</v>
      </c>
      <c r="F243" s="269"/>
      <c r="G243" s="266" t="s">
        <v>122</v>
      </c>
      <c r="H243" s="92" t="s">
        <v>122</v>
      </c>
    </row>
    <row r="244" spans="1:8" ht="27" customHeight="1" x14ac:dyDescent="0.25">
      <c r="A244" s="262">
        <v>43341</v>
      </c>
      <c r="B244" s="263" t="s">
        <v>2585</v>
      </c>
      <c r="C244" s="264">
        <v>5250</v>
      </c>
      <c r="D244" s="267" t="s">
        <v>122</v>
      </c>
      <c r="E244" s="266" t="s">
        <v>122</v>
      </c>
      <c r="F244" s="269"/>
      <c r="G244" s="266" t="s">
        <v>122</v>
      </c>
      <c r="H244" s="92" t="s">
        <v>122</v>
      </c>
    </row>
    <row r="245" spans="1:8" ht="27" customHeight="1" x14ac:dyDescent="0.25">
      <c r="A245" s="262">
        <v>43342</v>
      </c>
      <c r="B245" s="263" t="s">
        <v>2585</v>
      </c>
      <c r="C245" s="264">
        <v>5250</v>
      </c>
      <c r="D245" s="267" t="s">
        <v>122</v>
      </c>
      <c r="E245" s="266" t="s">
        <v>122</v>
      </c>
      <c r="F245" s="268"/>
      <c r="G245" s="266" t="s">
        <v>122</v>
      </c>
      <c r="H245" s="92" t="s">
        <v>122</v>
      </c>
    </row>
    <row r="246" spans="1:8" ht="27" customHeight="1" x14ac:dyDescent="0.25">
      <c r="A246" s="262">
        <v>43343</v>
      </c>
      <c r="B246" s="263" t="s">
        <v>2585</v>
      </c>
      <c r="C246" s="264">
        <v>5250</v>
      </c>
      <c r="D246" s="267" t="s">
        <v>122</v>
      </c>
      <c r="E246" s="266" t="s">
        <v>122</v>
      </c>
      <c r="F246" s="269"/>
      <c r="G246" s="270" t="s">
        <v>122</v>
      </c>
      <c r="H246" s="92" t="s">
        <v>122</v>
      </c>
    </row>
    <row r="247" spans="1:8" ht="27" customHeight="1" x14ac:dyDescent="0.25">
      <c r="A247" s="262">
        <v>43344</v>
      </c>
      <c r="B247" s="263" t="s">
        <v>2585</v>
      </c>
      <c r="C247" s="264">
        <v>5250</v>
      </c>
      <c r="D247" s="267" t="s">
        <v>122</v>
      </c>
      <c r="E247" s="266" t="s">
        <v>122</v>
      </c>
      <c r="F247" s="269"/>
      <c r="G247" s="270" t="s">
        <v>122</v>
      </c>
      <c r="H247" s="92" t="s">
        <v>122</v>
      </c>
    </row>
    <row r="248" spans="1:8" ht="27" customHeight="1" x14ac:dyDescent="0.25">
      <c r="A248" s="262">
        <v>43345</v>
      </c>
      <c r="B248" s="263" t="s">
        <v>2585</v>
      </c>
      <c r="C248" s="264">
        <v>5250</v>
      </c>
      <c r="D248" s="267" t="s">
        <v>122</v>
      </c>
      <c r="E248" s="266" t="s">
        <v>122</v>
      </c>
      <c r="F248" s="269"/>
      <c r="G248" s="270" t="s">
        <v>122</v>
      </c>
      <c r="H248" s="92" t="s">
        <v>122</v>
      </c>
    </row>
    <row r="249" spans="1:8" ht="27" customHeight="1" x14ac:dyDescent="0.25">
      <c r="A249" s="262">
        <v>43346</v>
      </c>
      <c r="B249" s="263" t="s">
        <v>2585</v>
      </c>
      <c r="C249" s="264">
        <v>5250</v>
      </c>
      <c r="D249" s="267" t="s">
        <v>122</v>
      </c>
      <c r="E249" s="266" t="s">
        <v>122</v>
      </c>
      <c r="F249" s="269"/>
      <c r="G249" s="270" t="s">
        <v>122</v>
      </c>
      <c r="H249" s="92" t="s">
        <v>122</v>
      </c>
    </row>
    <row r="250" spans="1:8" ht="27" customHeight="1" x14ac:dyDescent="0.25">
      <c r="A250" s="262">
        <v>43347</v>
      </c>
      <c r="B250" s="263" t="s">
        <v>2586</v>
      </c>
      <c r="C250" s="264">
        <v>5200</v>
      </c>
      <c r="D250" s="267" t="s">
        <v>122</v>
      </c>
      <c r="E250" s="266" t="s">
        <v>122</v>
      </c>
      <c r="F250" s="269"/>
      <c r="G250" s="270" t="s">
        <v>122</v>
      </c>
      <c r="H250" s="92" t="s">
        <v>122</v>
      </c>
    </row>
    <row r="251" spans="1:8" ht="27" customHeight="1" x14ac:dyDescent="0.25">
      <c r="A251" s="262">
        <v>43348</v>
      </c>
      <c r="B251" s="263" t="s">
        <v>2586</v>
      </c>
      <c r="C251" s="264">
        <v>5200</v>
      </c>
      <c r="D251" s="267" t="s">
        <v>122</v>
      </c>
      <c r="E251" s="266" t="s">
        <v>122</v>
      </c>
      <c r="F251" s="269"/>
      <c r="G251" s="270" t="s">
        <v>122</v>
      </c>
      <c r="H251" s="92" t="s">
        <v>122</v>
      </c>
    </row>
    <row r="252" spans="1:8" ht="27" customHeight="1" x14ac:dyDescent="0.25">
      <c r="A252" s="262">
        <v>43349</v>
      </c>
      <c r="B252" s="263" t="s">
        <v>2586</v>
      </c>
      <c r="C252" s="264">
        <v>5200</v>
      </c>
      <c r="D252" s="267" t="s">
        <v>122</v>
      </c>
      <c r="E252" s="266" t="s">
        <v>122</v>
      </c>
      <c r="F252" s="269"/>
      <c r="G252" s="270" t="s">
        <v>122</v>
      </c>
      <c r="H252" s="92" t="s">
        <v>122</v>
      </c>
    </row>
    <row r="253" spans="1:8" ht="27" customHeight="1" x14ac:dyDescent="0.25">
      <c r="A253" s="262">
        <v>43350</v>
      </c>
      <c r="B253" s="263" t="s">
        <v>2587</v>
      </c>
      <c r="C253" s="264">
        <v>5150</v>
      </c>
      <c r="D253" s="267" t="s">
        <v>122</v>
      </c>
      <c r="E253" s="266" t="s">
        <v>122</v>
      </c>
      <c r="F253" s="269"/>
      <c r="G253" s="270" t="s">
        <v>122</v>
      </c>
      <c r="H253" s="92" t="s">
        <v>122</v>
      </c>
    </row>
    <row r="254" spans="1:8" ht="27" customHeight="1" x14ac:dyDescent="0.25">
      <c r="A254" s="262">
        <v>43351</v>
      </c>
      <c r="B254" s="263" t="s">
        <v>2587</v>
      </c>
      <c r="C254" s="264">
        <v>5150</v>
      </c>
      <c r="D254" s="267" t="s">
        <v>122</v>
      </c>
      <c r="E254" s="266" t="s">
        <v>122</v>
      </c>
      <c r="F254" s="269"/>
      <c r="G254" s="270" t="s">
        <v>122</v>
      </c>
      <c r="H254" s="92" t="s">
        <v>122</v>
      </c>
    </row>
    <row r="255" spans="1:8" ht="27" customHeight="1" x14ac:dyDescent="0.25">
      <c r="A255" s="262">
        <v>43352</v>
      </c>
      <c r="B255" s="263" t="s">
        <v>2587</v>
      </c>
      <c r="C255" s="264">
        <v>5150</v>
      </c>
      <c r="D255" s="267" t="s">
        <v>122</v>
      </c>
      <c r="E255" s="266" t="s">
        <v>122</v>
      </c>
      <c r="F255" s="269"/>
      <c r="G255" s="270" t="s">
        <v>122</v>
      </c>
      <c r="H255" s="92" t="s">
        <v>122</v>
      </c>
    </row>
    <row r="256" spans="1:8" ht="27" customHeight="1" x14ac:dyDescent="0.25">
      <c r="A256" s="262">
        <v>43353</v>
      </c>
      <c r="B256" s="263" t="s">
        <v>2586</v>
      </c>
      <c r="C256" s="264">
        <v>5200</v>
      </c>
      <c r="D256" s="267" t="s">
        <v>122</v>
      </c>
      <c r="E256" s="266" t="s">
        <v>122</v>
      </c>
      <c r="F256" s="269"/>
      <c r="G256" s="270" t="s">
        <v>122</v>
      </c>
      <c r="H256" s="92" t="s">
        <v>122</v>
      </c>
    </row>
    <row r="257" spans="1:8" ht="27" customHeight="1" x14ac:dyDescent="0.25">
      <c r="A257" s="262">
        <v>43354</v>
      </c>
      <c r="B257" s="263" t="s">
        <v>2601</v>
      </c>
      <c r="C257" s="264">
        <v>5400</v>
      </c>
      <c r="D257" s="267" t="s">
        <v>122</v>
      </c>
      <c r="E257" s="266" t="s">
        <v>122</v>
      </c>
      <c r="F257" s="269"/>
      <c r="G257" s="270" t="s">
        <v>122</v>
      </c>
      <c r="H257" s="92" t="s">
        <v>122</v>
      </c>
    </row>
    <row r="258" spans="1:8" ht="27" customHeight="1" x14ac:dyDescent="0.25">
      <c r="A258" s="262">
        <v>43355</v>
      </c>
      <c r="B258" s="263" t="s">
        <v>2601</v>
      </c>
      <c r="C258" s="264">
        <v>5400</v>
      </c>
      <c r="D258" s="267" t="s">
        <v>122</v>
      </c>
      <c r="E258" s="266" t="s">
        <v>122</v>
      </c>
      <c r="F258" s="269"/>
      <c r="G258" s="270" t="s">
        <v>122</v>
      </c>
      <c r="H258" s="92" t="s">
        <v>122</v>
      </c>
    </row>
    <row r="259" spans="1:8" ht="27" customHeight="1" x14ac:dyDescent="0.25">
      <c r="A259" s="262">
        <v>43356</v>
      </c>
      <c r="B259" s="263" t="s">
        <v>2601</v>
      </c>
      <c r="C259" s="264">
        <v>5400</v>
      </c>
      <c r="D259" s="267" t="s">
        <v>122</v>
      </c>
      <c r="E259" s="266" t="s">
        <v>122</v>
      </c>
      <c r="F259" s="269"/>
      <c r="G259" s="270" t="s">
        <v>122</v>
      </c>
      <c r="H259" s="92" t="s">
        <v>122</v>
      </c>
    </row>
    <row r="260" spans="1:8" ht="27" customHeight="1" x14ac:dyDescent="0.25">
      <c r="A260" s="262">
        <v>43357</v>
      </c>
      <c r="B260" s="263" t="s">
        <v>2601</v>
      </c>
      <c r="C260" s="264">
        <v>5400</v>
      </c>
      <c r="D260" s="267" t="s">
        <v>122</v>
      </c>
      <c r="E260" s="266" t="s">
        <v>122</v>
      </c>
      <c r="F260" s="269"/>
      <c r="G260" s="270" t="s">
        <v>122</v>
      </c>
      <c r="H260" s="92" t="s">
        <v>122</v>
      </c>
    </row>
    <row r="261" spans="1:8" ht="27" customHeight="1" x14ac:dyDescent="0.25">
      <c r="A261" s="262">
        <v>43358</v>
      </c>
      <c r="B261" s="263" t="s">
        <v>2601</v>
      </c>
      <c r="C261" s="264">
        <v>5400</v>
      </c>
      <c r="D261" s="267" t="s">
        <v>122</v>
      </c>
      <c r="E261" s="266" t="s">
        <v>122</v>
      </c>
      <c r="F261" s="269"/>
      <c r="G261" s="270" t="s">
        <v>122</v>
      </c>
      <c r="H261" s="92" t="s">
        <v>122</v>
      </c>
    </row>
    <row r="262" spans="1:8" ht="27" customHeight="1" x14ac:dyDescent="0.25">
      <c r="A262" s="262">
        <v>43359</v>
      </c>
      <c r="B262" s="263" t="s">
        <v>2601</v>
      </c>
      <c r="C262" s="264">
        <v>5400</v>
      </c>
      <c r="D262" s="267" t="s">
        <v>122</v>
      </c>
      <c r="E262" s="266" t="s">
        <v>122</v>
      </c>
      <c r="F262" s="269"/>
      <c r="G262" s="270" t="s">
        <v>122</v>
      </c>
      <c r="H262" s="92" t="s">
        <v>122</v>
      </c>
    </row>
    <row r="263" spans="1:8" ht="27" customHeight="1" x14ac:dyDescent="0.25">
      <c r="A263" s="262">
        <v>43360</v>
      </c>
      <c r="B263" s="263" t="s">
        <v>2583</v>
      </c>
      <c r="C263" s="264">
        <v>5350</v>
      </c>
      <c r="D263" s="267" t="s">
        <v>122</v>
      </c>
      <c r="E263" s="266" t="s">
        <v>122</v>
      </c>
      <c r="F263" s="269"/>
      <c r="G263" s="270" t="s">
        <v>122</v>
      </c>
      <c r="H263" s="92" t="s">
        <v>122</v>
      </c>
    </row>
    <row r="264" spans="1:8" ht="27" customHeight="1" x14ac:dyDescent="0.25">
      <c r="A264" s="262">
        <v>43361</v>
      </c>
      <c r="B264" s="263" t="s">
        <v>2583</v>
      </c>
      <c r="C264" s="264">
        <v>5350</v>
      </c>
      <c r="D264" s="267" t="s">
        <v>122</v>
      </c>
      <c r="E264" s="266" t="s">
        <v>122</v>
      </c>
      <c r="F264" s="269"/>
      <c r="G264" s="270" t="s">
        <v>122</v>
      </c>
      <c r="H264" s="92" t="s">
        <v>122</v>
      </c>
    </row>
    <row r="265" spans="1:8" ht="27" customHeight="1" x14ac:dyDescent="0.25">
      <c r="A265" s="262">
        <v>43362</v>
      </c>
      <c r="B265" s="263" t="s">
        <v>2583</v>
      </c>
      <c r="C265" s="264">
        <v>5350</v>
      </c>
      <c r="D265" s="267" t="s">
        <v>122</v>
      </c>
      <c r="E265" s="266" t="s">
        <v>122</v>
      </c>
      <c r="F265" s="269"/>
      <c r="G265" s="270" t="s">
        <v>122</v>
      </c>
      <c r="H265" s="92" t="s">
        <v>122</v>
      </c>
    </row>
    <row r="266" spans="1:8" ht="27" customHeight="1" x14ac:dyDescent="0.25">
      <c r="A266" s="262">
        <v>43363</v>
      </c>
      <c r="B266" s="263" t="s">
        <v>2583</v>
      </c>
      <c r="C266" s="264">
        <v>5350</v>
      </c>
      <c r="D266" s="267" t="s">
        <v>122</v>
      </c>
      <c r="E266" s="266" t="s">
        <v>122</v>
      </c>
      <c r="F266" s="269"/>
      <c r="G266" s="270" t="s">
        <v>122</v>
      </c>
      <c r="H266" s="92" t="s">
        <v>122</v>
      </c>
    </row>
    <row r="267" spans="1:8" ht="27" customHeight="1" x14ac:dyDescent="0.25">
      <c r="A267" s="262">
        <v>43364</v>
      </c>
      <c r="B267" s="263" t="s">
        <v>2584</v>
      </c>
      <c r="C267" s="264">
        <v>5300</v>
      </c>
      <c r="D267" s="267" t="s">
        <v>122</v>
      </c>
      <c r="E267" s="266" t="s">
        <v>122</v>
      </c>
      <c r="F267" s="269"/>
      <c r="G267" s="270" t="s">
        <v>122</v>
      </c>
      <c r="H267" s="92" t="s">
        <v>122</v>
      </c>
    </row>
    <row r="268" spans="1:8" ht="27" customHeight="1" x14ac:dyDescent="0.25">
      <c r="A268" s="262">
        <v>43365</v>
      </c>
      <c r="B268" s="263" t="s">
        <v>2584</v>
      </c>
      <c r="C268" s="264">
        <v>5300</v>
      </c>
      <c r="D268" s="267" t="s">
        <v>122</v>
      </c>
      <c r="E268" s="266" t="s">
        <v>122</v>
      </c>
      <c r="F268" s="269"/>
      <c r="G268" s="270" t="s">
        <v>122</v>
      </c>
      <c r="H268" s="92" t="s">
        <v>122</v>
      </c>
    </row>
    <row r="269" spans="1:8" ht="27" customHeight="1" x14ac:dyDescent="0.25">
      <c r="A269" s="262">
        <v>43366</v>
      </c>
      <c r="B269" s="263" t="s">
        <v>2584</v>
      </c>
      <c r="C269" s="264">
        <v>5300</v>
      </c>
      <c r="D269" s="267" t="s">
        <v>122</v>
      </c>
      <c r="E269" s="266" t="s">
        <v>122</v>
      </c>
      <c r="F269" s="269"/>
      <c r="G269" s="270" t="s">
        <v>122</v>
      </c>
      <c r="H269" s="92" t="s">
        <v>122</v>
      </c>
    </row>
    <row r="270" spans="1:8" ht="27" customHeight="1" x14ac:dyDescent="0.25">
      <c r="A270" s="262">
        <v>43367</v>
      </c>
      <c r="B270" s="263" t="s">
        <v>2585</v>
      </c>
      <c r="C270" s="264">
        <v>5250</v>
      </c>
      <c r="D270" s="267" t="s">
        <v>122</v>
      </c>
      <c r="E270" s="266" t="s">
        <v>122</v>
      </c>
      <c r="F270" s="269"/>
      <c r="G270" s="270" t="s">
        <v>122</v>
      </c>
      <c r="H270" s="92" t="s">
        <v>122</v>
      </c>
    </row>
    <row r="271" spans="1:8" ht="27" customHeight="1" x14ac:dyDescent="0.25">
      <c r="A271" s="262">
        <v>43368</v>
      </c>
      <c r="B271" s="263" t="s">
        <v>2585</v>
      </c>
      <c r="C271" s="264">
        <v>5250</v>
      </c>
      <c r="D271" s="267" t="s">
        <v>122</v>
      </c>
      <c r="E271" s="266" t="s">
        <v>122</v>
      </c>
      <c r="F271" s="269"/>
      <c r="G271" s="270" t="s">
        <v>122</v>
      </c>
      <c r="H271" s="92" t="s">
        <v>122</v>
      </c>
    </row>
    <row r="272" spans="1:8" ht="27" customHeight="1" x14ac:dyDescent="0.25">
      <c r="A272" s="262">
        <v>43369</v>
      </c>
      <c r="B272" s="263" t="s">
        <v>2584</v>
      </c>
      <c r="C272" s="264">
        <v>5300</v>
      </c>
      <c r="D272" s="267" t="s">
        <v>122</v>
      </c>
      <c r="E272" s="266" t="s">
        <v>122</v>
      </c>
      <c r="F272" s="269"/>
      <c r="G272" s="270" t="s">
        <v>122</v>
      </c>
      <c r="H272" s="92" t="s">
        <v>122</v>
      </c>
    </row>
    <row r="273" spans="1:8" ht="27" customHeight="1" x14ac:dyDescent="0.25">
      <c r="A273" s="262">
        <v>43370</v>
      </c>
      <c r="B273" s="263" t="s">
        <v>2584</v>
      </c>
      <c r="C273" s="264">
        <v>5300</v>
      </c>
      <c r="D273" s="267" t="s">
        <v>122</v>
      </c>
      <c r="E273" s="266" t="s">
        <v>122</v>
      </c>
      <c r="F273" s="269"/>
      <c r="G273" s="270" t="s">
        <v>122</v>
      </c>
      <c r="H273" s="92" t="s">
        <v>122</v>
      </c>
    </row>
    <row r="274" spans="1:8" ht="27" customHeight="1" x14ac:dyDescent="0.25">
      <c r="A274" s="262">
        <v>43371</v>
      </c>
      <c r="B274" s="263" t="s">
        <v>2584</v>
      </c>
      <c r="C274" s="264">
        <v>5300</v>
      </c>
      <c r="D274" s="267" t="s">
        <v>122</v>
      </c>
      <c r="E274" s="266" t="s">
        <v>122</v>
      </c>
      <c r="F274" s="269"/>
      <c r="G274" s="270" t="s">
        <v>122</v>
      </c>
      <c r="H274" s="92" t="s">
        <v>122</v>
      </c>
    </row>
    <row r="275" spans="1:8" ht="27" customHeight="1" x14ac:dyDescent="0.25">
      <c r="A275" s="262">
        <v>43372</v>
      </c>
      <c r="B275" s="263" t="s">
        <v>2584</v>
      </c>
      <c r="C275" s="264">
        <v>5300</v>
      </c>
      <c r="D275" s="267" t="s">
        <v>122</v>
      </c>
      <c r="E275" s="266" t="s">
        <v>122</v>
      </c>
      <c r="F275" s="269"/>
      <c r="G275" s="270" t="s">
        <v>122</v>
      </c>
      <c r="H275" s="92" t="s">
        <v>122</v>
      </c>
    </row>
    <row r="276" spans="1:8" ht="27" customHeight="1" x14ac:dyDescent="0.25">
      <c r="A276" s="262">
        <v>43373</v>
      </c>
      <c r="B276" s="263" t="s">
        <v>2584</v>
      </c>
      <c r="C276" s="264">
        <v>5300</v>
      </c>
      <c r="D276" s="267" t="s">
        <v>122</v>
      </c>
      <c r="E276" s="266" t="s">
        <v>122</v>
      </c>
      <c r="F276" s="269"/>
      <c r="G276" s="270" t="s">
        <v>122</v>
      </c>
      <c r="H276" s="92" t="s">
        <v>122</v>
      </c>
    </row>
    <row r="277" spans="1:8" ht="27" customHeight="1" x14ac:dyDescent="0.25">
      <c r="A277" s="262">
        <v>43374</v>
      </c>
      <c r="B277" s="263" t="s">
        <v>2584</v>
      </c>
      <c r="C277" s="264">
        <v>5300</v>
      </c>
      <c r="D277" s="267" t="s">
        <v>122</v>
      </c>
      <c r="E277" s="266" t="s">
        <v>122</v>
      </c>
      <c r="F277" s="269"/>
      <c r="G277" s="270" t="s">
        <v>122</v>
      </c>
      <c r="H277" s="92" t="s">
        <v>122</v>
      </c>
    </row>
    <row r="278" spans="1:8" ht="27" customHeight="1" x14ac:dyDescent="0.25">
      <c r="A278" s="262">
        <v>43375</v>
      </c>
      <c r="B278" s="263" t="s">
        <v>2584</v>
      </c>
      <c r="C278" s="264">
        <v>5300</v>
      </c>
      <c r="D278" s="267" t="s">
        <v>122</v>
      </c>
      <c r="E278" s="266" t="s">
        <v>122</v>
      </c>
      <c r="F278" s="269"/>
      <c r="G278" s="270" t="s">
        <v>122</v>
      </c>
      <c r="H278" s="92" t="s">
        <v>122</v>
      </c>
    </row>
    <row r="279" spans="1:8" ht="27" customHeight="1" x14ac:dyDescent="0.25">
      <c r="A279" s="262">
        <v>43376</v>
      </c>
      <c r="B279" s="263" t="s">
        <v>2584</v>
      </c>
      <c r="C279" s="264">
        <v>5300</v>
      </c>
      <c r="D279" s="267" t="s">
        <v>122</v>
      </c>
      <c r="E279" s="266" t="s">
        <v>122</v>
      </c>
      <c r="F279" s="269"/>
      <c r="G279" s="270" t="s">
        <v>122</v>
      </c>
      <c r="H279" s="92" t="s">
        <v>122</v>
      </c>
    </row>
    <row r="280" spans="1:8" ht="27" customHeight="1" x14ac:dyDescent="0.25">
      <c r="A280" s="262">
        <v>43377</v>
      </c>
      <c r="B280" s="263" t="s">
        <v>2601</v>
      </c>
      <c r="C280" s="264">
        <v>5400</v>
      </c>
      <c r="D280" s="267" t="s">
        <v>122</v>
      </c>
      <c r="E280" s="266" t="s">
        <v>122</v>
      </c>
      <c r="F280" s="269"/>
      <c r="G280" s="270" t="s">
        <v>122</v>
      </c>
      <c r="H280" s="92" t="s">
        <v>122</v>
      </c>
    </row>
    <row r="281" spans="1:8" ht="27" customHeight="1" x14ac:dyDescent="0.25">
      <c r="A281" s="262">
        <v>43378</v>
      </c>
      <c r="B281" s="263" t="s">
        <v>2655</v>
      </c>
      <c r="C281" s="264">
        <v>5600</v>
      </c>
      <c r="D281" s="267" t="s">
        <v>122</v>
      </c>
      <c r="E281" s="266" t="s">
        <v>122</v>
      </c>
      <c r="F281" s="269"/>
      <c r="G281" s="270" t="s">
        <v>122</v>
      </c>
      <c r="H281" s="92" t="s">
        <v>122</v>
      </c>
    </row>
    <row r="282" spans="1:8" ht="27" customHeight="1" x14ac:dyDescent="0.25">
      <c r="A282" s="262">
        <v>43379</v>
      </c>
      <c r="B282" s="263" t="s">
        <v>1967</v>
      </c>
      <c r="C282" s="264">
        <v>5900</v>
      </c>
      <c r="D282" s="267" t="s">
        <v>122</v>
      </c>
      <c r="E282" s="266" t="s">
        <v>122</v>
      </c>
      <c r="F282" s="269"/>
      <c r="G282" s="270" t="s">
        <v>122</v>
      </c>
      <c r="H282" s="92" t="s">
        <v>122</v>
      </c>
    </row>
    <row r="283" spans="1:8" ht="27" customHeight="1" x14ac:dyDescent="0.25">
      <c r="A283" s="262">
        <v>43380</v>
      </c>
      <c r="B283" s="263" t="s">
        <v>1971</v>
      </c>
      <c r="C283" s="264">
        <v>6000</v>
      </c>
      <c r="D283" s="267" t="s">
        <v>122</v>
      </c>
      <c r="E283" s="266" t="s">
        <v>122</v>
      </c>
      <c r="F283" s="269"/>
      <c r="G283" s="270" t="s">
        <v>122</v>
      </c>
      <c r="H283" s="92" t="s">
        <v>122</v>
      </c>
    </row>
    <row r="284" spans="1:8" ht="27" customHeight="1" x14ac:dyDescent="0.25">
      <c r="A284" s="262">
        <v>43381</v>
      </c>
      <c r="B284" s="263" t="s">
        <v>2605</v>
      </c>
      <c r="C284" s="264">
        <v>6400</v>
      </c>
      <c r="D284" s="267" t="s">
        <v>122</v>
      </c>
      <c r="E284" s="266" t="s">
        <v>122</v>
      </c>
      <c r="F284" s="269"/>
      <c r="G284" s="270" t="s">
        <v>122</v>
      </c>
      <c r="H284" s="92" t="s">
        <v>122</v>
      </c>
    </row>
    <row r="285" spans="1:8" ht="27" customHeight="1" x14ac:dyDescent="0.25">
      <c r="A285" s="262">
        <v>43382</v>
      </c>
      <c r="B285" s="263" t="s">
        <v>2656</v>
      </c>
      <c r="C285" s="264">
        <v>6450</v>
      </c>
      <c r="D285" s="267" t="s">
        <v>122</v>
      </c>
      <c r="E285" s="266" t="s">
        <v>122</v>
      </c>
      <c r="F285" s="269"/>
      <c r="G285" s="270" t="s">
        <v>122</v>
      </c>
      <c r="H285" s="92" t="s">
        <v>122</v>
      </c>
    </row>
    <row r="286" spans="1:8" ht="27" customHeight="1" x14ac:dyDescent="0.25">
      <c r="A286" s="262">
        <v>43383</v>
      </c>
      <c r="B286" s="263" t="s">
        <v>1974</v>
      </c>
      <c r="C286" s="264">
        <v>6950</v>
      </c>
      <c r="D286" s="267" t="s">
        <v>122</v>
      </c>
      <c r="E286" s="266" t="s">
        <v>122</v>
      </c>
      <c r="F286" s="269"/>
      <c r="G286" s="270" t="s">
        <v>122</v>
      </c>
      <c r="H286" s="92" t="s">
        <v>122</v>
      </c>
    </row>
    <row r="287" spans="1:8" ht="27" customHeight="1" x14ac:dyDescent="0.25">
      <c r="A287" s="262">
        <v>43384</v>
      </c>
      <c r="B287" s="263" t="s">
        <v>1826</v>
      </c>
      <c r="C287" s="264">
        <v>7300</v>
      </c>
      <c r="D287" s="267" t="s">
        <v>122</v>
      </c>
      <c r="E287" s="266" t="s">
        <v>122</v>
      </c>
      <c r="F287" s="269"/>
      <c r="G287" s="270" t="s">
        <v>122</v>
      </c>
      <c r="H287" s="92" t="s">
        <v>122</v>
      </c>
    </row>
    <row r="288" spans="1:8" ht="27" customHeight="1" x14ac:dyDescent="0.25">
      <c r="A288" s="262">
        <v>43385</v>
      </c>
      <c r="B288" s="263" t="s">
        <v>1825</v>
      </c>
      <c r="C288" s="264">
        <v>7400</v>
      </c>
      <c r="D288" s="267" t="s">
        <v>122</v>
      </c>
      <c r="E288" s="266" t="s">
        <v>122</v>
      </c>
      <c r="F288" s="269"/>
      <c r="G288" s="270" t="s">
        <v>122</v>
      </c>
      <c r="H288" s="92" t="s">
        <v>122</v>
      </c>
    </row>
    <row r="289" spans="1:8" ht="27" customHeight="1" x14ac:dyDescent="0.25">
      <c r="A289" s="262">
        <v>43386</v>
      </c>
      <c r="B289" s="263" t="s">
        <v>1825</v>
      </c>
      <c r="C289" s="264">
        <v>7400</v>
      </c>
      <c r="D289" s="267" t="s">
        <v>122</v>
      </c>
      <c r="E289" s="266" t="s">
        <v>122</v>
      </c>
      <c r="F289" s="269"/>
      <c r="G289" s="270" t="s">
        <v>122</v>
      </c>
      <c r="H289" s="92" t="s">
        <v>122</v>
      </c>
    </row>
    <row r="290" spans="1:8" ht="27" customHeight="1" x14ac:dyDescent="0.25">
      <c r="A290" s="262">
        <v>43387</v>
      </c>
      <c r="B290" s="263" t="s">
        <v>1825</v>
      </c>
      <c r="C290" s="264">
        <v>7400</v>
      </c>
      <c r="D290" s="267" t="s">
        <v>122</v>
      </c>
      <c r="E290" s="266" t="s">
        <v>122</v>
      </c>
      <c r="F290" s="269"/>
      <c r="G290" s="270" t="s">
        <v>122</v>
      </c>
      <c r="H290" s="92" t="s">
        <v>122</v>
      </c>
    </row>
    <row r="291" spans="1:8" ht="27" customHeight="1" x14ac:dyDescent="0.25">
      <c r="A291" s="262">
        <v>43388</v>
      </c>
      <c r="B291" s="263" t="s">
        <v>1825</v>
      </c>
      <c r="C291" s="264">
        <v>7400</v>
      </c>
      <c r="D291" s="267" t="s">
        <v>122</v>
      </c>
      <c r="E291" s="266" t="s">
        <v>122</v>
      </c>
      <c r="F291" s="269"/>
      <c r="G291" s="270" t="s">
        <v>122</v>
      </c>
      <c r="H291" s="92" t="s">
        <v>122</v>
      </c>
    </row>
    <row r="292" spans="1:8" ht="27" customHeight="1" x14ac:dyDescent="0.25">
      <c r="A292" s="262">
        <v>43389</v>
      </c>
      <c r="B292" s="263" t="s">
        <v>1819</v>
      </c>
      <c r="C292" s="264">
        <v>7900</v>
      </c>
      <c r="D292" s="267" t="s">
        <v>122</v>
      </c>
      <c r="E292" s="266" t="s">
        <v>122</v>
      </c>
      <c r="F292" s="269"/>
      <c r="G292" s="270" t="s">
        <v>122</v>
      </c>
      <c r="H292" s="92" t="s">
        <v>122</v>
      </c>
    </row>
    <row r="293" spans="1:8" ht="27" customHeight="1" x14ac:dyDescent="0.25">
      <c r="A293" s="262">
        <v>43390</v>
      </c>
      <c r="B293" s="263" t="s">
        <v>1807</v>
      </c>
      <c r="C293" s="264">
        <v>8900</v>
      </c>
      <c r="D293" s="267" t="s">
        <v>122</v>
      </c>
      <c r="E293" s="266" t="s">
        <v>122</v>
      </c>
      <c r="F293" s="269"/>
      <c r="G293" s="270" t="s">
        <v>122</v>
      </c>
      <c r="H293" s="92" t="s">
        <v>122</v>
      </c>
    </row>
    <row r="294" spans="1:8" ht="27" customHeight="1" x14ac:dyDescent="0.25">
      <c r="A294" s="262">
        <v>43391</v>
      </c>
      <c r="B294" s="263" t="s">
        <v>1764</v>
      </c>
      <c r="C294" s="264">
        <v>9300</v>
      </c>
      <c r="D294" s="267" t="s">
        <v>122</v>
      </c>
      <c r="E294" s="266" t="s">
        <v>122</v>
      </c>
      <c r="F294" s="269"/>
      <c r="G294" s="270" t="s">
        <v>122</v>
      </c>
      <c r="H294" s="92" t="s">
        <v>122</v>
      </c>
    </row>
    <row r="295" spans="1:8" ht="27" customHeight="1" x14ac:dyDescent="0.25">
      <c r="A295" s="262">
        <v>43392</v>
      </c>
      <c r="B295" s="263" t="s">
        <v>1767</v>
      </c>
      <c r="C295" s="264">
        <v>9600</v>
      </c>
      <c r="D295" s="267" t="s">
        <v>122</v>
      </c>
      <c r="E295" s="266" t="s">
        <v>122</v>
      </c>
      <c r="F295" s="269"/>
      <c r="G295" s="270" t="s">
        <v>122</v>
      </c>
      <c r="H295" s="92" t="s">
        <v>122</v>
      </c>
    </row>
    <row r="296" spans="1:8" ht="27" customHeight="1" x14ac:dyDescent="0.25">
      <c r="A296" s="262">
        <v>43393</v>
      </c>
      <c r="B296" s="263" t="s">
        <v>1770</v>
      </c>
      <c r="C296" s="264">
        <v>11300</v>
      </c>
      <c r="D296" s="267" t="s">
        <v>122</v>
      </c>
      <c r="E296" s="266" t="s">
        <v>122</v>
      </c>
      <c r="F296" s="269"/>
      <c r="G296" s="270" t="s">
        <v>122</v>
      </c>
      <c r="H296" s="92" t="s">
        <v>122</v>
      </c>
    </row>
    <row r="297" spans="1:8" ht="27" customHeight="1" x14ac:dyDescent="0.25">
      <c r="A297" s="262">
        <v>43394</v>
      </c>
      <c r="B297" s="263" t="s">
        <v>2488</v>
      </c>
      <c r="C297" s="264">
        <v>16400</v>
      </c>
      <c r="D297" s="267" t="s">
        <v>122</v>
      </c>
      <c r="E297" s="266" t="s">
        <v>122</v>
      </c>
      <c r="F297" s="269"/>
      <c r="G297" s="270" t="s">
        <v>122</v>
      </c>
      <c r="H297" s="92" t="s">
        <v>122</v>
      </c>
    </row>
    <row r="298" spans="1:8" ht="27" customHeight="1" x14ac:dyDescent="0.25">
      <c r="A298" s="262">
        <v>43395</v>
      </c>
      <c r="B298" s="263" t="s">
        <v>2341</v>
      </c>
      <c r="C298" s="264">
        <v>19000</v>
      </c>
      <c r="D298" s="267" t="s">
        <v>122</v>
      </c>
      <c r="E298" s="266" t="s">
        <v>122</v>
      </c>
      <c r="F298" s="269"/>
      <c r="G298" s="270" t="s">
        <v>122</v>
      </c>
      <c r="H298" s="92" t="s">
        <v>122</v>
      </c>
    </row>
    <row r="299" spans="1:8" ht="27" customHeight="1" x14ac:dyDescent="0.25">
      <c r="A299" s="262">
        <v>43396</v>
      </c>
      <c r="B299" s="263" t="s">
        <v>2351</v>
      </c>
      <c r="C299" s="264">
        <v>22300</v>
      </c>
      <c r="D299" s="267" t="s">
        <v>122</v>
      </c>
      <c r="E299" s="266" t="s">
        <v>122</v>
      </c>
      <c r="F299" s="269"/>
      <c r="G299" s="270" t="s">
        <v>122</v>
      </c>
      <c r="H299" s="92" t="s">
        <v>122</v>
      </c>
    </row>
    <row r="300" spans="1:8" ht="27" customHeight="1" x14ac:dyDescent="0.25">
      <c r="A300" s="262">
        <v>43397</v>
      </c>
      <c r="B300" s="263" t="s">
        <v>2479</v>
      </c>
      <c r="C300" s="264">
        <v>25400</v>
      </c>
      <c r="D300" s="267" t="s">
        <v>122</v>
      </c>
      <c r="E300" s="266" t="s">
        <v>122</v>
      </c>
      <c r="F300" s="269"/>
      <c r="G300" s="270" t="s">
        <v>122</v>
      </c>
      <c r="H300" s="92" t="s">
        <v>122</v>
      </c>
    </row>
    <row r="301" spans="1:8" ht="27" customHeight="1" x14ac:dyDescent="0.25">
      <c r="A301" s="262">
        <v>43398</v>
      </c>
      <c r="B301" s="263" t="s">
        <v>2322</v>
      </c>
      <c r="C301" s="264">
        <v>26000</v>
      </c>
      <c r="D301" s="267" t="s">
        <v>122</v>
      </c>
      <c r="E301" s="266" t="s">
        <v>122</v>
      </c>
      <c r="F301" s="269"/>
      <c r="G301" s="270" t="s">
        <v>122</v>
      </c>
      <c r="H301" s="92" t="s">
        <v>122</v>
      </c>
    </row>
    <row r="302" spans="1:8" ht="27" customHeight="1" x14ac:dyDescent="0.25">
      <c r="A302" s="262">
        <v>43399</v>
      </c>
      <c r="B302" s="263" t="s">
        <v>2469</v>
      </c>
      <c r="C302" s="264">
        <v>27000</v>
      </c>
      <c r="D302" s="267" t="s">
        <v>122</v>
      </c>
      <c r="E302" s="266" t="s">
        <v>122</v>
      </c>
      <c r="F302" s="269"/>
      <c r="G302" s="270" t="s">
        <v>122</v>
      </c>
      <c r="H302" s="92" t="s">
        <v>122</v>
      </c>
    </row>
    <row r="303" spans="1:8" ht="27" customHeight="1" x14ac:dyDescent="0.25">
      <c r="A303" s="262">
        <v>43400</v>
      </c>
      <c r="B303" s="263" t="s">
        <v>2558</v>
      </c>
      <c r="C303" s="264">
        <v>30300</v>
      </c>
      <c r="D303" s="267" t="s">
        <v>122</v>
      </c>
      <c r="E303" s="266" t="s">
        <v>122</v>
      </c>
      <c r="F303" s="269"/>
      <c r="G303" s="270" t="s">
        <v>122</v>
      </c>
      <c r="H303" s="92" t="s">
        <v>122</v>
      </c>
    </row>
    <row r="304" spans="1:8" ht="27" customHeight="1" x14ac:dyDescent="0.25">
      <c r="A304" s="262">
        <v>43401</v>
      </c>
      <c r="B304" s="263" t="s">
        <v>2454</v>
      </c>
      <c r="C304" s="264">
        <v>31125</v>
      </c>
      <c r="D304" s="267" t="s">
        <v>122</v>
      </c>
      <c r="E304" s="266" t="s">
        <v>122</v>
      </c>
      <c r="F304" s="269"/>
      <c r="G304" s="270" t="s">
        <v>122</v>
      </c>
      <c r="H304" s="92" t="s">
        <v>122</v>
      </c>
    </row>
    <row r="305" spans="1:8" ht="27" customHeight="1" x14ac:dyDescent="0.25">
      <c r="A305" s="262">
        <v>43402</v>
      </c>
      <c r="B305" s="263" t="s">
        <v>2453</v>
      </c>
      <c r="C305" s="264">
        <v>31500</v>
      </c>
      <c r="D305" s="267" t="s">
        <v>122</v>
      </c>
      <c r="E305" s="266" t="s">
        <v>122</v>
      </c>
      <c r="F305" s="269"/>
      <c r="G305" s="270" t="s">
        <v>122</v>
      </c>
      <c r="H305" s="92" t="s">
        <v>122</v>
      </c>
    </row>
    <row r="306" spans="1:8" ht="27" customHeight="1" x14ac:dyDescent="0.25">
      <c r="A306" s="262">
        <v>43403</v>
      </c>
      <c r="B306" s="263" t="s">
        <v>1850</v>
      </c>
      <c r="C306" s="264">
        <v>32100</v>
      </c>
      <c r="D306" s="267" t="s">
        <v>122</v>
      </c>
      <c r="E306" s="266" t="s">
        <v>122</v>
      </c>
      <c r="F306" s="269"/>
      <c r="G306" s="270" t="s">
        <v>122</v>
      </c>
      <c r="H306" s="92" t="s">
        <v>122</v>
      </c>
    </row>
    <row r="307" spans="1:8" ht="27" customHeight="1" x14ac:dyDescent="0.25">
      <c r="A307" s="262">
        <v>43404</v>
      </c>
      <c r="B307" s="263" t="s">
        <v>2552</v>
      </c>
      <c r="C307" s="264">
        <v>32400</v>
      </c>
      <c r="D307" s="267" t="s">
        <v>122</v>
      </c>
      <c r="E307" s="266" t="s">
        <v>122</v>
      </c>
      <c r="F307" s="269"/>
      <c r="G307" s="270" t="s">
        <v>122</v>
      </c>
      <c r="H307" s="92" t="s">
        <v>122</v>
      </c>
    </row>
    <row r="308" spans="1:8" ht="27" customHeight="1" x14ac:dyDescent="0.25">
      <c r="A308" s="262">
        <v>43405</v>
      </c>
      <c r="B308" s="263" t="s">
        <v>2657</v>
      </c>
      <c r="C308" s="264">
        <v>32800</v>
      </c>
      <c r="D308" s="267" t="s">
        <v>122</v>
      </c>
      <c r="E308" s="266" t="s">
        <v>122</v>
      </c>
      <c r="F308" s="269"/>
      <c r="G308" s="270" t="s">
        <v>122</v>
      </c>
      <c r="H308" s="92" t="s">
        <v>122</v>
      </c>
    </row>
    <row r="309" spans="1:8" ht="27" customHeight="1" x14ac:dyDescent="0.25">
      <c r="A309" s="262">
        <v>43406</v>
      </c>
      <c r="B309" s="263" t="s">
        <v>2446</v>
      </c>
      <c r="C309" s="264">
        <v>34250</v>
      </c>
      <c r="D309" s="267" t="s">
        <v>122</v>
      </c>
      <c r="E309" s="266" t="s">
        <v>122</v>
      </c>
      <c r="F309" s="269"/>
      <c r="G309" s="270" t="s">
        <v>122</v>
      </c>
      <c r="H309" s="92" t="s">
        <v>122</v>
      </c>
    </row>
    <row r="310" spans="1:8" ht="27" customHeight="1" x14ac:dyDescent="0.25">
      <c r="A310" s="262">
        <v>43407</v>
      </c>
      <c r="B310" s="263" t="s">
        <v>1851</v>
      </c>
      <c r="C310" s="264">
        <v>36250</v>
      </c>
      <c r="D310" s="267" t="s">
        <v>122</v>
      </c>
      <c r="E310" s="266" t="s">
        <v>122</v>
      </c>
      <c r="F310" s="269"/>
      <c r="G310" s="270" t="s">
        <v>122</v>
      </c>
      <c r="H310" s="92" t="s">
        <v>122</v>
      </c>
    </row>
    <row r="311" spans="1:8" ht="27" customHeight="1" x14ac:dyDescent="0.25">
      <c r="A311" s="262">
        <v>43408</v>
      </c>
      <c r="B311" s="263" t="s">
        <v>1851</v>
      </c>
      <c r="C311" s="264">
        <v>36250</v>
      </c>
      <c r="D311" s="267" t="s">
        <v>122</v>
      </c>
      <c r="E311" s="266" t="s">
        <v>122</v>
      </c>
      <c r="F311" s="269"/>
      <c r="G311" s="270" t="s">
        <v>122</v>
      </c>
      <c r="H311" s="92" t="s">
        <v>122</v>
      </c>
    </row>
    <row r="312" spans="1:8" ht="27" customHeight="1" x14ac:dyDescent="0.25">
      <c r="A312" s="262">
        <v>43409</v>
      </c>
      <c r="B312" s="263" t="s">
        <v>1851</v>
      </c>
      <c r="C312" s="264">
        <v>36250</v>
      </c>
      <c r="D312" s="267" t="s">
        <v>122</v>
      </c>
      <c r="E312" s="266" t="s">
        <v>122</v>
      </c>
      <c r="F312" s="269"/>
      <c r="G312" s="270" t="s">
        <v>122</v>
      </c>
      <c r="H312" s="92" t="s">
        <v>122</v>
      </c>
    </row>
    <row r="313" spans="1:8" ht="27" customHeight="1" x14ac:dyDescent="0.25">
      <c r="A313" s="262">
        <v>43410</v>
      </c>
      <c r="B313" s="263" t="s">
        <v>1872</v>
      </c>
      <c r="C313" s="264">
        <v>38416</v>
      </c>
      <c r="D313" s="267" t="s">
        <v>122</v>
      </c>
      <c r="E313" s="266" t="s">
        <v>122</v>
      </c>
      <c r="F313" s="269"/>
      <c r="G313" s="270" t="s">
        <v>122</v>
      </c>
      <c r="H313" s="92" t="s">
        <v>122</v>
      </c>
    </row>
    <row r="314" spans="1:8" ht="27" customHeight="1" x14ac:dyDescent="0.25">
      <c r="A314" s="262">
        <v>43411</v>
      </c>
      <c r="B314" s="263" t="s">
        <v>1868</v>
      </c>
      <c r="C314" s="264">
        <v>39500</v>
      </c>
      <c r="D314" s="267" t="s">
        <v>122</v>
      </c>
      <c r="E314" s="266" t="s">
        <v>122</v>
      </c>
      <c r="F314" s="269"/>
      <c r="G314" s="270" t="s">
        <v>122</v>
      </c>
      <c r="H314" s="92" t="s">
        <v>122</v>
      </c>
    </row>
    <row r="315" spans="1:8" ht="27" customHeight="1" x14ac:dyDescent="0.25">
      <c r="A315" s="262">
        <v>43412</v>
      </c>
      <c r="B315" s="263" t="s">
        <v>1868</v>
      </c>
      <c r="C315" s="264">
        <v>39500</v>
      </c>
      <c r="D315" s="267" t="s">
        <v>122</v>
      </c>
      <c r="E315" s="266" t="s">
        <v>122</v>
      </c>
      <c r="F315" s="269"/>
      <c r="G315" s="270" t="s">
        <v>122</v>
      </c>
      <c r="H315" s="92" t="s">
        <v>122</v>
      </c>
    </row>
    <row r="316" spans="1:8" ht="27" customHeight="1" x14ac:dyDescent="0.25">
      <c r="A316" s="262">
        <v>43413</v>
      </c>
      <c r="B316" s="263" t="s">
        <v>1868</v>
      </c>
      <c r="C316" s="264">
        <v>39500</v>
      </c>
      <c r="D316" s="267" t="s">
        <v>122</v>
      </c>
      <c r="E316" s="266" t="s">
        <v>122</v>
      </c>
      <c r="F316" s="269"/>
      <c r="G316" s="270" t="s">
        <v>122</v>
      </c>
      <c r="H316" s="92" t="s">
        <v>122</v>
      </c>
    </row>
    <row r="317" spans="1:8" ht="27" customHeight="1" x14ac:dyDescent="0.25">
      <c r="A317" s="262">
        <v>43414</v>
      </c>
      <c r="B317" s="263" t="s">
        <v>2539</v>
      </c>
      <c r="C317" s="271" t="s">
        <v>2660</v>
      </c>
      <c r="D317" s="267" t="s">
        <v>122</v>
      </c>
      <c r="E317" s="266" t="s">
        <v>122</v>
      </c>
      <c r="F317" s="269"/>
      <c r="G317" s="270" t="s">
        <v>122</v>
      </c>
      <c r="H317" s="92">
        <v>2912.24</v>
      </c>
    </row>
    <row r="318" spans="1:8" ht="27" customHeight="1" x14ac:dyDescent="0.25">
      <c r="A318" s="262">
        <v>43415</v>
      </c>
      <c r="B318" s="263" t="s">
        <v>2443</v>
      </c>
      <c r="C318" s="264">
        <v>39229</v>
      </c>
      <c r="D318" s="267" t="s">
        <v>122</v>
      </c>
      <c r="E318" s="266" t="s">
        <v>122</v>
      </c>
      <c r="F318" s="269"/>
      <c r="G318" s="270" t="s">
        <v>122</v>
      </c>
      <c r="H318" s="92" t="s">
        <v>122</v>
      </c>
    </row>
    <row r="319" spans="1:8" ht="27" customHeight="1" x14ac:dyDescent="0.25">
      <c r="A319" s="262">
        <v>43416</v>
      </c>
      <c r="B319" s="263" t="s">
        <v>1868</v>
      </c>
      <c r="C319" s="264">
        <v>39500</v>
      </c>
      <c r="D319" s="267" t="s">
        <v>122</v>
      </c>
      <c r="E319" s="266" t="s">
        <v>122</v>
      </c>
      <c r="F319" s="269"/>
      <c r="G319" s="270" t="s">
        <v>122</v>
      </c>
      <c r="H319" s="92" t="s">
        <v>122</v>
      </c>
    </row>
    <row r="320" spans="1:8" ht="27" customHeight="1" x14ac:dyDescent="0.25">
      <c r="A320" s="262">
        <v>43417</v>
      </c>
      <c r="B320" s="263" t="s">
        <v>1868</v>
      </c>
      <c r="C320" s="264">
        <v>39500</v>
      </c>
      <c r="D320" s="267">
        <v>0.75</v>
      </c>
      <c r="E320" s="272">
        <f>(53.93+54.06)/2</f>
        <v>53.995000000000005</v>
      </c>
      <c r="F320" s="269">
        <v>0.5</v>
      </c>
      <c r="G320" s="266">
        <v>37.549999999999997</v>
      </c>
      <c r="H320" s="92" t="s">
        <v>122</v>
      </c>
    </row>
    <row r="321" spans="1:8" ht="27" customHeight="1" x14ac:dyDescent="0.25">
      <c r="A321" s="262">
        <v>43418</v>
      </c>
      <c r="B321" s="263" t="s">
        <v>1868</v>
      </c>
      <c r="C321" s="264">
        <v>39500</v>
      </c>
      <c r="D321" s="267">
        <v>0.75</v>
      </c>
      <c r="E321" s="266">
        <v>54</v>
      </c>
      <c r="F321" s="269">
        <v>0.5</v>
      </c>
      <c r="G321" s="266">
        <v>37.549999999999997</v>
      </c>
      <c r="H321" s="92" t="s">
        <v>122</v>
      </c>
    </row>
    <row r="322" spans="1:8" ht="27" customHeight="1" x14ac:dyDescent="0.25">
      <c r="A322" s="262">
        <v>43419</v>
      </c>
      <c r="B322" s="263" t="s">
        <v>1868</v>
      </c>
      <c r="C322" s="264">
        <v>39500</v>
      </c>
      <c r="D322" s="267">
        <v>1</v>
      </c>
      <c r="E322" s="266">
        <v>71.5</v>
      </c>
      <c r="F322" s="269">
        <v>0.57999999999999996</v>
      </c>
      <c r="G322" s="270">
        <f>(43.43+43.52)/2</f>
        <v>43.475000000000001</v>
      </c>
      <c r="H322" s="92" t="s">
        <v>122</v>
      </c>
    </row>
    <row r="323" spans="1:8" ht="27" customHeight="1" x14ac:dyDescent="0.25">
      <c r="A323" s="262">
        <v>43420</v>
      </c>
      <c r="B323" s="263" t="s">
        <v>2443</v>
      </c>
      <c r="C323" s="264">
        <v>39229</v>
      </c>
      <c r="D323" s="267">
        <v>1</v>
      </c>
      <c r="E323" s="266">
        <v>71.33</v>
      </c>
      <c r="F323" s="269">
        <v>0.57999999999999996</v>
      </c>
      <c r="G323" s="266">
        <f>(43.33+43.43)/2</f>
        <v>43.379999999999995</v>
      </c>
      <c r="H323" s="92" t="s">
        <v>122</v>
      </c>
    </row>
    <row r="324" spans="1:8" ht="27" customHeight="1" x14ac:dyDescent="0.25">
      <c r="A324" s="262">
        <v>43421</v>
      </c>
      <c r="B324" s="263" t="s">
        <v>2658</v>
      </c>
      <c r="C324" s="264">
        <v>38822.5</v>
      </c>
      <c r="D324" s="267">
        <v>1</v>
      </c>
      <c r="E324" s="270">
        <f>(71.33+71.5)/2</f>
        <v>71.414999999999992</v>
      </c>
      <c r="F324" s="269">
        <v>0.75</v>
      </c>
      <c r="G324" s="266">
        <v>55.9</v>
      </c>
      <c r="H324" s="92" t="s">
        <v>122</v>
      </c>
    </row>
    <row r="325" spans="1:8" ht="27" customHeight="1" x14ac:dyDescent="0.25">
      <c r="A325" s="262">
        <v>43422</v>
      </c>
      <c r="B325" s="263" t="s">
        <v>2295</v>
      </c>
      <c r="C325" s="264">
        <v>38687</v>
      </c>
      <c r="D325" s="267">
        <v>1</v>
      </c>
      <c r="E325" s="270">
        <v>71</v>
      </c>
      <c r="F325" s="269">
        <v>0.75</v>
      </c>
      <c r="G325" s="270">
        <f>(55.54+55.67)/2</f>
        <v>55.605000000000004</v>
      </c>
      <c r="H325" s="92" t="s">
        <v>122</v>
      </c>
    </row>
    <row r="326" spans="1:8" ht="27" customHeight="1" x14ac:dyDescent="0.25">
      <c r="A326" s="262">
        <v>43423</v>
      </c>
      <c r="B326" s="263" t="s">
        <v>2658</v>
      </c>
      <c r="C326" s="264">
        <v>38822.5</v>
      </c>
      <c r="D326" s="267">
        <v>0.75</v>
      </c>
      <c r="E326" s="266">
        <v>53.69</v>
      </c>
      <c r="F326" s="269">
        <v>0.42</v>
      </c>
      <c r="G326" s="266">
        <v>31.44</v>
      </c>
      <c r="H326" s="92" t="s">
        <v>122</v>
      </c>
    </row>
    <row r="327" spans="1:8" ht="27" customHeight="1" x14ac:dyDescent="0.25">
      <c r="A327" s="262">
        <v>43424</v>
      </c>
      <c r="B327" s="263" t="s">
        <v>2520</v>
      </c>
      <c r="C327" s="271" t="s">
        <v>2661</v>
      </c>
      <c r="D327" s="267">
        <v>0.5</v>
      </c>
      <c r="E327" s="266">
        <v>36.24</v>
      </c>
      <c r="F327" s="269" t="s">
        <v>122</v>
      </c>
      <c r="G327" s="266" t="s">
        <v>122</v>
      </c>
      <c r="H327" s="239">
        <v>805.91</v>
      </c>
    </row>
    <row r="328" spans="1:8" ht="27" customHeight="1" x14ac:dyDescent="0.25">
      <c r="A328" s="262">
        <v>43425</v>
      </c>
      <c r="B328" s="263" t="s">
        <v>1869</v>
      </c>
      <c r="C328" s="271" t="s">
        <v>2662</v>
      </c>
      <c r="D328" s="267" t="s">
        <v>122</v>
      </c>
      <c r="E328" s="266" t="s">
        <v>122</v>
      </c>
      <c r="F328" s="269" t="s">
        <v>122</v>
      </c>
      <c r="G328" s="266" t="s">
        <v>122</v>
      </c>
      <c r="H328" s="239">
        <v>2918.83</v>
      </c>
    </row>
    <row r="329" spans="1:8" ht="27" customHeight="1" x14ac:dyDescent="0.25">
      <c r="A329" s="262">
        <v>43426</v>
      </c>
      <c r="B329" s="263" t="s">
        <v>2659</v>
      </c>
      <c r="C329" s="271" t="s">
        <v>2663</v>
      </c>
      <c r="D329" s="267" t="s">
        <v>122</v>
      </c>
      <c r="E329" s="266" t="s">
        <v>122</v>
      </c>
      <c r="F329" s="269" t="s">
        <v>122</v>
      </c>
      <c r="G329" s="266" t="s">
        <v>122</v>
      </c>
      <c r="H329" s="239">
        <v>1640.11</v>
      </c>
    </row>
    <row r="330" spans="1:8" ht="27" customHeight="1" x14ac:dyDescent="0.25">
      <c r="A330" s="262">
        <v>43427</v>
      </c>
      <c r="B330" s="263" t="s">
        <v>2538</v>
      </c>
      <c r="C330" s="271" t="s">
        <v>2664</v>
      </c>
      <c r="D330" s="267">
        <v>0.5</v>
      </c>
      <c r="E330" s="266">
        <v>36.24</v>
      </c>
      <c r="F330" s="269" t="s">
        <v>122</v>
      </c>
      <c r="G330" s="266" t="s">
        <v>122</v>
      </c>
      <c r="H330" s="239">
        <v>1303.3</v>
      </c>
    </row>
    <row r="331" spans="1:8" ht="27" customHeight="1" x14ac:dyDescent="0.25">
      <c r="A331" s="262">
        <v>43428</v>
      </c>
      <c r="B331" s="263" t="s">
        <v>2538</v>
      </c>
      <c r="C331" s="271" t="s">
        <v>2664</v>
      </c>
      <c r="D331" s="267">
        <v>0.5</v>
      </c>
      <c r="E331" s="266">
        <v>36.24</v>
      </c>
      <c r="F331" s="269" t="s">
        <v>122</v>
      </c>
      <c r="G331" s="266" t="s">
        <v>122</v>
      </c>
      <c r="H331" s="239">
        <v>1303.3</v>
      </c>
    </row>
    <row r="332" spans="1:8" ht="27" customHeight="1" x14ac:dyDescent="0.25">
      <c r="A332" s="262">
        <v>43429</v>
      </c>
      <c r="B332" s="263" t="s">
        <v>1867</v>
      </c>
      <c r="C332" s="271" t="s">
        <v>2665</v>
      </c>
      <c r="D332" s="267">
        <v>0.5</v>
      </c>
      <c r="E332" s="266">
        <v>36.24</v>
      </c>
      <c r="F332" s="269" t="s">
        <v>122</v>
      </c>
      <c r="G332" s="266" t="s">
        <v>122</v>
      </c>
      <c r="H332" s="239">
        <v>1559.26</v>
      </c>
    </row>
    <row r="333" spans="1:8" ht="27" customHeight="1" x14ac:dyDescent="0.25">
      <c r="A333" s="262">
        <v>43430</v>
      </c>
      <c r="B333" s="263" t="s">
        <v>2522</v>
      </c>
      <c r="C333" s="271" t="s">
        <v>2666</v>
      </c>
      <c r="D333" s="267">
        <v>0.5</v>
      </c>
      <c r="E333" s="266">
        <v>36.24</v>
      </c>
      <c r="F333" s="269">
        <v>0.42</v>
      </c>
      <c r="G333" s="266">
        <f>(31.58+31.64)/2</f>
        <v>31.61</v>
      </c>
      <c r="H333" s="239">
        <v>134.34</v>
      </c>
    </row>
    <row r="334" spans="1:8" ht="27" customHeight="1" x14ac:dyDescent="0.25">
      <c r="A334" s="262">
        <v>43431</v>
      </c>
      <c r="B334" s="263" t="s">
        <v>2538</v>
      </c>
      <c r="C334" s="271" t="s">
        <v>2664</v>
      </c>
      <c r="D334" s="267">
        <v>0.5</v>
      </c>
      <c r="E334" s="266">
        <v>36.24</v>
      </c>
      <c r="F334" s="269">
        <v>0.42</v>
      </c>
      <c r="G334" s="266">
        <v>31.61</v>
      </c>
      <c r="H334" s="239">
        <v>134.34</v>
      </c>
    </row>
    <row r="335" spans="1:8" ht="27" customHeight="1" x14ac:dyDescent="0.25">
      <c r="A335" s="262">
        <v>43432</v>
      </c>
      <c r="B335" s="263" t="s">
        <v>2538</v>
      </c>
      <c r="C335" s="271" t="s">
        <v>2664</v>
      </c>
      <c r="D335" s="267">
        <v>0.5</v>
      </c>
      <c r="E335" s="266">
        <v>36.24</v>
      </c>
      <c r="F335" s="269">
        <v>0.42</v>
      </c>
      <c r="G335" s="266">
        <v>31.61</v>
      </c>
      <c r="H335" s="239">
        <v>134.34</v>
      </c>
    </row>
    <row r="336" spans="1:8" ht="27" customHeight="1" x14ac:dyDescent="0.25">
      <c r="A336" s="262">
        <v>43433</v>
      </c>
      <c r="B336" s="263" t="s">
        <v>2538</v>
      </c>
      <c r="C336" s="271" t="s">
        <v>2664</v>
      </c>
      <c r="D336" s="267">
        <v>0.5</v>
      </c>
      <c r="E336" s="266">
        <v>36.24</v>
      </c>
      <c r="F336" s="269">
        <v>0.42</v>
      </c>
      <c r="G336" s="266">
        <v>31.61</v>
      </c>
      <c r="H336" s="239">
        <v>134.34</v>
      </c>
    </row>
    <row r="337" spans="1:8" ht="27" customHeight="1" x14ac:dyDescent="0.25">
      <c r="A337" s="262">
        <v>43434</v>
      </c>
      <c r="B337" s="263" t="s">
        <v>2538</v>
      </c>
      <c r="C337" s="271" t="s">
        <v>2664</v>
      </c>
      <c r="D337" s="267">
        <v>0.5</v>
      </c>
      <c r="E337" s="266">
        <v>36.24</v>
      </c>
      <c r="F337" s="269">
        <v>0.33</v>
      </c>
      <c r="G337" s="266">
        <v>24.89</v>
      </c>
      <c r="H337" s="239">
        <v>51.58</v>
      </c>
    </row>
    <row r="338" spans="1:8" ht="27" customHeight="1" x14ac:dyDescent="0.25">
      <c r="A338" s="262">
        <v>43435</v>
      </c>
      <c r="B338" s="263" t="s">
        <v>2442</v>
      </c>
      <c r="C338" s="272">
        <v>39364.5</v>
      </c>
      <c r="D338" s="267">
        <v>0.5</v>
      </c>
      <c r="E338" s="266">
        <f>(36.05+36.16)/2</f>
        <v>36.104999999999997</v>
      </c>
      <c r="F338" s="269">
        <v>0.33</v>
      </c>
      <c r="G338" s="270">
        <f>(24.89+24.84)/2</f>
        <v>24.865000000000002</v>
      </c>
      <c r="H338" s="92" t="s">
        <v>122</v>
      </c>
    </row>
    <row r="339" spans="1:8" ht="27" customHeight="1" x14ac:dyDescent="0.25">
      <c r="A339" s="262">
        <v>43436</v>
      </c>
      <c r="B339" s="263" t="s">
        <v>2443</v>
      </c>
      <c r="C339" s="264">
        <v>39229</v>
      </c>
      <c r="D339" s="267">
        <v>0.5</v>
      </c>
      <c r="E339" s="266">
        <v>36.159999999999997</v>
      </c>
      <c r="F339" s="269">
        <v>0.33</v>
      </c>
      <c r="G339" s="266">
        <v>24.85</v>
      </c>
      <c r="H339" s="92" t="s">
        <v>122</v>
      </c>
    </row>
    <row r="340" spans="1:8" ht="27" customHeight="1" x14ac:dyDescent="0.25">
      <c r="A340" s="262">
        <v>43437</v>
      </c>
      <c r="B340" s="263" t="s">
        <v>2444</v>
      </c>
      <c r="C340" s="272">
        <v>39093.5</v>
      </c>
      <c r="D340" s="267">
        <v>0.5</v>
      </c>
      <c r="E340" s="266">
        <f>(36.08+36.16)/2</f>
        <v>36.119999999999997</v>
      </c>
      <c r="F340" s="269">
        <v>0.33</v>
      </c>
      <c r="G340" s="270">
        <f>(24.84+24.79)/2</f>
        <v>24.814999999999998</v>
      </c>
      <c r="H340" s="92" t="s">
        <v>122</v>
      </c>
    </row>
    <row r="341" spans="1:8" ht="27" customHeight="1" x14ac:dyDescent="0.25">
      <c r="A341" s="262">
        <v>43438</v>
      </c>
      <c r="B341" s="263" t="s">
        <v>2443</v>
      </c>
      <c r="C341" s="264">
        <v>39229</v>
      </c>
      <c r="D341" s="267">
        <v>0.5</v>
      </c>
      <c r="E341" s="266">
        <v>36.08</v>
      </c>
      <c r="F341" s="269">
        <v>0.33</v>
      </c>
      <c r="G341" s="266">
        <v>24.85</v>
      </c>
      <c r="H341" s="92" t="s">
        <v>122</v>
      </c>
    </row>
    <row r="342" spans="1:8" ht="27" customHeight="1" x14ac:dyDescent="0.25">
      <c r="A342" s="262">
        <v>43439</v>
      </c>
      <c r="B342" s="263" t="s">
        <v>2444</v>
      </c>
      <c r="C342" s="272">
        <v>39093.5</v>
      </c>
      <c r="D342" s="267">
        <v>0.5</v>
      </c>
      <c r="E342" s="266">
        <v>36.04</v>
      </c>
      <c r="F342" s="269">
        <v>0.33</v>
      </c>
      <c r="G342" s="266">
        <v>24.82</v>
      </c>
      <c r="H342" s="92" t="s">
        <v>122</v>
      </c>
    </row>
    <row r="343" spans="1:8" ht="27" customHeight="1" x14ac:dyDescent="0.25">
      <c r="A343" s="262">
        <v>43440</v>
      </c>
      <c r="B343" s="263" t="s">
        <v>1871</v>
      </c>
      <c r="C343" s="264">
        <v>38958</v>
      </c>
      <c r="D343" s="267">
        <v>0.5</v>
      </c>
      <c r="E343" s="266">
        <v>36.08</v>
      </c>
      <c r="F343" s="269">
        <v>0.33</v>
      </c>
      <c r="G343" s="266">
        <v>24.79</v>
      </c>
      <c r="H343" s="92" t="s">
        <v>122</v>
      </c>
    </row>
    <row r="344" spans="1:8" ht="27" customHeight="1" x14ac:dyDescent="0.25">
      <c r="A344" s="262">
        <v>43441</v>
      </c>
      <c r="B344" s="263" t="s">
        <v>2444</v>
      </c>
      <c r="C344" s="272">
        <v>39093.5</v>
      </c>
      <c r="D344" s="267">
        <v>0.5</v>
      </c>
      <c r="E344" s="266">
        <v>36.119999999999997</v>
      </c>
      <c r="F344" s="269">
        <v>0.33</v>
      </c>
      <c r="G344" s="266">
        <v>24.82</v>
      </c>
      <c r="H344" s="92" t="s">
        <v>122</v>
      </c>
    </row>
    <row r="345" spans="1:8" ht="27" customHeight="1" x14ac:dyDescent="0.25">
      <c r="A345" s="262">
        <v>43442</v>
      </c>
      <c r="B345" s="263" t="s">
        <v>2444</v>
      </c>
      <c r="C345" s="272">
        <v>39093.5</v>
      </c>
      <c r="D345" s="267">
        <v>0.5</v>
      </c>
      <c r="E345" s="266">
        <v>36.119999999999997</v>
      </c>
      <c r="F345" s="269">
        <v>0.33</v>
      </c>
      <c r="G345" s="266">
        <v>24.82</v>
      </c>
      <c r="H345" s="92" t="s">
        <v>122</v>
      </c>
    </row>
    <row r="346" spans="1:8" ht="27" customHeight="1" x14ac:dyDescent="0.25">
      <c r="A346" s="262">
        <v>43443</v>
      </c>
      <c r="B346" s="263" t="s">
        <v>2667</v>
      </c>
      <c r="C346" s="264">
        <v>38958</v>
      </c>
      <c r="D346" s="267">
        <v>0.5</v>
      </c>
      <c r="E346" s="266">
        <v>36.08</v>
      </c>
      <c r="F346" s="269">
        <v>0.33</v>
      </c>
      <c r="G346" s="266">
        <v>24.79</v>
      </c>
      <c r="H346" s="92" t="s">
        <v>122</v>
      </c>
    </row>
    <row r="347" spans="1:8" ht="27" customHeight="1" x14ac:dyDescent="0.25">
      <c r="A347" s="262">
        <v>43444</v>
      </c>
      <c r="B347" s="263" t="s">
        <v>2667</v>
      </c>
      <c r="C347" s="264">
        <v>38958</v>
      </c>
      <c r="D347" s="267">
        <v>0.5</v>
      </c>
      <c r="E347" s="266">
        <v>36.08</v>
      </c>
      <c r="F347" s="269">
        <v>0.33</v>
      </c>
      <c r="G347" s="266">
        <v>24.79</v>
      </c>
      <c r="H347" s="92" t="s">
        <v>122</v>
      </c>
    </row>
    <row r="348" spans="1:8" ht="27" customHeight="1" x14ac:dyDescent="0.25">
      <c r="A348" s="262">
        <v>43445</v>
      </c>
      <c r="B348" s="263" t="s">
        <v>2667</v>
      </c>
      <c r="C348" s="264">
        <v>38958</v>
      </c>
      <c r="D348" s="267">
        <v>0.5</v>
      </c>
      <c r="E348" s="270">
        <v>36.08</v>
      </c>
      <c r="F348" s="269">
        <v>0.33</v>
      </c>
      <c r="G348" s="266">
        <v>24.79</v>
      </c>
      <c r="H348" s="92" t="s">
        <v>122</v>
      </c>
    </row>
    <row r="349" spans="1:8" ht="27" customHeight="1" x14ac:dyDescent="0.25">
      <c r="A349" s="262">
        <v>43446</v>
      </c>
      <c r="B349" s="263" t="s">
        <v>2658</v>
      </c>
      <c r="C349" s="272">
        <v>38822.5</v>
      </c>
      <c r="D349" s="267">
        <v>0.5</v>
      </c>
      <c r="E349" s="266">
        <v>36.04</v>
      </c>
      <c r="F349" s="269">
        <v>0.5</v>
      </c>
      <c r="G349" s="266">
        <v>37.35</v>
      </c>
      <c r="H349" s="92" t="s">
        <v>122</v>
      </c>
    </row>
    <row r="350" spans="1:8" ht="27" customHeight="1" x14ac:dyDescent="0.25">
      <c r="A350" s="262">
        <v>43447</v>
      </c>
      <c r="B350" s="263" t="s">
        <v>2658</v>
      </c>
      <c r="C350" s="272">
        <v>38822.5</v>
      </c>
      <c r="D350" s="267">
        <v>0.5</v>
      </c>
      <c r="E350" s="266">
        <v>36.04</v>
      </c>
      <c r="F350" s="269">
        <v>0.5</v>
      </c>
      <c r="G350" s="266">
        <f>(37.39+37.31)/2</f>
        <v>37.35</v>
      </c>
      <c r="H350" s="92" t="s">
        <v>122</v>
      </c>
    </row>
    <row r="351" spans="1:8" ht="27" customHeight="1" x14ac:dyDescent="0.25">
      <c r="A351" s="262">
        <v>43448</v>
      </c>
      <c r="B351" s="263" t="s">
        <v>2295</v>
      </c>
      <c r="C351" s="264">
        <v>38687</v>
      </c>
      <c r="D351" s="267">
        <v>0.5</v>
      </c>
      <c r="E351" s="266">
        <v>36</v>
      </c>
      <c r="F351" s="269">
        <v>0.33</v>
      </c>
      <c r="G351" s="266">
        <v>24.73</v>
      </c>
      <c r="H351" s="92" t="s">
        <v>122</v>
      </c>
    </row>
    <row r="352" spans="1:8" ht="27" customHeight="1" x14ac:dyDescent="0.25">
      <c r="A352" s="262">
        <v>43449</v>
      </c>
      <c r="B352" s="263" t="s">
        <v>2295</v>
      </c>
      <c r="C352" s="264">
        <v>38687</v>
      </c>
      <c r="D352" s="267">
        <v>1</v>
      </c>
      <c r="E352" s="270">
        <v>71</v>
      </c>
      <c r="F352" s="269">
        <v>0.83</v>
      </c>
      <c r="G352" s="266">
        <v>61.4</v>
      </c>
      <c r="H352" s="92" t="s">
        <v>122</v>
      </c>
    </row>
    <row r="353" spans="1:8" ht="27" customHeight="1" x14ac:dyDescent="0.25">
      <c r="A353" s="262">
        <v>43450</v>
      </c>
      <c r="B353" s="263" t="s">
        <v>1872</v>
      </c>
      <c r="C353" s="264">
        <v>38416</v>
      </c>
      <c r="D353" s="267">
        <v>1</v>
      </c>
      <c r="E353" s="270">
        <v>70.83</v>
      </c>
      <c r="F353" s="269">
        <v>0.83</v>
      </c>
      <c r="G353" s="266">
        <v>61.27</v>
      </c>
      <c r="H353" s="92" t="s">
        <v>122</v>
      </c>
    </row>
    <row r="354" spans="1:8" ht="27" customHeight="1" x14ac:dyDescent="0.25">
      <c r="A354" s="262">
        <v>43451</v>
      </c>
      <c r="B354" s="263" t="s">
        <v>2296</v>
      </c>
      <c r="C354" s="264">
        <v>38146</v>
      </c>
      <c r="D354" s="267">
        <v>1</v>
      </c>
      <c r="E354" s="266">
        <v>70.66</v>
      </c>
      <c r="F354" s="269">
        <v>0.83</v>
      </c>
      <c r="G354" s="266">
        <v>61.14</v>
      </c>
      <c r="H354" s="92" t="s">
        <v>122</v>
      </c>
    </row>
    <row r="355" spans="1:8" ht="27" customHeight="1" x14ac:dyDescent="0.25">
      <c r="A355" s="262">
        <v>43452</v>
      </c>
      <c r="B355" s="263" t="s">
        <v>1873</v>
      </c>
      <c r="C355" s="272">
        <v>38010.5</v>
      </c>
      <c r="D355" s="267">
        <v>1</v>
      </c>
      <c r="E355" s="266">
        <f>(70.5+70.66)/2</f>
        <v>70.58</v>
      </c>
      <c r="F355" s="269">
        <v>0.83</v>
      </c>
      <c r="G355" s="270">
        <f>(61.14+60.99)/2</f>
        <v>61.064999999999998</v>
      </c>
      <c r="H355" s="92" t="s">
        <v>122</v>
      </c>
    </row>
    <row r="356" spans="1:8" ht="27" customHeight="1" x14ac:dyDescent="0.25">
      <c r="A356" s="262">
        <v>43453</v>
      </c>
      <c r="B356" s="263" t="s">
        <v>1864</v>
      </c>
      <c r="C356" s="264">
        <v>37875</v>
      </c>
      <c r="D356" s="267">
        <v>1</v>
      </c>
      <c r="E356" s="266">
        <v>70.5</v>
      </c>
      <c r="F356" s="269">
        <v>0.83</v>
      </c>
      <c r="G356" s="266">
        <v>60.99</v>
      </c>
      <c r="H356" s="92" t="s">
        <v>122</v>
      </c>
    </row>
    <row r="357" spans="1:8" ht="27" customHeight="1" x14ac:dyDescent="0.25">
      <c r="A357" s="262">
        <v>43454</v>
      </c>
      <c r="B357" s="263" t="s">
        <v>1865</v>
      </c>
      <c r="C357" s="272">
        <v>37739.5</v>
      </c>
      <c r="D357" s="267" t="s">
        <v>122</v>
      </c>
      <c r="E357" s="266" t="s">
        <v>122</v>
      </c>
      <c r="F357" s="269">
        <v>0.83</v>
      </c>
      <c r="G357" s="270">
        <f>(60.54+60.99)/2</f>
        <v>60.765000000000001</v>
      </c>
      <c r="H357" s="92" t="s">
        <v>122</v>
      </c>
    </row>
    <row r="358" spans="1:8" ht="27" customHeight="1" x14ac:dyDescent="0.25">
      <c r="A358" s="262">
        <v>43455</v>
      </c>
      <c r="B358" s="263" t="s">
        <v>1866</v>
      </c>
      <c r="C358" s="264">
        <v>37604</v>
      </c>
      <c r="D358" s="267" t="s">
        <v>122</v>
      </c>
      <c r="E358" s="266" t="s">
        <v>122</v>
      </c>
      <c r="F358" s="269" t="s">
        <v>122</v>
      </c>
      <c r="G358" s="266" t="s">
        <v>122</v>
      </c>
      <c r="H358" s="92" t="s">
        <v>122</v>
      </c>
    </row>
    <row r="359" spans="1:8" ht="27" customHeight="1" x14ac:dyDescent="0.25">
      <c r="A359" s="262">
        <v>43456</v>
      </c>
      <c r="B359" s="263" t="s">
        <v>2296</v>
      </c>
      <c r="C359" s="264">
        <v>38146</v>
      </c>
      <c r="D359" s="267" t="s">
        <v>122</v>
      </c>
      <c r="E359" s="266" t="s">
        <v>122</v>
      </c>
      <c r="F359" s="269" t="s">
        <v>122</v>
      </c>
      <c r="G359" s="266" t="s">
        <v>122</v>
      </c>
      <c r="H359" s="92" t="s">
        <v>122</v>
      </c>
    </row>
    <row r="360" spans="1:8" ht="27" customHeight="1" x14ac:dyDescent="0.25">
      <c r="A360" s="262">
        <v>43457</v>
      </c>
      <c r="B360" s="263" t="s">
        <v>2295</v>
      </c>
      <c r="C360" s="264">
        <v>38687</v>
      </c>
      <c r="D360" s="267" t="s">
        <v>122</v>
      </c>
      <c r="E360" s="266" t="s">
        <v>122</v>
      </c>
      <c r="F360" s="269" t="s">
        <v>122</v>
      </c>
      <c r="G360" s="266" t="s">
        <v>122</v>
      </c>
      <c r="H360" s="92" t="s">
        <v>122</v>
      </c>
    </row>
    <row r="361" spans="1:8" ht="27" customHeight="1" x14ac:dyDescent="0.25">
      <c r="A361" s="262">
        <v>43458</v>
      </c>
      <c r="B361" s="263" t="s">
        <v>2295</v>
      </c>
      <c r="C361" s="264">
        <v>38687</v>
      </c>
      <c r="D361" s="267" t="s">
        <v>122</v>
      </c>
      <c r="E361" s="266" t="s">
        <v>122</v>
      </c>
      <c r="F361" s="269" t="s">
        <v>122</v>
      </c>
      <c r="G361" s="266" t="s">
        <v>122</v>
      </c>
      <c r="H361" s="92" t="s">
        <v>122</v>
      </c>
    </row>
    <row r="362" spans="1:8" ht="27" customHeight="1" x14ac:dyDescent="0.25">
      <c r="A362" s="262">
        <v>43459</v>
      </c>
      <c r="B362" s="263" t="s">
        <v>2520</v>
      </c>
      <c r="C362" s="271" t="s">
        <v>2661</v>
      </c>
      <c r="D362" s="267" t="s">
        <v>122</v>
      </c>
      <c r="E362" s="266" t="s">
        <v>122</v>
      </c>
      <c r="F362" s="269" t="s">
        <v>122</v>
      </c>
      <c r="G362" s="266" t="s">
        <v>122</v>
      </c>
      <c r="H362" s="239">
        <v>805.91</v>
      </c>
    </row>
    <row r="363" spans="1:8" ht="27" customHeight="1" x14ac:dyDescent="0.25">
      <c r="A363" s="262">
        <v>43460</v>
      </c>
      <c r="B363" s="263" t="s">
        <v>1869</v>
      </c>
      <c r="C363" s="271" t="s">
        <v>2662</v>
      </c>
      <c r="D363" s="267" t="s">
        <v>122</v>
      </c>
      <c r="E363" s="266" t="s">
        <v>122</v>
      </c>
      <c r="F363" s="269" t="s">
        <v>122</v>
      </c>
      <c r="G363" s="266" t="s">
        <v>122</v>
      </c>
      <c r="H363" s="239">
        <v>2279.46</v>
      </c>
    </row>
    <row r="364" spans="1:8" ht="27" customHeight="1" x14ac:dyDescent="0.25">
      <c r="A364" s="262">
        <v>43461</v>
      </c>
      <c r="B364" s="263" t="s">
        <v>1869</v>
      </c>
      <c r="C364" s="271" t="s">
        <v>2662</v>
      </c>
      <c r="D364" s="267" t="s">
        <v>122</v>
      </c>
      <c r="E364" s="266" t="s">
        <v>122</v>
      </c>
      <c r="F364" s="269" t="s">
        <v>122</v>
      </c>
      <c r="G364" s="266" t="s">
        <v>122</v>
      </c>
      <c r="H364" s="239">
        <v>2279.46</v>
      </c>
    </row>
    <row r="365" spans="1:8" ht="27" customHeight="1" x14ac:dyDescent="0.25">
      <c r="A365" s="262">
        <v>43462</v>
      </c>
      <c r="B365" s="263" t="s">
        <v>2668</v>
      </c>
      <c r="C365" s="271" t="s">
        <v>2669</v>
      </c>
      <c r="D365" s="267">
        <v>0.33</v>
      </c>
      <c r="E365" s="266">
        <v>24.27</v>
      </c>
      <c r="F365" s="269">
        <v>0.5</v>
      </c>
      <c r="G365" s="266">
        <v>37.549999999999997</v>
      </c>
      <c r="H365" s="239">
        <v>1754.89</v>
      </c>
    </row>
    <row r="366" spans="1:8" ht="27" customHeight="1" x14ac:dyDescent="0.25">
      <c r="A366" s="262">
        <v>43463</v>
      </c>
      <c r="B366" s="263" t="s">
        <v>1869</v>
      </c>
      <c r="C366" s="271" t="s">
        <v>2662</v>
      </c>
      <c r="D366" s="267">
        <v>1</v>
      </c>
      <c r="E366" s="266">
        <v>71.5</v>
      </c>
      <c r="F366" s="269">
        <v>0.67</v>
      </c>
      <c r="G366" s="266">
        <v>50.11</v>
      </c>
      <c r="H366" s="239">
        <v>2279.46</v>
      </c>
    </row>
    <row r="367" spans="1:8" ht="27" customHeight="1" x14ac:dyDescent="0.25">
      <c r="A367" s="262">
        <v>43464</v>
      </c>
      <c r="B367" s="263" t="s">
        <v>2520</v>
      </c>
      <c r="C367" s="271" t="s">
        <v>2661</v>
      </c>
      <c r="D367" s="267">
        <v>1</v>
      </c>
      <c r="E367" s="266">
        <v>71.5</v>
      </c>
      <c r="F367" s="269">
        <v>0.67</v>
      </c>
      <c r="G367" s="266">
        <v>50.11</v>
      </c>
      <c r="H367" s="239">
        <v>805.91</v>
      </c>
    </row>
    <row r="368" spans="1:8" ht="27" customHeight="1" thickBot="1" x14ac:dyDescent="0.3">
      <c r="A368" s="273">
        <v>43465</v>
      </c>
      <c r="B368" s="274" t="s">
        <v>2539</v>
      </c>
      <c r="C368" s="275" t="s">
        <v>2660</v>
      </c>
      <c r="D368" s="276">
        <v>1</v>
      </c>
      <c r="E368" s="277">
        <v>71.5</v>
      </c>
      <c r="F368" s="278">
        <v>0.67</v>
      </c>
      <c r="G368" s="277">
        <v>50.11</v>
      </c>
      <c r="H368" s="251">
        <v>451.91</v>
      </c>
    </row>
  </sheetData>
  <mergeCells count="6">
    <mergeCell ref="A1:H1"/>
    <mergeCell ref="H2:H3"/>
    <mergeCell ref="A2:A3"/>
    <mergeCell ref="B2:B3"/>
    <mergeCell ref="D2:G2"/>
    <mergeCell ref="C2:C3"/>
  </mergeCells>
  <printOptions horizontalCentered="1"/>
  <pageMargins left="1.2"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368"/>
  <sheetViews>
    <sheetView topLeftCell="A229" workbookViewId="0">
      <selection activeCell="H8" sqref="H8"/>
    </sheetView>
  </sheetViews>
  <sheetFormatPr defaultRowHeight="15" x14ac:dyDescent="0.25"/>
  <cols>
    <col min="1" max="1" width="10" customWidth="1"/>
    <col min="2" max="2" width="11.85546875" customWidth="1"/>
    <col min="3" max="3" width="10.85546875" customWidth="1"/>
    <col min="4" max="4" width="8.140625" customWidth="1"/>
    <col min="8" max="8" width="10.85546875" customWidth="1"/>
  </cols>
  <sheetData>
    <row r="1" spans="1:12" ht="37.5" customHeight="1" thickBot="1" x14ac:dyDescent="0.45">
      <c r="A1" s="498" t="s">
        <v>2707</v>
      </c>
      <c r="B1" s="498"/>
      <c r="C1" s="498"/>
      <c r="D1" s="498"/>
      <c r="E1" s="498"/>
      <c r="F1" s="498"/>
      <c r="G1" s="498"/>
      <c r="H1" s="498"/>
      <c r="I1" s="81"/>
      <c r="J1" s="81"/>
    </row>
    <row r="2" spans="1:12" ht="24.75" customHeight="1" x14ac:dyDescent="0.25">
      <c r="A2" s="485" t="s">
        <v>1761</v>
      </c>
      <c r="B2" s="502" t="s">
        <v>2292</v>
      </c>
      <c r="C2" s="476" t="s">
        <v>2675</v>
      </c>
      <c r="D2" s="504" t="s">
        <v>2294</v>
      </c>
      <c r="E2" s="505"/>
      <c r="F2" s="505"/>
      <c r="G2" s="505"/>
      <c r="H2" s="457" t="s">
        <v>2670</v>
      </c>
      <c r="I2" s="82"/>
      <c r="J2" s="82"/>
      <c r="K2" s="82"/>
      <c r="L2" s="82"/>
    </row>
    <row r="3" spans="1:12" ht="35.25" customHeight="1" thickBot="1" x14ac:dyDescent="0.3">
      <c r="A3" s="486"/>
      <c r="B3" s="507"/>
      <c r="C3" s="477"/>
      <c r="D3" s="279" t="s">
        <v>1774</v>
      </c>
      <c r="E3" s="280" t="s">
        <v>735</v>
      </c>
      <c r="F3" s="281" t="s">
        <v>1775</v>
      </c>
      <c r="G3" s="280" t="s">
        <v>735</v>
      </c>
      <c r="H3" s="458"/>
      <c r="I3" s="82"/>
      <c r="J3" s="82"/>
      <c r="K3" s="82"/>
      <c r="L3" s="82"/>
    </row>
    <row r="4" spans="1:12" ht="26.25" customHeight="1" x14ac:dyDescent="0.25">
      <c r="A4" s="88">
        <v>43466</v>
      </c>
      <c r="B4" s="232" t="s">
        <v>2522</v>
      </c>
      <c r="C4" s="282" t="s">
        <v>2534</v>
      </c>
      <c r="D4" s="283">
        <v>1</v>
      </c>
      <c r="E4" s="283">
        <v>71.5</v>
      </c>
      <c r="F4" s="284">
        <v>0.67</v>
      </c>
      <c r="G4" s="284">
        <v>61.95</v>
      </c>
      <c r="H4" s="235"/>
    </row>
    <row r="5" spans="1:12" ht="26.25" customHeight="1" x14ac:dyDescent="0.25">
      <c r="A5" s="89">
        <v>43467</v>
      </c>
      <c r="B5" s="236" t="s">
        <v>1868</v>
      </c>
      <c r="C5" s="237">
        <v>39500</v>
      </c>
      <c r="D5" s="240">
        <v>1</v>
      </c>
      <c r="E5" s="240">
        <v>71.5</v>
      </c>
      <c r="F5" s="87">
        <v>0.83</v>
      </c>
      <c r="G5" s="240">
        <v>61.8</v>
      </c>
      <c r="H5" s="92" t="s">
        <v>122</v>
      </c>
    </row>
    <row r="6" spans="1:12" ht="26.25" customHeight="1" x14ac:dyDescent="0.25">
      <c r="A6" s="89">
        <v>43468</v>
      </c>
      <c r="B6" s="236" t="s">
        <v>1868</v>
      </c>
      <c r="C6" s="285">
        <v>39500</v>
      </c>
      <c r="D6" s="240">
        <v>0.83</v>
      </c>
      <c r="E6" s="240">
        <v>59.86</v>
      </c>
      <c r="F6" s="87">
        <v>0.83</v>
      </c>
      <c r="G6" s="240">
        <v>61.8</v>
      </c>
      <c r="H6" s="92" t="s">
        <v>122</v>
      </c>
    </row>
    <row r="7" spans="1:12" ht="26.25" customHeight="1" x14ac:dyDescent="0.25">
      <c r="A7" s="89">
        <v>43469</v>
      </c>
      <c r="B7" s="236" t="s">
        <v>2443</v>
      </c>
      <c r="C7" s="237">
        <v>39229</v>
      </c>
      <c r="D7" s="240">
        <v>0.83</v>
      </c>
      <c r="E7" s="240">
        <v>59.72</v>
      </c>
      <c r="F7" s="87">
        <v>0.83</v>
      </c>
      <c r="G7" s="240">
        <v>61.67</v>
      </c>
      <c r="H7" s="92" t="s">
        <v>122</v>
      </c>
    </row>
    <row r="8" spans="1:12" ht="26.25" customHeight="1" x14ac:dyDescent="0.25">
      <c r="A8" s="89">
        <v>43470</v>
      </c>
      <c r="B8" s="236" t="s">
        <v>2443</v>
      </c>
      <c r="C8" s="285">
        <v>39229</v>
      </c>
      <c r="D8" s="240"/>
      <c r="E8" s="240" t="s">
        <v>122</v>
      </c>
      <c r="F8" s="87" t="s">
        <v>122</v>
      </c>
      <c r="G8" s="240" t="s">
        <v>122</v>
      </c>
      <c r="H8" s="92" t="s">
        <v>122</v>
      </c>
    </row>
    <row r="9" spans="1:12" ht="26.25" customHeight="1" x14ac:dyDescent="0.25">
      <c r="A9" s="89">
        <v>43471</v>
      </c>
      <c r="B9" s="236" t="s">
        <v>2443</v>
      </c>
      <c r="C9" s="285">
        <v>39229</v>
      </c>
      <c r="D9" s="240"/>
      <c r="E9" s="240" t="s">
        <v>122</v>
      </c>
      <c r="F9" s="87" t="s">
        <v>122</v>
      </c>
      <c r="G9" s="240" t="s">
        <v>122</v>
      </c>
      <c r="H9" s="92" t="s">
        <v>122</v>
      </c>
    </row>
    <row r="10" spans="1:12" ht="26.25" customHeight="1" x14ac:dyDescent="0.25">
      <c r="A10" s="89">
        <v>43472</v>
      </c>
      <c r="B10" s="236" t="s">
        <v>2443</v>
      </c>
      <c r="C10" s="285">
        <v>39229</v>
      </c>
      <c r="D10" s="240">
        <v>0.83</v>
      </c>
      <c r="E10" s="240">
        <v>59.72</v>
      </c>
      <c r="F10" s="87">
        <v>0.83</v>
      </c>
      <c r="G10" s="240">
        <v>61.67</v>
      </c>
      <c r="H10" s="92" t="s">
        <v>122</v>
      </c>
    </row>
    <row r="11" spans="1:12" ht="26.25" customHeight="1" x14ac:dyDescent="0.25">
      <c r="A11" s="89">
        <v>43473</v>
      </c>
      <c r="B11" s="236" t="s">
        <v>1871</v>
      </c>
      <c r="C11" s="285">
        <v>38958</v>
      </c>
      <c r="D11" s="240">
        <v>1</v>
      </c>
      <c r="E11" s="240">
        <v>71.16</v>
      </c>
      <c r="F11" s="87">
        <v>0.83</v>
      </c>
      <c r="G11" s="240">
        <v>61.54</v>
      </c>
      <c r="H11" s="92" t="s">
        <v>122</v>
      </c>
    </row>
    <row r="12" spans="1:12" ht="26.25" customHeight="1" x14ac:dyDescent="0.25">
      <c r="A12" s="89">
        <v>43474</v>
      </c>
      <c r="B12" s="236" t="s">
        <v>2295</v>
      </c>
      <c r="C12" s="237">
        <v>38687</v>
      </c>
      <c r="D12" s="240">
        <v>1.17</v>
      </c>
      <c r="E12" s="240">
        <v>82.44</v>
      </c>
      <c r="F12" s="87">
        <v>1</v>
      </c>
      <c r="G12" s="240">
        <v>73.650000000000006</v>
      </c>
      <c r="H12" s="92" t="s">
        <v>122</v>
      </c>
    </row>
    <row r="13" spans="1:12" ht="26.25" customHeight="1" x14ac:dyDescent="0.25">
      <c r="A13" s="89">
        <v>43475</v>
      </c>
      <c r="B13" s="236" t="s">
        <v>1872</v>
      </c>
      <c r="C13" s="237">
        <v>38416</v>
      </c>
      <c r="D13" s="240">
        <v>1.17</v>
      </c>
      <c r="E13" s="240">
        <v>82.24</v>
      </c>
      <c r="F13" s="87">
        <v>1</v>
      </c>
      <c r="G13" s="240">
        <v>73.489999999999995</v>
      </c>
      <c r="H13" s="92" t="s">
        <v>122</v>
      </c>
    </row>
    <row r="14" spans="1:12" ht="26.25" customHeight="1" x14ac:dyDescent="0.25">
      <c r="A14" s="89">
        <v>43476</v>
      </c>
      <c r="B14" s="236" t="s">
        <v>1873</v>
      </c>
      <c r="C14" s="285">
        <v>38010.5</v>
      </c>
      <c r="D14" s="240">
        <v>1.17</v>
      </c>
      <c r="E14" s="87">
        <f>(81.85+82.05)/2</f>
        <v>81.949999999999989</v>
      </c>
      <c r="F14" s="87">
        <v>1</v>
      </c>
      <c r="G14" s="240">
        <f>(72.48+73.32)/2</f>
        <v>72.900000000000006</v>
      </c>
      <c r="H14" s="92" t="s">
        <v>122</v>
      </c>
    </row>
    <row r="15" spans="1:12" ht="26.25" customHeight="1" x14ac:dyDescent="0.25">
      <c r="A15" s="89">
        <v>43477</v>
      </c>
      <c r="B15" s="236" t="s">
        <v>1866</v>
      </c>
      <c r="C15" s="285">
        <v>37604</v>
      </c>
      <c r="D15" s="240">
        <v>0.83</v>
      </c>
      <c r="E15" s="240">
        <v>58.89</v>
      </c>
      <c r="F15" s="87">
        <v>1</v>
      </c>
      <c r="G15" s="240">
        <v>72.319999999999993</v>
      </c>
      <c r="H15" s="92" t="s">
        <v>122</v>
      </c>
    </row>
    <row r="16" spans="1:12" ht="26.25" customHeight="1" x14ac:dyDescent="0.25">
      <c r="A16" s="89">
        <v>43478</v>
      </c>
      <c r="B16" s="236" t="s">
        <v>1852</v>
      </c>
      <c r="C16" s="285">
        <v>37333</v>
      </c>
      <c r="D16" s="240"/>
      <c r="E16" s="240" t="s">
        <v>122</v>
      </c>
      <c r="F16" s="87" t="s">
        <v>122</v>
      </c>
      <c r="G16" s="240" t="s">
        <v>122</v>
      </c>
      <c r="H16" s="92" t="s">
        <v>122</v>
      </c>
    </row>
    <row r="17" spans="1:8" ht="26.25" customHeight="1" x14ac:dyDescent="0.25">
      <c r="A17" s="89">
        <v>43479</v>
      </c>
      <c r="B17" s="236" t="s">
        <v>1852</v>
      </c>
      <c r="C17" s="285">
        <v>37333</v>
      </c>
      <c r="D17" s="240"/>
      <c r="E17" s="240" t="s">
        <v>122</v>
      </c>
      <c r="F17" s="87" t="s">
        <v>122</v>
      </c>
      <c r="G17" s="240" t="s">
        <v>122</v>
      </c>
      <c r="H17" s="92" t="s">
        <v>122</v>
      </c>
    </row>
    <row r="18" spans="1:8" ht="26.25" customHeight="1" x14ac:dyDescent="0.25">
      <c r="A18" s="89">
        <v>43480</v>
      </c>
      <c r="B18" s="236" t="s">
        <v>1852</v>
      </c>
      <c r="C18" s="285">
        <v>37333</v>
      </c>
      <c r="D18" s="240"/>
      <c r="E18" s="87" t="s">
        <v>122</v>
      </c>
      <c r="F18" s="87" t="s">
        <v>122</v>
      </c>
      <c r="G18" s="240" t="s">
        <v>122</v>
      </c>
      <c r="H18" s="92" t="s">
        <v>122</v>
      </c>
    </row>
    <row r="19" spans="1:8" ht="26.25" customHeight="1" x14ac:dyDescent="0.25">
      <c r="A19" s="89">
        <v>43481</v>
      </c>
      <c r="B19" s="236" t="s">
        <v>1852</v>
      </c>
      <c r="C19" s="285">
        <v>37333</v>
      </c>
      <c r="D19" s="240">
        <v>1.08</v>
      </c>
      <c r="E19" s="87">
        <f>(75.73+75.91)/2</f>
        <v>75.819999999999993</v>
      </c>
      <c r="F19" s="87">
        <v>0.83</v>
      </c>
      <c r="G19" s="87">
        <v>60.4</v>
      </c>
      <c r="H19" s="92" t="s">
        <v>122</v>
      </c>
    </row>
    <row r="20" spans="1:8" ht="26.25" customHeight="1" x14ac:dyDescent="0.25">
      <c r="A20" s="89">
        <v>43482</v>
      </c>
      <c r="B20" s="236" t="s">
        <v>2297</v>
      </c>
      <c r="C20" s="237">
        <v>37062</v>
      </c>
      <c r="D20" s="240">
        <v>1.17</v>
      </c>
      <c r="E20" s="240">
        <v>81.260000000000005</v>
      </c>
      <c r="F20" s="87">
        <v>1</v>
      </c>
      <c r="G20" s="240">
        <v>72.16</v>
      </c>
      <c r="H20" s="92" t="s">
        <v>122</v>
      </c>
    </row>
    <row r="21" spans="1:8" ht="26.25" customHeight="1" x14ac:dyDescent="0.25">
      <c r="A21" s="89">
        <v>43483</v>
      </c>
      <c r="B21" s="236" t="s">
        <v>1875</v>
      </c>
      <c r="C21" s="285">
        <v>36656.5</v>
      </c>
      <c r="D21" s="240">
        <v>1.25</v>
      </c>
      <c r="E21" s="87">
        <v>86.53</v>
      </c>
      <c r="F21" s="87">
        <v>1.17</v>
      </c>
      <c r="G21" s="87">
        <f>(83.22+83.41)/2</f>
        <v>83.314999999999998</v>
      </c>
      <c r="H21" s="92" t="s">
        <v>122</v>
      </c>
    </row>
    <row r="22" spans="1:8" ht="26.25" customHeight="1" x14ac:dyDescent="0.25">
      <c r="A22" s="89">
        <v>43484</v>
      </c>
      <c r="B22" s="236" t="s">
        <v>1851</v>
      </c>
      <c r="C22" s="237">
        <v>36250</v>
      </c>
      <c r="D22" s="240">
        <v>1.25</v>
      </c>
      <c r="E22" s="240">
        <f>(86.1+86.32)/2</f>
        <v>86.21</v>
      </c>
      <c r="F22" s="87">
        <v>1.17</v>
      </c>
      <c r="G22" s="240">
        <v>83.02</v>
      </c>
      <c r="H22" s="92" t="s">
        <v>122</v>
      </c>
    </row>
    <row r="23" spans="1:8" ht="26.25" customHeight="1" x14ac:dyDescent="0.25">
      <c r="A23" s="89">
        <v>43485</v>
      </c>
      <c r="B23" s="236" t="s">
        <v>1856</v>
      </c>
      <c r="C23" s="285">
        <v>35750</v>
      </c>
      <c r="D23" s="240">
        <v>1.25</v>
      </c>
      <c r="E23" s="87">
        <f>(85.89+86.1)/2</f>
        <v>85.995000000000005</v>
      </c>
      <c r="F23" s="87">
        <v>1.17</v>
      </c>
      <c r="G23" s="240">
        <v>82.83</v>
      </c>
      <c r="H23" s="92" t="s">
        <v>122</v>
      </c>
    </row>
    <row r="24" spans="1:8" ht="26.25" customHeight="1" x14ac:dyDescent="0.25">
      <c r="A24" s="89">
        <v>43486</v>
      </c>
      <c r="B24" s="236" t="s">
        <v>1874</v>
      </c>
      <c r="C24" s="237">
        <v>35000</v>
      </c>
      <c r="D24" s="240">
        <v>1.25</v>
      </c>
      <c r="E24" s="87">
        <f>(85.46+85.67)/2</f>
        <v>85.564999999999998</v>
      </c>
      <c r="F24" s="87">
        <v>1.17</v>
      </c>
      <c r="G24" s="240">
        <v>82.44</v>
      </c>
      <c r="H24" s="92" t="s">
        <v>122</v>
      </c>
    </row>
    <row r="25" spans="1:8" ht="26.25" customHeight="1" x14ac:dyDescent="0.25">
      <c r="A25" s="89">
        <v>43487</v>
      </c>
      <c r="B25" s="236" t="s">
        <v>2446</v>
      </c>
      <c r="C25" s="237">
        <v>34250</v>
      </c>
      <c r="D25" s="240">
        <v>0.33</v>
      </c>
      <c r="E25" s="240">
        <v>23.39</v>
      </c>
      <c r="F25" s="87" t="s">
        <v>122</v>
      </c>
      <c r="G25" s="240" t="s">
        <v>122</v>
      </c>
      <c r="H25" s="92" t="s">
        <v>122</v>
      </c>
    </row>
    <row r="26" spans="1:8" ht="26.25" customHeight="1" x14ac:dyDescent="0.25">
      <c r="A26" s="89">
        <v>43488</v>
      </c>
      <c r="B26" s="236" t="s">
        <v>2446</v>
      </c>
      <c r="C26" s="237">
        <v>34250</v>
      </c>
      <c r="D26" s="240">
        <v>0.33</v>
      </c>
      <c r="E26" s="240">
        <v>23.39</v>
      </c>
      <c r="F26" s="87" t="s">
        <v>122</v>
      </c>
      <c r="G26" s="240" t="s">
        <v>122</v>
      </c>
      <c r="H26" s="92" t="s">
        <v>122</v>
      </c>
    </row>
    <row r="27" spans="1:8" ht="26.25" customHeight="1" x14ac:dyDescent="0.25">
      <c r="A27" s="89">
        <v>43489</v>
      </c>
      <c r="B27" s="236" t="s">
        <v>2446</v>
      </c>
      <c r="C27" s="237">
        <v>34250</v>
      </c>
      <c r="D27" s="240">
        <v>0.33</v>
      </c>
      <c r="E27" s="240">
        <v>23.39</v>
      </c>
      <c r="F27" s="87" t="s">
        <v>122</v>
      </c>
      <c r="G27" s="240" t="s">
        <v>122</v>
      </c>
      <c r="H27" s="92" t="s">
        <v>122</v>
      </c>
    </row>
    <row r="28" spans="1:8" ht="26.25" customHeight="1" x14ac:dyDescent="0.25">
      <c r="A28" s="89">
        <v>43490</v>
      </c>
      <c r="B28" s="236" t="s">
        <v>1859</v>
      </c>
      <c r="C28" s="237">
        <v>34075</v>
      </c>
      <c r="D28" s="240"/>
      <c r="E28" s="240" t="s">
        <v>122</v>
      </c>
      <c r="F28" s="87" t="s">
        <v>122</v>
      </c>
      <c r="G28" s="240" t="s">
        <v>122</v>
      </c>
      <c r="H28" s="92" t="s">
        <v>122</v>
      </c>
    </row>
    <row r="29" spans="1:8" ht="26.25" customHeight="1" x14ac:dyDescent="0.25">
      <c r="A29" s="89">
        <v>43491</v>
      </c>
      <c r="B29" s="236" t="s">
        <v>1859</v>
      </c>
      <c r="C29" s="237">
        <v>34075</v>
      </c>
      <c r="D29" s="240">
        <v>1.08</v>
      </c>
      <c r="E29" s="87">
        <v>74.25</v>
      </c>
      <c r="F29" s="87">
        <v>0.83</v>
      </c>
      <c r="G29" s="87">
        <f>(59.17+59.3)/2</f>
        <v>59.234999999999999</v>
      </c>
      <c r="H29" s="92" t="s">
        <v>122</v>
      </c>
    </row>
    <row r="30" spans="1:8" ht="26.25" customHeight="1" x14ac:dyDescent="0.25">
      <c r="A30" s="89">
        <v>43492</v>
      </c>
      <c r="B30" s="236" t="s">
        <v>2447</v>
      </c>
      <c r="C30" s="237">
        <v>33850</v>
      </c>
      <c r="D30" s="240">
        <v>1.25</v>
      </c>
      <c r="E30" s="240">
        <v>85.02</v>
      </c>
      <c r="F30" s="87">
        <v>1.17</v>
      </c>
      <c r="G30" s="240">
        <f>(81.85+82.05)/2</f>
        <v>81.949999999999989</v>
      </c>
      <c r="H30" s="92" t="s">
        <v>122</v>
      </c>
    </row>
    <row r="31" spans="1:8" ht="26.25" customHeight="1" x14ac:dyDescent="0.25">
      <c r="A31" s="89">
        <v>43493</v>
      </c>
      <c r="B31" s="236" t="s">
        <v>2301</v>
      </c>
      <c r="C31" s="237">
        <v>33500</v>
      </c>
      <c r="D31" s="240">
        <v>1.25</v>
      </c>
      <c r="E31" s="87">
        <f>(84.59+84.8)/2</f>
        <v>84.694999999999993</v>
      </c>
      <c r="F31" s="87">
        <v>1.17</v>
      </c>
      <c r="G31" s="240">
        <v>81.66</v>
      </c>
      <c r="H31" s="92" t="s">
        <v>122</v>
      </c>
    </row>
    <row r="32" spans="1:8" ht="26.25" customHeight="1" x14ac:dyDescent="0.25">
      <c r="A32" s="89">
        <v>43494</v>
      </c>
      <c r="B32" s="236" t="s">
        <v>2547</v>
      </c>
      <c r="C32" s="237">
        <v>32900</v>
      </c>
      <c r="D32" s="240">
        <v>1.25</v>
      </c>
      <c r="E32" s="240">
        <v>84.37</v>
      </c>
      <c r="F32" s="87">
        <v>1.17</v>
      </c>
      <c r="G32" s="240">
        <f>(81.26+81.46)/2</f>
        <v>81.36</v>
      </c>
      <c r="H32" s="92" t="s">
        <v>122</v>
      </c>
    </row>
    <row r="33" spans="1:8" ht="26.25" customHeight="1" x14ac:dyDescent="0.25">
      <c r="A33" s="89">
        <v>43495</v>
      </c>
      <c r="B33" s="236" t="s">
        <v>2548</v>
      </c>
      <c r="C33" s="237">
        <v>32600</v>
      </c>
      <c r="D33" s="240">
        <v>1.25</v>
      </c>
      <c r="E33" s="240">
        <f>(83.93+84.15)/2</f>
        <v>84.04</v>
      </c>
      <c r="F33" s="87">
        <v>1.17</v>
      </c>
      <c r="G33" s="240">
        <v>81.069999999999993</v>
      </c>
      <c r="H33" s="92" t="s">
        <v>122</v>
      </c>
    </row>
    <row r="34" spans="1:8" ht="26.25" customHeight="1" x14ac:dyDescent="0.25">
      <c r="A34" s="89">
        <v>43496</v>
      </c>
      <c r="B34" s="236" t="s">
        <v>2450</v>
      </c>
      <c r="C34" s="237">
        <v>32250</v>
      </c>
      <c r="D34" s="240">
        <v>1.25</v>
      </c>
      <c r="E34" s="240">
        <f>83.93</f>
        <v>83.93</v>
      </c>
      <c r="F34" s="87">
        <v>1.17</v>
      </c>
      <c r="G34" s="240">
        <f>(80.86+81.06)/2</f>
        <v>80.960000000000008</v>
      </c>
      <c r="H34" s="92" t="s">
        <v>122</v>
      </c>
    </row>
    <row r="35" spans="1:8" ht="26.25" customHeight="1" x14ac:dyDescent="0.25">
      <c r="A35" s="89">
        <v>43497</v>
      </c>
      <c r="B35" s="236" t="s">
        <v>2549</v>
      </c>
      <c r="C35" s="237">
        <v>32050</v>
      </c>
      <c r="D35" s="240"/>
      <c r="E35" s="240" t="s">
        <v>122</v>
      </c>
      <c r="F35" s="87">
        <v>0.83</v>
      </c>
      <c r="G35" s="240">
        <v>57.9</v>
      </c>
      <c r="H35" s="92" t="s">
        <v>122</v>
      </c>
    </row>
    <row r="36" spans="1:8" ht="26.25" customHeight="1" x14ac:dyDescent="0.25">
      <c r="A36" s="89">
        <v>43498</v>
      </c>
      <c r="B36" s="236" t="s">
        <v>2451</v>
      </c>
      <c r="C36" s="285">
        <v>32000</v>
      </c>
      <c r="D36" s="240"/>
      <c r="E36" s="240" t="s">
        <v>122</v>
      </c>
      <c r="F36" s="87"/>
      <c r="G36" s="240" t="s">
        <v>122</v>
      </c>
      <c r="H36" s="92" t="s">
        <v>122</v>
      </c>
    </row>
    <row r="37" spans="1:8" ht="26.25" customHeight="1" x14ac:dyDescent="0.25">
      <c r="A37" s="89">
        <v>43499</v>
      </c>
      <c r="B37" s="236" t="s">
        <v>2451</v>
      </c>
      <c r="C37" s="285">
        <v>32000</v>
      </c>
      <c r="D37" s="240"/>
      <c r="E37" s="240" t="s">
        <v>122</v>
      </c>
      <c r="F37" s="87"/>
      <c r="G37" s="240" t="s">
        <v>122</v>
      </c>
      <c r="H37" s="92" t="s">
        <v>122</v>
      </c>
    </row>
    <row r="38" spans="1:8" ht="26.25" customHeight="1" x14ac:dyDescent="0.25">
      <c r="A38" s="89">
        <v>43500</v>
      </c>
      <c r="B38" s="236" t="s">
        <v>2451</v>
      </c>
      <c r="C38" s="285">
        <v>32000</v>
      </c>
      <c r="D38" s="240"/>
      <c r="E38" s="240" t="s">
        <v>122</v>
      </c>
      <c r="F38" s="87"/>
      <c r="G38" s="240" t="s">
        <v>122</v>
      </c>
      <c r="H38" s="92" t="s">
        <v>122</v>
      </c>
    </row>
    <row r="39" spans="1:8" ht="26.25" customHeight="1" x14ac:dyDescent="0.25">
      <c r="A39" s="89">
        <v>43501</v>
      </c>
      <c r="B39" s="236" t="s">
        <v>2446</v>
      </c>
      <c r="C39" s="285">
        <v>34250</v>
      </c>
      <c r="D39" s="240"/>
      <c r="E39" s="240" t="s">
        <v>122</v>
      </c>
      <c r="F39" s="87"/>
      <c r="G39" s="240" t="s">
        <v>122</v>
      </c>
      <c r="H39" s="92" t="s">
        <v>122</v>
      </c>
    </row>
    <row r="40" spans="1:8" ht="26.25" customHeight="1" x14ac:dyDescent="0.25">
      <c r="A40" s="89">
        <v>43502</v>
      </c>
      <c r="B40" s="236" t="s">
        <v>2446</v>
      </c>
      <c r="C40" s="285">
        <v>34250</v>
      </c>
      <c r="D40" s="240"/>
      <c r="E40" s="240" t="s">
        <v>122</v>
      </c>
      <c r="F40" s="87"/>
      <c r="G40" s="240" t="s">
        <v>122</v>
      </c>
      <c r="H40" s="92" t="s">
        <v>122</v>
      </c>
    </row>
    <row r="41" spans="1:8" ht="26.25" customHeight="1" x14ac:dyDescent="0.25">
      <c r="A41" s="89">
        <v>43503</v>
      </c>
      <c r="B41" s="236" t="s">
        <v>2446</v>
      </c>
      <c r="C41" s="285">
        <v>34250</v>
      </c>
      <c r="D41" s="240"/>
      <c r="E41" s="240" t="s">
        <v>122</v>
      </c>
      <c r="F41" s="87"/>
      <c r="G41" s="240" t="s">
        <v>122</v>
      </c>
      <c r="H41" s="92" t="s">
        <v>122</v>
      </c>
    </row>
    <row r="42" spans="1:8" ht="26.25" customHeight="1" x14ac:dyDescent="0.25">
      <c r="A42" s="89">
        <v>43504</v>
      </c>
      <c r="B42" s="236" t="s">
        <v>2446</v>
      </c>
      <c r="C42" s="285">
        <v>34250</v>
      </c>
      <c r="D42" s="240"/>
      <c r="E42" s="240" t="s">
        <v>122</v>
      </c>
      <c r="F42" s="87"/>
      <c r="G42" s="240" t="s">
        <v>122</v>
      </c>
      <c r="H42" s="92" t="s">
        <v>122</v>
      </c>
    </row>
    <row r="43" spans="1:8" ht="26.25" customHeight="1" x14ac:dyDescent="0.25">
      <c r="A43" s="89">
        <v>43505</v>
      </c>
      <c r="B43" s="236" t="s">
        <v>2446</v>
      </c>
      <c r="C43" s="285">
        <v>34250</v>
      </c>
      <c r="D43" s="240"/>
      <c r="E43" s="240" t="s">
        <v>122</v>
      </c>
      <c r="F43" s="87"/>
      <c r="G43" s="240" t="s">
        <v>122</v>
      </c>
      <c r="H43" s="92" t="s">
        <v>122</v>
      </c>
    </row>
    <row r="44" spans="1:8" ht="26.25" customHeight="1" x14ac:dyDescent="0.25">
      <c r="A44" s="89">
        <v>43506</v>
      </c>
      <c r="B44" s="236" t="s">
        <v>1858</v>
      </c>
      <c r="C44" s="285">
        <v>34750</v>
      </c>
      <c r="D44" s="240"/>
      <c r="E44" s="240" t="s">
        <v>122</v>
      </c>
      <c r="F44" s="87"/>
      <c r="G44" s="240" t="s">
        <v>122</v>
      </c>
      <c r="H44" s="92" t="s">
        <v>122</v>
      </c>
    </row>
    <row r="45" spans="1:8" ht="26.25" customHeight="1" x14ac:dyDescent="0.25">
      <c r="A45" s="89">
        <v>43507</v>
      </c>
      <c r="B45" s="236" t="s">
        <v>1858</v>
      </c>
      <c r="C45" s="285">
        <v>34750</v>
      </c>
      <c r="D45" s="240"/>
      <c r="E45" s="240" t="s">
        <v>122</v>
      </c>
      <c r="F45" s="87"/>
      <c r="G45" s="240" t="s">
        <v>122</v>
      </c>
      <c r="H45" s="92" t="s">
        <v>122</v>
      </c>
    </row>
    <row r="46" spans="1:8" ht="26.25" customHeight="1" x14ac:dyDescent="0.25">
      <c r="A46" s="89">
        <v>43508</v>
      </c>
      <c r="B46" s="236" t="s">
        <v>1858</v>
      </c>
      <c r="C46" s="285">
        <v>34750</v>
      </c>
      <c r="D46" s="240"/>
      <c r="E46" s="240" t="s">
        <v>122</v>
      </c>
      <c r="F46" s="87"/>
      <c r="G46" s="240" t="s">
        <v>122</v>
      </c>
      <c r="H46" s="92" t="s">
        <v>122</v>
      </c>
    </row>
    <row r="47" spans="1:8" ht="26.25" customHeight="1" x14ac:dyDescent="0.25">
      <c r="A47" s="89">
        <v>43509</v>
      </c>
      <c r="B47" s="236" t="s">
        <v>1858</v>
      </c>
      <c r="C47" s="285">
        <v>34750</v>
      </c>
      <c r="D47" s="240">
        <v>1.17</v>
      </c>
      <c r="E47" s="87">
        <v>79.86</v>
      </c>
      <c r="F47" s="87">
        <v>0.83</v>
      </c>
      <c r="G47" s="240">
        <v>59.3</v>
      </c>
      <c r="H47" s="92" t="s">
        <v>122</v>
      </c>
    </row>
    <row r="48" spans="1:8" ht="26.25" customHeight="1" x14ac:dyDescent="0.25">
      <c r="A48" s="89">
        <v>43510</v>
      </c>
      <c r="B48" s="236" t="s">
        <v>2446</v>
      </c>
      <c r="C48" s="237">
        <v>34250</v>
      </c>
      <c r="D48" s="240">
        <v>1.17</v>
      </c>
      <c r="E48" s="240">
        <v>76.66</v>
      </c>
      <c r="F48" s="87">
        <v>1.08</v>
      </c>
      <c r="G48" s="240">
        <v>76.459999999999994</v>
      </c>
      <c r="H48" s="92" t="s">
        <v>122</v>
      </c>
    </row>
    <row r="49" spans="1:8" ht="26.25" customHeight="1" x14ac:dyDescent="0.25">
      <c r="A49" s="89">
        <v>43511</v>
      </c>
      <c r="B49" s="236" t="s">
        <v>1860</v>
      </c>
      <c r="C49" s="285">
        <v>33900</v>
      </c>
      <c r="D49" s="240">
        <v>0.83</v>
      </c>
      <c r="E49" s="87">
        <v>57.33</v>
      </c>
      <c r="F49" s="87">
        <v>0.83</v>
      </c>
      <c r="G49" s="240">
        <v>59.08</v>
      </c>
      <c r="H49" s="92" t="s">
        <v>122</v>
      </c>
    </row>
    <row r="50" spans="1:8" ht="26.25" customHeight="1" x14ac:dyDescent="0.25">
      <c r="A50" s="89">
        <v>43512</v>
      </c>
      <c r="B50" s="236" t="s">
        <v>2550</v>
      </c>
      <c r="C50" s="237">
        <v>33800</v>
      </c>
      <c r="D50" s="240">
        <v>0.57999999999999996</v>
      </c>
      <c r="E50" s="240">
        <v>40.380000000000003</v>
      </c>
      <c r="F50" s="87">
        <v>0.42</v>
      </c>
      <c r="G50" s="240">
        <v>29.76</v>
      </c>
      <c r="H50" s="92" t="s">
        <v>122</v>
      </c>
    </row>
    <row r="51" spans="1:8" ht="26.25" customHeight="1" x14ac:dyDescent="0.25">
      <c r="A51" s="89">
        <v>43513</v>
      </c>
      <c r="B51" s="236" t="s">
        <v>2551</v>
      </c>
      <c r="C51" s="285">
        <v>33650</v>
      </c>
      <c r="D51" s="240">
        <v>0.57999999999999996</v>
      </c>
      <c r="E51" s="87">
        <v>40.28</v>
      </c>
      <c r="F51" s="87">
        <v>0.42</v>
      </c>
      <c r="G51" s="240">
        <v>29.78</v>
      </c>
      <c r="H51" s="92" t="s">
        <v>122</v>
      </c>
    </row>
    <row r="52" spans="1:8" ht="26.25" customHeight="1" x14ac:dyDescent="0.25">
      <c r="A52" s="89">
        <v>43514</v>
      </c>
      <c r="B52" s="236" t="s">
        <v>2301</v>
      </c>
      <c r="C52" s="237">
        <v>33500</v>
      </c>
      <c r="D52" s="240">
        <v>0.42</v>
      </c>
      <c r="E52" s="87">
        <v>28.41</v>
      </c>
      <c r="F52" s="87">
        <v>0.25</v>
      </c>
      <c r="G52" s="240">
        <v>17.899999999999999</v>
      </c>
      <c r="H52" s="92" t="s">
        <v>122</v>
      </c>
    </row>
    <row r="53" spans="1:8" ht="26.25" customHeight="1" x14ac:dyDescent="0.25">
      <c r="A53" s="89">
        <v>43515</v>
      </c>
      <c r="B53" s="236" t="s">
        <v>2448</v>
      </c>
      <c r="C53" s="237">
        <v>33000</v>
      </c>
      <c r="D53" s="240"/>
      <c r="E53" s="240" t="s">
        <v>122</v>
      </c>
      <c r="F53" s="87"/>
      <c r="G53" s="240" t="s">
        <v>122</v>
      </c>
      <c r="H53" s="92" t="s">
        <v>122</v>
      </c>
    </row>
    <row r="54" spans="1:8" ht="26.25" customHeight="1" x14ac:dyDescent="0.25">
      <c r="A54" s="89">
        <v>43516</v>
      </c>
      <c r="B54" s="236" t="s">
        <v>2448</v>
      </c>
      <c r="C54" s="237">
        <v>33000</v>
      </c>
      <c r="D54" s="240"/>
      <c r="E54" s="240" t="s">
        <v>122</v>
      </c>
      <c r="F54" s="87"/>
      <c r="G54" s="240" t="s">
        <v>122</v>
      </c>
      <c r="H54" s="92" t="s">
        <v>122</v>
      </c>
    </row>
    <row r="55" spans="1:8" ht="26.25" customHeight="1" x14ac:dyDescent="0.25">
      <c r="A55" s="89">
        <v>43517</v>
      </c>
      <c r="B55" s="236" t="s">
        <v>2448</v>
      </c>
      <c r="C55" s="237">
        <v>33000</v>
      </c>
      <c r="D55" s="240"/>
      <c r="E55" s="240" t="s">
        <v>122</v>
      </c>
      <c r="F55" s="87"/>
      <c r="G55" s="240" t="s">
        <v>122</v>
      </c>
      <c r="H55" s="92" t="s">
        <v>122</v>
      </c>
    </row>
    <row r="56" spans="1:8" ht="26.25" customHeight="1" x14ac:dyDescent="0.25">
      <c r="A56" s="89">
        <v>43518</v>
      </c>
      <c r="B56" s="236" t="s">
        <v>2448</v>
      </c>
      <c r="C56" s="237">
        <v>33000</v>
      </c>
      <c r="D56" s="240"/>
      <c r="E56" s="240" t="s">
        <v>122</v>
      </c>
      <c r="F56" s="87"/>
      <c r="G56" s="240" t="s">
        <v>122</v>
      </c>
      <c r="H56" s="92" t="s">
        <v>122</v>
      </c>
    </row>
    <row r="57" spans="1:8" ht="26.25" customHeight="1" x14ac:dyDescent="0.25">
      <c r="A57" s="89">
        <v>43519</v>
      </c>
      <c r="B57" s="236" t="s">
        <v>2548</v>
      </c>
      <c r="C57" s="237">
        <v>32600</v>
      </c>
      <c r="D57" s="240">
        <v>0.83</v>
      </c>
      <c r="E57" s="87">
        <v>56.46</v>
      </c>
      <c r="F57" s="87">
        <v>0.83</v>
      </c>
      <c r="G57" s="240">
        <v>58.19</v>
      </c>
      <c r="H57" s="92" t="s">
        <v>122</v>
      </c>
    </row>
    <row r="58" spans="1:8" ht="26.25" customHeight="1" x14ac:dyDescent="0.25">
      <c r="A58" s="89">
        <v>43520</v>
      </c>
      <c r="B58" s="236" t="s">
        <v>2552</v>
      </c>
      <c r="C58" s="237">
        <v>32400</v>
      </c>
      <c r="D58" s="240">
        <v>0.83</v>
      </c>
      <c r="E58" s="240">
        <v>56.32</v>
      </c>
      <c r="F58" s="87">
        <v>0.83</v>
      </c>
      <c r="G58" s="240">
        <v>24.04</v>
      </c>
      <c r="H58" s="92" t="s">
        <v>122</v>
      </c>
    </row>
    <row r="59" spans="1:8" ht="26.25" customHeight="1" x14ac:dyDescent="0.25">
      <c r="A59" s="89">
        <v>43521</v>
      </c>
      <c r="B59" s="236" t="s">
        <v>1850</v>
      </c>
      <c r="C59" s="237">
        <v>32100</v>
      </c>
      <c r="D59" s="240">
        <v>0.83</v>
      </c>
      <c r="E59" s="87">
        <v>56.3</v>
      </c>
      <c r="F59" s="87">
        <v>0.83</v>
      </c>
      <c r="G59" s="240">
        <v>57.9</v>
      </c>
      <c r="H59" s="92" t="s">
        <v>122</v>
      </c>
    </row>
    <row r="60" spans="1:8" ht="26.25" customHeight="1" x14ac:dyDescent="0.25">
      <c r="A60" s="89">
        <v>43522</v>
      </c>
      <c r="B60" s="236" t="s">
        <v>2451</v>
      </c>
      <c r="C60" s="237">
        <v>32000</v>
      </c>
      <c r="D60" s="240">
        <v>0.75</v>
      </c>
      <c r="E60" s="240">
        <v>50.62</v>
      </c>
      <c r="F60" s="87">
        <v>0.42</v>
      </c>
      <c r="G60" s="240">
        <v>29.27</v>
      </c>
      <c r="H60" s="92" t="s">
        <v>122</v>
      </c>
    </row>
    <row r="61" spans="1:8" ht="26.25" customHeight="1" x14ac:dyDescent="0.25">
      <c r="A61" s="89">
        <v>43523</v>
      </c>
      <c r="B61" s="236" t="s">
        <v>2453</v>
      </c>
      <c r="C61" s="237">
        <v>31500</v>
      </c>
      <c r="D61" s="240" t="s">
        <v>122</v>
      </c>
      <c r="E61" s="240" t="s">
        <v>122</v>
      </c>
      <c r="F61" s="87" t="s">
        <v>122</v>
      </c>
      <c r="G61" s="240" t="s">
        <v>122</v>
      </c>
      <c r="H61" s="92" t="s">
        <v>122</v>
      </c>
    </row>
    <row r="62" spans="1:8" ht="26.25" customHeight="1" x14ac:dyDescent="0.25">
      <c r="A62" s="89">
        <v>43524</v>
      </c>
      <c r="B62" s="236" t="s">
        <v>2453</v>
      </c>
      <c r="C62" s="237">
        <v>31500</v>
      </c>
      <c r="D62" s="240" t="s">
        <v>122</v>
      </c>
      <c r="E62" s="240" t="s">
        <v>122</v>
      </c>
      <c r="F62" s="286" t="s">
        <v>122</v>
      </c>
      <c r="G62" s="240" t="s">
        <v>122</v>
      </c>
      <c r="H62" s="92" t="s">
        <v>122</v>
      </c>
    </row>
    <row r="63" spans="1:8" ht="26.25" customHeight="1" x14ac:dyDescent="0.25">
      <c r="A63" s="89">
        <v>43525</v>
      </c>
      <c r="B63" s="236" t="s">
        <v>2453</v>
      </c>
      <c r="C63" s="285">
        <v>31500</v>
      </c>
      <c r="D63" s="240" t="s">
        <v>122</v>
      </c>
      <c r="E63" s="240" t="s">
        <v>122</v>
      </c>
      <c r="F63" s="286" t="s">
        <v>122</v>
      </c>
      <c r="G63" s="240" t="s">
        <v>122</v>
      </c>
      <c r="H63" s="92" t="s">
        <v>122</v>
      </c>
    </row>
    <row r="64" spans="1:8" ht="26.25" customHeight="1" x14ac:dyDescent="0.25">
      <c r="A64" s="89">
        <v>43526</v>
      </c>
      <c r="B64" s="236" t="s">
        <v>2453</v>
      </c>
      <c r="C64" s="285">
        <v>31500</v>
      </c>
      <c r="D64" s="240" t="s">
        <v>122</v>
      </c>
      <c r="E64" s="240" t="s">
        <v>122</v>
      </c>
      <c r="F64" s="286" t="s">
        <v>122</v>
      </c>
      <c r="G64" s="240" t="s">
        <v>122</v>
      </c>
      <c r="H64" s="92" t="s">
        <v>122</v>
      </c>
    </row>
    <row r="65" spans="1:8" ht="26.25" customHeight="1" x14ac:dyDescent="0.25">
      <c r="A65" s="89">
        <v>43527</v>
      </c>
      <c r="B65" s="236" t="s">
        <v>2453</v>
      </c>
      <c r="C65" s="285">
        <v>31500</v>
      </c>
      <c r="D65" s="240" t="s">
        <v>122</v>
      </c>
      <c r="E65" s="240" t="s">
        <v>122</v>
      </c>
      <c r="F65" s="286" t="s">
        <v>122</v>
      </c>
      <c r="G65" s="240" t="s">
        <v>122</v>
      </c>
      <c r="H65" s="92" t="s">
        <v>122</v>
      </c>
    </row>
    <row r="66" spans="1:8" ht="26.25" customHeight="1" x14ac:dyDescent="0.25">
      <c r="A66" s="89">
        <v>43528</v>
      </c>
      <c r="B66" s="236" t="s">
        <v>2553</v>
      </c>
      <c r="C66" s="285">
        <v>31312.5</v>
      </c>
      <c r="D66" s="240" t="s">
        <v>122</v>
      </c>
      <c r="E66" s="240" t="s">
        <v>122</v>
      </c>
      <c r="F66" s="286" t="s">
        <v>122</v>
      </c>
      <c r="G66" s="240" t="s">
        <v>122</v>
      </c>
      <c r="H66" s="92" t="s">
        <v>122</v>
      </c>
    </row>
    <row r="67" spans="1:8" ht="26.25" customHeight="1" x14ac:dyDescent="0.25">
      <c r="A67" s="89">
        <v>43529</v>
      </c>
      <c r="B67" s="236" t="s">
        <v>2553</v>
      </c>
      <c r="C67" s="285">
        <v>31312.5</v>
      </c>
      <c r="D67" s="240" t="s">
        <v>122</v>
      </c>
      <c r="E67" s="240" t="s">
        <v>122</v>
      </c>
      <c r="F67" s="286" t="s">
        <v>122</v>
      </c>
      <c r="G67" s="240" t="s">
        <v>122</v>
      </c>
      <c r="H67" s="92" t="s">
        <v>122</v>
      </c>
    </row>
    <row r="68" spans="1:8" ht="26.25" customHeight="1" x14ac:dyDescent="0.25">
      <c r="A68" s="89">
        <v>43530</v>
      </c>
      <c r="B68" s="236" t="s">
        <v>2553</v>
      </c>
      <c r="C68" s="285">
        <v>31312.5</v>
      </c>
      <c r="D68" s="240" t="s">
        <v>122</v>
      </c>
      <c r="E68" s="240" t="s">
        <v>122</v>
      </c>
      <c r="F68" s="286" t="s">
        <v>122</v>
      </c>
      <c r="G68" s="240" t="s">
        <v>122</v>
      </c>
      <c r="H68" s="92" t="s">
        <v>122</v>
      </c>
    </row>
    <row r="69" spans="1:8" ht="26.25" customHeight="1" x14ac:dyDescent="0.25">
      <c r="A69" s="89">
        <v>43531</v>
      </c>
      <c r="B69" s="236" t="s">
        <v>2454</v>
      </c>
      <c r="C69" s="285">
        <v>31125</v>
      </c>
      <c r="D69" s="240" t="s">
        <v>122</v>
      </c>
      <c r="E69" s="240" t="s">
        <v>122</v>
      </c>
      <c r="F69" s="286" t="s">
        <v>122</v>
      </c>
      <c r="G69" s="240" t="s">
        <v>122</v>
      </c>
      <c r="H69" s="92" t="s">
        <v>122</v>
      </c>
    </row>
    <row r="70" spans="1:8" ht="26.25" customHeight="1" x14ac:dyDescent="0.25">
      <c r="A70" s="89">
        <v>43532</v>
      </c>
      <c r="B70" s="236" t="s">
        <v>2454</v>
      </c>
      <c r="C70" s="285">
        <v>31125</v>
      </c>
      <c r="D70" s="240" t="s">
        <v>122</v>
      </c>
      <c r="E70" s="240" t="s">
        <v>122</v>
      </c>
      <c r="F70" s="286" t="s">
        <v>122</v>
      </c>
      <c r="G70" s="240" t="s">
        <v>122</v>
      </c>
      <c r="H70" s="92" t="s">
        <v>122</v>
      </c>
    </row>
    <row r="71" spans="1:8" ht="26.25" customHeight="1" x14ac:dyDescent="0.25">
      <c r="A71" s="89">
        <v>43533</v>
      </c>
      <c r="B71" s="236" t="s">
        <v>2454</v>
      </c>
      <c r="C71" s="285">
        <v>31125</v>
      </c>
      <c r="D71" s="240" t="s">
        <v>122</v>
      </c>
      <c r="E71" s="240" t="s">
        <v>122</v>
      </c>
      <c r="F71" s="286" t="s">
        <v>122</v>
      </c>
      <c r="G71" s="240" t="s">
        <v>122</v>
      </c>
      <c r="H71" s="92" t="s">
        <v>122</v>
      </c>
    </row>
    <row r="72" spans="1:8" ht="26.25" customHeight="1" x14ac:dyDescent="0.25">
      <c r="A72" s="89">
        <v>43534</v>
      </c>
      <c r="B72" s="236" t="s">
        <v>2454</v>
      </c>
      <c r="C72" s="285">
        <v>31125</v>
      </c>
      <c r="D72" s="240" t="s">
        <v>122</v>
      </c>
      <c r="E72" s="240" t="s">
        <v>122</v>
      </c>
      <c r="F72" s="286" t="s">
        <v>122</v>
      </c>
      <c r="G72" s="240" t="s">
        <v>122</v>
      </c>
      <c r="H72" s="92" t="s">
        <v>122</v>
      </c>
    </row>
    <row r="73" spans="1:8" ht="26.25" customHeight="1" x14ac:dyDescent="0.25">
      <c r="A73" s="89">
        <v>43535</v>
      </c>
      <c r="B73" s="236" t="s">
        <v>2554</v>
      </c>
      <c r="C73" s="285">
        <v>30937.5</v>
      </c>
      <c r="D73" s="240" t="s">
        <v>122</v>
      </c>
      <c r="E73" s="240" t="s">
        <v>122</v>
      </c>
      <c r="F73" s="286" t="s">
        <v>122</v>
      </c>
      <c r="G73" s="240" t="s">
        <v>122</v>
      </c>
      <c r="H73" s="92" t="s">
        <v>122</v>
      </c>
    </row>
    <row r="74" spans="1:8" ht="26.25" customHeight="1" x14ac:dyDescent="0.25">
      <c r="A74" s="89">
        <v>43536</v>
      </c>
      <c r="B74" s="236" t="s">
        <v>2554</v>
      </c>
      <c r="C74" s="285">
        <v>30938.5</v>
      </c>
      <c r="D74" s="240" t="s">
        <v>122</v>
      </c>
      <c r="E74" s="240" t="s">
        <v>122</v>
      </c>
      <c r="F74" s="286" t="s">
        <v>122</v>
      </c>
      <c r="G74" s="240" t="s">
        <v>122</v>
      </c>
      <c r="H74" s="92" t="s">
        <v>122</v>
      </c>
    </row>
    <row r="75" spans="1:8" ht="26.25" customHeight="1" x14ac:dyDescent="0.25">
      <c r="A75" s="89">
        <v>43537</v>
      </c>
      <c r="B75" s="236" t="s">
        <v>2555</v>
      </c>
      <c r="C75" s="285">
        <v>30750</v>
      </c>
      <c r="D75" s="240" t="s">
        <v>122</v>
      </c>
      <c r="E75" s="240" t="s">
        <v>122</v>
      </c>
      <c r="F75" s="286" t="s">
        <v>122</v>
      </c>
      <c r="G75" s="240" t="s">
        <v>122</v>
      </c>
      <c r="H75" s="92" t="s">
        <v>122</v>
      </c>
    </row>
    <row r="76" spans="1:8" ht="26.25" customHeight="1" x14ac:dyDescent="0.25">
      <c r="A76" s="89">
        <v>43538</v>
      </c>
      <c r="B76" s="236" t="s">
        <v>2556</v>
      </c>
      <c r="C76" s="285">
        <v>30625</v>
      </c>
      <c r="D76" s="240" t="s">
        <v>122</v>
      </c>
      <c r="E76" s="240" t="s">
        <v>122</v>
      </c>
      <c r="F76" s="286" t="s">
        <v>122</v>
      </c>
      <c r="G76" s="240" t="s">
        <v>122</v>
      </c>
      <c r="H76" s="92" t="s">
        <v>122</v>
      </c>
    </row>
    <row r="77" spans="1:8" ht="26.25" customHeight="1" x14ac:dyDescent="0.25">
      <c r="A77" s="89">
        <v>43539</v>
      </c>
      <c r="B77" s="236" t="s">
        <v>2556</v>
      </c>
      <c r="C77" s="285">
        <v>30625</v>
      </c>
      <c r="D77" s="240" t="s">
        <v>122</v>
      </c>
      <c r="E77" s="240" t="s">
        <v>122</v>
      </c>
      <c r="F77" s="286" t="s">
        <v>122</v>
      </c>
      <c r="G77" s="240" t="s">
        <v>122</v>
      </c>
      <c r="H77" s="92" t="s">
        <v>122</v>
      </c>
    </row>
    <row r="78" spans="1:8" ht="26.25" customHeight="1" x14ac:dyDescent="0.25">
      <c r="A78" s="89">
        <v>43540</v>
      </c>
      <c r="B78" s="236" t="s">
        <v>2455</v>
      </c>
      <c r="C78" s="285">
        <v>30500</v>
      </c>
      <c r="D78" s="240" t="s">
        <v>122</v>
      </c>
      <c r="E78" s="240" t="s">
        <v>122</v>
      </c>
      <c r="F78" s="286" t="s">
        <v>122</v>
      </c>
      <c r="G78" s="240" t="s">
        <v>122</v>
      </c>
      <c r="H78" s="92" t="s">
        <v>122</v>
      </c>
    </row>
    <row r="79" spans="1:8" ht="26.25" customHeight="1" x14ac:dyDescent="0.25">
      <c r="A79" s="89">
        <v>43541</v>
      </c>
      <c r="B79" s="236" t="s">
        <v>2455</v>
      </c>
      <c r="C79" s="285">
        <v>30500</v>
      </c>
      <c r="D79" s="240" t="s">
        <v>122</v>
      </c>
      <c r="E79" s="240" t="s">
        <v>122</v>
      </c>
      <c r="F79" s="286" t="s">
        <v>122</v>
      </c>
      <c r="G79" s="240" t="s">
        <v>122</v>
      </c>
      <c r="H79" s="92" t="s">
        <v>122</v>
      </c>
    </row>
    <row r="80" spans="1:8" ht="26.25" customHeight="1" x14ac:dyDescent="0.25">
      <c r="A80" s="89">
        <v>43542</v>
      </c>
      <c r="B80" s="236" t="s">
        <v>2557</v>
      </c>
      <c r="C80" s="285">
        <v>30400</v>
      </c>
      <c r="D80" s="240" t="s">
        <v>122</v>
      </c>
      <c r="E80" s="240" t="s">
        <v>122</v>
      </c>
      <c r="F80" s="286" t="s">
        <v>122</v>
      </c>
      <c r="G80" s="240" t="s">
        <v>122</v>
      </c>
      <c r="H80" s="92" t="s">
        <v>122</v>
      </c>
    </row>
    <row r="81" spans="1:8" ht="26.25" customHeight="1" x14ac:dyDescent="0.25">
      <c r="A81" s="89">
        <v>43543</v>
      </c>
      <c r="B81" s="236" t="s">
        <v>2557</v>
      </c>
      <c r="C81" s="285">
        <v>30400</v>
      </c>
      <c r="D81" s="240" t="s">
        <v>122</v>
      </c>
      <c r="E81" s="240" t="s">
        <v>122</v>
      </c>
      <c r="F81" s="286" t="s">
        <v>122</v>
      </c>
      <c r="G81" s="240" t="s">
        <v>122</v>
      </c>
      <c r="H81" s="92" t="s">
        <v>122</v>
      </c>
    </row>
    <row r="82" spans="1:8" ht="26.25" customHeight="1" x14ac:dyDescent="0.25">
      <c r="A82" s="89">
        <v>43544</v>
      </c>
      <c r="B82" s="236" t="s">
        <v>2558</v>
      </c>
      <c r="C82" s="285">
        <v>30300</v>
      </c>
      <c r="D82" s="240" t="s">
        <v>122</v>
      </c>
      <c r="E82" s="240" t="s">
        <v>122</v>
      </c>
      <c r="F82" s="286" t="s">
        <v>122</v>
      </c>
      <c r="G82" s="240" t="s">
        <v>122</v>
      </c>
      <c r="H82" s="92" t="s">
        <v>122</v>
      </c>
    </row>
    <row r="83" spans="1:8" ht="26.25" customHeight="1" x14ac:dyDescent="0.25">
      <c r="A83" s="89">
        <v>43545</v>
      </c>
      <c r="B83" s="236" t="s">
        <v>2558</v>
      </c>
      <c r="C83" s="285">
        <v>30300</v>
      </c>
      <c r="D83" s="240" t="s">
        <v>122</v>
      </c>
      <c r="E83" s="240" t="s">
        <v>122</v>
      </c>
      <c r="F83" s="286" t="s">
        <v>122</v>
      </c>
      <c r="G83" s="240" t="s">
        <v>122</v>
      </c>
      <c r="H83" s="92" t="s">
        <v>122</v>
      </c>
    </row>
    <row r="84" spans="1:8" ht="26.25" customHeight="1" x14ac:dyDescent="0.25">
      <c r="A84" s="89">
        <v>43546</v>
      </c>
      <c r="B84" s="236" t="s">
        <v>2558</v>
      </c>
      <c r="C84" s="285">
        <v>30300</v>
      </c>
      <c r="D84" s="240" t="s">
        <v>122</v>
      </c>
      <c r="E84" s="240" t="s">
        <v>122</v>
      </c>
      <c r="F84" s="286" t="s">
        <v>122</v>
      </c>
      <c r="G84" s="240" t="s">
        <v>122</v>
      </c>
      <c r="H84" s="92" t="s">
        <v>122</v>
      </c>
    </row>
    <row r="85" spans="1:8" ht="26.25" customHeight="1" x14ac:dyDescent="0.25">
      <c r="A85" s="89">
        <v>43547</v>
      </c>
      <c r="B85" s="236" t="s">
        <v>2456</v>
      </c>
      <c r="C85" s="285">
        <v>30250</v>
      </c>
      <c r="D85" s="240" t="s">
        <v>122</v>
      </c>
      <c r="E85" s="240" t="s">
        <v>122</v>
      </c>
      <c r="F85" s="286" t="s">
        <v>122</v>
      </c>
      <c r="G85" s="240" t="s">
        <v>122</v>
      </c>
      <c r="H85" s="92" t="s">
        <v>122</v>
      </c>
    </row>
    <row r="86" spans="1:8" ht="26.25" customHeight="1" x14ac:dyDescent="0.25">
      <c r="A86" s="89">
        <v>43548</v>
      </c>
      <c r="B86" s="236" t="s">
        <v>2456</v>
      </c>
      <c r="C86" s="285">
        <v>30250</v>
      </c>
      <c r="D86" s="240" t="s">
        <v>122</v>
      </c>
      <c r="E86" s="240" t="s">
        <v>122</v>
      </c>
      <c r="F86" s="286" t="s">
        <v>122</v>
      </c>
      <c r="G86" s="240" t="s">
        <v>122</v>
      </c>
      <c r="H86" s="92" t="s">
        <v>122</v>
      </c>
    </row>
    <row r="87" spans="1:8" ht="26.25" customHeight="1" x14ac:dyDescent="0.25">
      <c r="A87" s="89">
        <v>43549</v>
      </c>
      <c r="B87" s="236" t="s">
        <v>2456</v>
      </c>
      <c r="C87" s="285">
        <v>30250</v>
      </c>
      <c r="D87" s="240" t="s">
        <v>122</v>
      </c>
      <c r="E87" s="240" t="s">
        <v>122</v>
      </c>
      <c r="F87" s="286" t="s">
        <v>122</v>
      </c>
      <c r="G87" s="240" t="s">
        <v>122</v>
      </c>
      <c r="H87" s="92" t="s">
        <v>122</v>
      </c>
    </row>
    <row r="88" spans="1:8" ht="26.25" customHeight="1" x14ac:dyDescent="0.25">
      <c r="A88" s="89">
        <v>43550</v>
      </c>
      <c r="B88" s="236" t="s">
        <v>2559</v>
      </c>
      <c r="C88" s="285">
        <v>30200</v>
      </c>
      <c r="D88" s="240" t="s">
        <v>122</v>
      </c>
      <c r="E88" s="240" t="s">
        <v>122</v>
      </c>
      <c r="F88" s="286" t="s">
        <v>122</v>
      </c>
      <c r="G88" s="240" t="s">
        <v>122</v>
      </c>
      <c r="H88" s="92" t="s">
        <v>122</v>
      </c>
    </row>
    <row r="89" spans="1:8" ht="26.25" customHeight="1" x14ac:dyDescent="0.25">
      <c r="A89" s="89">
        <v>43551</v>
      </c>
      <c r="B89" s="236" t="s">
        <v>2559</v>
      </c>
      <c r="C89" s="285">
        <v>30200</v>
      </c>
      <c r="D89" s="240" t="s">
        <v>122</v>
      </c>
      <c r="E89" s="240" t="s">
        <v>122</v>
      </c>
      <c r="F89" s="286" t="s">
        <v>122</v>
      </c>
      <c r="G89" s="240" t="s">
        <v>122</v>
      </c>
      <c r="H89" s="92" t="s">
        <v>122</v>
      </c>
    </row>
    <row r="90" spans="1:8" ht="26.25" customHeight="1" x14ac:dyDescent="0.25">
      <c r="A90" s="89">
        <v>43552</v>
      </c>
      <c r="B90" s="236" t="s">
        <v>2560</v>
      </c>
      <c r="C90" s="285">
        <v>30100</v>
      </c>
      <c r="D90" s="240" t="s">
        <v>122</v>
      </c>
      <c r="E90" s="240" t="s">
        <v>122</v>
      </c>
      <c r="F90" s="286" t="s">
        <v>122</v>
      </c>
      <c r="G90" s="240" t="s">
        <v>122</v>
      </c>
      <c r="H90" s="92" t="s">
        <v>122</v>
      </c>
    </row>
    <row r="91" spans="1:8" ht="26.25" customHeight="1" x14ac:dyDescent="0.25">
      <c r="A91" s="89">
        <v>43553</v>
      </c>
      <c r="B91" s="236" t="s">
        <v>2560</v>
      </c>
      <c r="C91" s="285">
        <v>30100</v>
      </c>
      <c r="D91" s="240" t="s">
        <v>122</v>
      </c>
      <c r="E91" s="240" t="s">
        <v>122</v>
      </c>
      <c r="F91" s="286" t="s">
        <v>122</v>
      </c>
      <c r="G91" s="240" t="s">
        <v>122</v>
      </c>
      <c r="H91" s="92" t="s">
        <v>122</v>
      </c>
    </row>
    <row r="92" spans="1:8" ht="26.25" customHeight="1" x14ac:dyDescent="0.25">
      <c r="A92" s="89">
        <v>43554</v>
      </c>
      <c r="B92" s="236" t="s">
        <v>2561</v>
      </c>
      <c r="C92" s="285">
        <v>30000</v>
      </c>
      <c r="D92" s="240" t="s">
        <v>122</v>
      </c>
      <c r="E92" s="240" t="s">
        <v>122</v>
      </c>
      <c r="F92" s="286" t="s">
        <v>122</v>
      </c>
      <c r="G92" s="240" t="s">
        <v>122</v>
      </c>
      <c r="H92" s="92" t="s">
        <v>122</v>
      </c>
    </row>
    <row r="93" spans="1:8" ht="26.25" customHeight="1" x14ac:dyDescent="0.25">
      <c r="A93" s="89">
        <v>43555</v>
      </c>
      <c r="B93" s="236" t="s">
        <v>2561</v>
      </c>
      <c r="C93" s="285">
        <v>30000</v>
      </c>
      <c r="D93" s="240" t="s">
        <v>122</v>
      </c>
      <c r="E93" s="240" t="s">
        <v>122</v>
      </c>
      <c r="F93" s="286" t="s">
        <v>122</v>
      </c>
      <c r="G93" s="240" t="s">
        <v>122</v>
      </c>
      <c r="H93" s="92" t="s">
        <v>122</v>
      </c>
    </row>
    <row r="94" spans="1:8" ht="26.25" customHeight="1" x14ac:dyDescent="0.25">
      <c r="A94" s="89">
        <v>43556</v>
      </c>
      <c r="B94" s="287" t="s">
        <v>2562</v>
      </c>
      <c r="C94" s="288">
        <v>29425</v>
      </c>
      <c r="D94" s="240" t="s">
        <v>122</v>
      </c>
      <c r="E94" s="240" t="s">
        <v>122</v>
      </c>
      <c r="F94" s="286" t="s">
        <v>122</v>
      </c>
      <c r="G94" s="240" t="s">
        <v>122</v>
      </c>
      <c r="H94" s="92" t="s">
        <v>122</v>
      </c>
    </row>
    <row r="95" spans="1:8" ht="26.25" customHeight="1" x14ac:dyDescent="0.25">
      <c r="A95" s="89">
        <v>43557</v>
      </c>
      <c r="B95" s="287" t="s">
        <v>2562</v>
      </c>
      <c r="C95" s="288">
        <v>29425</v>
      </c>
      <c r="D95" s="240" t="s">
        <v>122</v>
      </c>
      <c r="E95" s="240" t="s">
        <v>122</v>
      </c>
      <c r="F95" s="286" t="s">
        <v>122</v>
      </c>
      <c r="G95" s="240" t="s">
        <v>122</v>
      </c>
      <c r="H95" s="92" t="s">
        <v>122</v>
      </c>
    </row>
    <row r="96" spans="1:8" ht="26.25" customHeight="1" x14ac:dyDescent="0.25">
      <c r="A96" s="89">
        <v>43558</v>
      </c>
      <c r="B96" s="287" t="s">
        <v>2458</v>
      </c>
      <c r="C96" s="288">
        <v>28850</v>
      </c>
      <c r="D96" s="240" t="s">
        <v>122</v>
      </c>
      <c r="E96" s="240" t="s">
        <v>122</v>
      </c>
      <c r="F96" s="286" t="s">
        <v>122</v>
      </c>
      <c r="G96" s="240" t="s">
        <v>122</v>
      </c>
      <c r="H96" s="92" t="s">
        <v>122</v>
      </c>
    </row>
    <row r="97" spans="1:8" ht="26.25" customHeight="1" x14ac:dyDescent="0.25">
      <c r="A97" s="89">
        <v>43559</v>
      </c>
      <c r="B97" s="287" t="s">
        <v>2458</v>
      </c>
      <c r="C97" s="288">
        <v>28850</v>
      </c>
      <c r="D97" s="240" t="s">
        <v>122</v>
      </c>
      <c r="E97" s="240" t="s">
        <v>122</v>
      </c>
      <c r="F97" s="286" t="s">
        <v>122</v>
      </c>
      <c r="G97" s="240" t="s">
        <v>122</v>
      </c>
      <c r="H97" s="92" t="s">
        <v>122</v>
      </c>
    </row>
    <row r="98" spans="1:8" ht="26.25" customHeight="1" x14ac:dyDescent="0.25">
      <c r="A98" s="89">
        <v>43560</v>
      </c>
      <c r="B98" s="287" t="s">
        <v>2563</v>
      </c>
      <c r="C98" s="288">
        <v>28800</v>
      </c>
      <c r="D98" s="240" t="s">
        <v>122</v>
      </c>
      <c r="E98" s="240" t="s">
        <v>122</v>
      </c>
      <c r="F98" s="286" t="s">
        <v>122</v>
      </c>
      <c r="G98" s="240" t="s">
        <v>122</v>
      </c>
      <c r="H98" s="92" t="s">
        <v>122</v>
      </c>
    </row>
    <row r="99" spans="1:8" ht="26.25" customHeight="1" x14ac:dyDescent="0.25">
      <c r="A99" s="89">
        <v>43561</v>
      </c>
      <c r="B99" s="287" t="s">
        <v>2468</v>
      </c>
      <c r="C99" s="288">
        <v>28750</v>
      </c>
      <c r="D99" s="240" t="s">
        <v>122</v>
      </c>
      <c r="E99" s="240" t="s">
        <v>122</v>
      </c>
      <c r="F99" s="286" t="s">
        <v>122</v>
      </c>
      <c r="G99" s="240" t="s">
        <v>122</v>
      </c>
      <c r="H99" s="92" t="s">
        <v>122</v>
      </c>
    </row>
    <row r="100" spans="1:8" ht="26.25" customHeight="1" x14ac:dyDescent="0.25">
      <c r="A100" s="89">
        <v>43562</v>
      </c>
      <c r="B100" s="287" t="s">
        <v>2468</v>
      </c>
      <c r="C100" s="288">
        <v>28750</v>
      </c>
      <c r="D100" s="240" t="s">
        <v>122</v>
      </c>
      <c r="E100" s="240" t="s">
        <v>122</v>
      </c>
      <c r="F100" s="286" t="s">
        <v>122</v>
      </c>
      <c r="G100" s="240" t="s">
        <v>122</v>
      </c>
      <c r="H100" s="92" t="s">
        <v>122</v>
      </c>
    </row>
    <row r="101" spans="1:8" ht="26.25" customHeight="1" x14ac:dyDescent="0.25">
      <c r="A101" s="89">
        <v>43563</v>
      </c>
      <c r="B101" s="287" t="s">
        <v>2459</v>
      </c>
      <c r="C101" s="288">
        <v>28675</v>
      </c>
      <c r="D101" s="240" t="s">
        <v>122</v>
      </c>
      <c r="E101" s="240" t="s">
        <v>122</v>
      </c>
      <c r="F101" s="286" t="s">
        <v>122</v>
      </c>
      <c r="G101" s="240" t="s">
        <v>122</v>
      </c>
      <c r="H101" s="92" t="s">
        <v>122</v>
      </c>
    </row>
    <row r="102" spans="1:8" ht="26.25" customHeight="1" x14ac:dyDescent="0.25">
      <c r="A102" s="89">
        <v>43564</v>
      </c>
      <c r="B102" s="287" t="s">
        <v>2459</v>
      </c>
      <c r="C102" s="288">
        <v>28675</v>
      </c>
      <c r="D102" s="240" t="s">
        <v>122</v>
      </c>
      <c r="E102" s="240" t="s">
        <v>122</v>
      </c>
      <c r="F102" s="286" t="s">
        <v>122</v>
      </c>
      <c r="G102" s="240" t="s">
        <v>122</v>
      </c>
      <c r="H102" s="92" t="s">
        <v>122</v>
      </c>
    </row>
    <row r="103" spans="1:8" ht="26.25" customHeight="1" x14ac:dyDescent="0.25">
      <c r="A103" s="89">
        <v>43565</v>
      </c>
      <c r="B103" s="287" t="s">
        <v>2467</v>
      </c>
      <c r="C103" s="288">
        <v>28600</v>
      </c>
      <c r="D103" s="240" t="s">
        <v>122</v>
      </c>
      <c r="E103" s="240" t="s">
        <v>122</v>
      </c>
      <c r="F103" s="286" t="s">
        <v>122</v>
      </c>
      <c r="G103" s="240" t="s">
        <v>122</v>
      </c>
      <c r="H103" s="92" t="s">
        <v>122</v>
      </c>
    </row>
    <row r="104" spans="1:8" ht="26.25" customHeight="1" x14ac:dyDescent="0.25">
      <c r="A104" s="89">
        <v>43566</v>
      </c>
      <c r="B104" s="287" t="s">
        <v>2467</v>
      </c>
      <c r="C104" s="288">
        <v>28600</v>
      </c>
      <c r="D104" s="240" t="s">
        <v>122</v>
      </c>
      <c r="E104" s="240" t="s">
        <v>122</v>
      </c>
      <c r="F104" s="286" t="s">
        <v>122</v>
      </c>
      <c r="G104" s="240" t="s">
        <v>122</v>
      </c>
      <c r="H104" s="92" t="s">
        <v>122</v>
      </c>
    </row>
    <row r="105" spans="1:8" ht="26.25" customHeight="1" x14ac:dyDescent="0.25">
      <c r="A105" s="89">
        <v>43567</v>
      </c>
      <c r="B105" s="287" t="s">
        <v>2564</v>
      </c>
      <c r="C105" s="288">
        <v>28550</v>
      </c>
      <c r="D105" s="240" t="s">
        <v>122</v>
      </c>
      <c r="E105" s="240" t="s">
        <v>122</v>
      </c>
      <c r="F105" s="286" t="s">
        <v>122</v>
      </c>
      <c r="G105" s="240" t="s">
        <v>122</v>
      </c>
      <c r="H105" s="92" t="s">
        <v>122</v>
      </c>
    </row>
    <row r="106" spans="1:8" ht="26.25" customHeight="1" x14ac:dyDescent="0.25">
      <c r="A106" s="89">
        <v>43568</v>
      </c>
      <c r="B106" s="287" t="s">
        <v>2564</v>
      </c>
      <c r="C106" s="288">
        <v>28550</v>
      </c>
      <c r="D106" s="240" t="s">
        <v>122</v>
      </c>
      <c r="E106" s="240" t="s">
        <v>122</v>
      </c>
      <c r="F106" s="286" t="s">
        <v>122</v>
      </c>
      <c r="G106" s="240" t="s">
        <v>122</v>
      </c>
      <c r="H106" s="92" t="s">
        <v>122</v>
      </c>
    </row>
    <row r="107" spans="1:8" ht="26.25" customHeight="1" x14ac:dyDescent="0.25">
      <c r="A107" s="89">
        <v>43569</v>
      </c>
      <c r="B107" s="287" t="s">
        <v>2564</v>
      </c>
      <c r="C107" s="288">
        <v>28550</v>
      </c>
      <c r="D107" s="240" t="s">
        <v>122</v>
      </c>
      <c r="E107" s="240" t="s">
        <v>122</v>
      </c>
      <c r="F107" s="286" t="s">
        <v>122</v>
      </c>
      <c r="G107" s="240" t="s">
        <v>122</v>
      </c>
      <c r="H107" s="92" t="s">
        <v>122</v>
      </c>
    </row>
    <row r="108" spans="1:8" ht="26.25" customHeight="1" x14ac:dyDescent="0.25">
      <c r="A108" s="89">
        <v>43570</v>
      </c>
      <c r="B108" s="287" t="s">
        <v>2460</v>
      </c>
      <c r="C108" s="288">
        <v>28500</v>
      </c>
      <c r="D108" s="240" t="s">
        <v>122</v>
      </c>
      <c r="E108" s="240" t="s">
        <v>122</v>
      </c>
      <c r="F108" s="286" t="s">
        <v>122</v>
      </c>
      <c r="G108" s="240" t="s">
        <v>122</v>
      </c>
      <c r="H108" s="92" t="s">
        <v>122</v>
      </c>
    </row>
    <row r="109" spans="1:8" ht="26.25" customHeight="1" x14ac:dyDescent="0.25">
      <c r="A109" s="89">
        <v>43571</v>
      </c>
      <c r="B109" s="287" t="s">
        <v>2460</v>
      </c>
      <c r="C109" s="288">
        <v>28500</v>
      </c>
      <c r="D109" s="240" t="s">
        <v>122</v>
      </c>
      <c r="E109" s="240" t="s">
        <v>122</v>
      </c>
      <c r="F109" s="286" t="s">
        <v>122</v>
      </c>
      <c r="G109" s="240" t="s">
        <v>122</v>
      </c>
      <c r="H109" s="92" t="s">
        <v>122</v>
      </c>
    </row>
    <row r="110" spans="1:8" ht="26.25" customHeight="1" x14ac:dyDescent="0.25">
      <c r="A110" s="89">
        <v>43572</v>
      </c>
      <c r="B110" s="287" t="s">
        <v>2460</v>
      </c>
      <c r="C110" s="288">
        <v>28500</v>
      </c>
      <c r="D110" s="240" t="s">
        <v>122</v>
      </c>
      <c r="E110" s="240" t="s">
        <v>122</v>
      </c>
      <c r="F110" s="286" t="s">
        <v>122</v>
      </c>
      <c r="G110" s="240" t="s">
        <v>122</v>
      </c>
      <c r="H110" s="92" t="s">
        <v>122</v>
      </c>
    </row>
    <row r="111" spans="1:8" ht="26.25" customHeight="1" x14ac:dyDescent="0.25">
      <c r="A111" s="89">
        <v>43573</v>
      </c>
      <c r="B111" s="287" t="s">
        <v>2460</v>
      </c>
      <c r="C111" s="288">
        <v>28500</v>
      </c>
      <c r="D111" s="240" t="s">
        <v>122</v>
      </c>
      <c r="E111" s="240" t="s">
        <v>122</v>
      </c>
      <c r="F111" s="286" t="s">
        <v>122</v>
      </c>
      <c r="G111" s="240" t="s">
        <v>122</v>
      </c>
      <c r="H111" s="92" t="s">
        <v>122</v>
      </c>
    </row>
    <row r="112" spans="1:8" ht="26.25" customHeight="1" x14ac:dyDescent="0.25">
      <c r="A112" s="89">
        <v>43574</v>
      </c>
      <c r="B112" s="287" t="s">
        <v>2460</v>
      </c>
      <c r="C112" s="288">
        <v>28500</v>
      </c>
      <c r="D112" s="240" t="s">
        <v>122</v>
      </c>
      <c r="E112" s="240" t="s">
        <v>122</v>
      </c>
      <c r="F112" s="286" t="s">
        <v>122</v>
      </c>
      <c r="G112" s="240" t="s">
        <v>122</v>
      </c>
      <c r="H112" s="92" t="s">
        <v>122</v>
      </c>
    </row>
    <row r="113" spans="1:8" ht="26.25" customHeight="1" x14ac:dyDescent="0.25">
      <c r="A113" s="89">
        <v>43575</v>
      </c>
      <c r="B113" s="287" t="s">
        <v>2460</v>
      </c>
      <c r="C113" s="288">
        <v>28500</v>
      </c>
      <c r="D113" s="289">
        <v>0.25</v>
      </c>
      <c r="E113" s="290">
        <v>16.72</v>
      </c>
      <c r="F113" s="289">
        <v>1</v>
      </c>
      <c r="G113" s="289">
        <v>67.41</v>
      </c>
      <c r="H113" s="92" t="s">
        <v>122</v>
      </c>
    </row>
    <row r="114" spans="1:8" ht="26.25" customHeight="1" x14ac:dyDescent="0.25">
      <c r="A114" s="89">
        <v>43576</v>
      </c>
      <c r="B114" s="287" t="s">
        <v>2565</v>
      </c>
      <c r="C114" s="288">
        <v>28450</v>
      </c>
      <c r="D114" s="289">
        <v>0.25</v>
      </c>
      <c r="E114" s="290">
        <v>16.7</v>
      </c>
      <c r="F114" s="289">
        <v>1</v>
      </c>
      <c r="G114" s="289">
        <v>67.319999999999993</v>
      </c>
      <c r="H114" s="92" t="s">
        <v>122</v>
      </c>
    </row>
    <row r="115" spans="1:8" ht="26.25" customHeight="1" x14ac:dyDescent="0.25">
      <c r="A115" s="89">
        <v>43577</v>
      </c>
      <c r="B115" s="287" t="s">
        <v>2461</v>
      </c>
      <c r="C115" s="288">
        <v>28300</v>
      </c>
      <c r="D115" s="289">
        <v>0.25</v>
      </c>
      <c r="E115" s="290">
        <v>16.649999999999999</v>
      </c>
      <c r="F115" s="289">
        <v>1</v>
      </c>
      <c r="G115" s="289">
        <v>67.14</v>
      </c>
      <c r="H115" s="92" t="s">
        <v>122</v>
      </c>
    </row>
    <row r="116" spans="1:8" ht="26.25" customHeight="1" x14ac:dyDescent="0.25">
      <c r="A116" s="89">
        <v>43578</v>
      </c>
      <c r="B116" s="287" t="s">
        <v>2566</v>
      </c>
      <c r="C116" s="288">
        <v>28100</v>
      </c>
      <c r="D116" s="289">
        <v>0.25</v>
      </c>
      <c r="E116" s="290">
        <v>16.61</v>
      </c>
      <c r="F116" s="289">
        <v>1</v>
      </c>
      <c r="G116" s="291">
        <v>66.965000000000003</v>
      </c>
      <c r="H116" s="92" t="s">
        <v>122</v>
      </c>
    </row>
    <row r="117" spans="1:8" ht="26.25" customHeight="1" x14ac:dyDescent="0.25">
      <c r="A117" s="89">
        <v>43579</v>
      </c>
      <c r="B117" s="287" t="s">
        <v>2461</v>
      </c>
      <c r="C117" s="288">
        <v>28300</v>
      </c>
      <c r="D117" s="289">
        <v>0.25</v>
      </c>
      <c r="E117" s="290">
        <v>16.649999999999999</v>
      </c>
      <c r="F117" s="289">
        <v>1.17</v>
      </c>
      <c r="G117" s="289">
        <v>77.919999999999987</v>
      </c>
      <c r="H117" s="92" t="s">
        <v>122</v>
      </c>
    </row>
    <row r="118" spans="1:8" ht="26.25" customHeight="1" x14ac:dyDescent="0.25">
      <c r="A118" s="89">
        <v>43580</v>
      </c>
      <c r="B118" s="287" t="s">
        <v>2566</v>
      </c>
      <c r="C118" s="288">
        <v>28100</v>
      </c>
      <c r="D118" s="289">
        <v>0.25</v>
      </c>
      <c r="E118" s="290">
        <v>16.61</v>
      </c>
      <c r="F118" s="289">
        <v>1.25</v>
      </c>
      <c r="G118" s="289">
        <v>83.04</v>
      </c>
      <c r="H118" s="92" t="s">
        <v>122</v>
      </c>
    </row>
    <row r="119" spans="1:8" ht="26.25" customHeight="1" x14ac:dyDescent="0.25">
      <c r="A119" s="89">
        <v>43581</v>
      </c>
      <c r="B119" s="287" t="s">
        <v>2463</v>
      </c>
      <c r="C119" s="288">
        <v>27850</v>
      </c>
      <c r="D119" s="289">
        <v>0.5</v>
      </c>
      <c r="E119" s="290">
        <v>32.81</v>
      </c>
      <c r="F119" s="289">
        <v>1.25</v>
      </c>
      <c r="G119" s="289">
        <v>82.704999999999998</v>
      </c>
      <c r="H119" s="92" t="s">
        <v>122</v>
      </c>
    </row>
    <row r="120" spans="1:8" ht="26.25" customHeight="1" x14ac:dyDescent="0.25">
      <c r="A120" s="89">
        <v>43582</v>
      </c>
      <c r="B120" s="287" t="s">
        <v>2567</v>
      </c>
      <c r="C120" s="288">
        <v>27250</v>
      </c>
      <c r="D120" s="289">
        <v>0.5</v>
      </c>
      <c r="E120" s="292">
        <v>32.674999999999997</v>
      </c>
      <c r="F120" s="289">
        <v>1.25</v>
      </c>
      <c r="G120" s="289">
        <v>82.37</v>
      </c>
      <c r="H120" s="92" t="s">
        <v>122</v>
      </c>
    </row>
    <row r="121" spans="1:8" ht="26.25" customHeight="1" x14ac:dyDescent="0.25">
      <c r="A121" s="89">
        <v>43583</v>
      </c>
      <c r="B121" s="287" t="s">
        <v>1848</v>
      </c>
      <c r="C121" s="288">
        <v>26750</v>
      </c>
      <c r="D121" s="289">
        <v>0.5</v>
      </c>
      <c r="E121" s="290">
        <v>32.54</v>
      </c>
      <c r="F121" s="289">
        <v>1.25</v>
      </c>
      <c r="G121" s="289">
        <v>82.03</v>
      </c>
      <c r="H121" s="92" t="s">
        <v>122</v>
      </c>
    </row>
    <row r="122" spans="1:8" ht="26.25" customHeight="1" x14ac:dyDescent="0.25">
      <c r="A122" s="89">
        <v>43584</v>
      </c>
      <c r="B122" s="287" t="s">
        <v>2475</v>
      </c>
      <c r="C122" s="288">
        <v>26500</v>
      </c>
      <c r="D122" s="289">
        <v>0.5</v>
      </c>
      <c r="E122" s="290">
        <v>32.450000000000003</v>
      </c>
      <c r="F122" s="289">
        <v>1.08</v>
      </c>
      <c r="G122" s="289">
        <v>71.289999999999992</v>
      </c>
      <c r="H122" s="92" t="s">
        <v>122</v>
      </c>
    </row>
    <row r="123" spans="1:8" ht="26.25" customHeight="1" x14ac:dyDescent="0.25">
      <c r="A123" s="89">
        <v>43585</v>
      </c>
      <c r="B123" s="287" t="s">
        <v>2322</v>
      </c>
      <c r="C123" s="288">
        <v>26000</v>
      </c>
      <c r="D123" s="289">
        <v>0.5</v>
      </c>
      <c r="E123" s="290">
        <v>32.36</v>
      </c>
      <c r="F123" s="289">
        <v>1.08</v>
      </c>
      <c r="G123" s="291">
        <v>71.094999999999999</v>
      </c>
      <c r="H123" s="92" t="s">
        <v>122</v>
      </c>
    </row>
    <row r="124" spans="1:8" ht="26.25" customHeight="1" x14ac:dyDescent="0.25">
      <c r="A124" s="89">
        <v>43586</v>
      </c>
      <c r="B124" s="287" t="s">
        <v>2568</v>
      </c>
      <c r="C124" s="288">
        <v>25775</v>
      </c>
      <c r="D124" s="289">
        <v>0.5</v>
      </c>
      <c r="E124" s="292">
        <v>32.225000000000001</v>
      </c>
      <c r="F124" s="289">
        <v>1.08</v>
      </c>
      <c r="G124" s="291">
        <v>70.8</v>
      </c>
      <c r="H124" s="92" t="s">
        <v>122</v>
      </c>
    </row>
    <row r="125" spans="1:8" ht="26.25" customHeight="1" x14ac:dyDescent="0.25">
      <c r="A125" s="89">
        <v>43587</v>
      </c>
      <c r="B125" s="287" t="s">
        <v>2324</v>
      </c>
      <c r="C125" s="288">
        <v>25500</v>
      </c>
      <c r="D125" s="289">
        <v>0.5</v>
      </c>
      <c r="E125" s="290">
        <v>32.090000000000003</v>
      </c>
      <c r="F125" s="289">
        <v>1.08</v>
      </c>
      <c r="G125" s="289">
        <v>70.509999999999991</v>
      </c>
      <c r="H125" s="92" t="s">
        <v>122</v>
      </c>
    </row>
    <row r="126" spans="1:8" ht="26.25" customHeight="1" x14ac:dyDescent="0.25">
      <c r="A126" s="89">
        <v>43588</v>
      </c>
      <c r="B126" s="287" t="s">
        <v>2479</v>
      </c>
      <c r="C126" s="288">
        <v>25400</v>
      </c>
      <c r="D126" s="289">
        <v>0.5</v>
      </c>
      <c r="E126" s="290">
        <v>31.99</v>
      </c>
      <c r="F126" s="289">
        <v>1.08</v>
      </c>
      <c r="G126" s="289">
        <v>70.31</v>
      </c>
      <c r="H126" s="92" t="s">
        <v>122</v>
      </c>
    </row>
    <row r="127" spans="1:8" ht="26.25" customHeight="1" x14ac:dyDescent="0.25">
      <c r="A127" s="89">
        <v>43589</v>
      </c>
      <c r="B127" s="287" t="s">
        <v>2480</v>
      </c>
      <c r="C127" s="288">
        <v>25100</v>
      </c>
      <c r="D127" s="289">
        <v>0.5</v>
      </c>
      <c r="E127" s="292">
        <v>31.854999999999997</v>
      </c>
      <c r="F127" s="289">
        <v>1.08</v>
      </c>
      <c r="G127" s="289">
        <v>70.010000000000005</v>
      </c>
      <c r="H127" s="92" t="s">
        <v>122</v>
      </c>
    </row>
    <row r="128" spans="1:8" ht="26.25" customHeight="1" x14ac:dyDescent="0.25">
      <c r="A128" s="89">
        <v>43590</v>
      </c>
      <c r="B128" s="287" t="s">
        <v>2326</v>
      </c>
      <c r="C128" s="288">
        <v>24500</v>
      </c>
      <c r="D128" s="289">
        <v>0.5</v>
      </c>
      <c r="E128" s="290">
        <v>31.71</v>
      </c>
      <c r="F128" s="289">
        <v>1.08</v>
      </c>
      <c r="G128" s="289">
        <v>69.715000000000003</v>
      </c>
      <c r="H128" s="92" t="s">
        <v>122</v>
      </c>
    </row>
    <row r="129" spans="1:8" ht="26.25" customHeight="1" x14ac:dyDescent="0.25">
      <c r="A129" s="89">
        <v>43591</v>
      </c>
      <c r="B129" s="287" t="s">
        <v>2569</v>
      </c>
      <c r="C129" s="288">
        <v>23750</v>
      </c>
      <c r="D129" s="289">
        <v>0.5</v>
      </c>
      <c r="E129" s="292">
        <v>31.575000000000003</v>
      </c>
      <c r="F129" s="289">
        <v>1.08</v>
      </c>
      <c r="G129" s="289">
        <v>69.42</v>
      </c>
      <c r="H129" s="92" t="s">
        <v>122</v>
      </c>
    </row>
    <row r="130" spans="1:8" ht="26.25" customHeight="1" x14ac:dyDescent="0.25">
      <c r="A130" s="89">
        <v>43592</v>
      </c>
      <c r="B130" s="287" t="s">
        <v>2328</v>
      </c>
      <c r="C130" s="288">
        <v>22450</v>
      </c>
      <c r="D130" s="289">
        <v>0.5</v>
      </c>
      <c r="E130" s="290">
        <v>31.43</v>
      </c>
      <c r="F130" s="289">
        <v>0.83</v>
      </c>
      <c r="G130" s="289">
        <v>53.64</v>
      </c>
      <c r="H130" s="92" t="s">
        <v>122</v>
      </c>
    </row>
    <row r="131" spans="1:8" ht="26.25" customHeight="1" x14ac:dyDescent="0.25">
      <c r="A131" s="89">
        <v>43593</v>
      </c>
      <c r="B131" s="287" t="s">
        <v>2346</v>
      </c>
      <c r="C131" s="288">
        <v>22400</v>
      </c>
      <c r="D131" s="289">
        <v>0.5</v>
      </c>
      <c r="E131" s="290">
        <v>31.34</v>
      </c>
      <c r="F131" s="289">
        <v>0.67</v>
      </c>
      <c r="G131" s="289">
        <v>43.03</v>
      </c>
      <c r="H131" s="92" t="s">
        <v>122</v>
      </c>
    </row>
    <row r="132" spans="1:8" ht="26.25" customHeight="1" x14ac:dyDescent="0.25">
      <c r="A132" s="89">
        <v>43594</v>
      </c>
      <c r="B132" s="287" t="s">
        <v>2329</v>
      </c>
      <c r="C132" s="288">
        <v>22350</v>
      </c>
      <c r="D132" s="289">
        <v>0.33</v>
      </c>
      <c r="E132" s="290">
        <v>20.96</v>
      </c>
      <c r="F132" s="289">
        <v>0.83</v>
      </c>
      <c r="G132" s="289">
        <v>53.32</v>
      </c>
      <c r="H132" s="92" t="s">
        <v>122</v>
      </c>
    </row>
    <row r="133" spans="1:8" ht="26.25" customHeight="1" x14ac:dyDescent="0.25">
      <c r="A133" s="89">
        <v>43595</v>
      </c>
      <c r="B133" s="287" t="s">
        <v>2330</v>
      </c>
      <c r="C133" s="288">
        <v>22325</v>
      </c>
      <c r="D133" s="289">
        <v>0.42</v>
      </c>
      <c r="E133" s="290">
        <v>26.04</v>
      </c>
      <c r="F133" s="289">
        <v>0.83</v>
      </c>
      <c r="G133" s="289">
        <v>53.17</v>
      </c>
      <c r="H133" s="92" t="s">
        <v>122</v>
      </c>
    </row>
    <row r="134" spans="1:8" ht="26.25" customHeight="1" x14ac:dyDescent="0.25">
      <c r="A134" s="89">
        <v>43596</v>
      </c>
      <c r="B134" s="287" t="s">
        <v>2570</v>
      </c>
      <c r="C134" s="293">
        <v>22312.5</v>
      </c>
      <c r="D134" s="289" t="s">
        <v>122</v>
      </c>
      <c r="E134" s="290" t="s">
        <v>122</v>
      </c>
      <c r="F134" s="289" t="s">
        <v>122</v>
      </c>
      <c r="G134" s="289" t="s">
        <v>122</v>
      </c>
      <c r="H134" s="92" t="s">
        <v>122</v>
      </c>
    </row>
    <row r="135" spans="1:8" ht="26.25" customHeight="1" x14ac:dyDescent="0.25">
      <c r="A135" s="89">
        <v>43597</v>
      </c>
      <c r="B135" s="287" t="s">
        <v>2351</v>
      </c>
      <c r="C135" s="288">
        <v>22300</v>
      </c>
      <c r="D135" s="289" t="s">
        <v>122</v>
      </c>
      <c r="E135" s="290" t="s">
        <v>122</v>
      </c>
      <c r="F135" s="289" t="s">
        <v>122</v>
      </c>
      <c r="G135" s="289" t="s">
        <v>122</v>
      </c>
      <c r="H135" s="92" t="s">
        <v>122</v>
      </c>
    </row>
    <row r="136" spans="1:8" ht="26.25" customHeight="1" x14ac:dyDescent="0.25">
      <c r="A136" s="89">
        <v>43598</v>
      </c>
      <c r="B136" s="287" t="s">
        <v>2331</v>
      </c>
      <c r="C136" s="288">
        <v>22250</v>
      </c>
      <c r="D136" s="289">
        <v>0.5</v>
      </c>
      <c r="E136" s="290">
        <v>30.96</v>
      </c>
      <c r="F136" s="289">
        <v>1.25</v>
      </c>
      <c r="G136" s="291">
        <v>78.10499999999999</v>
      </c>
      <c r="H136" s="92" t="s">
        <v>122</v>
      </c>
    </row>
    <row r="137" spans="1:8" ht="26.25" customHeight="1" x14ac:dyDescent="0.25">
      <c r="A137" s="89">
        <v>43599</v>
      </c>
      <c r="B137" s="287" t="s">
        <v>2484</v>
      </c>
      <c r="C137" s="288">
        <v>21875</v>
      </c>
      <c r="D137" s="289">
        <v>0.5</v>
      </c>
      <c r="E137" s="292">
        <v>30.814999999999998</v>
      </c>
      <c r="F137" s="289">
        <v>1.25</v>
      </c>
      <c r="G137" s="289">
        <v>77.75</v>
      </c>
      <c r="H137" s="92" t="s">
        <v>122</v>
      </c>
    </row>
    <row r="138" spans="1:8" ht="26.25" customHeight="1" x14ac:dyDescent="0.25">
      <c r="A138" s="89">
        <v>43600</v>
      </c>
      <c r="B138" s="287" t="s">
        <v>2345</v>
      </c>
      <c r="C138" s="288">
        <v>21300</v>
      </c>
      <c r="D138" s="289">
        <v>0.5</v>
      </c>
      <c r="E138" s="290">
        <v>30.67</v>
      </c>
      <c r="F138" s="289">
        <v>1.25</v>
      </c>
      <c r="G138" s="289">
        <v>77.39</v>
      </c>
      <c r="H138" s="92" t="s">
        <v>122</v>
      </c>
    </row>
    <row r="139" spans="1:8" ht="26.25" customHeight="1" x14ac:dyDescent="0.25">
      <c r="A139" s="89">
        <v>43601</v>
      </c>
      <c r="B139" s="287" t="s">
        <v>2353</v>
      </c>
      <c r="C139" s="288">
        <v>21000</v>
      </c>
      <c r="D139" s="289">
        <v>0.33</v>
      </c>
      <c r="E139" s="290">
        <v>20.48</v>
      </c>
      <c r="F139" s="289">
        <v>1.25</v>
      </c>
      <c r="G139" s="291">
        <v>74.099999999999994</v>
      </c>
      <c r="H139" s="92" t="s">
        <v>122</v>
      </c>
    </row>
    <row r="140" spans="1:8" ht="26.25" customHeight="1" x14ac:dyDescent="0.25">
      <c r="A140" s="89">
        <v>43602</v>
      </c>
      <c r="B140" s="287" t="s">
        <v>2335</v>
      </c>
      <c r="C140" s="288">
        <v>20650</v>
      </c>
      <c r="D140" s="289" t="s">
        <v>122</v>
      </c>
      <c r="E140" s="290" t="s">
        <v>122</v>
      </c>
      <c r="F140" s="289">
        <v>0.83</v>
      </c>
      <c r="G140" s="289">
        <v>51.92</v>
      </c>
      <c r="H140" s="92" t="s">
        <v>122</v>
      </c>
    </row>
    <row r="141" spans="1:8" ht="26.25" customHeight="1" x14ac:dyDescent="0.25">
      <c r="A141" s="89">
        <v>43603</v>
      </c>
      <c r="B141" s="287" t="s">
        <v>1846</v>
      </c>
      <c r="C141" s="288">
        <v>20650</v>
      </c>
      <c r="D141" s="289" t="s">
        <v>122</v>
      </c>
      <c r="E141" s="290" t="s">
        <v>122</v>
      </c>
      <c r="F141" s="289">
        <v>0.83</v>
      </c>
      <c r="G141" s="289">
        <v>51.76</v>
      </c>
      <c r="H141" s="92" t="s">
        <v>122</v>
      </c>
    </row>
    <row r="142" spans="1:8" ht="26.25" customHeight="1" x14ac:dyDescent="0.25">
      <c r="A142" s="89">
        <v>43604</v>
      </c>
      <c r="B142" s="287" t="s">
        <v>1846</v>
      </c>
      <c r="C142" s="288">
        <v>20650</v>
      </c>
      <c r="D142" s="289" t="s">
        <v>122</v>
      </c>
      <c r="E142" s="290" t="s">
        <v>122</v>
      </c>
      <c r="F142" s="289" t="s">
        <v>122</v>
      </c>
      <c r="G142" s="289" t="s">
        <v>122</v>
      </c>
      <c r="H142" s="92" t="s">
        <v>122</v>
      </c>
    </row>
    <row r="143" spans="1:8" ht="26.25" customHeight="1" x14ac:dyDescent="0.25">
      <c r="A143" s="89">
        <v>43605</v>
      </c>
      <c r="B143" s="287" t="s">
        <v>1846</v>
      </c>
      <c r="C143" s="288">
        <v>20650</v>
      </c>
      <c r="D143" s="289">
        <v>0.25</v>
      </c>
      <c r="E143" s="292">
        <v>15.285</v>
      </c>
      <c r="F143" s="289">
        <v>1</v>
      </c>
      <c r="G143" s="289">
        <v>61.72</v>
      </c>
      <c r="H143" s="92" t="s">
        <v>122</v>
      </c>
    </row>
    <row r="144" spans="1:8" ht="26.25" customHeight="1" x14ac:dyDescent="0.25">
      <c r="A144" s="89">
        <v>43606</v>
      </c>
      <c r="B144" s="287" t="s">
        <v>2354</v>
      </c>
      <c r="C144" s="288">
        <v>20450</v>
      </c>
      <c r="D144" s="289">
        <v>0.5</v>
      </c>
      <c r="E144" s="290">
        <v>15.17</v>
      </c>
      <c r="F144" s="289">
        <v>1.5</v>
      </c>
      <c r="G144" s="289">
        <v>90.54</v>
      </c>
      <c r="H144" s="92" t="s">
        <v>122</v>
      </c>
    </row>
    <row r="145" spans="1:8" ht="26.25" customHeight="1" x14ac:dyDescent="0.25">
      <c r="A145" s="89">
        <v>43607</v>
      </c>
      <c r="B145" s="287" t="s">
        <v>2354</v>
      </c>
      <c r="C145" s="288">
        <v>20450</v>
      </c>
      <c r="D145" s="289">
        <v>0.42</v>
      </c>
      <c r="E145" s="290">
        <v>25.240000000000002</v>
      </c>
      <c r="F145" s="289">
        <v>0.83</v>
      </c>
      <c r="G145" s="291">
        <v>51.6</v>
      </c>
      <c r="H145" s="92" t="s">
        <v>122</v>
      </c>
    </row>
    <row r="146" spans="1:8" ht="26.25" customHeight="1" x14ac:dyDescent="0.25">
      <c r="A146" s="89">
        <v>43608</v>
      </c>
      <c r="B146" s="287" t="s">
        <v>2336</v>
      </c>
      <c r="C146" s="288">
        <v>20000</v>
      </c>
      <c r="D146" s="289">
        <v>0.42</v>
      </c>
      <c r="E146" s="292">
        <v>25.155000000000001</v>
      </c>
      <c r="F146" s="289">
        <v>0.83</v>
      </c>
      <c r="G146" s="289">
        <v>51.44</v>
      </c>
      <c r="H146" s="92" t="s">
        <v>122</v>
      </c>
    </row>
    <row r="147" spans="1:8" ht="26.25" customHeight="1" x14ac:dyDescent="0.25">
      <c r="A147" s="89">
        <v>43609</v>
      </c>
      <c r="B147" s="287" t="s">
        <v>2337</v>
      </c>
      <c r="C147" s="288">
        <v>19850</v>
      </c>
      <c r="D147" s="289">
        <v>0.42</v>
      </c>
      <c r="E147" s="290">
        <v>25.07</v>
      </c>
      <c r="F147" s="291">
        <v>1</v>
      </c>
      <c r="G147" s="289">
        <v>61.15</v>
      </c>
      <c r="H147" s="92" t="s">
        <v>122</v>
      </c>
    </row>
    <row r="148" spans="1:8" ht="26.25" customHeight="1" x14ac:dyDescent="0.25">
      <c r="A148" s="89">
        <v>43610</v>
      </c>
      <c r="B148" s="287" t="s">
        <v>2571</v>
      </c>
      <c r="C148" s="288">
        <v>19600</v>
      </c>
      <c r="D148" s="289">
        <v>0.42</v>
      </c>
      <c r="E148" s="292">
        <v>24.95</v>
      </c>
      <c r="F148" s="291">
        <v>1</v>
      </c>
      <c r="G148" s="289">
        <v>60.86</v>
      </c>
      <c r="H148" s="92" t="s">
        <v>122</v>
      </c>
    </row>
    <row r="149" spans="1:8" ht="26.25" customHeight="1" x14ac:dyDescent="0.25">
      <c r="A149" s="89">
        <v>43611</v>
      </c>
      <c r="B149" s="287" t="s">
        <v>2572</v>
      </c>
      <c r="C149" s="288">
        <v>19300</v>
      </c>
      <c r="D149" s="289" t="s">
        <v>122</v>
      </c>
      <c r="E149" s="290" t="s">
        <v>122</v>
      </c>
      <c r="F149" s="289" t="s">
        <v>122</v>
      </c>
      <c r="G149" s="289" t="s">
        <v>122</v>
      </c>
      <c r="H149" s="92" t="s">
        <v>122</v>
      </c>
    </row>
    <row r="150" spans="1:8" ht="26.25" customHeight="1" x14ac:dyDescent="0.25">
      <c r="A150" s="89">
        <v>43612</v>
      </c>
      <c r="B150" s="287" t="s">
        <v>2572</v>
      </c>
      <c r="C150" s="288">
        <v>19300</v>
      </c>
      <c r="D150" s="289" t="s">
        <v>122</v>
      </c>
      <c r="E150" s="290" t="s">
        <v>122</v>
      </c>
      <c r="F150" s="289" t="s">
        <v>122</v>
      </c>
      <c r="G150" s="289" t="s">
        <v>122</v>
      </c>
      <c r="H150" s="92" t="s">
        <v>122</v>
      </c>
    </row>
    <row r="151" spans="1:8" ht="26.25" customHeight="1" x14ac:dyDescent="0.25">
      <c r="A151" s="89">
        <v>43613</v>
      </c>
      <c r="B151" s="287" t="s">
        <v>2572</v>
      </c>
      <c r="C151" s="288">
        <v>19300</v>
      </c>
      <c r="D151" s="289" t="s">
        <v>122</v>
      </c>
      <c r="E151" s="290" t="s">
        <v>122</v>
      </c>
      <c r="F151" s="289" t="s">
        <v>122</v>
      </c>
      <c r="G151" s="289" t="s">
        <v>122</v>
      </c>
      <c r="H151" s="92" t="s">
        <v>122</v>
      </c>
    </row>
    <row r="152" spans="1:8" ht="26.25" customHeight="1" x14ac:dyDescent="0.25">
      <c r="A152" s="89">
        <v>43614</v>
      </c>
      <c r="B152" s="287" t="s">
        <v>2340</v>
      </c>
      <c r="C152" s="288">
        <v>19250</v>
      </c>
      <c r="D152" s="289" t="s">
        <v>122</v>
      </c>
      <c r="E152" s="290" t="s">
        <v>122</v>
      </c>
      <c r="F152" s="289" t="s">
        <v>122</v>
      </c>
      <c r="G152" s="289" t="s">
        <v>122</v>
      </c>
      <c r="H152" s="92" t="s">
        <v>122</v>
      </c>
    </row>
    <row r="153" spans="1:8" ht="26.25" customHeight="1" x14ac:dyDescent="0.25">
      <c r="A153" s="89">
        <v>43615</v>
      </c>
      <c r="B153" s="287" t="s">
        <v>2340</v>
      </c>
      <c r="C153" s="288">
        <v>19250</v>
      </c>
      <c r="D153" s="289">
        <v>0.33</v>
      </c>
      <c r="E153" s="292">
        <v>19.895</v>
      </c>
      <c r="F153" s="291">
        <v>1</v>
      </c>
      <c r="G153" s="291">
        <v>60.465000000000003</v>
      </c>
      <c r="H153" s="92" t="s">
        <v>122</v>
      </c>
    </row>
    <row r="154" spans="1:8" ht="26.25" customHeight="1" x14ac:dyDescent="0.25">
      <c r="A154" s="89">
        <v>43616</v>
      </c>
      <c r="B154" s="287" t="s">
        <v>2341</v>
      </c>
      <c r="C154" s="288">
        <v>19000</v>
      </c>
      <c r="D154" s="291">
        <v>0.5</v>
      </c>
      <c r="E154" s="290">
        <v>29.39</v>
      </c>
      <c r="F154" s="289">
        <v>1.25</v>
      </c>
      <c r="G154" s="289">
        <v>74.47</v>
      </c>
      <c r="H154" s="92" t="s">
        <v>122</v>
      </c>
    </row>
    <row r="155" spans="1:8" ht="26.25" customHeight="1" x14ac:dyDescent="0.25">
      <c r="A155" s="89">
        <v>43617</v>
      </c>
      <c r="B155" s="287" t="s">
        <v>2362</v>
      </c>
      <c r="C155" s="288">
        <v>18425</v>
      </c>
      <c r="D155" s="289">
        <v>0.75</v>
      </c>
      <c r="E155" s="292">
        <v>43.55</v>
      </c>
      <c r="F155" s="291">
        <v>1.5</v>
      </c>
      <c r="G155" s="289">
        <v>88.16</v>
      </c>
      <c r="H155" s="92" t="s">
        <v>122</v>
      </c>
    </row>
    <row r="156" spans="1:8" ht="26.25" customHeight="1" x14ac:dyDescent="0.25">
      <c r="A156" s="89">
        <v>43618</v>
      </c>
      <c r="B156" s="287" t="s">
        <v>2573</v>
      </c>
      <c r="C156" s="288">
        <v>17900</v>
      </c>
      <c r="D156" s="289">
        <v>0.75</v>
      </c>
      <c r="E156" s="290">
        <v>43.25</v>
      </c>
      <c r="F156" s="291">
        <v>1.5</v>
      </c>
      <c r="G156" s="291">
        <v>87.4</v>
      </c>
      <c r="H156" s="92" t="s">
        <v>122</v>
      </c>
    </row>
    <row r="157" spans="1:8" ht="26.25" customHeight="1" x14ac:dyDescent="0.25">
      <c r="A157" s="89">
        <v>43619</v>
      </c>
      <c r="B157" s="287" t="s">
        <v>2517</v>
      </c>
      <c r="C157" s="288">
        <v>17500</v>
      </c>
      <c r="D157" s="289">
        <v>0.57999999999999996</v>
      </c>
      <c r="E157" s="290">
        <v>33.58</v>
      </c>
      <c r="F157" s="291">
        <v>1.5</v>
      </c>
      <c r="G157" s="289">
        <v>86.64</v>
      </c>
      <c r="H157" s="92" t="s">
        <v>122</v>
      </c>
    </row>
    <row r="158" spans="1:8" ht="26.25" customHeight="1" x14ac:dyDescent="0.25">
      <c r="A158" s="89">
        <v>43620</v>
      </c>
      <c r="B158" s="287" t="s">
        <v>2574</v>
      </c>
      <c r="C158" s="288">
        <v>17250</v>
      </c>
      <c r="D158" s="289">
        <v>0.42</v>
      </c>
      <c r="E158" s="292">
        <v>24.7</v>
      </c>
      <c r="F158" s="291">
        <v>1.5</v>
      </c>
      <c r="G158" s="289">
        <v>88.76</v>
      </c>
      <c r="H158" s="92" t="s">
        <v>122</v>
      </c>
    </row>
    <row r="159" spans="1:8" ht="26.25" customHeight="1" x14ac:dyDescent="0.25">
      <c r="A159" s="89">
        <v>43621</v>
      </c>
      <c r="B159" s="287" t="s">
        <v>2367</v>
      </c>
      <c r="C159" s="288">
        <v>16950</v>
      </c>
      <c r="D159" s="289"/>
      <c r="E159" s="290" t="s">
        <v>122</v>
      </c>
      <c r="F159" s="291">
        <v>1</v>
      </c>
      <c r="G159" s="289">
        <v>58.27</v>
      </c>
      <c r="H159" s="92" t="s">
        <v>122</v>
      </c>
    </row>
    <row r="160" spans="1:8" ht="26.25" customHeight="1" x14ac:dyDescent="0.25">
      <c r="A160" s="89">
        <v>43622</v>
      </c>
      <c r="B160" s="287" t="s">
        <v>2368</v>
      </c>
      <c r="C160" s="288">
        <v>16900</v>
      </c>
      <c r="D160" s="289"/>
      <c r="E160" s="292" t="s">
        <v>122</v>
      </c>
      <c r="F160" s="289"/>
      <c r="G160" s="289" t="s">
        <v>122</v>
      </c>
      <c r="H160" s="92" t="s">
        <v>122</v>
      </c>
    </row>
    <row r="161" spans="1:8" ht="26.25" customHeight="1" x14ac:dyDescent="0.25">
      <c r="A161" s="89">
        <v>43623</v>
      </c>
      <c r="B161" s="287" t="s">
        <v>2368</v>
      </c>
      <c r="C161" s="288">
        <v>16900</v>
      </c>
      <c r="D161" s="289"/>
      <c r="E161" s="290" t="s">
        <v>122</v>
      </c>
      <c r="F161" s="289"/>
      <c r="G161" s="289" t="s">
        <v>122</v>
      </c>
      <c r="H161" s="92" t="s">
        <v>122</v>
      </c>
    </row>
    <row r="162" spans="1:8" ht="26.25" customHeight="1" x14ac:dyDescent="0.25">
      <c r="A162" s="89">
        <v>43624</v>
      </c>
      <c r="B162" s="287" t="s">
        <v>2575</v>
      </c>
      <c r="C162" s="288">
        <v>16850</v>
      </c>
      <c r="D162" s="289"/>
      <c r="E162" s="290" t="s">
        <v>122</v>
      </c>
      <c r="F162" s="289"/>
      <c r="G162" s="289" t="s">
        <v>122</v>
      </c>
      <c r="H162" s="92" t="s">
        <v>122</v>
      </c>
    </row>
    <row r="163" spans="1:8" ht="26.25" customHeight="1" x14ac:dyDescent="0.25">
      <c r="A163" s="89">
        <v>43625</v>
      </c>
      <c r="B163" s="287" t="s">
        <v>2575</v>
      </c>
      <c r="C163" s="288">
        <v>16850</v>
      </c>
      <c r="D163" s="289"/>
      <c r="E163" s="290" t="s">
        <v>122</v>
      </c>
      <c r="F163" s="289"/>
      <c r="G163" s="289" t="s">
        <v>122</v>
      </c>
      <c r="H163" s="92" t="s">
        <v>122</v>
      </c>
    </row>
    <row r="164" spans="1:8" ht="26.25" customHeight="1" x14ac:dyDescent="0.25">
      <c r="A164" s="89">
        <v>43626</v>
      </c>
      <c r="B164" s="287" t="s">
        <v>2516</v>
      </c>
      <c r="C164" s="288">
        <v>16800</v>
      </c>
      <c r="D164" s="291">
        <v>0.5</v>
      </c>
      <c r="E164" s="290">
        <v>28.37</v>
      </c>
      <c r="F164" s="291">
        <v>1</v>
      </c>
      <c r="G164" s="289">
        <v>57.97</v>
      </c>
      <c r="H164" s="92" t="s">
        <v>122</v>
      </c>
    </row>
    <row r="165" spans="1:8" ht="26.25" customHeight="1" x14ac:dyDescent="0.25">
      <c r="A165" s="89">
        <v>43627</v>
      </c>
      <c r="B165" s="287" t="s">
        <v>2576</v>
      </c>
      <c r="C165" s="288">
        <v>16600</v>
      </c>
      <c r="D165" s="289">
        <v>0.75</v>
      </c>
      <c r="E165" s="292">
        <v>41.6</v>
      </c>
      <c r="F165" s="291">
        <v>1.5</v>
      </c>
      <c r="G165" s="289">
        <v>84.46</v>
      </c>
      <c r="H165" s="92" t="s">
        <v>122</v>
      </c>
    </row>
    <row r="166" spans="1:8" ht="26.25" customHeight="1" x14ac:dyDescent="0.25">
      <c r="A166" s="89">
        <v>43628</v>
      </c>
      <c r="B166" s="287" t="s">
        <v>2488</v>
      </c>
      <c r="C166" s="288">
        <v>16400</v>
      </c>
      <c r="D166" s="289">
        <v>0.75</v>
      </c>
      <c r="E166" s="290">
        <v>41.44</v>
      </c>
      <c r="F166" s="289">
        <v>1.67</v>
      </c>
      <c r="G166" s="289">
        <v>92.42</v>
      </c>
      <c r="H166" s="92" t="s">
        <v>122</v>
      </c>
    </row>
    <row r="167" spans="1:8" ht="26.25" customHeight="1" x14ac:dyDescent="0.25">
      <c r="A167" s="89">
        <v>43629</v>
      </c>
      <c r="B167" s="287" t="s">
        <v>2577</v>
      </c>
      <c r="C167" s="288">
        <v>16000</v>
      </c>
      <c r="D167" s="289">
        <v>0.75</v>
      </c>
      <c r="E167" s="290">
        <v>41.12</v>
      </c>
      <c r="F167" s="289">
        <v>1.67</v>
      </c>
      <c r="G167" s="291">
        <v>91.71</v>
      </c>
      <c r="H167" s="92" t="s">
        <v>122</v>
      </c>
    </row>
    <row r="168" spans="1:8" ht="26.25" customHeight="1" x14ac:dyDescent="0.25">
      <c r="A168" s="89">
        <v>43630</v>
      </c>
      <c r="B168" s="287" t="s">
        <v>1844</v>
      </c>
      <c r="C168" s="288">
        <v>15600</v>
      </c>
      <c r="D168" s="289">
        <v>0.75</v>
      </c>
      <c r="E168" s="292">
        <v>40.79</v>
      </c>
      <c r="F168" s="289">
        <v>1.67</v>
      </c>
      <c r="G168" s="289">
        <v>90.99</v>
      </c>
      <c r="H168" s="92" t="s">
        <v>122</v>
      </c>
    </row>
    <row r="169" spans="1:8" ht="26.25" customHeight="1" x14ac:dyDescent="0.25">
      <c r="A169" s="89">
        <v>43631</v>
      </c>
      <c r="B169" s="287" t="s">
        <v>2375</v>
      </c>
      <c r="C169" s="288">
        <v>15400</v>
      </c>
      <c r="D169" s="289">
        <v>0.75</v>
      </c>
      <c r="E169" s="290">
        <v>40.46</v>
      </c>
      <c r="F169" s="291">
        <v>1.5</v>
      </c>
      <c r="G169" s="289">
        <v>81.89</v>
      </c>
      <c r="H169" s="92" t="s">
        <v>122</v>
      </c>
    </row>
    <row r="170" spans="1:8" ht="26.25" customHeight="1" x14ac:dyDescent="0.25">
      <c r="A170" s="89">
        <v>43632</v>
      </c>
      <c r="B170" s="287" t="s">
        <v>2578</v>
      </c>
      <c r="C170" s="288">
        <v>15000</v>
      </c>
      <c r="D170" s="289"/>
      <c r="E170" s="290" t="s">
        <v>122</v>
      </c>
      <c r="F170" s="289">
        <v>0.67</v>
      </c>
      <c r="G170" s="291">
        <v>37.54</v>
      </c>
      <c r="H170" s="92" t="s">
        <v>122</v>
      </c>
    </row>
    <row r="171" spans="1:8" ht="26.25" customHeight="1" x14ac:dyDescent="0.25">
      <c r="A171" s="89">
        <v>43633</v>
      </c>
      <c r="B171" s="287" t="s">
        <v>2578</v>
      </c>
      <c r="C171" s="288">
        <v>15000</v>
      </c>
      <c r="D171" s="289"/>
      <c r="E171" s="290" t="s">
        <v>122</v>
      </c>
      <c r="F171" s="289"/>
      <c r="G171" s="289" t="s">
        <v>122</v>
      </c>
      <c r="H171" s="92" t="s">
        <v>122</v>
      </c>
    </row>
    <row r="172" spans="1:8" ht="26.25" customHeight="1" x14ac:dyDescent="0.25">
      <c r="A172" s="89">
        <v>43634</v>
      </c>
      <c r="B172" s="287" t="s">
        <v>2578</v>
      </c>
      <c r="C172" s="288">
        <v>15000</v>
      </c>
      <c r="D172" s="289"/>
      <c r="E172" s="290" t="s">
        <v>122</v>
      </c>
      <c r="F172" s="289"/>
      <c r="G172" s="289" t="s">
        <v>122</v>
      </c>
      <c r="H172" s="92" t="s">
        <v>122</v>
      </c>
    </row>
    <row r="173" spans="1:8" ht="26.25" customHeight="1" x14ac:dyDescent="0.25">
      <c r="A173" s="89">
        <v>43635</v>
      </c>
      <c r="B173" s="287" t="s">
        <v>2578</v>
      </c>
      <c r="C173" s="288">
        <v>15000</v>
      </c>
      <c r="D173" s="289"/>
      <c r="E173" s="290" t="s">
        <v>122</v>
      </c>
      <c r="F173" s="289"/>
      <c r="G173" s="289" t="s">
        <v>122</v>
      </c>
      <c r="H173" s="92" t="s">
        <v>122</v>
      </c>
    </row>
    <row r="174" spans="1:8" ht="26.25" customHeight="1" x14ac:dyDescent="0.25">
      <c r="A174" s="89">
        <v>43636</v>
      </c>
      <c r="B174" s="287" t="s">
        <v>2376</v>
      </c>
      <c r="C174" s="288">
        <v>14950</v>
      </c>
      <c r="D174" s="289"/>
      <c r="E174" s="292" t="s">
        <v>122</v>
      </c>
      <c r="F174" s="289"/>
      <c r="G174" s="289"/>
      <c r="H174" s="92" t="s">
        <v>122</v>
      </c>
    </row>
    <row r="175" spans="1:8" ht="26.25" customHeight="1" x14ac:dyDescent="0.25">
      <c r="A175" s="89">
        <v>43637</v>
      </c>
      <c r="B175" s="287" t="s">
        <v>2376</v>
      </c>
      <c r="C175" s="288">
        <v>14950</v>
      </c>
      <c r="D175" s="289">
        <v>0.42</v>
      </c>
      <c r="E175" s="290">
        <v>22.62</v>
      </c>
      <c r="F175" s="291">
        <v>1</v>
      </c>
      <c r="G175" s="289">
        <v>55.35</v>
      </c>
      <c r="H175" s="92" t="s">
        <v>122</v>
      </c>
    </row>
    <row r="176" spans="1:8" ht="26.25" customHeight="1" x14ac:dyDescent="0.25">
      <c r="A176" s="89">
        <v>43638</v>
      </c>
      <c r="B176" s="287" t="s">
        <v>2377</v>
      </c>
      <c r="C176" s="288">
        <v>14700</v>
      </c>
      <c r="D176" s="289">
        <v>0.25</v>
      </c>
      <c r="E176" s="290">
        <v>13.59</v>
      </c>
      <c r="F176" s="291">
        <v>1</v>
      </c>
      <c r="G176" s="291">
        <v>55.03</v>
      </c>
      <c r="H176" s="92" t="s">
        <v>122</v>
      </c>
    </row>
    <row r="177" spans="1:8" ht="26.25" customHeight="1" x14ac:dyDescent="0.25">
      <c r="A177" s="89">
        <v>43639</v>
      </c>
      <c r="B177" s="287" t="s">
        <v>1843</v>
      </c>
      <c r="C177" s="288">
        <v>14600</v>
      </c>
      <c r="D177" s="289">
        <v>0.57999999999999996</v>
      </c>
      <c r="E177" s="292">
        <v>31.08</v>
      </c>
      <c r="F177" s="289">
        <v>1.67</v>
      </c>
      <c r="G177" s="289">
        <v>88.42</v>
      </c>
      <c r="H177" s="92" t="s">
        <v>122</v>
      </c>
    </row>
    <row r="178" spans="1:8" ht="26.25" customHeight="1" x14ac:dyDescent="0.25">
      <c r="A178" s="89">
        <v>43640</v>
      </c>
      <c r="B178" s="287" t="s">
        <v>2579</v>
      </c>
      <c r="C178" s="288">
        <v>14200</v>
      </c>
      <c r="D178" s="289">
        <v>0.75</v>
      </c>
      <c r="E178" s="290">
        <v>39.29</v>
      </c>
      <c r="F178" s="289">
        <v>1.67</v>
      </c>
      <c r="G178" s="289">
        <v>87.68</v>
      </c>
      <c r="H178" s="92" t="s">
        <v>122</v>
      </c>
    </row>
    <row r="179" spans="1:8" ht="26.25" customHeight="1" x14ac:dyDescent="0.25">
      <c r="A179" s="89">
        <v>43641</v>
      </c>
      <c r="B179" s="287" t="s">
        <v>2494</v>
      </c>
      <c r="C179" s="288">
        <v>13700</v>
      </c>
      <c r="D179" s="289">
        <v>0.75</v>
      </c>
      <c r="E179" s="292">
        <v>38.78</v>
      </c>
      <c r="F179" s="289">
        <v>1.67</v>
      </c>
      <c r="G179" s="289">
        <v>86.54</v>
      </c>
      <c r="H179" s="92" t="s">
        <v>122</v>
      </c>
    </row>
    <row r="180" spans="1:8" ht="26.25" customHeight="1" x14ac:dyDescent="0.25">
      <c r="A180" s="89">
        <v>43642</v>
      </c>
      <c r="B180" s="287" t="s">
        <v>2498</v>
      </c>
      <c r="C180" s="288">
        <v>13375</v>
      </c>
      <c r="D180" s="289">
        <v>0.57999999999999996</v>
      </c>
      <c r="E180" s="292">
        <v>30.1</v>
      </c>
      <c r="F180" s="289">
        <v>1.67</v>
      </c>
      <c r="G180" s="291">
        <v>85.4</v>
      </c>
      <c r="H180" s="92" t="s">
        <v>122</v>
      </c>
    </row>
    <row r="181" spans="1:8" ht="26.25" customHeight="1" x14ac:dyDescent="0.25">
      <c r="A181" s="89">
        <v>43643</v>
      </c>
      <c r="B181" s="287" t="s">
        <v>1838</v>
      </c>
      <c r="C181" s="288">
        <v>12900</v>
      </c>
      <c r="D181" s="289">
        <v>0.57999999999999996</v>
      </c>
      <c r="E181" s="290">
        <v>29.76</v>
      </c>
      <c r="F181" s="289">
        <v>1.25</v>
      </c>
      <c r="G181" s="289">
        <v>64.709999999999994</v>
      </c>
      <c r="H181" s="92" t="s">
        <v>122</v>
      </c>
    </row>
    <row r="182" spans="1:8" ht="26.25" customHeight="1" x14ac:dyDescent="0.25">
      <c r="A182" s="89">
        <v>43644</v>
      </c>
      <c r="B182" s="287" t="s">
        <v>2580</v>
      </c>
      <c r="C182" s="288">
        <v>12600</v>
      </c>
      <c r="D182" s="289"/>
      <c r="E182" s="290"/>
      <c r="F182" s="289"/>
      <c r="G182" s="289" t="s">
        <v>122</v>
      </c>
      <c r="H182" s="92" t="s">
        <v>122</v>
      </c>
    </row>
    <row r="183" spans="1:8" ht="26.25" customHeight="1" x14ac:dyDescent="0.25">
      <c r="A183" s="89">
        <v>43645</v>
      </c>
      <c r="B183" s="287" t="s">
        <v>2580</v>
      </c>
      <c r="C183" s="288">
        <v>12600</v>
      </c>
      <c r="D183" s="289"/>
      <c r="E183" s="290"/>
      <c r="F183" s="289"/>
      <c r="G183" s="289" t="s">
        <v>122</v>
      </c>
      <c r="H183" s="92" t="s">
        <v>122</v>
      </c>
    </row>
    <row r="184" spans="1:8" ht="26.25" customHeight="1" x14ac:dyDescent="0.25">
      <c r="A184" s="89">
        <v>43646</v>
      </c>
      <c r="B184" s="287" t="s">
        <v>2580</v>
      </c>
      <c r="C184" s="288">
        <v>12600</v>
      </c>
      <c r="D184" s="289"/>
      <c r="E184" s="290"/>
      <c r="F184" s="291"/>
      <c r="G184" s="289" t="s">
        <v>122</v>
      </c>
      <c r="H184" s="92" t="s">
        <v>122</v>
      </c>
    </row>
    <row r="185" spans="1:8" ht="26.25" customHeight="1" x14ac:dyDescent="0.25">
      <c r="A185" s="89">
        <v>43647</v>
      </c>
      <c r="B185" s="236" t="s">
        <v>1837</v>
      </c>
      <c r="C185" s="237">
        <v>12500</v>
      </c>
      <c r="D185" s="240"/>
      <c r="E185" s="294" t="s">
        <v>122</v>
      </c>
      <c r="F185" s="240"/>
      <c r="G185" s="240" t="s">
        <v>122</v>
      </c>
      <c r="H185" s="92" t="s">
        <v>122</v>
      </c>
    </row>
    <row r="186" spans="1:8" ht="26.25" customHeight="1" x14ac:dyDescent="0.25">
      <c r="A186" s="89">
        <v>43648</v>
      </c>
      <c r="B186" s="236" t="s">
        <v>1837</v>
      </c>
      <c r="C186" s="237">
        <v>12500</v>
      </c>
      <c r="D186" s="240">
        <v>0.67</v>
      </c>
      <c r="E186" s="294">
        <v>33.39</v>
      </c>
      <c r="F186" s="240">
        <v>1.25</v>
      </c>
      <c r="G186" s="240">
        <v>63.96</v>
      </c>
      <c r="H186" s="92" t="s">
        <v>122</v>
      </c>
    </row>
    <row r="187" spans="1:8" ht="26.25" customHeight="1" x14ac:dyDescent="0.25">
      <c r="A187" s="89">
        <v>43649</v>
      </c>
      <c r="B187" s="236" t="s">
        <v>1836</v>
      </c>
      <c r="C187" s="237">
        <v>12300</v>
      </c>
      <c r="D187" s="240">
        <v>0.75</v>
      </c>
      <c r="E187" s="294">
        <v>36.97</v>
      </c>
      <c r="F187" s="240">
        <v>1.74</v>
      </c>
      <c r="G187" s="240">
        <v>86.19</v>
      </c>
      <c r="H187" s="92" t="s">
        <v>122</v>
      </c>
    </row>
    <row r="188" spans="1:8" ht="26.25" customHeight="1" x14ac:dyDescent="0.25">
      <c r="A188" s="89">
        <v>43650</v>
      </c>
      <c r="B188" s="236" t="s">
        <v>2504</v>
      </c>
      <c r="C188" s="237">
        <v>12000</v>
      </c>
      <c r="D188" s="240">
        <v>0.75</v>
      </c>
      <c r="E188" s="294">
        <v>36.729999999999997</v>
      </c>
      <c r="F188" s="240">
        <v>1.74</v>
      </c>
      <c r="G188" s="87">
        <v>85.7</v>
      </c>
      <c r="H188" s="92" t="s">
        <v>122</v>
      </c>
    </row>
    <row r="189" spans="1:8" ht="26.25" customHeight="1" x14ac:dyDescent="0.25">
      <c r="A189" s="89">
        <v>43651</v>
      </c>
      <c r="B189" s="236" t="s">
        <v>1797</v>
      </c>
      <c r="C189" s="237">
        <v>11600</v>
      </c>
      <c r="D189" s="240">
        <v>0.75</v>
      </c>
      <c r="E189" s="294">
        <v>36.35</v>
      </c>
      <c r="F189" s="240">
        <v>1.74</v>
      </c>
      <c r="G189" s="240">
        <v>84.84</v>
      </c>
      <c r="H189" s="92" t="s">
        <v>122</v>
      </c>
    </row>
    <row r="190" spans="1:8" ht="26.25" customHeight="1" x14ac:dyDescent="0.25">
      <c r="A190" s="89">
        <v>43652</v>
      </c>
      <c r="B190" s="236" t="s">
        <v>1772</v>
      </c>
      <c r="C190" s="237">
        <v>11350</v>
      </c>
      <c r="D190" s="240">
        <v>0.75</v>
      </c>
      <c r="E190" s="295">
        <v>35.840000000000003</v>
      </c>
      <c r="F190" s="240">
        <v>1.74</v>
      </c>
      <c r="G190" s="240">
        <v>83.59</v>
      </c>
      <c r="H190" s="92" t="s">
        <v>122</v>
      </c>
    </row>
    <row r="191" spans="1:8" ht="26.25" customHeight="1" x14ac:dyDescent="0.25">
      <c r="A191" s="89">
        <v>43653</v>
      </c>
      <c r="B191" s="236" t="s">
        <v>1778</v>
      </c>
      <c r="C191" s="237">
        <v>11100</v>
      </c>
      <c r="D191" s="240">
        <v>0.5</v>
      </c>
      <c r="E191" s="294">
        <v>23.96</v>
      </c>
      <c r="F191" s="240">
        <v>1.74</v>
      </c>
      <c r="G191" s="87">
        <v>82.76</v>
      </c>
      <c r="H191" s="92" t="s">
        <v>122</v>
      </c>
    </row>
    <row r="192" spans="1:8" ht="26.25" customHeight="1" x14ac:dyDescent="0.25">
      <c r="A192" s="89">
        <v>43654</v>
      </c>
      <c r="B192" s="236" t="s">
        <v>2581</v>
      </c>
      <c r="C192" s="237">
        <v>10650</v>
      </c>
      <c r="D192" s="240"/>
      <c r="E192" s="294" t="s">
        <v>122</v>
      </c>
      <c r="F192" s="87">
        <v>1.5</v>
      </c>
      <c r="G192" s="240">
        <v>71.14</v>
      </c>
      <c r="H192" s="92" t="s">
        <v>122</v>
      </c>
    </row>
    <row r="193" spans="1:14" ht="26.25" customHeight="1" x14ac:dyDescent="0.25">
      <c r="A193" s="89">
        <v>43655</v>
      </c>
      <c r="B193" s="236" t="s">
        <v>1800</v>
      </c>
      <c r="C193" s="237">
        <v>10550</v>
      </c>
      <c r="D193" s="240"/>
      <c r="E193" s="295" t="s">
        <v>122</v>
      </c>
      <c r="F193" s="240">
        <v>0.67</v>
      </c>
      <c r="G193" s="240">
        <v>32.909999999999997</v>
      </c>
      <c r="H193" s="92" t="s">
        <v>122</v>
      </c>
    </row>
    <row r="194" spans="1:14" ht="26.25" customHeight="1" x14ac:dyDescent="0.25">
      <c r="A194" s="89">
        <v>43656</v>
      </c>
      <c r="B194" s="236" t="s">
        <v>1782</v>
      </c>
      <c r="C194" s="237">
        <v>10500</v>
      </c>
      <c r="D194" s="240"/>
      <c r="E194" s="294" t="s">
        <v>122</v>
      </c>
      <c r="F194" s="87"/>
      <c r="G194" s="240" t="s">
        <v>122</v>
      </c>
      <c r="H194" s="92" t="s">
        <v>122</v>
      </c>
    </row>
    <row r="195" spans="1:14" ht="26.25" customHeight="1" x14ac:dyDescent="0.25">
      <c r="A195" s="89">
        <v>43657</v>
      </c>
      <c r="B195" s="236" t="s">
        <v>1782</v>
      </c>
      <c r="C195" s="237">
        <v>10500</v>
      </c>
      <c r="D195" s="240"/>
      <c r="E195" s="295" t="s">
        <v>122</v>
      </c>
      <c r="F195" s="240"/>
      <c r="G195" s="240" t="s">
        <v>122</v>
      </c>
      <c r="H195" s="92" t="s">
        <v>122</v>
      </c>
      <c r="N195">
        <f>2021-20</f>
        <v>2001</v>
      </c>
    </row>
    <row r="196" spans="1:14" ht="26.25" customHeight="1" x14ac:dyDescent="0.25">
      <c r="A196" s="89">
        <v>43658</v>
      </c>
      <c r="B196" s="236" t="s">
        <v>1782</v>
      </c>
      <c r="C196" s="237">
        <v>10500</v>
      </c>
      <c r="D196" s="240"/>
      <c r="E196" s="294" t="s">
        <v>122</v>
      </c>
      <c r="F196" s="240"/>
      <c r="G196" s="240" t="s">
        <v>122</v>
      </c>
      <c r="H196" s="92" t="s">
        <v>122</v>
      </c>
    </row>
    <row r="197" spans="1:14" ht="26.25" customHeight="1" x14ac:dyDescent="0.25">
      <c r="A197" s="89">
        <v>43659</v>
      </c>
      <c r="B197" s="236" t="s">
        <v>1768</v>
      </c>
      <c r="C197" s="237">
        <v>10400</v>
      </c>
      <c r="D197" s="240">
        <v>0.83</v>
      </c>
      <c r="E197" s="294">
        <v>38.020000000000003</v>
      </c>
      <c r="F197" s="240">
        <v>1.67</v>
      </c>
      <c r="G197" s="240">
        <v>76.89</v>
      </c>
      <c r="H197" s="92" t="s">
        <v>122</v>
      </c>
    </row>
    <row r="198" spans="1:14" ht="26.25" customHeight="1" x14ac:dyDescent="0.25">
      <c r="A198" s="89">
        <v>43660</v>
      </c>
      <c r="B198" s="236" t="s">
        <v>1784</v>
      </c>
      <c r="C198" s="237">
        <v>10200</v>
      </c>
      <c r="D198" s="240">
        <v>0.83</v>
      </c>
      <c r="E198" s="294">
        <v>38.58</v>
      </c>
      <c r="F198" s="87">
        <v>2</v>
      </c>
      <c r="G198" s="87">
        <v>89.1</v>
      </c>
      <c r="H198" s="92" t="s">
        <v>122</v>
      </c>
    </row>
    <row r="199" spans="1:14" ht="26.25" customHeight="1" x14ac:dyDescent="0.25">
      <c r="A199" s="89">
        <v>43661</v>
      </c>
      <c r="B199" s="236" t="s">
        <v>2582</v>
      </c>
      <c r="C199" s="237">
        <v>9950</v>
      </c>
      <c r="D199" s="240">
        <v>0.83</v>
      </c>
      <c r="E199" s="294">
        <v>36.880000000000003</v>
      </c>
      <c r="F199" s="87">
        <v>2.2400000000000002</v>
      </c>
      <c r="G199" s="240">
        <v>96.86</v>
      </c>
      <c r="H199" s="92" t="s">
        <v>122</v>
      </c>
    </row>
    <row r="200" spans="1:14" ht="26.25" customHeight="1" x14ac:dyDescent="0.25">
      <c r="A200" s="89">
        <v>43662</v>
      </c>
      <c r="B200" s="236" t="s">
        <v>1789</v>
      </c>
      <c r="C200" s="237">
        <v>9700</v>
      </c>
      <c r="D200" s="240">
        <v>0.83</v>
      </c>
      <c r="E200" s="295">
        <v>36.479999999999997</v>
      </c>
      <c r="F200" s="87">
        <v>2.2400000000000002</v>
      </c>
      <c r="G200" s="240">
        <v>95.02</v>
      </c>
      <c r="H200" s="92" t="s">
        <v>122</v>
      </c>
    </row>
    <row r="201" spans="1:14" ht="26.25" customHeight="1" x14ac:dyDescent="0.25">
      <c r="A201" s="89">
        <v>43663</v>
      </c>
      <c r="B201" s="236" t="s">
        <v>1765</v>
      </c>
      <c r="C201" s="237">
        <v>9400</v>
      </c>
      <c r="D201" s="240">
        <v>0.83</v>
      </c>
      <c r="E201" s="294">
        <v>35.79</v>
      </c>
      <c r="F201" s="87">
        <v>2.2400000000000002</v>
      </c>
      <c r="G201" s="87">
        <v>93.1</v>
      </c>
      <c r="H201" s="92" t="s">
        <v>122</v>
      </c>
    </row>
    <row r="202" spans="1:14" ht="26.25" customHeight="1" x14ac:dyDescent="0.25">
      <c r="A202" s="89">
        <v>43664</v>
      </c>
      <c r="B202" s="236" t="s">
        <v>1792</v>
      </c>
      <c r="C202" s="237">
        <v>9100</v>
      </c>
      <c r="D202" s="240">
        <v>0.83</v>
      </c>
      <c r="E202" s="294">
        <v>35.1</v>
      </c>
      <c r="F202" s="87">
        <v>2.2400000000000002</v>
      </c>
      <c r="G202" s="87">
        <v>91.15</v>
      </c>
      <c r="H202" s="92" t="s">
        <v>122</v>
      </c>
    </row>
    <row r="203" spans="1:14" ht="26.25" customHeight="1" x14ac:dyDescent="0.25">
      <c r="A203" s="89">
        <v>43665</v>
      </c>
      <c r="B203" s="236" t="s">
        <v>1808</v>
      </c>
      <c r="C203" s="237">
        <v>8800</v>
      </c>
      <c r="D203" s="240"/>
      <c r="E203" s="295" t="s">
        <v>122</v>
      </c>
      <c r="F203" s="87">
        <v>2.2400000000000002</v>
      </c>
      <c r="G203" s="240">
        <v>89.74</v>
      </c>
      <c r="H203" s="92" t="s">
        <v>122</v>
      </c>
    </row>
    <row r="204" spans="1:14" ht="26.25" customHeight="1" x14ac:dyDescent="0.25">
      <c r="A204" s="89">
        <v>43666</v>
      </c>
      <c r="B204" s="236" t="s">
        <v>1976</v>
      </c>
      <c r="C204" s="237">
        <v>8700</v>
      </c>
      <c r="D204" s="240"/>
      <c r="E204" s="294" t="s">
        <v>122</v>
      </c>
      <c r="F204" s="240"/>
      <c r="G204" s="240" t="s">
        <v>122</v>
      </c>
      <c r="H204" s="92" t="s">
        <v>122</v>
      </c>
    </row>
    <row r="205" spans="1:14" ht="26.25" customHeight="1" x14ac:dyDescent="0.25">
      <c r="A205" s="89">
        <v>43667</v>
      </c>
      <c r="B205" s="236" t="s">
        <v>1976</v>
      </c>
      <c r="C205" s="237">
        <v>8700</v>
      </c>
      <c r="D205" s="240"/>
      <c r="E205" s="294" t="s">
        <v>122</v>
      </c>
      <c r="F205" s="240"/>
      <c r="G205" s="87" t="s">
        <v>122</v>
      </c>
      <c r="H205" s="92" t="s">
        <v>122</v>
      </c>
    </row>
    <row r="206" spans="1:14" ht="26.25" customHeight="1" x14ac:dyDescent="0.25">
      <c r="A206" s="89">
        <v>43668</v>
      </c>
      <c r="B206" s="236" t="s">
        <v>1976</v>
      </c>
      <c r="C206" s="237">
        <v>8700</v>
      </c>
      <c r="D206" s="240"/>
      <c r="E206" s="294" t="s">
        <v>122</v>
      </c>
      <c r="F206" s="240"/>
      <c r="G206" s="240" t="s">
        <v>122</v>
      </c>
      <c r="H206" s="92" t="s">
        <v>122</v>
      </c>
    </row>
    <row r="207" spans="1:14" ht="26.25" customHeight="1" x14ac:dyDescent="0.25">
      <c r="A207" s="89">
        <v>43669</v>
      </c>
      <c r="B207" s="236" t="s">
        <v>1984</v>
      </c>
      <c r="C207" s="237">
        <v>8650</v>
      </c>
      <c r="D207" s="240"/>
      <c r="E207" s="294" t="s">
        <v>122</v>
      </c>
      <c r="F207" s="240"/>
      <c r="G207" s="240" t="s">
        <v>122</v>
      </c>
      <c r="H207" s="92" t="s">
        <v>122</v>
      </c>
    </row>
    <row r="208" spans="1:14" ht="26.25" customHeight="1" x14ac:dyDescent="0.25">
      <c r="A208" s="89">
        <v>43670</v>
      </c>
      <c r="B208" s="236" t="s">
        <v>1810</v>
      </c>
      <c r="C208" s="237">
        <v>8600</v>
      </c>
      <c r="D208" s="87">
        <v>1</v>
      </c>
      <c r="E208" s="295">
        <v>40.1</v>
      </c>
      <c r="F208" s="240">
        <v>2.2400000000000002</v>
      </c>
      <c r="G208" s="87">
        <v>87.8</v>
      </c>
      <c r="H208" s="92" t="s">
        <v>122</v>
      </c>
    </row>
    <row r="209" spans="1:8" ht="26.25" customHeight="1" x14ac:dyDescent="0.25">
      <c r="A209" s="89">
        <v>43671</v>
      </c>
      <c r="B209" s="236" t="s">
        <v>1813</v>
      </c>
      <c r="C209" s="237">
        <v>8300</v>
      </c>
      <c r="D209" s="87">
        <v>1</v>
      </c>
      <c r="E209" s="295">
        <v>39.21</v>
      </c>
      <c r="F209" s="87">
        <v>2.5</v>
      </c>
      <c r="G209" s="240">
        <v>93.16</v>
      </c>
      <c r="H209" s="92" t="s">
        <v>122</v>
      </c>
    </row>
    <row r="210" spans="1:8" ht="26.25" customHeight="1" x14ac:dyDescent="0.25">
      <c r="A210" s="89">
        <v>43672</v>
      </c>
      <c r="B210" s="236" t="s">
        <v>1816</v>
      </c>
      <c r="C210" s="237">
        <v>8100</v>
      </c>
      <c r="D210" s="87">
        <v>1</v>
      </c>
      <c r="E210" s="294">
        <v>38.29</v>
      </c>
      <c r="F210" s="87">
        <v>2.5</v>
      </c>
      <c r="G210" s="240">
        <v>90.74</v>
      </c>
      <c r="H210" s="92" t="s">
        <v>122</v>
      </c>
    </row>
    <row r="211" spans="1:8" ht="26.25" customHeight="1" x14ac:dyDescent="0.25">
      <c r="A211" s="89">
        <v>43673</v>
      </c>
      <c r="B211" s="236" t="s">
        <v>1820</v>
      </c>
      <c r="C211" s="237">
        <v>7800</v>
      </c>
      <c r="D211" s="87">
        <v>1</v>
      </c>
      <c r="E211" s="294">
        <v>37.35</v>
      </c>
      <c r="F211" s="87">
        <v>2.5</v>
      </c>
      <c r="G211" s="87">
        <v>88.24</v>
      </c>
      <c r="H211" s="92" t="s">
        <v>122</v>
      </c>
    </row>
    <row r="212" spans="1:8" ht="26.25" customHeight="1" x14ac:dyDescent="0.25">
      <c r="A212" s="89">
        <v>43674</v>
      </c>
      <c r="B212" s="236" t="s">
        <v>1823</v>
      </c>
      <c r="C212" s="237">
        <v>7500</v>
      </c>
      <c r="D212" s="87">
        <v>1</v>
      </c>
      <c r="E212" s="295">
        <v>36.39</v>
      </c>
      <c r="F212" s="87">
        <v>2.5</v>
      </c>
      <c r="G212" s="240">
        <v>85.67</v>
      </c>
      <c r="H212" s="92" t="s">
        <v>122</v>
      </c>
    </row>
    <row r="213" spans="1:8" ht="26.25" customHeight="1" x14ac:dyDescent="0.25">
      <c r="A213" s="89">
        <v>43675</v>
      </c>
      <c r="B213" s="236" t="s">
        <v>1826</v>
      </c>
      <c r="C213" s="237">
        <v>7300</v>
      </c>
      <c r="D213" s="87">
        <v>1</v>
      </c>
      <c r="E213" s="295">
        <v>35.4</v>
      </c>
      <c r="F213" s="87">
        <v>2.5</v>
      </c>
      <c r="G213" s="240">
        <v>83.02</v>
      </c>
      <c r="H213" s="92" t="s">
        <v>122</v>
      </c>
    </row>
    <row r="214" spans="1:8" ht="26.25" customHeight="1" x14ac:dyDescent="0.25">
      <c r="A214" s="89">
        <v>43676</v>
      </c>
      <c r="B214" s="236" t="s">
        <v>1828</v>
      </c>
      <c r="C214" s="237">
        <v>7100</v>
      </c>
      <c r="D214" s="240"/>
      <c r="E214" s="295" t="s">
        <v>122</v>
      </c>
      <c r="F214" s="87">
        <v>2.5</v>
      </c>
      <c r="G214" s="87">
        <v>81.2</v>
      </c>
      <c r="H214" s="92" t="s">
        <v>122</v>
      </c>
    </row>
    <row r="215" spans="1:8" ht="26.25" customHeight="1" x14ac:dyDescent="0.25">
      <c r="A215" s="89">
        <v>43677</v>
      </c>
      <c r="B215" s="236" t="s">
        <v>1974</v>
      </c>
      <c r="C215" s="237">
        <v>6950</v>
      </c>
      <c r="D215" s="240"/>
      <c r="E215" s="295" t="s">
        <v>122</v>
      </c>
      <c r="F215" s="87">
        <v>2.5</v>
      </c>
      <c r="G215" s="87">
        <v>79.34</v>
      </c>
      <c r="H215" s="92" t="s">
        <v>122</v>
      </c>
    </row>
    <row r="216" spans="1:8" ht="26.25" customHeight="1" x14ac:dyDescent="0.25">
      <c r="A216" s="89">
        <v>43678</v>
      </c>
      <c r="B216" s="236" t="s">
        <v>2589</v>
      </c>
      <c r="C216" s="237">
        <v>6800</v>
      </c>
      <c r="D216" s="87"/>
      <c r="E216" s="294" t="s">
        <v>122</v>
      </c>
      <c r="F216" s="87">
        <v>2.5</v>
      </c>
      <c r="G216" s="87">
        <v>77.430000000000007</v>
      </c>
      <c r="H216" s="92" t="s">
        <v>122</v>
      </c>
    </row>
    <row r="217" spans="1:8" ht="26.25" customHeight="1" x14ac:dyDescent="0.25">
      <c r="A217" s="89">
        <v>43679</v>
      </c>
      <c r="B217" s="236" t="s">
        <v>2590</v>
      </c>
      <c r="C217" s="237">
        <v>6600</v>
      </c>
      <c r="D217" s="87">
        <v>2.5</v>
      </c>
      <c r="E217" s="294">
        <v>62.33</v>
      </c>
      <c r="F217" s="87"/>
      <c r="G217" s="240" t="s">
        <v>122</v>
      </c>
      <c r="H217" s="92" t="s">
        <v>122</v>
      </c>
    </row>
    <row r="218" spans="1:8" ht="26.25" customHeight="1" x14ac:dyDescent="0.25">
      <c r="A218" s="89">
        <v>43680</v>
      </c>
      <c r="B218" s="236" t="s">
        <v>2591</v>
      </c>
      <c r="C218" s="237">
        <v>6450</v>
      </c>
      <c r="D218" s="87"/>
      <c r="E218" s="295" t="s">
        <v>122</v>
      </c>
      <c r="F218" s="87">
        <v>1.5</v>
      </c>
      <c r="G218" s="240">
        <v>51.01</v>
      </c>
      <c r="H218" s="92" t="s">
        <v>122</v>
      </c>
    </row>
    <row r="219" spans="1:8" ht="26.25" customHeight="1" x14ac:dyDescent="0.25">
      <c r="A219" s="89">
        <v>43681</v>
      </c>
      <c r="B219" s="236" t="s">
        <v>2592</v>
      </c>
      <c r="C219" s="237">
        <v>6400</v>
      </c>
      <c r="D219" s="87">
        <v>1.5</v>
      </c>
      <c r="E219" s="294">
        <v>43.67</v>
      </c>
      <c r="F219" s="87">
        <v>1.5</v>
      </c>
      <c r="G219" s="87">
        <v>50.48</v>
      </c>
      <c r="H219" s="92" t="s">
        <v>122</v>
      </c>
    </row>
    <row r="220" spans="1:8" ht="26.25" customHeight="1" x14ac:dyDescent="0.25">
      <c r="A220" s="89">
        <v>43682</v>
      </c>
      <c r="B220" s="236" t="s">
        <v>2593</v>
      </c>
      <c r="C220" s="237">
        <v>6250</v>
      </c>
      <c r="D220" s="87">
        <v>1.5</v>
      </c>
      <c r="E220" s="294">
        <v>42.39</v>
      </c>
      <c r="F220" s="87">
        <v>1.5</v>
      </c>
      <c r="G220" s="240">
        <v>49.39</v>
      </c>
      <c r="H220" s="92" t="s">
        <v>122</v>
      </c>
    </row>
    <row r="221" spans="1:8" ht="26.25" customHeight="1" x14ac:dyDescent="0.25">
      <c r="A221" s="89">
        <v>43683</v>
      </c>
      <c r="B221" s="236" t="s">
        <v>2594</v>
      </c>
      <c r="C221" s="237">
        <v>6100</v>
      </c>
      <c r="D221" s="87">
        <v>1.5</v>
      </c>
      <c r="E221" s="295">
        <v>40.46</v>
      </c>
      <c r="F221" s="87">
        <v>1.5</v>
      </c>
      <c r="G221" s="240">
        <v>47.72</v>
      </c>
      <c r="H221" s="92" t="s">
        <v>122</v>
      </c>
    </row>
    <row r="222" spans="1:8" ht="26.25" customHeight="1" x14ac:dyDescent="0.25">
      <c r="A222" s="89">
        <v>43684</v>
      </c>
      <c r="B222" s="236" t="s">
        <v>2595</v>
      </c>
      <c r="C222" s="237">
        <v>5900</v>
      </c>
      <c r="D222" s="87">
        <v>1.5</v>
      </c>
      <c r="E222" s="294">
        <v>39.15</v>
      </c>
      <c r="F222" s="87">
        <v>1.5</v>
      </c>
      <c r="G222" s="240">
        <v>46.65</v>
      </c>
      <c r="H222" s="92" t="s">
        <v>122</v>
      </c>
    </row>
    <row r="223" spans="1:8" ht="26.25" customHeight="1" x14ac:dyDescent="0.25">
      <c r="A223" s="89">
        <v>43685</v>
      </c>
      <c r="B223" s="236" t="s">
        <v>2596</v>
      </c>
      <c r="C223" s="237">
        <v>5800</v>
      </c>
      <c r="D223" s="87">
        <v>1.5</v>
      </c>
      <c r="E223" s="295">
        <v>37.74</v>
      </c>
      <c r="F223" s="87"/>
      <c r="G223" s="240" t="s">
        <v>122</v>
      </c>
      <c r="H223" s="92" t="s">
        <v>122</v>
      </c>
    </row>
    <row r="224" spans="1:8" ht="26.25" customHeight="1" x14ac:dyDescent="0.25">
      <c r="A224" s="89">
        <v>43686</v>
      </c>
      <c r="B224" s="236" t="s">
        <v>2596</v>
      </c>
      <c r="C224" s="237">
        <v>5800</v>
      </c>
      <c r="D224" s="87"/>
      <c r="E224" s="294" t="s">
        <v>122</v>
      </c>
      <c r="F224" s="87"/>
      <c r="G224" s="240" t="s">
        <v>122</v>
      </c>
      <c r="H224" s="92" t="s">
        <v>122</v>
      </c>
    </row>
    <row r="225" spans="1:8" ht="26.25" customHeight="1" x14ac:dyDescent="0.25">
      <c r="A225" s="89">
        <v>43687</v>
      </c>
      <c r="B225" s="236" t="s">
        <v>2596</v>
      </c>
      <c r="C225" s="237">
        <v>5800</v>
      </c>
      <c r="D225" s="87"/>
      <c r="E225" s="294" t="s">
        <v>122</v>
      </c>
      <c r="F225" s="87"/>
      <c r="G225" s="240" t="s">
        <v>122</v>
      </c>
      <c r="H225" s="92" t="s">
        <v>122</v>
      </c>
    </row>
    <row r="226" spans="1:8" ht="26.25" customHeight="1" x14ac:dyDescent="0.25">
      <c r="A226" s="89">
        <v>43688</v>
      </c>
      <c r="B226" s="236" t="s">
        <v>2596</v>
      </c>
      <c r="C226" s="237">
        <v>5800</v>
      </c>
      <c r="D226" s="87"/>
      <c r="E226" s="294" t="s">
        <v>122</v>
      </c>
      <c r="F226" s="87"/>
      <c r="G226" s="240" t="s">
        <v>122</v>
      </c>
      <c r="H226" s="92" t="s">
        <v>122</v>
      </c>
    </row>
    <row r="227" spans="1:8" ht="26.25" customHeight="1" x14ac:dyDescent="0.25">
      <c r="A227" s="89">
        <v>43689</v>
      </c>
      <c r="B227" s="236" t="s">
        <v>2596</v>
      </c>
      <c r="C227" s="237">
        <v>5800</v>
      </c>
      <c r="D227" s="87"/>
      <c r="E227" s="294" t="s">
        <v>122</v>
      </c>
      <c r="F227" s="87"/>
      <c r="G227" s="240" t="s">
        <v>122</v>
      </c>
      <c r="H227" s="92" t="s">
        <v>122</v>
      </c>
    </row>
    <row r="228" spans="1:8" ht="26.25" customHeight="1" x14ac:dyDescent="0.25">
      <c r="A228" s="89">
        <v>43690</v>
      </c>
      <c r="B228" s="236" t="s">
        <v>2597</v>
      </c>
      <c r="C228" s="237">
        <v>5700</v>
      </c>
      <c r="D228" s="87">
        <v>1.5</v>
      </c>
      <c r="E228" s="295">
        <v>37.700000000000003</v>
      </c>
      <c r="F228" s="87"/>
      <c r="G228" s="240" t="s">
        <v>122</v>
      </c>
      <c r="H228" s="92" t="s">
        <v>122</v>
      </c>
    </row>
    <row r="229" spans="1:8" ht="26.25" customHeight="1" x14ac:dyDescent="0.25">
      <c r="A229" s="89">
        <v>43691</v>
      </c>
      <c r="B229" s="236" t="s">
        <v>2598</v>
      </c>
      <c r="C229" s="237">
        <v>5500</v>
      </c>
      <c r="D229" s="87">
        <v>1.5</v>
      </c>
      <c r="E229" s="294">
        <v>35.53</v>
      </c>
      <c r="F229" s="87"/>
      <c r="G229" s="240" t="s">
        <v>122</v>
      </c>
      <c r="H229" s="92" t="s">
        <v>122</v>
      </c>
    </row>
    <row r="230" spans="1:8" ht="26.25" customHeight="1" x14ac:dyDescent="0.25">
      <c r="A230" s="89">
        <v>43692</v>
      </c>
      <c r="B230" s="236" t="s">
        <v>2599</v>
      </c>
      <c r="C230" s="237">
        <v>5400</v>
      </c>
      <c r="D230" s="87"/>
      <c r="E230" s="294" t="s">
        <v>122</v>
      </c>
      <c r="F230" s="87"/>
      <c r="G230" s="240" t="s">
        <v>122</v>
      </c>
      <c r="H230" s="92" t="s">
        <v>122</v>
      </c>
    </row>
    <row r="231" spans="1:8" ht="26.25" customHeight="1" x14ac:dyDescent="0.25">
      <c r="A231" s="89">
        <v>43693</v>
      </c>
      <c r="B231" s="236" t="s">
        <v>2599</v>
      </c>
      <c r="C231" s="237">
        <v>5400</v>
      </c>
      <c r="D231" s="87"/>
      <c r="E231" s="294" t="s">
        <v>122</v>
      </c>
      <c r="F231" s="87"/>
      <c r="G231" s="240" t="s">
        <v>122</v>
      </c>
      <c r="H231" s="92" t="s">
        <v>122</v>
      </c>
    </row>
    <row r="232" spans="1:8" ht="26.25" customHeight="1" x14ac:dyDescent="0.25">
      <c r="A232" s="89">
        <v>43694</v>
      </c>
      <c r="B232" s="236" t="s">
        <v>2598</v>
      </c>
      <c r="C232" s="237">
        <v>5500</v>
      </c>
      <c r="D232" s="87"/>
      <c r="E232" s="294" t="s">
        <v>122</v>
      </c>
      <c r="F232" s="87"/>
      <c r="G232" s="240" t="s">
        <v>122</v>
      </c>
      <c r="H232" s="92" t="s">
        <v>122</v>
      </c>
    </row>
    <row r="233" spans="1:8" ht="26.25" customHeight="1" x14ac:dyDescent="0.25">
      <c r="A233" s="89">
        <v>43695</v>
      </c>
      <c r="B233" s="236" t="s">
        <v>2598</v>
      </c>
      <c r="C233" s="237">
        <v>5500</v>
      </c>
      <c r="D233" s="87"/>
      <c r="E233" s="294" t="s">
        <v>122</v>
      </c>
      <c r="F233" s="87"/>
      <c r="G233" s="240" t="s">
        <v>122</v>
      </c>
      <c r="H233" s="92" t="s">
        <v>122</v>
      </c>
    </row>
    <row r="234" spans="1:8" ht="26.25" customHeight="1" x14ac:dyDescent="0.25">
      <c r="A234" s="89">
        <v>43696</v>
      </c>
      <c r="B234" s="236" t="s">
        <v>2598</v>
      </c>
      <c r="C234" s="237">
        <v>5500</v>
      </c>
      <c r="D234" s="87"/>
      <c r="E234" s="294" t="s">
        <v>122</v>
      </c>
      <c r="F234" s="87"/>
      <c r="G234" s="240" t="s">
        <v>122</v>
      </c>
      <c r="H234" s="92" t="s">
        <v>122</v>
      </c>
    </row>
    <row r="235" spans="1:8" ht="26.25" customHeight="1" x14ac:dyDescent="0.25">
      <c r="A235" s="89">
        <v>43697</v>
      </c>
      <c r="B235" s="236" t="s">
        <v>2598</v>
      </c>
      <c r="C235" s="237">
        <v>5500</v>
      </c>
      <c r="D235" s="87"/>
      <c r="E235" s="294" t="s">
        <v>122</v>
      </c>
      <c r="F235" s="87"/>
      <c r="G235" s="240" t="s">
        <v>122</v>
      </c>
      <c r="H235" s="92" t="s">
        <v>122</v>
      </c>
    </row>
    <row r="236" spans="1:8" ht="26.25" customHeight="1" x14ac:dyDescent="0.25">
      <c r="A236" s="89">
        <v>43698</v>
      </c>
      <c r="B236" s="236" t="s">
        <v>2598</v>
      </c>
      <c r="C236" s="237">
        <v>5500</v>
      </c>
      <c r="D236" s="87"/>
      <c r="E236" s="294" t="s">
        <v>122</v>
      </c>
      <c r="F236" s="87"/>
      <c r="G236" s="240" t="s">
        <v>122</v>
      </c>
      <c r="H236" s="92" t="s">
        <v>122</v>
      </c>
    </row>
    <row r="237" spans="1:8" ht="26.25" customHeight="1" x14ac:dyDescent="0.25">
      <c r="A237" s="89">
        <v>43699</v>
      </c>
      <c r="B237" s="236" t="s">
        <v>2598</v>
      </c>
      <c r="C237" s="237">
        <v>5500</v>
      </c>
      <c r="D237" s="87"/>
      <c r="E237" s="294" t="s">
        <v>122</v>
      </c>
      <c r="F237" s="87"/>
      <c r="G237" s="240" t="s">
        <v>122</v>
      </c>
      <c r="H237" s="92" t="s">
        <v>122</v>
      </c>
    </row>
    <row r="238" spans="1:8" ht="26.25" customHeight="1" x14ac:dyDescent="0.25">
      <c r="A238" s="89">
        <v>43700</v>
      </c>
      <c r="B238" s="236" t="s">
        <v>2598</v>
      </c>
      <c r="C238" s="237">
        <v>5500</v>
      </c>
      <c r="D238" s="87"/>
      <c r="E238" s="294" t="s">
        <v>122</v>
      </c>
      <c r="F238" s="87"/>
      <c r="G238" s="240" t="s">
        <v>122</v>
      </c>
      <c r="H238" s="92" t="s">
        <v>122</v>
      </c>
    </row>
    <row r="239" spans="1:8" ht="26.25" customHeight="1" x14ac:dyDescent="0.25">
      <c r="A239" s="89">
        <v>43701</v>
      </c>
      <c r="B239" s="236" t="s">
        <v>2598</v>
      </c>
      <c r="C239" s="237">
        <v>5500</v>
      </c>
      <c r="D239" s="87"/>
      <c r="E239" s="294" t="s">
        <v>122</v>
      </c>
      <c r="F239" s="87"/>
      <c r="G239" s="240" t="s">
        <v>122</v>
      </c>
      <c r="H239" s="92" t="s">
        <v>122</v>
      </c>
    </row>
    <row r="240" spans="1:8" ht="26.25" customHeight="1" x14ac:dyDescent="0.25">
      <c r="A240" s="89">
        <v>43702</v>
      </c>
      <c r="B240" s="236" t="s">
        <v>2598</v>
      </c>
      <c r="C240" s="237">
        <v>5500</v>
      </c>
      <c r="D240" s="87"/>
      <c r="E240" s="294" t="s">
        <v>122</v>
      </c>
      <c r="F240" s="87"/>
      <c r="G240" s="240" t="s">
        <v>122</v>
      </c>
      <c r="H240" s="92" t="s">
        <v>122</v>
      </c>
    </row>
    <row r="241" spans="1:8" ht="26.25" customHeight="1" x14ac:dyDescent="0.25">
      <c r="A241" s="89">
        <v>43703</v>
      </c>
      <c r="B241" s="236" t="s">
        <v>2599</v>
      </c>
      <c r="C241" s="237">
        <v>5400</v>
      </c>
      <c r="D241" s="87"/>
      <c r="E241" s="294" t="s">
        <v>122</v>
      </c>
      <c r="F241" s="87"/>
      <c r="G241" s="240" t="s">
        <v>122</v>
      </c>
      <c r="H241" s="92" t="s">
        <v>122</v>
      </c>
    </row>
    <row r="242" spans="1:8" ht="26.25" customHeight="1" x14ac:dyDescent="0.25">
      <c r="A242" s="89">
        <v>43704</v>
      </c>
      <c r="B242" s="236" t="s">
        <v>2599</v>
      </c>
      <c r="C242" s="237">
        <v>5400</v>
      </c>
      <c r="D242" s="87"/>
      <c r="E242" s="294" t="s">
        <v>122</v>
      </c>
      <c r="F242" s="87"/>
      <c r="G242" s="240" t="s">
        <v>122</v>
      </c>
      <c r="H242" s="92" t="s">
        <v>122</v>
      </c>
    </row>
    <row r="243" spans="1:8" ht="26.25" customHeight="1" x14ac:dyDescent="0.25">
      <c r="A243" s="89">
        <v>43705</v>
      </c>
      <c r="B243" s="236" t="s">
        <v>2599</v>
      </c>
      <c r="C243" s="237">
        <v>5400</v>
      </c>
      <c r="D243" s="87"/>
      <c r="E243" s="294" t="s">
        <v>122</v>
      </c>
      <c r="F243" s="87"/>
      <c r="G243" s="240" t="s">
        <v>122</v>
      </c>
      <c r="H243" s="92" t="s">
        <v>122</v>
      </c>
    </row>
    <row r="244" spans="1:8" ht="26.25" customHeight="1" x14ac:dyDescent="0.25">
      <c r="A244" s="89">
        <v>43706</v>
      </c>
      <c r="B244" s="236" t="s">
        <v>2599</v>
      </c>
      <c r="C244" s="237">
        <v>5400</v>
      </c>
      <c r="D244" s="87"/>
      <c r="E244" s="294" t="s">
        <v>122</v>
      </c>
      <c r="F244" s="87"/>
      <c r="G244" s="240" t="s">
        <v>122</v>
      </c>
      <c r="H244" s="92" t="s">
        <v>122</v>
      </c>
    </row>
    <row r="245" spans="1:8" ht="26.25" customHeight="1" x14ac:dyDescent="0.25">
      <c r="A245" s="89">
        <v>43707</v>
      </c>
      <c r="B245" s="236" t="s">
        <v>2600</v>
      </c>
      <c r="C245" s="237">
        <v>5350</v>
      </c>
      <c r="D245" s="87"/>
      <c r="E245" s="294" t="s">
        <v>122</v>
      </c>
      <c r="F245" s="87"/>
      <c r="G245" s="240" t="s">
        <v>122</v>
      </c>
      <c r="H245" s="92" t="s">
        <v>122</v>
      </c>
    </row>
    <row r="246" spans="1:8" ht="26.25" customHeight="1" x14ac:dyDescent="0.25">
      <c r="A246" s="89">
        <v>43708</v>
      </c>
      <c r="B246" s="236" t="s">
        <v>2600</v>
      </c>
      <c r="C246" s="237">
        <v>5350</v>
      </c>
      <c r="D246" s="87"/>
      <c r="E246" s="294" t="s">
        <v>122</v>
      </c>
      <c r="F246" s="87"/>
      <c r="G246" s="240" t="s">
        <v>122</v>
      </c>
      <c r="H246" s="92" t="s">
        <v>122</v>
      </c>
    </row>
    <row r="247" spans="1:8" ht="26.25" customHeight="1" x14ac:dyDescent="0.25">
      <c r="A247" s="89">
        <v>43709</v>
      </c>
      <c r="B247" s="236" t="s">
        <v>2583</v>
      </c>
      <c r="C247" s="237">
        <v>5350</v>
      </c>
      <c r="D247" s="286"/>
      <c r="E247" s="294" t="s">
        <v>122</v>
      </c>
      <c r="F247" s="87"/>
      <c r="G247" s="240" t="s">
        <v>122</v>
      </c>
      <c r="H247" s="92" t="s">
        <v>122</v>
      </c>
    </row>
    <row r="248" spans="1:8" ht="26.25" customHeight="1" x14ac:dyDescent="0.25">
      <c r="A248" s="89">
        <v>43710</v>
      </c>
      <c r="B248" s="236" t="s">
        <v>2583</v>
      </c>
      <c r="C248" s="237">
        <v>5350</v>
      </c>
      <c r="D248" s="286"/>
      <c r="E248" s="294" t="s">
        <v>122</v>
      </c>
      <c r="F248" s="87"/>
      <c r="G248" s="240" t="s">
        <v>122</v>
      </c>
      <c r="H248" s="92" t="s">
        <v>122</v>
      </c>
    </row>
    <row r="249" spans="1:8" ht="26.25" customHeight="1" x14ac:dyDescent="0.25">
      <c r="A249" s="89">
        <v>43711</v>
      </c>
      <c r="B249" s="236" t="s">
        <v>2584</v>
      </c>
      <c r="C249" s="237">
        <v>5300</v>
      </c>
      <c r="D249" s="286"/>
      <c r="E249" s="294" t="s">
        <v>122</v>
      </c>
      <c r="F249" s="87"/>
      <c r="G249" s="240" t="s">
        <v>122</v>
      </c>
      <c r="H249" s="92" t="s">
        <v>122</v>
      </c>
    </row>
    <row r="250" spans="1:8" ht="26.25" customHeight="1" x14ac:dyDescent="0.25">
      <c r="A250" s="89">
        <v>43712</v>
      </c>
      <c r="B250" s="236" t="s">
        <v>2584</v>
      </c>
      <c r="C250" s="237">
        <v>5300</v>
      </c>
      <c r="D250" s="286"/>
      <c r="E250" s="294" t="s">
        <v>122</v>
      </c>
      <c r="F250" s="87"/>
      <c r="G250" s="240" t="s">
        <v>122</v>
      </c>
      <c r="H250" s="92" t="s">
        <v>122</v>
      </c>
    </row>
    <row r="251" spans="1:8" ht="26.25" customHeight="1" x14ac:dyDescent="0.25">
      <c r="A251" s="89">
        <v>43713</v>
      </c>
      <c r="B251" s="236" t="s">
        <v>2584</v>
      </c>
      <c r="C251" s="237">
        <v>5300</v>
      </c>
      <c r="D251" s="286"/>
      <c r="E251" s="294" t="s">
        <v>122</v>
      </c>
      <c r="F251" s="87"/>
      <c r="G251" s="240" t="s">
        <v>122</v>
      </c>
      <c r="H251" s="92" t="s">
        <v>122</v>
      </c>
    </row>
    <row r="252" spans="1:8" ht="26.25" customHeight="1" x14ac:dyDescent="0.25">
      <c r="A252" s="89">
        <v>43714</v>
      </c>
      <c r="B252" s="236" t="s">
        <v>2584</v>
      </c>
      <c r="C252" s="237">
        <v>5300</v>
      </c>
      <c r="D252" s="286"/>
      <c r="E252" s="294" t="s">
        <v>122</v>
      </c>
      <c r="F252" s="87"/>
      <c r="G252" s="240" t="s">
        <v>122</v>
      </c>
      <c r="H252" s="92" t="s">
        <v>122</v>
      </c>
    </row>
    <row r="253" spans="1:8" ht="26.25" customHeight="1" x14ac:dyDescent="0.25">
      <c r="A253" s="89">
        <v>43715</v>
      </c>
      <c r="B253" s="236" t="s">
        <v>2585</v>
      </c>
      <c r="C253" s="237">
        <v>5250</v>
      </c>
      <c r="D253" s="286"/>
      <c r="E253" s="294" t="s">
        <v>122</v>
      </c>
      <c r="F253" s="87"/>
      <c r="G253" s="240" t="s">
        <v>122</v>
      </c>
      <c r="H253" s="92" t="s">
        <v>122</v>
      </c>
    </row>
    <row r="254" spans="1:8" ht="26.25" customHeight="1" x14ac:dyDescent="0.25">
      <c r="A254" s="89">
        <v>43716</v>
      </c>
      <c r="B254" s="236" t="s">
        <v>2585</v>
      </c>
      <c r="C254" s="237">
        <v>5250</v>
      </c>
      <c r="D254" s="286"/>
      <c r="E254" s="294" t="s">
        <v>122</v>
      </c>
      <c r="F254" s="87"/>
      <c r="G254" s="240" t="s">
        <v>122</v>
      </c>
      <c r="H254" s="92" t="s">
        <v>122</v>
      </c>
    </row>
    <row r="255" spans="1:8" ht="26.25" customHeight="1" x14ac:dyDescent="0.25">
      <c r="A255" s="89">
        <v>43717</v>
      </c>
      <c r="B255" s="236" t="s">
        <v>2585</v>
      </c>
      <c r="C255" s="237">
        <v>5250</v>
      </c>
      <c r="D255" s="286"/>
      <c r="E255" s="294" t="s">
        <v>122</v>
      </c>
      <c r="F255" s="87"/>
      <c r="G255" s="240" t="s">
        <v>122</v>
      </c>
      <c r="H255" s="92" t="s">
        <v>122</v>
      </c>
    </row>
    <row r="256" spans="1:8" ht="26.25" customHeight="1" x14ac:dyDescent="0.25">
      <c r="A256" s="89">
        <v>43718</v>
      </c>
      <c r="B256" s="236" t="s">
        <v>2585</v>
      </c>
      <c r="C256" s="237">
        <v>5250</v>
      </c>
      <c r="D256" s="286"/>
      <c r="E256" s="294" t="s">
        <v>122</v>
      </c>
      <c r="F256" s="87"/>
      <c r="G256" s="240" t="s">
        <v>122</v>
      </c>
      <c r="H256" s="92" t="s">
        <v>122</v>
      </c>
    </row>
    <row r="257" spans="1:8" ht="26.25" customHeight="1" x14ac:dyDescent="0.25">
      <c r="A257" s="89">
        <v>43719</v>
      </c>
      <c r="B257" s="236" t="s">
        <v>2586</v>
      </c>
      <c r="C257" s="237">
        <v>5200</v>
      </c>
      <c r="D257" s="286"/>
      <c r="E257" s="294" t="s">
        <v>122</v>
      </c>
      <c r="F257" s="87"/>
      <c r="G257" s="240" t="s">
        <v>122</v>
      </c>
      <c r="H257" s="92" t="s">
        <v>122</v>
      </c>
    </row>
    <row r="258" spans="1:8" ht="26.25" customHeight="1" x14ac:dyDescent="0.25">
      <c r="A258" s="89">
        <v>43720</v>
      </c>
      <c r="B258" s="236" t="s">
        <v>2586</v>
      </c>
      <c r="C258" s="237">
        <v>5200</v>
      </c>
      <c r="D258" s="286"/>
      <c r="E258" s="294" t="s">
        <v>122</v>
      </c>
      <c r="F258" s="87"/>
      <c r="G258" s="240" t="s">
        <v>122</v>
      </c>
      <c r="H258" s="92" t="s">
        <v>122</v>
      </c>
    </row>
    <row r="259" spans="1:8" ht="26.25" customHeight="1" x14ac:dyDescent="0.25">
      <c r="A259" s="89">
        <v>43721</v>
      </c>
      <c r="B259" s="236" t="s">
        <v>2586</v>
      </c>
      <c r="C259" s="237">
        <v>5200</v>
      </c>
      <c r="D259" s="286"/>
      <c r="E259" s="294" t="s">
        <v>122</v>
      </c>
      <c r="F259" s="87"/>
      <c r="G259" s="240" t="s">
        <v>122</v>
      </c>
      <c r="H259" s="92" t="s">
        <v>122</v>
      </c>
    </row>
    <row r="260" spans="1:8" ht="26.25" customHeight="1" x14ac:dyDescent="0.25">
      <c r="A260" s="89">
        <v>43722</v>
      </c>
      <c r="B260" s="236" t="s">
        <v>2586</v>
      </c>
      <c r="C260" s="237">
        <v>5200</v>
      </c>
      <c r="D260" s="286"/>
      <c r="E260" s="294" t="s">
        <v>122</v>
      </c>
      <c r="F260" s="87"/>
      <c r="G260" s="240" t="s">
        <v>122</v>
      </c>
      <c r="H260" s="92" t="s">
        <v>122</v>
      </c>
    </row>
    <row r="261" spans="1:8" ht="26.25" customHeight="1" x14ac:dyDescent="0.25">
      <c r="A261" s="89">
        <v>43723</v>
      </c>
      <c r="B261" s="236" t="s">
        <v>2587</v>
      </c>
      <c r="C261" s="237">
        <v>5150</v>
      </c>
      <c r="D261" s="286"/>
      <c r="E261" s="294" t="s">
        <v>122</v>
      </c>
      <c r="F261" s="87"/>
      <c r="G261" s="240" t="s">
        <v>122</v>
      </c>
      <c r="H261" s="92" t="s">
        <v>122</v>
      </c>
    </row>
    <row r="262" spans="1:8" ht="26.25" customHeight="1" x14ac:dyDescent="0.25">
      <c r="A262" s="89">
        <v>43724</v>
      </c>
      <c r="B262" s="236" t="s">
        <v>2587</v>
      </c>
      <c r="C262" s="237">
        <v>5150</v>
      </c>
      <c r="D262" s="286"/>
      <c r="E262" s="294" t="s">
        <v>122</v>
      </c>
      <c r="F262" s="87"/>
      <c r="G262" s="240" t="s">
        <v>122</v>
      </c>
      <c r="H262" s="92" t="s">
        <v>122</v>
      </c>
    </row>
    <row r="263" spans="1:8" ht="26.25" customHeight="1" x14ac:dyDescent="0.25">
      <c r="A263" s="89">
        <v>43725</v>
      </c>
      <c r="B263" s="236" t="s">
        <v>2587</v>
      </c>
      <c r="C263" s="237">
        <v>5150</v>
      </c>
      <c r="D263" s="286"/>
      <c r="E263" s="294" t="s">
        <v>122</v>
      </c>
      <c r="F263" s="87"/>
      <c r="G263" s="240" t="s">
        <v>122</v>
      </c>
      <c r="H263" s="92" t="s">
        <v>122</v>
      </c>
    </row>
    <row r="264" spans="1:8" ht="26.25" customHeight="1" x14ac:dyDescent="0.25">
      <c r="A264" s="89">
        <v>43726</v>
      </c>
      <c r="B264" s="236" t="s">
        <v>2587</v>
      </c>
      <c r="C264" s="237">
        <v>5150</v>
      </c>
      <c r="D264" s="286"/>
      <c r="E264" s="294" t="s">
        <v>122</v>
      </c>
      <c r="F264" s="87"/>
      <c r="G264" s="240" t="s">
        <v>122</v>
      </c>
      <c r="H264" s="92" t="s">
        <v>122</v>
      </c>
    </row>
    <row r="265" spans="1:8" ht="26.25" customHeight="1" x14ac:dyDescent="0.25">
      <c r="A265" s="89">
        <v>43727</v>
      </c>
      <c r="B265" s="236" t="s">
        <v>2587</v>
      </c>
      <c r="C265" s="237">
        <v>5150</v>
      </c>
      <c r="D265" s="286"/>
      <c r="E265" s="294" t="s">
        <v>122</v>
      </c>
      <c r="F265" s="87"/>
      <c r="G265" s="240" t="s">
        <v>122</v>
      </c>
      <c r="H265" s="92" t="s">
        <v>122</v>
      </c>
    </row>
    <row r="266" spans="1:8" ht="26.25" customHeight="1" x14ac:dyDescent="0.25">
      <c r="A266" s="89">
        <v>43728</v>
      </c>
      <c r="B266" s="236" t="s">
        <v>2587</v>
      </c>
      <c r="C266" s="237">
        <v>5150</v>
      </c>
      <c r="D266" s="286"/>
      <c r="E266" s="294" t="s">
        <v>122</v>
      </c>
      <c r="F266" s="87"/>
      <c r="G266" s="240" t="s">
        <v>122</v>
      </c>
      <c r="H266" s="92" t="s">
        <v>122</v>
      </c>
    </row>
    <row r="267" spans="1:8" ht="26.25" customHeight="1" x14ac:dyDescent="0.25">
      <c r="A267" s="89">
        <v>43729</v>
      </c>
      <c r="B267" s="236" t="s">
        <v>2588</v>
      </c>
      <c r="C267" s="237">
        <v>5100</v>
      </c>
      <c r="D267" s="286"/>
      <c r="E267" s="294" t="s">
        <v>122</v>
      </c>
      <c r="F267" s="87"/>
      <c r="G267" s="240" t="s">
        <v>122</v>
      </c>
      <c r="H267" s="92" t="s">
        <v>122</v>
      </c>
    </row>
    <row r="268" spans="1:8" ht="26.25" customHeight="1" x14ac:dyDescent="0.25">
      <c r="A268" s="89">
        <v>43730</v>
      </c>
      <c r="B268" s="236" t="s">
        <v>2588</v>
      </c>
      <c r="C268" s="237">
        <v>5100</v>
      </c>
      <c r="D268" s="286"/>
      <c r="E268" s="294" t="s">
        <v>122</v>
      </c>
      <c r="F268" s="87"/>
      <c r="G268" s="240" t="s">
        <v>122</v>
      </c>
      <c r="H268" s="92" t="s">
        <v>122</v>
      </c>
    </row>
    <row r="269" spans="1:8" ht="26.25" customHeight="1" x14ac:dyDescent="0.25">
      <c r="A269" s="89">
        <v>43731</v>
      </c>
      <c r="B269" s="236" t="s">
        <v>2588</v>
      </c>
      <c r="C269" s="237">
        <v>5100</v>
      </c>
      <c r="D269" s="286"/>
      <c r="E269" s="294" t="s">
        <v>122</v>
      </c>
      <c r="F269" s="87"/>
      <c r="G269" s="240" t="s">
        <v>122</v>
      </c>
      <c r="H269" s="92" t="s">
        <v>122</v>
      </c>
    </row>
    <row r="270" spans="1:8" ht="26.25" customHeight="1" x14ac:dyDescent="0.25">
      <c r="A270" s="89">
        <v>43732</v>
      </c>
      <c r="B270" s="236" t="s">
        <v>2588</v>
      </c>
      <c r="C270" s="237">
        <v>5100</v>
      </c>
      <c r="D270" s="286"/>
      <c r="E270" s="294" t="s">
        <v>122</v>
      </c>
      <c r="F270" s="87"/>
      <c r="G270" s="240" t="s">
        <v>122</v>
      </c>
      <c r="H270" s="92" t="s">
        <v>122</v>
      </c>
    </row>
    <row r="271" spans="1:8" ht="26.25" customHeight="1" x14ac:dyDescent="0.25">
      <c r="A271" s="89">
        <v>43733</v>
      </c>
      <c r="B271" s="236" t="s">
        <v>2588</v>
      </c>
      <c r="C271" s="237">
        <v>5100</v>
      </c>
      <c r="D271" s="286"/>
      <c r="E271" s="294" t="s">
        <v>122</v>
      </c>
      <c r="F271" s="87"/>
      <c r="G271" s="240" t="s">
        <v>122</v>
      </c>
      <c r="H271" s="92" t="s">
        <v>122</v>
      </c>
    </row>
    <row r="272" spans="1:8" ht="26.25" customHeight="1" x14ac:dyDescent="0.25">
      <c r="A272" s="89">
        <v>43734</v>
      </c>
      <c r="B272" s="236" t="s">
        <v>2588</v>
      </c>
      <c r="C272" s="237">
        <v>5100</v>
      </c>
      <c r="D272" s="286"/>
      <c r="E272" s="294" t="s">
        <v>122</v>
      </c>
      <c r="F272" s="87"/>
      <c r="G272" s="240" t="s">
        <v>122</v>
      </c>
      <c r="H272" s="92" t="s">
        <v>122</v>
      </c>
    </row>
    <row r="273" spans="1:8" ht="26.25" customHeight="1" x14ac:dyDescent="0.25">
      <c r="A273" s="89">
        <v>43735</v>
      </c>
      <c r="B273" s="236" t="s">
        <v>2588</v>
      </c>
      <c r="C273" s="237">
        <v>5100</v>
      </c>
      <c r="D273" s="286"/>
      <c r="E273" s="294" t="s">
        <v>122</v>
      </c>
      <c r="F273" s="87"/>
      <c r="G273" s="240" t="s">
        <v>122</v>
      </c>
      <c r="H273" s="92" t="s">
        <v>122</v>
      </c>
    </row>
    <row r="274" spans="1:8" ht="26.25" customHeight="1" x14ac:dyDescent="0.25">
      <c r="A274" s="89">
        <v>43736</v>
      </c>
      <c r="B274" s="236" t="s">
        <v>2588</v>
      </c>
      <c r="C274" s="237">
        <v>5100</v>
      </c>
      <c r="D274" s="286"/>
      <c r="E274" s="294" t="s">
        <v>122</v>
      </c>
      <c r="F274" s="87"/>
      <c r="G274" s="240" t="s">
        <v>122</v>
      </c>
      <c r="H274" s="92" t="s">
        <v>122</v>
      </c>
    </row>
    <row r="275" spans="1:8" ht="26.25" customHeight="1" x14ac:dyDescent="0.25">
      <c r="A275" s="89">
        <v>43737</v>
      </c>
      <c r="B275" s="236" t="s">
        <v>2588</v>
      </c>
      <c r="C275" s="237">
        <v>5100</v>
      </c>
      <c r="D275" s="286"/>
      <c r="E275" s="294" t="s">
        <v>122</v>
      </c>
      <c r="F275" s="87"/>
      <c r="G275" s="240" t="s">
        <v>122</v>
      </c>
      <c r="H275" s="92" t="s">
        <v>122</v>
      </c>
    </row>
    <row r="276" spans="1:8" ht="26.25" customHeight="1" x14ac:dyDescent="0.25">
      <c r="A276" s="89">
        <v>43738</v>
      </c>
      <c r="B276" s="236" t="s">
        <v>2587</v>
      </c>
      <c r="C276" s="237">
        <v>5150</v>
      </c>
      <c r="D276" s="286"/>
      <c r="E276" s="294" t="s">
        <v>122</v>
      </c>
      <c r="F276" s="87"/>
      <c r="G276" s="240" t="s">
        <v>122</v>
      </c>
      <c r="H276" s="92" t="s">
        <v>122</v>
      </c>
    </row>
    <row r="277" spans="1:8" ht="26.25" customHeight="1" x14ac:dyDescent="0.25">
      <c r="A277" s="89">
        <v>43739</v>
      </c>
      <c r="B277" s="236" t="s">
        <v>2586</v>
      </c>
      <c r="C277" s="237">
        <v>5200</v>
      </c>
      <c r="D277" s="286"/>
      <c r="E277" s="294" t="s">
        <v>122</v>
      </c>
      <c r="F277" s="87"/>
      <c r="G277" s="240" t="s">
        <v>122</v>
      </c>
      <c r="H277" s="92" t="s">
        <v>122</v>
      </c>
    </row>
    <row r="278" spans="1:8" ht="26.25" customHeight="1" x14ac:dyDescent="0.25">
      <c r="A278" s="89">
        <v>43740</v>
      </c>
      <c r="B278" s="236" t="s">
        <v>2586</v>
      </c>
      <c r="C278" s="237">
        <v>5200</v>
      </c>
      <c r="D278" s="286"/>
      <c r="E278" s="294" t="s">
        <v>122</v>
      </c>
      <c r="F278" s="87"/>
      <c r="G278" s="240" t="s">
        <v>122</v>
      </c>
      <c r="H278" s="92" t="s">
        <v>122</v>
      </c>
    </row>
    <row r="279" spans="1:8" ht="26.25" customHeight="1" x14ac:dyDescent="0.25">
      <c r="A279" s="89">
        <v>43741</v>
      </c>
      <c r="B279" s="236" t="s">
        <v>2586</v>
      </c>
      <c r="C279" s="237">
        <v>5200</v>
      </c>
      <c r="D279" s="286"/>
      <c r="E279" s="294" t="s">
        <v>122</v>
      </c>
      <c r="F279" s="87"/>
      <c r="G279" s="240" t="s">
        <v>122</v>
      </c>
      <c r="H279" s="92" t="s">
        <v>122</v>
      </c>
    </row>
    <row r="280" spans="1:8" ht="26.25" customHeight="1" x14ac:dyDescent="0.25">
      <c r="A280" s="89">
        <v>43742</v>
      </c>
      <c r="B280" s="236" t="s">
        <v>2586</v>
      </c>
      <c r="C280" s="237">
        <v>5200</v>
      </c>
      <c r="D280" s="286"/>
      <c r="E280" s="294" t="s">
        <v>122</v>
      </c>
      <c r="F280" s="87"/>
      <c r="G280" s="240" t="s">
        <v>122</v>
      </c>
      <c r="H280" s="92" t="s">
        <v>122</v>
      </c>
    </row>
    <row r="281" spans="1:8" ht="26.25" customHeight="1" x14ac:dyDescent="0.25">
      <c r="A281" s="89">
        <v>43743</v>
      </c>
      <c r="B281" s="236" t="s">
        <v>2585</v>
      </c>
      <c r="C281" s="237">
        <v>5250</v>
      </c>
      <c r="D281" s="286"/>
      <c r="E281" s="294" t="s">
        <v>122</v>
      </c>
      <c r="F281" s="87"/>
      <c r="G281" s="240" t="s">
        <v>122</v>
      </c>
      <c r="H281" s="92" t="s">
        <v>122</v>
      </c>
    </row>
    <row r="282" spans="1:8" ht="26.25" customHeight="1" x14ac:dyDescent="0.25">
      <c r="A282" s="89">
        <v>43744</v>
      </c>
      <c r="B282" s="236" t="s">
        <v>2584</v>
      </c>
      <c r="C282" s="237">
        <v>5300</v>
      </c>
      <c r="D282" s="286"/>
      <c r="E282" s="294" t="s">
        <v>122</v>
      </c>
      <c r="F282" s="87"/>
      <c r="G282" s="240" t="s">
        <v>122</v>
      </c>
      <c r="H282" s="92" t="s">
        <v>122</v>
      </c>
    </row>
    <row r="283" spans="1:8" ht="26.25" customHeight="1" x14ac:dyDescent="0.25">
      <c r="A283" s="89">
        <v>43745</v>
      </c>
      <c r="B283" s="236" t="s">
        <v>2601</v>
      </c>
      <c r="C283" s="237">
        <v>5400</v>
      </c>
      <c r="D283" s="286"/>
      <c r="E283" s="294" t="s">
        <v>122</v>
      </c>
      <c r="F283" s="87"/>
      <c r="G283" s="240" t="s">
        <v>122</v>
      </c>
      <c r="H283" s="92" t="s">
        <v>122</v>
      </c>
    </row>
    <row r="284" spans="1:8" ht="26.25" customHeight="1" x14ac:dyDescent="0.25">
      <c r="A284" s="89">
        <v>43746</v>
      </c>
      <c r="B284" s="236" t="s">
        <v>2602</v>
      </c>
      <c r="C284" s="237">
        <v>5500</v>
      </c>
      <c r="D284" s="286"/>
      <c r="E284" s="294" t="s">
        <v>122</v>
      </c>
      <c r="F284" s="87"/>
      <c r="G284" s="240" t="s">
        <v>122</v>
      </c>
      <c r="H284" s="92" t="s">
        <v>122</v>
      </c>
    </row>
    <row r="285" spans="1:8" ht="26.25" customHeight="1" x14ac:dyDescent="0.25">
      <c r="A285" s="89">
        <v>43747</v>
      </c>
      <c r="B285" s="236" t="s">
        <v>1967</v>
      </c>
      <c r="C285" s="237">
        <v>5900</v>
      </c>
      <c r="D285" s="286"/>
      <c r="E285" s="294" t="s">
        <v>122</v>
      </c>
      <c r="F285" s="87"/>
      <c r="G285" s="240" t="s">
        <v>122</v>
      </c>
      <c r="H285" s="92" t="s">
        <v>122</v>
      </c>
    </row>
    <row r="286" spans="1:8" ht="26.25" customHeight="1" x14ac:dyDescent="0.25">
      <c r="A286" s="89">
        <v>43748</v>
      </c>
      <c r="B286" s="236" t="s">
        <v>1972</v>
      </c>
      <c r="C286" s="237">
        <v>6150</v>
      </c>
      <c r="D286" s="286"/>
      <c r="E286" s="294" t="s">
        <v>122</v>
      </c>
      <c r="F286" s="87"/>
      <c r="G286" s="240" t="s">
        <v>122</v>
      </c>
      <c r="H286" s="92" t="s">
        <v>122</v>
      </c>
    </row>
    <row r="287" spans="1:8" ht="26.25" customHeight="1" x14ac:dyDescent="0.25">
      <c r="A287" s="89">
        <v>43749</v>
      </c>
      <c r="B287" s="236" t="s">
        <v>2603</v>
      </c>
      <c r="C287" s="237">
        <v>6250</v>
      </c>
      <c r="D287" s="286"/>
      <c r="E287" s="294" t="s">
        <v>122</v>
      </c>
      <c r="F287" s="87"/>
      <c r="G287" s="240" t="s">
        <v>122</v>
      </c>
      <c r="H287" s="92" t="s">
        <v>122</v>
      </c>
    </row>
    <row r="288" spans="1:8" ht="26.25" customHeight="1" x14ac:dyDescent="0.25">
      <c r="A288" s="89">
        <v>43750</v>
      </c>
      <c r="B288" s="236" t="s">
        <v>2603</v>
      </c>
      <c r="C288" s="237">
        <v>6250</v>
      </c>
      <c r="D288" s="286"/>
      <c r="E288" s="294" t="s">
        <v>122</v>
      </c>
      <c r="F288" s="87"/>
      <c r="G288" s="240" t="s">
        <v>122</v>
      </c>
      <c r="H288" s="92" t="s">
        <v>122</v>
      </c>
    </row>
    <row r="289" spans="1:8" ht="26.25" customHeight="1" x14ac:dyDescent="0.25">
      <c r="A289" s="89">
        <v>43751</v>
      </c>
      <c r="B289" s="236" t="s">
        <v>2603</v>
      </c>
      <c r="C289" s="237">
        <v>6250</v>
      </c>
      <c r="D289" s="286"/>
      <c r="E289" s="294" t="s">
        <v>122</v>
      </c>
      <c r="F289" s="87"/>
      <c r="G289" s="240" t="s">
        <v>122</v>
      </c>
      <c r="H289" s="92" t="s">
        <v>122</v>
      </c>
    </row>
    <row r="290" spans="1:8" ht="26.25" customHeight="1" x14ac:dyDescent="0.25">
      <c r="A290" s="89">
        <v>43752</v>
      </c>
      <c r="B290" s="236" t="s">
        <v>2604</v>
      </c>
      <c r="C290" s="237">
        <v>6300</v>
      </c>
      <c r="D290" s="286"/>
      <c r="E290" s="294" t="s">
        <v>122</v>
      </c>
      <c r="F290" s="87"/>
      <c r="G290" s="240" t="s">
        <v>122</v>
      </c>
      <c r="H290" s="92" t="s">
        <v>122</v>
      </c>
    </row>
    <row r="291" spans="1:8" ht="26.25" customHeight="1" x14ac:dyDescent="0.25">
      <c r="A291" s="89">
        <v>43753</v>
      </c>
      <c r="B291" s="236" t="s">
        <v>2604</v>
      </c>
      <c r="C291" s="237">
        <v>6300</v>
      </c>
      <c r="D291" s="286"/>
      <c r="E291" s="294" t="s">
        <v>122</v>
      </c>
      <c r="F291" s="87"/>
      <c r="G291" s="240" t="s">
        <v>122</v>
      </c>
      <c r="H291" s="92" t="s">
        <v>122</v>
      </c>
    </row>
    <row r="292" spans="1:8" ht="26.25" customHeight="1" x14ac:dyDescent="0.25">
      <c r="A292" s="89">
        <v>43754</v>
      </c>
      <c r="B292" s="236" t="s">
        <v>2604</v>
      </c>
      <c r="C292" s="237">
        <v>6300</v>
      </c>
      <c r="D292" s="286"/>
      <c r="E292" s="294" t="s">
        <v>122</v>
      </c>
      <c r="F292" s="87"/>
      <c r="G292" s="240" t="s">
        <v>122</v>
      </c>
      <c r="H292" s="92" t="s">
        <v>122</v>
      </c>
    </row>
    <row r="293" spans="1:8" ht="26.25" customHeight="1" x14ac:dyDescent="0.25">
      <c r="A293" s="89">
        <v>43755</v>
      </c>
      <c r="B293" s="236" t="s">
        <v>2605</v>
      </c>
      <c r="C293" s="237">
        <v>6400</v>
      </c>
      <c r="D293" s="286"/>
      <c r="E293" s="294" t="s">
        <v>122</v>
      </c>
      <c r="F293" s="87"/>
      <c r="G293" s="240" t="s">
        <v>122</v>
      </c>
      <c r="H293" s="92" t="s">
        <v>122</v>
      </c>
    </row>
    <row r="294" spans="1:8" ht="26.25" customHeight="1" x14ac:dyDescent="0.25">
      <c r="A294" s="89">
        <v>43756</v>
      </c>
      <c r="B294" s="236" t="s">
        <v>1832</v>
      </c>
      <c r="C294" s="237">
        <v>6800</v>
      </c>
      <c r="D294" s="286"/>
      <c r="E294" s="294" t="s">
        <v>122</v>
      </c>
      <c r="F294" s="87"/>
      <c r="G294" s="240" t="s">
        <v>122</v>
      </c>
      <c r="H294" s="92" t="s">
        <v>122</v>
      </c>
    </row>
    <row r="295" spans="1:8" ht="26.25" customHeight="1" x14ac:dyDescent="0.25">
      <c r="A295" s="89">
        <v>43757</v>
      </c>
      <c r="B295" s="236" t="s">
        <v>1831</v>
      </c>
      <c r="C295" s="237">
        <v>6900</v>
      </c>
      <c r="D295" s="286"/>
      <c r="E295" s="294" t="s">
        <v>122</v>
      </c>
      <c r="F295" s="87"/>
      <c r="G295" s="240" t="s">
        <v>122</v>
      </c>
      <c r="H295" s="92" t="s">
        <v>122</v>
      </c>
    </row>
    <row r="296" spans="1:8" ht="26.25" customHeight="1" x14ac:dyDescent="0.25">
      <c r="A296" s="89">
        <v>43758</v>
      </c>
      <c r="B296" s="236" t="s">
        <v>1829</v>
      </c>
      <c r="C296" s="237">
        <v>7000</v>
      </c>
      <c r="D296" s="286"/>
      <c r="E296" s="294" t="s">
        <v>122</v>
      </c>
      <c r="F296" s="87"/>
      <c r="G296" s="240" t="s">
        <v>122</v>
      </c>
      <c r="H296" s="92" t="s">
        <v>122</v>
      </c>
    </row>
    <row r="297" spans="1:8" ht="26.25" customHeight="1" x14ac:dyDescent="0.25">
      <c r="A297" s="89">
        <v>43759</v>
      </c>
      <c r="B297" s="236" t="s">
        <v>1828</v>
      </c>
      <c r="C297" s="237">
        <v>7100</v>
      </c>
      <c r="D297" s="286"/>
      <c r="E297" s="294" t="s">
        <v>122</v>
      </c>
      <c r="F297" s="87"/>
      <c r="G297" s="240" t="s">
        <v>122</v>
      </c>
      <c r="H297" s="92" t="s">
        <v>122</v>
      </c>
    </row>
    <row r="298" spans="1:8" ht="26.25" customHeight="1" x14ac:dyDescent="0.25">
      <c r="A298" s="89">
        <v>43760</v>
      </c>
      <c r="B298" s="236" t="s">
        <v>1826</v>
      </c>
      <c r="C298" s="237">
        <v>7300</v>
      </c>
      <c r="D298" s="286"/>
      <c r="E298" s="294" t="s">
        <v>122</v>
      </c>
      <c r="F298" s="87"/>
      <c r="G298" s="240" t="s">
        <v>122</v>
      </c>
      <c r="H298" s="92" t="s">
        <v>122</v>
      </c>
    </row>
    <row r="299" spans="1:8" ht="26.25" customHeight="1" x14ac:dyDescent="0.25">
      <c r="A299" s="89">
        <v>43761</v>
      </c>
      <c r="B299" s="236" t="s">
        <v>1825</v>
      </c>
      <c r="C299" s="237">
        <v>7400</v>
      </c>
      <c r="D299" s="286"/>
      <c r="E299" s="294" t="s">
        <v>122</v>
      </c>
      <c r="F299" s="87"/>
      <c r="G299" s="240" t="s">
        <v>122</v>
      </c>
      <c r="H299" s="92" t="s">
        <v>122</v>
      </c>
    </row>
    <row r="300" spans="1:8" ht="26.25" customHeight="1" x14ac:dyDescent="0.25">
      <c r="A300" s="89">
        <v>43762</v>
      </c>
      <c r="B300" s="236" t="s">
        <v>1825</v>
      </c>
      <c r="C300" s="237">
        <v>7400</v>
      </c>
      <c r="D300" s="286"/>
      <c r="E300" s="294" t="s">
        <v>122</v>
      </c>
      <c r="F300" s="87"/>
      <c r="G300" s="240" t="s">
        <v>122</v>
      </c>
      <c r="H300" s="92" t="s">
        <v>122</v>
      </c>
    </row>
    <row r="301" spans="1:8" ht="26.25" customHeight="1" x14ac:dyDescent="0.25">
      <c r="A301" s="89">
        <v>43763</v>
      </c>
      <c r="B301" s="236" t="s">
        <v>1824</v>
      </c>
      <c r="C301" s="237">
        <v>7450</v>
      </c>
      <c r="D301" s="286"/>
      <c r="E301" s="294" t="s">
        <v>122</v>
      </c>
      <c r="F301" s="87"/>
      <c r="G301" s="240" t="s">
        <v>122</v>
      </c>
      <c r="H301" s="92" t="s">
        <v>122</v>
      </c>
    </row>
    <row r="302" spans="1:8" ht="26.25" customHeight="1" x14ac:dyDescent="0.25">
      <c r="A302" s="89">
        <v>43764</v>
      </c>
      <c r="B302" s="236" t="s">
        <v>1824</v>
      </c>
      <c r="C302" s="237">
        <v>7450</v>
      </c>
      <c r="D302" s="286"/>
      <c r="E302" s="294" t="s">
        <v>122</v>
      </c>
      <c r="F302" s="87"/>
      <c r="G302" s="240" t="s">
        <v>122</v>
      </c>
      <c r="H302" s="92" t="s">
        <v>122</v>
      </c>
    </row>
    <row r="303" spans="1:8" ht="26.25" customHeight="1" x14ac:dyDescent="0.25">
      <c r="A303" s="89">
        <v>43765</v>
      </c>
      <c r="B303" s="236" t="s">
        <v>1824</v>
      </c>
      <c r="C303" s="237">
        <v>7450</v>
      </c>
      <c r="D303" s="286"/>
      <c r="E303" s="294" t="s">
        <v>122</v>
      </c>
      <c r="F303" s="87"/>
      <c r="G303" s="240" t="s">
        <v>122</v>
      </c>
      <c r="H303" s="92" t="s">
        <v>122</v>
      </c>
    </row>
    <row r="304" spans="1:8" ht="26.25" customHeight="1" x14ac:dyDescent="0.25">
      <c r="A304" s="89">
        <v>43766</v>
      </c>
      <c r="B304" s="236" t="s">
        <v>1823</v>
      </c>
      <c r="C304" s="237">
        <v>7500</v>
      </c>
      <c r="D304" s="286"/>
      <c r="E304" s="294" t="s">
        <v>122</v>
      </c>
      <c r="F304" s="87"/>
      <c r="G304" s="240" t="s">
        <v>122</v>
      </c>
      <c r="H304" s="92" t="s">
        <v>122</v>
      </c>
    </row>
    <row r="305" spans="1:8" ht="26.25" customHeight="1" x14ac:dyDescent="0.25">
      <c r="A305" s="89">
        <v>43767</v>
      </c>
      <c r="B305" s="236" t="s">
        <v>1820</v>
      </c>
      <c r="C305" s="237">
        <v>7800</v>
      </c>
      <c r="D305" s="286"/>
      <c r="E305" s="294" t="s">
        <v>122</v>
      </c>
      <c r="F305" s="87"/>
      <c r="G305" s="240" t="s">
        <v>122</v>
      </c>
      <c r="H305" s="92" t="s">
        <v>122</v>
      </c>
    </row>
    <row r="306" spans="1:8" ht="26.25" customHeight="1" x14ac:dyDescent="0.25">
      <c r="A306" s="89">
        <v>43768</v>
      </c>
      <c r="B306" s="236" t="s">
        <v>1819</v>
      </c>
      <c r="C306" s="237">
        <v>7900</v>
      </c>
      <c r="D306" s="286"/>
      <c r="E306" s="294" t="s">
        <v>122</v>
      </c>
      <c r="F306" s="87"/>
      <c r="G306" s="240" t="s">
        <v>122</v>
      </c>
      <c r="H306" s="92" t="s">
        <v>122</v>
      </c>
    </row>
    <row r="307" spans="1:8" ht="26.25" customHeight="1" x14ac:dyDescent="0.25">
      <c r="A307" s="89">
        <v>43769</v>
      </c>
      <c r="B307" s="236" t="s">
        <v>1819</v>
      </c>
      <c r="C307" s="237">
        <v>7900</v>
      </c>
      <c r="D307" s="286"/>
      <c r="E307" s="294" t="s">
        <v>122</v>
      </c>
      <c r="F307" s="87"/>
      <c r="G307" s="240" t="s">
        <v>122</v>
      </c>
      <c r="H307" s="92" t="s">
        <v>122</v>
      </c>
    </row>
    <row r="308" spans="1:8" ht="26.25" customHeight="1" x14ac:dyDescent="0.25">
      <c r="A308" s="89">
        <v>43770</v>
      </c>
      <c r="B308" s="236" t="s">
        <v>1819</v>
      </c>
      <c r="C308" s="237">
        <v>7900</v>
      </c>
      <c r="D308" s="286"/>
      <c r="E308" s="294" t="s">
        <v>122</v>
      </c>
      <c r="F308" s="87"/>
      <c r="G308" s="240" t="s">
        <v>122</v>
      </c>
      <c r="H308" s="92" t="s">
        <v>122</v>
      </c>
    </row>
    <row r="309" spans="1:8" ht="26.25" customHeight="1" x14ac:dyDescent="0.25">
      <c r="A309" s="89">
        <v>43771</v>
      </c>
      <c r="B309" s="236" t="s">
        <v>1818</v>
      </c>
      <c r="C309" s="237">
        <v>8000</v>
      </c>
      <c r="D309" s="286"/>
      <c r="E309" s="294" t="s">
        <v>122</v>
      </c>
      <c r="F309" s="87"/>
      <c r="G309" s="240" t="s">
        <v>122</v>
      </c>
      <c r="H309" s="92" t="s">
        <v>122</v>
      </c>
    </row>
    <row r="310" spans="1:8" ht="26.25" customHeight="1" x14ac:dyDescent="0.25">
      <c r="A310" s="89">
        <v>43772</v>
      </c>
      <c r="B310" s="236" t="s">
        <v>1818</v>
      </c>
      <c r="C310" s="237">
        <v>8000</v>
      </c>
      <c r="D310" s="286"/>
      <c r="E310" s="294" t="s">
        <v>122</v>
      </c>
      <c r="F310" s="87"/>
      <c r="G310" s="240" t="s">
        <v>122</v>
      </c>
      <c r="H310" s="92" t="s">
        <v>122</v>
      </c>
    </row>
    <row r="311" spans="1:8" ht="26.25" customHeight="1" x14ac:dyDescent="0.25">
      <c r="A311" s="89">
        <v>43773</v>
      </c>
      <c r="B311" s="236" t="s">
        <v>1818</v>
      </c>
      <c r="C311" s="237">
        <v>8000</v>
      </c>
      <c r="D311" s="286"/>
      <c r="E311" s="294" t="s">
        <v>122</v>
      </c>
      <c r="F311" s="87"/>
      <c r="G311" s="240" t="s">
        <v>122</v>
      </c>
      <c r="H311" s="92" t="s">
        <v>122</v>
      </c>
    </row>
    <row r="312" spans="1:8" ht="26.25" customHeight="1" x14ac:dyDescent="0.25">
      <c r="A312" s="89">
        <v>43774</v>
      </c>
      <c r="B312" s="236" t="s">
        <v>1815</v>
      </c>
      <c r="C312" s="237">
        <v>8200</v>
      </c>
      <c r="D312" s="286"/>
      <c r="E312" s="294" t="s">
        <v>122</v>
      </c>
      <c r="F312" s="87"/>
      <c r="G312" s="240" t="s">
        <v>122</v>
      </c>
      <c r="H312" s="92" t="s">
        <v>122</v>
      </c>
    </row>
    <row r="313" spans="1:8" ht="26.25" customHeight="1" x14ac:dyDescent="0.25">
      <c r="A313" s="89">
        <v>43775</v>
      </c>
      <c r="B313" s="236" t="s">
        <v>1813</v>
      </c>
      <c r="C313" s="237">
        <v>8300</v>
      </c>
      <c r="D313" s="286"/>
      <c r="E313" s="294" t="s">
        <v>122</v>
      </c>
      <c r="F313" s="87"/>
      <c r="G313" s="240" t="s">
        <v>122</v>
      </c>
      <c r="H313" s="92" t="s">
        <v>122</v>
      </c>
    </row>
    <row r="314" spans="1:8" ht="26.25" customHeight="1" x14ac:dyDescent="0.25">
      <c r="A314" s="89">
        <v>43776</v>
      </c>
      <c r="B314" s="236" t="s">
        <v>1813</v>
      </c>
      <c r="C314" s="237">
        <v>8300</v>
      </c>
      <c r="D314" s="286"/>
      <c r="E314" s="294" t="s">
        <v>122</v>
      </c>
      <c r="F314" s="87"/>
      <c r="G314" s="240" t="s">
        <v>122</v>
      </c>
      <c r="H314" s="92" t="s">
        <v>122</v>
      </c>
    </row>
    <row r="315" spans="1:8" ht="26.25" customHeight="1" x14ac:dyDescent="0.25">
      <c r="A315" s="89">
        <v>43777</v>
      </c>
      <c r="B315" s="236" t="s">
        <v>1813</v>
      </c>
      <c r="C315" s="237">
        <v>8300</v>
      </c>
      <c r="D315" s="286"/>
      <c r="E315" s="294" t="s">
        <v>122</v>
      </c>
      <c r="F315" s="87"/>
      <c r="G315" s="240" t="s">
        <v>122</v>
      </c>
      <c r="H315" s="92" t="s">
        <v>122</v>
      </c>
    </row>
    <row r="316" spans="1:8" ht="26.25" customHeight="1" x14ac:dyDescent="0.25">
      <c r="A316" s="89">
        <v>43778</v>
      </c>
      <c r="B316" s="236" t="s">
        <v>1813</v>
      </c>
      <c r="C316" s="237">
        <v>8300</v>
      </c>
      <c r="D316" s="286"/>
      <c r="E316" s="294" t="s">
        <v>122</v>
      </c>
      <c r="F316" s="87"/>
      <c r="G316" s="240" t="s">
        <v>122</v>
      </c>
      <c r="H316" s="92" t="s">
        <v>122</v>
      </c>
    </row>
    <row r="317" spans="1:8" ht="26.25" customHeight="1" x14ac:dyDescent="0.25">
      <c r="A317" s="89">
        <v>43779</v>
      </c>
      <c r="B317" s="236" t="s">
        <v>1813</v>
      </c>
      <c r="C317" s="237">
        <v>8300</v>
      </c>
      <c r="D317" s="286"/>
      <c r="E317" s="294" t="s">
        <v>122</v>
      </c>
      <c r="F317" s="87"/>
      <c r="G317" s="240" t="s">
        <v>122</v>
      </c>
      <c r="H317" s="92" t="s">
        <v>122</v>
      </c>
    </row>
    <row r="318" spans="1:8" ht="26.25" customHeight="1" x14ac:dyDescent="0.25">
      <c r="A318" s="89">
        <v>43780</v>
      </c>
      <c r="B318" s="236" t="s">
        <v>1813</v>
      </c>
      <c r="C318" s="237">
        <v>8300</v>
      </c>
      <c r="D318" s="286"/>
      <c r="E318" s="294" t="s">
        <v>122</v>
      </c>
      <c r="F318" s="87"/>
      <c r="G318" s="240" t="s">
        <v>122</v>
      </c>
      <c r="H318" s="92" t="s">
        <v>122</v>
      </c>
    </row>
    <row r="319" spans="1:8" ht="26.25" customHeight="1" x14ac:dyDescent="0.25">
      <c r="A319" s="89">
        <v>43781</v>
      </c>
      <c r="B319" s="236" t="s">
        <v>1813</v>
      </c>
      <c r="C319" s="237">
        <v>8300</v>
      </c>
      <c r="D319" s="286"/>
      <c r="E319" s="294" t="s">
        <v>122</v>
      </c>
      <c r="F319" s="87"/>
      <c r="G319" s="240" t="s">
        <v>122</v>
      </c>
      <c r="H319" s="92" t="s">
        <v>122</v>
      </c>
    </row>
    <row r="320" spans="1:8" ht="26.25" customHeight="1" x14ac:dyDescent="0.25">
      <c r="A320" s="89">
        <v>43782</v>
      </c>
      <c r="B320" s="236" t="s">
        <v>1813</v>
      </c>
      <c r="C320" s="237">
        <v>8300</v>
      </c>
      <c r="D320" s="286"/>
      <c r="E320" s="294" t="s">
        <v>122</v>
      </c>
      <c r="F320" s="87"/>
      <c r="G320" s="240" t="s">
        <v>122</v>
      </c>
      <c r="H320" s="92" t="s">
        <v>122</v>
      </c>
    </row>
    <row r="321" spans="1:8" ht="26.25" customHeight="1" x14ac:dyDescent="0.25">
      <c r="A321" s="89">
        <v>43783</v>
      </c>
      <c r="B321" s="236" t="s">
        <v>1813</v>
      </c>
      <c r="C321" s="237">
        <v>8300</v>
      </c>
      <c r="D321" s="286"/>
      <c r="E321" s="294" t="s">
        <v>122</v>
      </c>
      <c r="F321" s="87"/>
      <c r="G321" s="240" t="s">
        <v>122</v>
      </c>
      <c r="H321" s="92" t="s">
        <v>122</v>
      </c>
    </row>
    <row r="322" spans="1:8" ht="26.25" customHeight="1" x14ac:dyDescent="0.25">
      <c r="A322" s="89">
        <v>43784</v>
      </c>
      <c r="B322" s="236" t="s">
        <v>1813</v>
      </c>
      <c r="C322" s="237">
        <v>8300</v>
      </c>
      <c r="D322" s="286"/>
      <c r="E322" s="294" t="s">
        <v>122</v>
      </c>
      <c r="F322" s="87"/>
      <c r="G322" s="240" t="s">
        <v>122</v>
      </c>
      <c r="H322" s="92" t="s">
        <v>122</v>
      </c>
    </row>
    <row r="323" spans="1:8" ht="26.25" customHeight="1" x14ac:dyDescent="0.25">
      <c r="A323" s="89">
        <v>43785</v>
      </c>
      <c r="B323" s="236" t="s">
        <v>1813</v>
      </c>
      <c r="C323" s="237">
        <v>8300</v>
      </c>
      <c r="D323" s="286"/>
      <c r="E323" s="294" t="s">
        <v>122</v>
      </c>
      <c r="F323" s="87"/>
      <c r="G323" s="240" t="s">
        <v>122</v>
      </c>
      <c r="H323" s="92" t="s">
        <v>122</v>
      </c>
    </row>
    <row r="324" spans="1:8" ht="26.25" customHeight="1" x14ac:dyDescent="0.25">
      <c r="A324" s="89">
        <v>43786</v>
      </c>
      <c r="B324" s="236" t="s">
        <v>1813</v>
      </c>
      <c r="C324" s="237">
        <v>8300</v>
      </c>
      <c r="D324" s="286"/>
      <c r="E324" s="294" t="s">
        <v>122</v>
      </c>
      <c r="F324" s="87"/>
      <c r="G324" s="240" t="s">
        <v>122</v>
      </c>
      <c r="H324" s="92" t="s">
        <v>122</v>
      </c>
    </row>
    <row r="325" spans="1:8" ht="26.25" customHeight="1" x14ac:dyDescent="0.25">
      <c r="A325" s="89">
        <v>43787</v>
      </c>
      <c r="B325" s="236" t="s">
        <v>1813</v>
      </c>
      <c r="C325" s="237">
        <v>8300</v>
      </c>
      <c r="D325" s="286"/>
      <c r="E325" s="294" t="s">
        <v>122</v>
      </c>
      <c r="F325" s="87"/>
      <c r="G325" s="240" t="s">
        <v>122</v>
      </c>
      <c r="H325" s="92" t="s">
        <v>122</v>
      </c>
    </row>
    <row r="326" spans="1:8" ht="26.25" customHeight="1" x14ac:dyDescent="0.25">
      <c r="A326" s="89">
        <v>43788</v>
      </c>
      <c r="B326" s="236" t="s">
        <v>1813</v>
      </c>
      <c r="C326" s="237">
        <v>8300</v>
      </c>
      <c r="D326" s="286"/>
      <c r="E326" s="294" t="s">
        <v>122</v>
      </c>
      <c r="F326" s="87"/>
      <c r="G326" s="240" t="s">
        <v>122</v>
      </c>
      <c r="H326" s="92" t="s">
        <v>122</v>
      </c>
    </row>
    <row r="327" spans="1:8" ht="26.25" customHeight="1" x14ac:dyDescent="0.25">
      <c r="A327" s="89">
        <v>43789</v>
      </c>
      <c r="B327" s="236" t="s">
        <v>1813</v>
      </c>
      <c r="C327" s="237">
        <v>8300</v>
      </c>
      <c r="D327" s="286"/>
      <c r="E327" s="294" t="s">
        <v>122</v>
      </c>
      <c r="F327" s="87"/>
      <c r="G327" s="240" t="s">
        <v>122</v>
      </c>
      <c r="H327" s="92" t="s">
        <v>122</v>
      </c>
    </row>
    <row r="328" spans="1:8" ht="26.25" customHeight="1" x14ac:dyDescent="0.25">
      <c r="A328" s="89">
        <v>43790</v>
      </c>
      <c r="B328" s="236" t="s">
        <v>1813</v>
      </c>
      <c r="C328" s="237">
        <v>8300</v>
      </c>
      <c r="D328" s="286"/>
      <c r="E328" s="294" t="s">
        <v>122</v>
      </c>
      <c r="F328" s="87"/>
      <c r="G328" s="240" t="s">
        <v>122</v>
      </c>
      <c r="H328" s="92" t="s">
        <v>122</v>
      </c>
    </row>
    <row r="329" spans="1:8" ht="26.25" customHeight="1" x14ac:dyDescent="0.25">
      <c r="A329" s="89">
        <v>43791</v>
      </c>
      <c r="B329" s="236" t="s">
        <v>1813</v>
      </c>
      <c r="C329" s="237">
        <v>8300</v>
      </c>
      <c r="D329" s="286"/>
      <c r="E329" s="294" t="s">
        <v>122</v>
      </c>
      <c r="F329" s="87"/>
      <c r="G329" s="240" t="s">
        <v>122</v>
      </c>
      <c r="H329" s="92" t="s">
        <v>122</v>
      </c>
    </row>
    <row r="330" spans="1:8" ht="26.25" customHeight="1" x14ac:dyDescent="0.25">
      <c r="A330" s="89">
        <v>43792</v>
      </c>
      <c r="B330" s="236" t="s">
        <v>1812</v>
      </c>
      <c r="C330" s="237">
        <v>8400</v>
      </c>
      <c r="D330" s="286"/>
      <c r="E330" s="294" t="s">
        <v>122</v>
      </c>
      <c r="F330" s="87"/>
      <c r="G330" s="240" t="s">
        <v>122</v>
      </c>
      <c r="H330" s="92" t="s">
        <v>122</v>
      </c>
    </row>
    <row r="331" spans="1:8" ht="26.25" customHeight="1" x14ac:dyDescent="0.25">
      <c r="A331" s="89">
        <v>43793</v>
      </c>
      <c r="B331" s="236" t="s">
        <v>1811</v>
      </c>
      <c r="C331" s="237">
        <v>8500</v>
      </c>
      <c r="D331" s="286"/>
      <c r="E331" s="294" t="s">
        <v>122</v>
      </c>
      <c r="F331" s="87"/>
      <c r="G331" s="240" t="s">
        <v>122</v>
      </c>
      <c r="H331" s="92" t="s">
        <v>122</v>
      </c>
    </row>
    <row r="332" spans="1:8" ht="26.25" customHeight="1" x14ac:dyDescent="0.25">
      <c r="A332" s="89">
        <v>43794</v>
      </c>
      <c r="B332" s="236" t="s">
        <v>1811</v>
      </c>
      <c r="C332" s="237">
        <v>8500</v>
      </c>
      <c r="D332" s="286"/>
      <c r="E332" s="294" t="s">
        <v>122</v>
      </c>
      <c r="F332" s="87"/>
      <c r="G332" s="240" t="s">
        <v>122</v>
      </c>
      <c r="H332" s="92" t="s">
        <v>122</v>
      </c>
    </row>
    <row r="333" spans="1:8" ht="26.25" customHeight="1" x14ac:dyDescent="0.25">
      <c r="A333" s="89">
        <v>43795</v>
      </c>
      <c r="B333" s="236" t="s">
        <v>1976</v>
      </c>
      <c r="C333" s="237">
        <v>8700</v>
      </c>
      <c r="D333" s="286"/>
      <c r="E333" s="294" t="s">
        <v>122</v>
      </c>
      <c r="F333" s="87"/>
      <c r="G333" s="240" t="s">
        <v>122</v>
      </c>
      <c r="H333" s="92" t="s">
        <v>122</v>
      </c>
    </row>
    <row r="334" spans="1:8" ht="26.25" customHeight="1" x14ac:dyDescent="0.25">
      <c r="A334" s="89">
        <v>43796</v>
      </c>
      <c r="B334" s="236" t="s">
        <v>1808</v>
      </c>
      <c r="C334" s="237">
        <v>8800</v>
      </c>
      <c r="D334" s="286"/>
      <c r="E334" s="294" t="s">
        <v>122</v>
      </c>
      <c r="F334" s="87"/>
      <c r="G334" s="240" t="s">
        <v>122</v>
      </c>
      <c r="H334" s="92" t="s">
        <v>122</v>
      </c>
    </row>
    <row r="335" spans="1:8" ht="26.25" customHeight="1" x14ac:dyDescent="0.25">
      <c r="A335" s="89">
        <v>43797</v>
      </c>
      <c r="B335" s="236" t="s">
        <v>1806</v>
      </c>
      <c r="C335" s="237">
        <v>9000</v>
      </c>
      <c r="D335" s="286"/>
      <c r="E335" s="294" t="s">
        <v>122</v>
      </c>
      <c r="F335" s="87"/>
      <c r="G335" s="240" t="s">
        <v>122</v>
      </c>
      <c r="H335" s="92" t="s">
        <v>122</v>
      </c>
    </row>
    <row r="336" spans="1:8" ht="26.25" customHeight="1" x14ac:dyDescent="0.25">
      <c r="A336" s="89">
        <v>43798</v>
      </c>
      <c r="B336" s="236" t="s">
        <v>1764</v>
      </c>
      <c r="C336" s="237">
        <v>9300</v>
      </c>
      <c r="D336" s="286"/>
      <c r="E336" s="294" t="s">
        <v>122</v>
      </c>
      <c r="F336" s="87"/>
      <c r="G336" s="240" t="s">
        <v>122</v>
      </c>
      <c r="H336" s="92" t="s">
        <v>122</v>
      </c>
    </row>
    <row r="337" spans="1:8" ht="26.25" customHeight="1" x14ac:dyDescent="0.25">
      <c r="A337" s="89">
        <v>43799</v>
      </c>
      <c r="B337" s="236" t="s">
        <v>1784</v>
      </c>
      <c r="C337" s="237">
        <v>10200</v>
      </c>
      <c r="D337" s="286"/>
      <c r="E337" s="294" t="s">
        <v>122</v>
      </c>
      <c r="F337" s="87"/>
      <c r="G337" s="240" t="s">
        <v>122</v>
      </c>
      <c r="H337" s="92" t="s">
        <v>122</v>
      </c>
    </row>
    <row r="338" spans="1:8" ht="26.25" customHeight="1" x14ac:dyDescent="0.25">
      <c r="A338" s="89">
        <v>43800</v>
      </c>
      <c r="B338" s="236" t="s">
        <v>1841</v>
      </c>
      <c r="C338" s="237">
        <v>13500</v>
      </c>
      <c r="D338" s="286"/>
      <c r="E338" s="294" t="s">
        <v>122</v>
      </c>
      <c r="F338" s="87"/>
      <c r="G338" s="240" t="s">
        <v>122</v>
      </c>
      <c r="H338" s="92" t="s">
        <v>122</v>
      </c>
    </row>
    <row r="339" spans="1:8" ht="26.25" customHeight="1" x14ac:dyDescent="0.25">
      <c r="A339" s="89">
        <v>43801</v>
      </c>
      <c r="B339" s="236" t="s">
        <v>2578</v>
      </c>
      <c r="C339" s="237">
        <v>15000</v>
      </c>
      <c r="D339" s="286"/>
      <c r="E339" s="294" t="s">
        <v>122</v>
      </c>
      <c r="F339" s="87"/>
      <c r="G339" s="240" t="s">
        <v>122</v>
      </c>
      <c r="H339" s="92" t="s">
        <v>122</v>
      </c>
    </row>
    <row r="340" spans="1:8" ht="26.25" customHeight="1" x14ac:dyDescent="0.25">
      <c r="A340" s="89">
        <v>43802</v>
      </c>
      <c r="B340" s="236" t="s">
        <v>2606</v>
      </c>
      <c r="C340" s="237">
        <v>15675</v>
      </c>
      <c r="D340" s="286"/>
      <c r="E340" s="294" t="s">
        <v>122</v>
      </c>
      <c r="F340" s="87"/>
      <c r="G340" s="240" t="s">
        <v>122</v>
      </c>
      <c r="H340" s="92" t="s">
        <v>122</v>
      </c>
    </row>
    <row r="341" spans="1:8" ht="26.25" customHeight="1" x14ac:dyDescent="0.25">
      <c r="A341" s="89">
        <v>43803</v>
      </c>
      <c r="B341" s="236" t="s">
        <v>2488</v>
      </c>
      <c r="C341" s="237">
        <v>16400</v>
      </c>
      <c r="D341" s="286"/>
      <c r="E341" s="294" t="s">
        <v>122</v>
      </c>
      <c r="F341" s="87"/>
      <c r="G341" s="240" t="s">
        <v>122</v>
      </c>
      <c r="H341" s="92" t="s">
        <v>122</v>
      </c>
    </row>
    <row r="342" spans="1:8" ht="26.25" customHeight="1" x14ac:dyDescent="0.25">
      <c r="A342" s="89">
        <v>43804</v>
      </c>
      <c r="B342" s="236" t="s">
        <v>2607</v>
      </c>
      <c r="C342" s="237">
        <v>21100</v>
      </c>
      <c r="D342" s="286"/>
      <c r="E342" s="294" t="s">
        <v>122</v>
      </c>
      <c r="F342" s="87"/>
      <c r="G342" s="240" t="s">
        <v>122</v>
      </c>
      <c r="H342" s="92" t="s">
        <v>122</v>
      </c>
    </row>
    <row r="343" spans="1:8" ht="26.25" customHeight="1" x14ac:dyDescent="0.25">
      <c r="A343" s="89">
        <v>43805</v>
      </c>
      <c r="B343" s="236" t="s">
        <v>1858</v>
      </c>
      <c r="C343" s="237">
        <v>34750</v>
      </c>
      <c r="D343" s="286"/>
      <c r="E343" s="294" t="s">
        <v>122</v>
      </c>
      <c r="F343" s="87"/>
      <c r="G343" s="240" t="s">
        <v>122</v>
      </c>
      <c r="H343" s="239">
        <v>543.33000000000004</v>
      </c>
    </row>
    <row r="344" spans="1:8" ht="26.25" customHeight="1" x14ac:dyDescent="0.25">
      <c r="A344" s="89">
        <v>43806</v>
      </c>
      <c r="B344" s="236" t="s">
        <v>2608</v>
      </c>
      <c r="C344" s="237" t="s">
        <v>2610</v>
      </c>
      <c r="D344" s="286"/>
      <c r="E344" s="294" t="s">
        <v>122</v>
      </c>
      <c r="F344" s="87"/>
      <c r="G344" s="240" t="s">
        <v>122</v>
      </c>
      <c r="H344" s="239">
        <v>6732.27</v>
      </c>
    </row>
    <row r="345" spans="1:8" ht="26.25" customHeight="1" x14ac:dyDescent="0.25">
      <c r="A345" s="89">
        <v>43807</v>
      </c>
      <c r="B345" s="236" t="s">
        <v>1869</v>
      </c>
      <c r="C345" s="237" t="s">
        <v>1879</v>
      </c>
      <c r="D345" s="286"/>
      <c r="E345" s="294" t="s">
        <v>122</v>
      </c>
      <c r="F345" s="87"/>
      <c r="G345" s="240" t="s">
        <v>122</v>
      </c>
      <c r="H345" s="239">
        <v>9075.64</v>
      </c>
    </row>
    <row r="346" spans="1:8" ht="26.25" customHeight="1" x14ac:dyDescent="0.25">
      <c r="A346" s="89">
        <v>43808</v>
      </c>
      <c r="B346" s="236" t="s">
        <v>2295</v>
      </c>
      <c r="C346" s="237">
        <v>38687</v>
      </c>
      <c r="D346" s="286"/>
      <c r="E346" s="294" t="s">
        <v>122</v>
      </c>
      <c r="F346" s="87"/>
      <c r="G346" s="240" t="s">
        <v>122</v>
      </c>
      <c r="H346" s="296" t="s">
        <v>122</v>
      </c>
    </row>
    <row r="347" spans="1:8" ht="26.25" customHeight="1" x14ac:dyDescent="0.25">
      <c r="A347" s="89">
        <v>43809</v>
      </c>
      <c r="B347" s="236" t="s">
        <v>2443</v>
      </c>
      <c r="C347" s="237">
        <v>39229</v>
      </c>
      <c r="D347" s="286"/>
      <c r="E347" s="294" t="s">
        <v>122</v>
      </c>
      <c r="F347" s="87"/>
      <c r="G347" s="240" t="s">
        <v>122</v>
      </c>
      <c r="H347" s="296" t="s">
        <v>122</v>
      </c>
    </row>
    <row r="348" spans="1:8" ht="26.25" customHeight="1" x14ac:dyDescent="0.25">
      <c r="A348" s="89">
        <v>43810</v>
      </c>
      <c r="B348" s="236" t="s">
        <v>2542</v>
      </c>
      <c r="C348" s="237" t="s">
        <v>1877</v>
      </c>
      <c r="D348" s="286"/>
      <c r="E348" s="294" t="s">
        <v>122</v>
      </c>
      <c r="F348" s="87"/>
      <c r="G348" s="240" t="s">
        <v>122</v>
      </c>
      <c r="H348" s="239">
        <v>1710.47</v>
      </c>
    </row>
    <row r="349" spans="1:8" ht="26.25" customHeight="1" x14ac:dyDescent="0.25">
      <c r="A349" s="89">
        <v>43811</v>
      </c>
      <c r="B349" s="236" t="s">
        <v>2609</v>
      </c>
      <c r="C349" s="237" t="s">
        <v>2611</v>
      </c>
      <c r="D349" s="286"/>
      <c r="E349" s="294" t="s">
        <v>122</v>
      </c>
      <c r="F349" s="87"/>
      <c r="G349" s="240" t="s">
        <v>122</v>
      </c>
      <c r="H349" s="239">
        <v>388.82</v>
      </c>
    </row>
    <row r="350" spans="1:8" ht="26.25" customHeight="1" x14ac:dyDescent="0.25">
      <c r="A350" s="89">
        <v>43812</v>
      </c>
      <c r="B350" s="236" t="s">
        <v>2522</v>
      </c>
      <c r="C350" s="237" t="s">
        <v>1876</v>
      </c>
      <c r="D350" s="286"/>
      <c r="E350" s="294" t="s">
        <v>122</v>
      </c>
      <c r="F350" s="87"/>
      <c r="G350" s="240" t="s">
        <v>122</v>
      </c>
      <c r="H350" s="239">
        <v>146.28</v>
      </c>
    </row>
    <row r="351" spans="1:8" ht="26.25" customHeight="1" x14ac:dyDescent="0.25">
      <c r="A351" s="89">
        <v>43813</v>
      </c>
      <c r="B351" s="236" t="s">
        <v>2520</v>
      </c>
      <c r="C351" s="237" t="s">
        <v>2612</v>
      </c>
      <c r="D351" s="286"/>
      <c r="E351" s="294" t="s">
        <v>122</v>
      </c>
      <c r="F351" s="87"/>
      <c r="G351" s="240" t="s">
        <v>122</v>
      </c>
      <c r="H351" s="239">
        <v>808.07</v>
      </c>
    </row>
    <row r="352" spans="1:8" ht="26.25" customHeight="1" x14ac:dyDescent="0.25">
      <c r="A352" s="89">
        <v>43814</v>
      </c>
      <c r="B352" s="236" t="s">
        <v>2542</v>
      </c>
      <c r="C352" s="237" t="s">
        <v>1877</v>
      </c>
      <c r="D352" s="286"/>
      <c r="E352" s="294" t="s">
        <v>122</v>
      </c>
      <c r="F352" s="87"/>
      <c r="G352" s="240" t="s">
        <v>122</v>
      </c>
      <c r="H352" s="239">
        <v>1225.48</v>
      </c>
    </row>
    <row r="353" spans="1:8" ht="26.25" customHeight="1" x14ac:dyDescent="0.25">
      <c r="A353" s="89">
        <v>43815</v>
      </c>
      <c r="B353" s="236" t="s">
        <v>2542</v>
      </c>
      <c r="C353" s="237" t="s">
        <v>1877</v>
      </c>
      <c r="D353" s="286"/>
      <c r="E353" s="294" t="s">
        <v>122</v>
      </c>
      <c r="F353" s="87"/>
      <c r="G353" s="240" t="s">
        <v>122</v>
      </c>
      <c r="H353" s="239">
        <v>1225.48</v>
      </c>
    </row>
    <row r="354" spans="1:8" ht="26.25" customHeight="1" x14ac:dyDescent="0.25">
      <c r="A354" s="89">
        <v>43816</v>
      </c>
      <c r="B354" s="236" t="s">
        <v>2520</v>
      </c>
      <c r="C354" s="237" t="s">
        <v>2612</v>
      </c>
      <c r="D354" s="286"/>
      <c r="E354" s="294" t="s">
        <v>122</v>
      </c>
      <c r="F354" s="87"/>
      <c r="G354" s="240" t="s">
        <v>122</v>
      </c>
      <c r="H354" s="239">
        <v>808.07</v>
      </c>
    </row>
    <row r="355" spans="1:8" ht="26.25" customHeight="1" x14ac:dyDescent="0.25">
      <c r="A355" s="89">
        <v>43817</v>
      </c>
      <c r="B355" s="236" t="s">
        <v>2520</v>
      </c>
      <c r="C355" s="237" t="s">
        <v>2612</v>
      </c>
      <c r="D355" s="286"/>
      <c r="E355" s="294" t="s">
        <v>122</v>
      </c>
      <c r="F355" s="87"/>
      <c r="G355" s="240" t="s">
        <v>122</v>
      </c>
      <c r="H355" s="239">
        <v>805.91</v>
      </c>
    </row>
    <row r="356" spans="1:8" ht="26.25" customHeight="1" x14ac:dyDescent="0.25">
      <c r="A356" s="89">
        <v>43818</v>
      </c>
      <c r="B356" s="236" t="s">
        <v>2520</v>
      </c>
      <c r="C356" s="237" t="s">
        <v>2612</v>
      </c>
      <c r="D356" s="286"/>
      <c r="E356" s="294" t="s">
        <v>122</v>
      </c>
      <c r="F356" s="87"/>
      <c r="G356" s="240" t="s">
        <v>122</v>
      </c>
      <c r="H356" s="239">
        <v>805.91</v>
      </c>
    </row>
    <row r="357" spans="1:8" ht="26.25" customHeight="1" x14ac:dyDescent="0.25">
      <c r="A357" s="89">
        <v>43819</v>
      </c>
      <c r="B357" s="236" t="s">
        <v>2520</v>
      </c>
      <c r="C357" s="237" t="s">
        <v>2612</v>
      </c>
      <c r="D357" s="286"/>
      <c r="E357" s="294" t="s">
        <v>122</v>
      </c>
      <c r="F357" s="87"/>
      <c r="G357" s="240" t="s">
        <v>122</v>
      </c>
      <c r="H357" s="239">
        <v>805.91</v>
      </c>
    </row>
    <row r="358" spans="1:8" ht="26.25" customHeight="1" x14ac:dyDescent="0.25">
      <c r="A358" s="89">
        <v>43820</v>
      </c>
      <c r="B358" s="236" t="s">
        <v>2541</v>
      </c>
      <c r="C358" s="237" t="s">
        <v>2613</v>
      </c>
      <c r="D358" s="286"/>
      <c r="E358" s="294" t="s">
        <v>122</v>
      </c>
      <c r="F358" s="87"/>
      <c r="G358" s="240" t="s">
        <v>122</v>
      </c>
      <c r="H358" s="239">
        <v>2146.14</v>
      </c>
    </row>
    <row r="359" spans="1:8" ht="26.25" customHeight="1" x14ac:dyDescent="0.25">
      <c r="A359" s="89">
        <v>43821</v>
      </c>
      <c r="B359" s="236" t="s">
        <v>2609</v>
      </c>
      <c r="C359" s="237" t="s">
        <v>2611</v>
      </c>
      <c r="D359" s="286"/>
      <c r="E359" s="294" t="s">
        <v>122</v>
      </c>
      <c r="F359" s="87"/>
      <c r="G359" s="240" t="s">
        <v>122</v>
      </c>
      <c r="H359" s="239">
        <v>1251.3399999999999</v>
      </c>
    </row>
    <row r="360" spans="1:8" ht="26.25" customHeight="1" x14ac:dyDescent="0.25">
      <c r="A360" s="89">
        <v>43822</v>
      </c>
      <c r="B360" s="236" t="s">
        <v>2609</v>
      </c>
      <c r="C360" s="237" t="s">
        <v>2611</v>
      </c>
      <c r="D360" s="286"/>
      <c r="E360" s="294" t="s">
        <v>122</v>
      </c>
      <c r="F360" s="87"/>
      <c r="G360" s="240" t="s">
        <v>122</v>
      </c>
      <c r="H360" s="239">
        <v>1882.23</v>
      </c>
    </row>
    <row r="361" spans="1:8" ht="26.25" customHeight="1" x14ac:dyDescent="0.25">
      <c r="A361" s="89">
        <v>43823</v>
      </c>
      <c r="B361" s="236" t="s">
        <v>2520</v>
      </c>
      <c r="C361" s="237" t="s">
        <v>2612</v>
      </c>
      <c r="D361" s="286"/>
      <c r="E361" s="294" t="s">
        <v>122</v>
      </c>
      <c r="F361" s="87"/>
      <c r="G361" s="240" t="s">
        <v>122</v>
      </c>
      <c r="H361" s="239">
        <v>2070.04</v>
      </c>
    </row>
    <row r="362" spans="1:8" ht="26.25" customHeight="1" x14ac:dyDescent="0.25">
      <c r="A362" s="89">
        <v>43824</v>
      </c>
      <c r="B362" s="236" t="s">
        <v>2539</v>
      </c>
      <c r="C362" s="237" t="s">
        <v>1881</v>
      </c>
      <c r="D362" s="286"/>
      <c r="E362" s="294" t="s">
        <v>122</v>
      </c>
      <c r="F362" s="87"/>
      <c r="G362" s="240" t="s">
        <v>122</v>
      </c>
      <c r="H362" s="239">
        <v>1711.33</v>
      </c>
    </row>
    <row r="363" spans="1:8" ht="26.25" customHeight="1" x14ac:dyDescent="0.25">
      <c r="A363" s="89">
        <v>43825</v>
      </c>
      <c r="B363" s="236" t="s">
        <v>1868</v>
      </c>
      <c r="C363" s="237">
        <v>36250</v>
      </c>
      <c r="D363" s="286"/>
      <c r="E363" s="294" t="s">
        <v>122</v>
      </c>
      <c r="F363" s="87"/>
      <c r="G363" s="240" t="s">
        <v>122</v>
      </c>
      <c r="H363" s="239">
        <v>1249.3499999999999</v>
      </c>
    </row>
    <row r="364" spans="1:8" ht="26.25" customHeight="1" x14ac:dyDescent="0.25">
      <c r="A364" s="89">
        <v>43826</v>
      </c>
      <c r="B364" s="236" t="s">
        <v>2538</v>
      </c>
      <c r="C364" s="237" t="s">
        <v>2614</v>
      </c>
      <c r="D364" s="286"/>
      <c r="E364" s="294" t="s">
        <v>122</v>
      </c>
      <c r="F364" s="87"/>
      <c r="G364" s="240" t="s">
        <v>122</v>
      </c>
      <c r="H364" s="239">
        <v>51.58</v>
      </c>
    </row>
    <row r="365" spans="1:8" ht="26.25" customHeight="1" x14ac:dyDescent="0.25">
      <c r="A365" s="89">
        <v>43827</v>
      </c>
      <c r="B365" s="236" t="s">
        <v>1868</v>
      </c>
      <c r="C365" s="237">
        <v>36250</v>
      </c>
      <c r="D365" s="286"/>
      <c r="E365" s="294" t="s">
        <v>122</v>
      </c>
      <c r="F365" s="87"/>
      <c r="G365" s="240" t="s">
        <v>122</v>
      </c>
      <c r="H365" s="92" t="s">
        <v>122</v>
      </c>
    </row>
    <row r="366" spans="1:8" ht="26.25" customHeight="1" x14ac:dyDescent="0.25">
      <c r="A366" s="89">
        <v>43828</v>
      </c>
      <c r="B366" s="236" t="s">
        <v>1868</v>
      </c>
      <c r="C366" s="237">
        <v>36250</v>
      </c>
      <c r="D366" s="286"/>
      <c r="E366" s="294" t="s">
        <v>122</v>
      </c>
      <c r="F366" s="87"/>
      <c r="G366" s="240" t="s">
        <v>122</v>
      </c>
      <c r="H366" s="92" t="s">
        <v>122</v>
      </c>
    </row>
    <row r="367" spans="1:8" ht="26.25" customHeight="1" x14ac:dyDescent="0.25">
      <c r="A367" s="89">
        <v>43829</v>
      </c>
      <c r="B367" s="236" t="s">
        <v>1868</v>
      </c>
      <c r="C367" s="237">
        <v>36250</v>
      </c>
      <c r="D367" s="286"/>
      <c r="E367" s="294" t="s">
        <v>122</v>
      </c>
      <c r="F367" s="87"/>
      <c r="G367" s="240" t="s">
        <v>122</v>
      </c>
      <c r="H367" s="92" t="s">
        <v>122</v>
      </c>
    </row>
    <row r="368" spans="1:8" ht="26.25" customHeight="1" thickBot="1" x14ac:dyDescent="0.3">
      <c r="A368" s="90">
        <v>43830</v>
      </c>
      <c r="B368" s="297" t="s">
        <v>2443</v>
      </c>
      <c r="C368" s="298">
        <v>35750</v>
      </c>
      <c r="D368" s="299"/>
      <c r="E368" s="300" t="s">
        <v>122</v>
      </c>
      <c r="F368" s="301"/>
      <c r="G368" s="302" t="s">
        <v>122</v>
      </c>
      <c r="H368" s="303" t="s">
        <v>122</v>
      </c>
    </row>
  </sheetData>
  <mergeCells count="6">
    <mergeCell ref="A1:H1"/>
    <mergeCell ref="H2:H3"/>
    <mergeCell ref="A2:A3"/>
    <mergeCell ref="B2:B3"/>
    <mergeCell ref="C2:C3"/>
    <mergeCell ref="D2:G2"/>
  </mergeCells>
  <printOptions horizontalCentered="1"/>
  <pageMargins left="1.2"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395"/>
  <sheetViews>
    <sheetView topLeftCell="A53" workbookViewId="0">
      <selection activeCell="B63" sqref="B63"/>
    </sheetView>
  </sheetViews>
  <sheetFormatPr defaultRowHeight="15" x14ac:dyDescent="0.25"/>
  <cols>
    <col min="1" max="3" width="12" customWidth="1"/>
    <col min="4" max="4" width="0.140625" customWidth="1"/>
    <col min="5" max="5" width="11.28515625" customWidth="1"/>
    <col min="6" max="6" width="6.5703125" style="305" customWidth="1"/>
    <col min="7" max="7" width="8.28515625" style="307" customWidth="1"/>
    <col min="8" max="8" width="7.5703125" style="305" customWidth="1"/>
    <col min="9" max="9" width="10" customWidth="1"/>
    <col min="10" max="10" width="10.7109375" customWidth="1"/>
    <col min="258" max="259" width="12" customWidth="1"/>
    <col min="260" max="260" width="0.140625" customWidth="1"/>
    <col min="261" max="261" width="17" customWidth="1"/>
    <col min="262" max="262" width="9.140625" customWidth="1"/>
    <col min="263" max="263" width="10.28515625" customWidth="1"/>
    <col min="264" max="264" width="9.7109375" customWidth="1"/>
    <col min="265" max="265" width="10" customWidth="1"/>
    <col min="514" max="515" width="12" customWidth="1"/>
    <col min="516" max="516" width="0.140625" customWidth="1"/>
    <col min="517" max="517" width="17" customWidth="1"/>
    <col min="518" max="518" width="9.140625" customWidth="1"/>
    <col min="519" max="519" width="10.28515625" customWidth="1"/>
    <col min="520" max="520" width="9.7109375" customWidth="1"/>
    <col min="521" max="521" width="10" customWidth="1"/>
    <col min="770" max="771" width="12" customWidth="1"/>
    <col min="772" max="772" width="0.140625" customWidth="1"/>
    <col min="773" max="773" width="17" customWidth="1"/>
    <col min="774" max="774" width="9.140625" customWidth="1"/>
    <col min="775" max="775" width="10.28515625" customWidth="1"/>
    <col min="776" max="776" width="9.7109375" customWidth="1"/>
    <col min="777" max="777" width="10" customWidth="1"/>
    <col min="1026" max="1027" width="12" customWidth="1"/>
    <col min="1028" max="1028" width="0.140625" customWidth="1"/>
    <col min="1029" max="1029" width="17" customWidth="1"/>
    <col min="1030" max="1030" width="9.140625" customWidth="1"/>
    <col min="1031" max="1031" width="10.28515625" customWidth="1"/>
    <col min="1032" max="1032" width="9.7109375" customWidth="1"/>
    <col min="1033" max="1033" width="10" customWidth="1"/>
    <col min="1282" max="1283" width="12" customWidth="1"/>
    <col min="1284" max="1284" width="0.140625" customWidth="1"/>
    <col min="1285" max="1285" width="17" customWidth="1"/>
    <col min="1286" max="1286" width="9.140625" customWidth="1"/>
    <col min="1287" max="1287" width="10.28515625" customWidth="1"/>
    <col min="1288" max="1288" width="9.7109375" customWidth="1"/>
    <col min="1289" max="1289" width="10" customWidth="1"/>
    <col min="1538" max="1539" width="12" customWidth="1"/>
    <col min="1540" max="1540" width="0.140625" customWidth="1"/>
    <col min="1541" max="1541" width="17" customWidth="1"/>
    <col min="1542" max="1542" width="9.140625" customWidth="1"/>
    <col min="1543" max="1543" width="10.28515625" customWidth="1"/>
    <col min="1544" max="1544" width="9.7109375" customWidth="1"/>
    <col min="1545" max="1545" width="10" customWidth="1"/>
    <col min="1794" max="1795" width="12" customWidth="1"/>
    <col min="1796" max="1796" width="0.140625" customWidth="1"/>
    <col min="1797" max="1797" width="17" customWidth="1"/>
    <col min="1798" max="1798" width="9.140625" customWidth="1"/>
    <col min="1799" max="1799" width="10.28515625" customWidth="1"/>
    <col min="1800" max="1800" width="9.7109375" customWidth="1"/>
    <col min="1801" max="1801" width="10" customWidth="1"/>
    <col min="2050" max="2051" width="12" customWidth="1"/>
    <col min="2052" max="2052" width="0.140625" customWidth="1"/>
    <col min="2053" max="2053" width="17" customWidth="1"/>
    <col min="2054" max="2054" width="9.140625" customWidth="1"/>
    <col min="2055" max="2055" width="10.28515625" customWidth="1"/>
    <col min="2056" max="2056" width="9.7109375" customWidth="1"/>
    <col min="2057" max="2057" width="10" customWidth="1"/>
    <col min="2306" max="2307" width="12" customWidth="1"/>
    <col min="2308" max="2308" width="0.140625" customWidth="1"/>
    <col min="2309" max="2309" width="17" customWidth="1"/>
    <col min="2310" max="2310" width="9.140625" customWidth="1"/>
    <col min="2311" max="2311" width="10.28515625" customWidth="1"/>
    <col min="2312" max="2312" width="9.7109375" customWidth="1"/>
    <col min="2313" max="2313" width="10" customWidth="1"/>
    <col min="2562" max="2563" width="12" customWidth="1"/>
    <col min="2564" max="2564" width="0.140625" customWidth="1"/>
    <col min="2565" max="2565" width="17" customWidth="1"/>
    <col min="2566" max="2566" width="9.140625" customWidth="1"/>
    <col min="2567" max="2567" width="10.28515625" customWidth="1"/>
    <col min="2568" max="2568" width="9.7109375" customWidth="1"/>
    <col min="2569" max="2569" width="10" customWidth="1"/>
    <col min="2818" max="2819" width="12" customWidth="1"/>
    <col min="2820" max="2820" width="0.140625" customWidth="1"/>
    <col min="2821" max="2821" width="17" customWidth="1"/>
    <col min="2822" max="2822" width="9.140625" customWidth="1"/>
    <col min="2823" max="2823" width="10.28515625" customWidth="1"/>
    <col min="2824" max="2824" width="9.7109375" customWidth="1"/>
    <col min="2825" max="2825" width="10" customWidth="1"/>
    <col min="3074" max="3075" width="12" customWidth="1"/>
    <col min="3076" max="3076" width="0.140625" customWidth="1"/>
    <col min="3077" max="3077" width="17" customWidth="1"/>
    <col min="3078" max="3078" width="9.140625" customWidth="1"/>
    <col min="3079" max="3079" width="10.28515625" customWidth="1"/>
    <col min="3080" max="3080" width="9.7109375" customWidth="1"/>
    <col min="3081" max="3081" width="10" customWidth="1"/>
    <col min="3330" max="3331" width="12" customWidth="1"/>
    <col min="3332" max="3332" width="0.140625" customWidth="1"/>
    <col min="3333" max="3333" width="17" customWidth="1"/>
    <col min="3334" max="3334" width="9.140625" customWidth="1"/>
    <col min="3335" max="3335" width="10.28515625" customWidth="1"/>
    <col min="3336" max="3336" width="9.7109375" customWidth="1"/>
    <col min="3337" max="3337" width="10" customWidth="1"/>
    <col min="3586" max="3587" width="12" customWidth="1"/>
    <col min="3588" max="3588" width="0.140625" customWidth="1"/>
    <col min="3589" max="3589" width="17" customWidth="1"/>
    <col min="3590" max="3590" width="9.140625" customWidth="1"/>
    <col min="3591" max="3591" width="10.28515625" customWidth="1"/>
    <col min="3592" max="3592" width="9.7109375" customWidth="1"/>
    <col min="3593" max="3593" width="10" customWidth="1"/>
    <col min="3842" max="3843" width="12" customWidth="1"/>
    <col min="3844" max="3844" width="0.140625" customWidth="1"/>
    <col min="3845" max="3845" width="17" customWidth="1"/>
    <col min="3846" max="3846" width="9.140625" customWidth="1"/>
    <col min="3847" max="3847" width="10.28515625" customWidth="1"/>
    <col min="3848" max="3848" width="9.7109375" customWidth="1"/>
    <col min="3849" max="3849" width="10" customWidth="1"/>
    <col min="4098" max="4099" width="12" customWidth="1"/>
    <col min="4100" max="4100" width="0.140625" customWidth="1"/>
    <col min="4101" max="4101" width="17" customWidth="1"/>
    <col min="4102" max="4102" width="9.140625" customWidth="1"/>
    <col min="4103" max="4103" width="10.28515625" customWidth="1"/>
    <col min="4104" max="4104" width="9.7109375" customWidth="1"/>
    <col min="4105" max="4105" width="10" customWidth="1"/>
    <col min="4354" max="4355" width="12" customWidth="1"/>
    <col min="4356" max="4356" width="0.140625" customWidth="1"/>
    <col min="4357" max="4357" width="17" customWidth="1"/>
    <col min="4358" max="4358" width="9.140625" customWidth="1"/>
    <col min="4359" max="4359" width="10.28515625" customWidth="1"/>
    <col min="4360" max="4360" width="9.7109375" customWidth="1"/>
    <col min="4361" max="4361" width="10" customWidth="1"/>
    <col min="4610" max="4611" width="12" customWidth="1"/>
    <col min="4612" max="4612" width="0.140625" customWidth="1"/>
    <col min="4613" max="4613" width="17" customWidth="1"/>
    <col min="4614" max="4614" width="9.140625" customWidth="1"/>
    <col min="4615" max="4615" width="10.28515625" customWidth="1"/>
    <col min="4616" max="4616" width="9.7109375" customWidth="1"/>
    <col min="4617" max="4617" width="10" customWidth="1"/>
    <col min="4866" max="4867" width="12" customWidth="1"/>
    <col min="4868" max="4868" width="0.140625" customWidth="1"/>
    <col min="4869" max="4869" width="17" customWidth="1"/>
    <col min="4870" max="4870" width="9.140625" customWidth="1"/>
    <col min="4871" max="4871" width="10.28515625" customWidth="1"/>
    <col min="4872" max="4872" width="9.7109375" customWidth="1"/>
    <col min="4873" max="4873" width="10" customWidth="1"/>
    <col min="5122" max="5123" width="12" customWidth="1"/>
    <col min="5124" max="5124" width="0.140625" customWidth="1"/>
    <col min="5125" max="5125" width="17" customWidth="1"/>
    <col min="5126" max="5126" width="9.140625" customWidth="1"/>
    <col min="5127" max="5127" width="10.28515625" customWidth="1"/>
    <col min="5128" max="5128" width="9.7109375" customWidth="1"/>
    <col min="5129" max="5129" width="10" customWidth="1"/>
    <col min="5378" max="5379" width="12" customWidth="1"/>
    <col min="5380" max="5380" width="0.140625" customWidth="1"/>
    <col min="5381" max="5381" width="17" customWidth="1"/>
    <col min="5382" max="5382" width="9.140625" customWidth="1"/>
    <col min="5383" max="5383" width="10.28515625" customWidth="1"/>
    <col min="5384" max="5384" width="9.7109375" customWidth="1"/>
    <col min="5385" max="5385" width="10" customWidth="1"/>
    <col min="5634" max="5635" width="12" customWidth="1"/>
    <col min="5636" max="5636" width="0.140625" customWidth="1"/>
    <col min="5637" max="5637" width="17" customWidth="1"/>
    <col min="5638" max="5638" width="9.140625" customWidth="1"/>
    <col min="5639" max="5639" width="10.28515625" customWidth="1"/>
    <col min="5640" max="5640" width="9.7109375" customWidth="1"/>
    <col min="5641" max="5641" width="10" customWidth="1"/>
    <col min="5890" max="5891" width="12" customWidth="1"/>
    <col min="5892" max="5892" width="0.140625" customWidth="1"/>
    <col min="5893" max="5893" width="17" customWidth="1"/>
    <col min="5894" max="5894" width="9.140625" customWidth="1"/>
    <col min="5895" max="5895" width="10.28515625" customWidth="1"/>
    <col min="5896" max="5896" width="9.7109375" customWidth="1"/>
    <col min="5897" max="5897" width="10" customWidth="1"/>
    <col min="6146" max="6147" width="12" customWidth="1"/>
    <col min="6148" max="6148" width="0.140625" customWidth="1"/>
    <col min="6149" max="6149" width="17" customWidth="1"/>
    <col min="6150" max="6150" width="9.140625" customWidth="1"/>
    <col min="6151" max="6151" width="10.28515625" customWidth="1"/>
    <col min="6152" max="6152" width="9.7109375" customWidth="1"/>
    <col min="6153" max="6153" width="10" customWidth="1"/>
    <col min="6402" max="6403" width="12" customWidth="1"/>
    <col min="6404" max="6404" width="0.140625" customWidth="1"/>
    <col min="6405" max="6405" width="17" customWidth="1"/>
    <col min="6406" max="6406" width="9.140625" customWidth="1"/>
    <col min="6407" max="6407" width="10.28515625" customWidth="1"/>
    <col min="6408" max="6408" width="9.7109375" customWidth="1"/>
    <col min="6409" max="6409" width="10" customWidth="1"/>
    <col min="6658" max="6659" width="12" customWidth="1"/>
    <col min="6660" max="6660" width="0.140625" customWidth="1"/>
    <col min="6661" max="6661" width="17" customWidth="1"/>
    <col min="6662" max="6662" width="9.140625" customWidth="1"/>
    <col min="6663" max="6663" width="10.28515625" customWidth="1"/>
    <col min="6664" max="6664" width="9.7109375" customWidth="1"/>
    <col min="6665" max="6665" width="10" customWidth="1"/>
    <col min="6914" max="6915" width="12" customWidth="1"/>
    <col min="6916" max="6916" width="0.140625" customWidth="1"/>
    <col min="6917" max="6917" width="17" customWidth="1"/>
    <col min="6918" max="6918" width="9.140625" customWidth="1"/>
    <col min="6919" max="6919" width="10.28515625" customWidth="1"/>
    <col min="6920" max="6920" width="9.7109375" customWidth="1"/>
    <col min="6921" max="6921" width="10" customWidth="1"/>
    <col min="7170" max="7171" width="12" customWidth="1"/>
    <col min="7172" max="7172" width="0.140625" customWidth="1"/>
    <col min="7173" max="7173" width="17" customWidth="1"/>
    <col min="7174" max="7174" width="9.140625" customWidth="1"/>
    <col min="7175" max="7175" width="10.28515625" customWidth="1"/>
    <col min="7176" max="7176" width="9.7109375" customWidth="1"/>
    <col min="7177" max="7177" width="10" customWidth="1"/>
    <col min="7426" max="7427" width="12" customWidth="1"/>
    <col min="7428" max="7428" width="0.140625" customWidth="1"/>
    <col min="7429" max="7429" width="17" customWidth="1"/>
    <col min="7430" max="7430" width="9.140625" customWidth="1"/>
    <col min="7431" max="7431" width="10.28515625" customWidth="1"/>
    <col min="7432" max="7432" width="9.7109375" customWidth="1"/>
    <col min="7433" max="7433" width="10" customWidth="1"/>
    <col min="7682" max="7683" width="12" customWidth="1"/>
    <col min="7684" max="7684" width="0.140625" customWidth="1"/>
    <col min="7685" max="7685" width="17" customWidth="1"/>
    <col min="7686" max="7686" width="9.140625" customWidth="1"/>
    <col min="7687" max="7687" width="10.28515625" customWidth="1"/>
    <col min="7688" max="7688" width="9.7109375" customWidth="1"/>
    <col min="7689" max="7689" width="10" customWidth="1"/>
    <col min="7938" max="7939" width="12" customWidth="1"/>
    <col min="7940" max="7940" width="0.140625" customWidth="1"/>
    <col min="7941" max="7941" width="17" customWidth="1"/>
    <col min="7942" max="7942" width="9.140625" customWidth="1"/>
    <col min="7943" max="7943" width="10.28515625" customWidth="1"/>
    <col min="7944" max="7944" width="9.7109375" customWidth="1"/>
    <col min="7945" max="7945" width="10" customWidth="1"/>
    <col min="8194" max="8195" width="12" customWidth="1"/>
    <col min="8196" max="8196" width="0.140625" customWidth="1"/>
    <col min="8197" max="8197" width="17" customWidth="1"/>
    <col min="8198" max="8198" width="9.140625" customWidth="1"/>
    <col min="8199" max="8199" width="10.28515625" customWidth="1"/>
    <col min="8200" max="8200" width="9.7109375" customWidth="1"/>
    <col min="8201" max="8201" width="10" customWidth="1"/>
    <col min="8450" max="8451" width="12" customWidth="1"/>
    <col min="8452" max="8452" width="0.140625" customWidth="1"/>
    <col min="8453" max="8453" width="17" customWidth="1"/>
    <col min="8454" max="8454" width="9.140625" customWidth="1"/>
    <col min="8455" max="8455" width="10.28515625" customWidth="1"/>
    <col min="8456" max="8456" width="9.7109375" customWidth="1"/>
    <col min="8457" max="8457" width="10" customWidth="1"/>
    <col min="8706" max="8707" width="12" customWidth="1"/>
    <col min="8708" max="8708" width="0.140625" customWidth="1"/>
    <col min="8709" max="8709" width="17" customWidth="1"/>
    <col min="8710" max="8710" width="9.140625" customWidth="1"/>
    <col min="8711" max="8711" width="10.28515625" customWidth="1"/>
    <col min="8712" max="8712" width="9.7109375" customWidth="1"/>
    <col min="8713" max="8713" width="10" customWidth="1"/>
    <col min="8962" max="8963" width="12" customWidth="1"/>
    <col min="8964" max="8964" width="0.140625" customWidth="1"/>
    <col min="8965" max="8965" width="17" customWidth="1"/>
    <col min="8966" max="8966" width="9.140625" customWidth="1"/>
    <col min="8967" max="8967" width="10.28515625" customWidth="1"/>
    <col min="8968" max="8968" width="9.7109375" customWidth="1"/>
    <col min="8969" max="8969" width="10" customWidth="1"/>
    <col min="9218" max="9219" width="12" customWidth="1"/>
    <col min="9220" max="9220" width="0.140625" customWidth="1"/>
    <col min="9221" max="9221" width="17" customWidth="1"/>
    <col min="9222" max="9222" width="9.140625" customWidth="1"/>
    <col min="9223" max="9223" width="10.28515625" customWidth="1"/>
    <col min="9224" max="9224" width="9.7109375" customWidth="1"/>
    <col min="9225" max="9225" width="10" customWidth="1"/>
    <col min="9474" max="9475" width="12" customWidth="1"/>
    <col min="9476" max="9476" width="0.140625" customWidth="1"/>
    <col min="9477" max="9477" width="17" customWidth="1"/>
    <col min="9478" max="9478" width="9.140625" customWidth="1"/>
    <col min="9479" max="9479" width="10.28515625" customWidth="1"/>
    <col min="9480" max="9480" width="9.7109375" customWidth="1"/>
    <col min="9481" max="9481" width="10" customWidth="1"/>
    <col min="9730" max="9731" width="12" customWidth="1"/>
    <col min="9732" max="9732" width="0.140625" customWidth="1"/>
    <col min="9733" max="9733" width="17" customWidth="1"/>
    <col min="9734" max="9734" width="9.140625" customWidth="1"/>
    <col min="9735" max="9735" width="10.28515625" customWidth="1"/>
    <col min="9736" max="9736" width="9.7109375" customWidth="1"/>
    <col min="9737" max="9737" width="10" customWidth="1"/>
    <col min="9986" max="9987" width="12" customWidth="1"/>
    <col min="9988" max="9988" width="0.140625" customWidth="1"/>
    <col min="9989" max="9989" width="17" customWidth="1"/>
    <col min="9990" max="9990" width="9.140625" customWidth="1"/>
    <col min="9991" max="9991" width="10.28515625" customWidth="1"/>
    <col min="9992" max="9992" width="9.7109375" customWidth="1"/>
    <col min="9993" max="9993" width="10" customWidth="1"/>
    <col min="10242" max="10243" width="12" customWidth="1"/>
    <col min="10244" max="10244" width="0.140625" customWidth="1"/>
    <col min="10245" max="10245" width="17" customWidth="1"/>
    <col min="10246" max="10246" width="9.140625" customWidth="1"/>
    <col min="10247" max="10247" width="10.28515625" customWidth="1"/>
    <col min="10248" max="10248" width="9.7109375" customWidth="1"/>
    <col min="10249" max="10249" width="10" customWidth="1"/>
    <col min="10498" max="10499" width="12" customWidth="1"/>
    <col min="10500" max="10500" width="0.140625" customWidth="1"/>
    <col min="10501" max="10501" width="17" customWidth="1"/>
    <col min="10502" max="10502" width="9.140625" customWidth="1"/>
    <col min="10503" max="10503" width="10.28515625" customWidth="1"/>
    <col min="10504" max="10504" width="9.7109375" customWidth="1"/>
    <col min="10505" max="10505" width="10" customWidth="1"/>
    <col min="10754" max="10755" width="12" customWidth="1"/>
    <col min="10756" max="10756" width="0.140625" customWidth="1"/>
    <col min="10757" max="10757" width="17" customWidth="1"/>
    <col min="10758" max="10758" width="9.140625" customWidth="1"/>
    <col min="10759" max="10759" width="10.28515625" customWidth="1"/>
    <col min="10760" max="10760" width="9.7109375" customWidth="1"/>
    <col min="10761" max="10761" width="10" customWidth="1"/>
    <col min="11010" max="11011" width="12" customWidth="1"/>
    <col min="11012" max="11012" width="0.140625" customWidth="1"/>
    <col min="11013" max="11013" width="17" customWidth="1"/>
    <col min="11014" max="11014" width="9.140625" customWidth="1"/>
    <col min="11015" max="11015" width="10.28515625" customWidth="1"/>
    <col min="11016" max="11016" width="9.7109375" customWidth="1"/>
    <col min="11017" max="11017" width="10" customWidth="1"/>
    <col min="11266" max="11267" width="12" customWidth="1"/>
    <col min="11268" max="11268" width="0.140625" customWidth="1"/>
    <col min="11269" max="11269" width="17" customWidth="1"/>
    <col min="11270" max="11270" width="9.140625" customWidth="1"/>
    <col min="11271" max="11271" width="10.28515625" customWidth="1"/>
    <col min="11272" max="11272" width="9.7109375" customWidth="1"/>
    <col min="11273" max="11273" width="10" customWidth="1"/>
    <col min="11522" max="11523" width="12" customWidth="1"/>
    <col min="11524" max="11524" width="0.140625" customWidth="1"/>
    <col min="11525" max="11525" width="17" customWidth="1"/>
    <col min="11526" max="11526" width="9.140625" customWidth="1"/>
    <col min="11527" max="11527" width="10.28515625" customWidth="1"/>
    <col min="11528" max="11528" width="9.7109375" customWidth="1"/>
    <col min="11529" max="11529" width="10" customWidth="1"/>
    <col min="11778" max="11779" width="12" customWidth="1"/>
    <col min="11780" max="11780" width="0.140625" customWidth="1"/>
    <col min="11781" max="11781" width="17" customWidth="1"/>
    <col min="11782" max="11782" width="9.140625" customWidth="1"/>
    <col min="11783" max="11783" width="10.28515625" customWidth="1"/>
    <col min="11784" max="11784" width="9.7109375" customWidth="1"/>
    <col min="11785" max="11785" width="10" customWidth="1"/>
    <col min="12034" max="12035" width="12" customWidth="1"/>
    <col min="12036" max="12036" width="0.140625" customWidth="1"/>
    <col min="12037" max="12037" width="17" customWidth="1"/>
    <col min="12038" max="12038" width="9.140625" customWidth="1"/>
    <col min="12039" max="12039" width="10.28515625" customWidth="1"/>
    <col min="12040" max="12040" width="9.7109375" customWidth="1"/>
    <col min="12041" max="12041" width="10" customWidth="1"/>
    <col min="12290" max="12291" width="12" customWidth="1"/>
    <col min="12292" max="12292" width="0.140625" customWidth="1"/>
    <col min="12293" max="12293" width="17" customWidth="1"/>
    <col min="12294" max="12294" width="9.140625" customWidth="1"/>
    <col min="12295" max="12295" width="10.28515625" customWidth="1"/>
    <col min="12296" max="12296" width="9.7109375" customWidth="1"/>
    <col min="12297" max="12297" width="10" customWidth="1"/>
    <col min="12546" max="12547" width="12" customWidth="1"/>
    <col min="12548" max="12548" width="0.140625" customWidth="1"/>
    <col min="12549" max="12549" width="17" customWidth="1"/>
    <col min="12550" max="12550" width="9.140625" customWidth="1"/>
    <col min="12551" max="12551" width="10.28515625" customWidth="1"/>
    <col min="12552" max="12552" width="9.7109375" customWidth="1"/>
    <col min="12553" max="12553" width="10" customWidth="1"/>
    <col min="12802" max="12803" width="12" customWidth="1"/>
    <col min="12804" max="12804" width="0.140625" customWidth="1"/>
    <col min="12805" max="12805" width="17" customWidth="1"/>
    <col min="12806" max="12806" width="9.140625" customWidth="1"/>
    <col min="12807" max="12807" width="10.28515625" customWidth="1"/>
    <col min="12808" max="12808" width="9.7109375" customWidth="1"/>
    <col min="12809" max="12809" width="10" customWidth="1"/>
    <col min="13058" max="13059" width="12" customWidth="1"/>
    <col min="13060" max="13060" width="0.140625" customWidth="1"/>
    <col min="13061" max="13061" width="17" customWidth="1"/>
    <col min="13062" max="13062" width="9.140625" customWidth="1"/>
    <col min="13063" max="13063" width="10.28515625" customWidth="1"/>
    <col min="13064" max="13064" width="9.7109375" customWidth="1"/>
    <col min="13065" max="13065" width="10" customWidth="1"/>
    <col min="13314" max="13315" width="12" customWidth="1"/>
    <col min="13316" max="13316" width="0.140625" customWidth="1"/>
    <col min="13317" max="13317" width="17" customWidth="1"/>
    <col min="13318" max="13318" width="9.140625" customWidth="1"/>
    <col min="13319" max="13319" width="10.28515625" customWidth="1"/>
    <col min="13320" max="13320" width="9.7109375" customWidth="1"/>
    <col min="13321" max="13321" width="10" customWidth="1"/>
    <col min="13570" max="13571" width="12" customWidth="1"/>
    <col min="13572" max="13572" width="0.140625" customWidth="1"/>
    <col min="13573" max="13573" width="17" customWidth="1"/>
    <col min="13574" max="13574" width="9.140625" customWidth="1"/>
    <col min="13575" max="13575" width="10.28515625" customWidth="1"/>
    <col min="13576" max="13576" width="9.7109375" customWidth="1"/>
    <col min="13577" max="13577" width="10" customWidth="1"/>
    <col min="13826" max="13827" width="12" customWidth="1"/>
    <col min="13828" max="13828" width="0.140625" customWidth="1"/>
    <col min="13829" max="13829" width="17" customWidth="1"/>
    <col min="13830" max="13830" width="9.140625" customWidth="1"/>
    <col min="13831" max="13831" width="10.28515625" customWidth="1"/>
    <col min="13832" max="13832" width="9.7109375" customWidth="1"/>
    <col min="13833" max="13833" width="10" customWidth="1"/>
    <col min="14082" max="14083" width="12" customWidth="1"/>
    <col min="14084" max="14084" width="0.140625" customWidth="1"/>
    <col min="14085" max="14085" width="17" customWidth="1"/>
    <col min="14086" max="14086" width="9.140625" customWidth="1"/>
    <col min="14087" max="14087" width="10.28515625" customWidth="1"/>
    <col min="14088" max="14088" width="9.7109375" customWidth="1"/>
    <col min="14089" max="14089" width="10" customWidth="1"/>
    <col min="14338" max="14339" width="12" customWidth="1"/>
    <col min="14340" max="14340" width="0.140625" customWidth="1"/>
    <col min="14341" max="14341" width="17" customWidth="1"/>
    <col min="14342" max="14342" width="9.140625" customWidth="1"/>
    <col min="14343" max="14343" width="10.28515625" customWidth="1"/>
    <col min="14344" max="14344" width="9.7109375" customWidth="1"/>
    <col min="14345" max="14345" width="10" customWidth="1"/>
    <col min="14594" max="14595" width="12" customWidth="1"/>
    <col min="14596" max="14596" width="0.140625" customWidth="1"/>
    <col min="14597" max="14597" width="17" customWidth="1"/>
    <col min="14598" max="14598" width="9.140625" customWidth="1"/>
    <col min="14599" max="14599" width="10.28515625" customWidth="1"/>
    <col min="14600" max="14600" width="9.7109375" customWidth="1"/>
    <col min="14601" max="14601" width="10" customWidth="1"/>
    <col min="14850" max="14851" width="12" customWidth="1"/>
    <col min="14852" max="14852" width="0.140625" customWidth="1"/>
    <col min="14853" max="14853" width="17" customWidth="1"/>
    <col min="14854" max="14854" width="9.140625" customWidth="1"/>
    <col min="14855" max="14855" width="10.28515625" customWidth="1"/>
    <col min="14856" max="14856" width="9.7109375" customWidth="1"/>
    <col min="14857" max="14857" width="10" customWidth="1"/>
    <col min="15106" max="15107" width="12" customWidth="1"/>
    <col min="15108" max="15108" width="0.140625" customWidth="1"/>
    <col min="15109" max="15109" width="17" customWidth="1"/>
    <col min="15110" max="15110" width="9.140625" customWidth="1"/>
    <col min="15111" max="15111" width="10.28515625" customWidth="1"/>
    <col min="15112" max="15112" width="9.7109375" customWidth="1"/>
    <col min="15113" max="15113" width="10" customWidth="1"/>
    <col min="15362" max="15363" width="12" customWidth="1"/>
    <col min="15364" max="15364" width="0.140625" customWidth="1"/>
    <col min="15365" max="15365" width="17" customWidth="1"/>
    <col min="15366" max="15366" width="9.140625" customWidth="1"/>
    <col min="15367" max="15367" width="10.28515625" customWidth="1"/>
    <col min="15368" max="15368" width="9.7109375" customWidth="1"/>
    <col min="15369" max="15369" width="10" customWidth="1"/>
    <col min="15618" max="15619" width="12" customWidth="1"/>
    <col min="15620" max="15620" width="0.140625" customWidth="1"/>
    <col min="15621" max="15621" width="17" customWidth="1"/>
    <col min="15622" max="15622" width="9.140625" customWidth="1"/>
    <col min="15623" max="15623" width="10.28515625" customWidth="1"/>
    <col min="15624" max="15624" width="9.7109375" customWidth="1"/>
    <col min="15625" max="15625" width="10" customWidth="1"/>
    <col min="15874" max="15875" width="12" customWidth="1"/>
    <col min="15876" max="15876" width="0.140625" customWidth="1"/>
    <col min="15877" max="15877" width="17" customWidth="1"/>
    <col min="15878" max="15878" width="9.140625" customWidth="1"/>
    <col min="15879" max="15879" width="10.28515625" customWidth="1"/>
    <col min="15880" max="15880" width="9.7109375" customWidth="1"/>
    <col min="15881" max="15881" width="10" customWidth="1"/>
    <col min="16130" max="16131" width="12" customWidth="1"/>
    <col min="16132" max="16132" width="0.140625" customWidth="1"/>
    <col min="16133" max="16133" width="17" customWidth="1"/>
    <col min="16134" max="16134" width="9.140625" customWidth="1"/>
    <col min="16135" max="16135" width="10.28515625" customWidth="1"/>
    <col min="16136" max="16136" width="9.7109375" customWidth="1"/>
    <col min="16137" max="16137" width="10" customWidth="1"/>
  </cols>
  <sheetData>
    <row r="1" spans="1:14" ht="33.75" customHeight="1" thickBot="1" x14ac:dyDescent="0.45">
      <c r="A1" s="498" t="s">
        <v>2708</v>
      </c>
      <c r="B1" s="498"/>
      <c r="C1" s="498"/>
      <c r="D1" s="498"/>
      <c r="E1" s="498"/>
      <c r="F1" s="498"/>
      <c r="G1" s="498"/>
      <c r="H1" s="498"/>
      <c r="I1" s="498"/>
      <c r="J1" s="498"/>
      <c r="K1" s="81"/>
      <c r="L1" s="81"/>
    </row>
    <row r="2" spans="1:14" ht="26.25" customHeight="1" x14ac:dyDescent="0.25">
      <c r="A2" s="485" t="s">
        <v>1761</v>
      </c>
      <c r="B2" s="487" t="s">
        <v>2710</v>
      </c>
      <c r="C2" s="502" t="s">
        <v>2292</v>
      </c>
      <c r="D2" s="502" t="s">
        <v>2675</v>
      </c>
      <c r="E2" s="478"/>
      <c r="F2" s="504" t="s">
        <v>2294</v>
      </c>
      <c r="G2" s="505"/>
      <c r="H2" s="505"/>
      <c r="I2" s="505"/>
      <c r="J2" s="457" t="s">
        <v>2670</v>
      </c>
      <c r="K2" s="82"/>
      <c r="L2" s="82"/>
      <c r="M2" s="82"/>
      <c r="N2" s="82"/>
    </row>
    <row r="3" spans="1:14" ht="24.75" customHeight="1" thickBot="1" x14ac:dyDescent="0.3">
      <c r="A3" s="486"/>
      <c r="B3" s="488"/>
      <c r="C3" s="507"/>
      <c r="D3" s="507"/>
      <c r="E3" s="479"/>
      <c r="F3" s="279" t="s">
        <v>1774</v>
      </c>
      <c r="G3" s="280" t="s">
        <v>735</v>
      </c>
      <c r="H3" s="281" t="s">
        <v>1775</v>
      </c>
      <c r="I3" s="280" t="s">
        <v>735</v>
      </c>
      <c r="J3" s="458"/>
      <c r="K3" s="82"/>
      <c r="L3" s="82"/>
      <c r="M3" s="82"/>
      <c r="N3" s="82"/>
    </row>
    <row r="4" spans="1:14" ht="24" customHeight="1" x14ac:dyDescent="0.3">
      <c r="A4" s="308">
        <v>43831</v>
      </c>
      <c r="B4" s="361">
        <v>36250</v>
      </c>
      <c r="C4" s="309" t="s">
        <v>1871</v>
      </c>
      <c r="D4" s="310"/>
      <c r="E4" s="311">
        <v>35250</v>
      </c>
      <c r="F4" s="310">
        <v>0.83</v>
      </c>
      <c r="G4" s="312">
        <v>59.58</v>
      </c>
      <c r="H4" s="310">
        <v>0.83</v>
      </c>
      <c r="I4" s="313">
        <v>61.54</v>
      </c>
      <c r="J4" s="314" t="s">
        <v>122</v>
      </c>
      <c r="K4" s="304"/>
      <c r="L4" s="305"/>
      <c r="M4" s="304"/>
      <c r="N4" s="305"/>
    </row>
    <row r="5" spans="1:14" ht="24" customHeight="1" x14ac:dyDescent="0.3">
      <c r="A5" s="315">
        <v>43832</v>
      </c>
      <c r="B5" s="359"/>
      <c r="C5" s="316" t="s">
        <v>2295</v>
      </c>
      <c r="D5" s="317"/>
      <c r="E5" s="318">
        <v>34750</v>
      </c>
      <c r="F5" s="317">
        <v>0.83</v>
      </c>
      <c r="G5" s="319">
        <v>59.44</v>
      </c>
      <c r="H5" s="317">
        <v>0.83</v>
      </c>
      <c r="I5" s="320">
        <v>61.4</v>
      </c>
      <c r="J5" s="321" t="s">
        <v>122</v>
      </c>
      <c r="K5" s="304"/>
      <c r="L5" s="305"/>
      <c r="M5" s="304"/>
      <c r="N5" s="305"/>
    </row>
    <row r="6" spans="1:14" ht="24" customHeight="1" x14ac:dyDescent="0.3">
      <c r="A6" s="315">
        <v>43833</v>
      </c>
      <c r="B6" s="359"/>
      <c r="C6" s="316" t="s">
        <v>1872</v>
      </c>
      <c r="D6" s="317"/>
      <c r="E6" s="318">
        <v>34250</v>
      </c>
      <c r="F6" s="317">
        <v>0.83</v>
      </c>
      <c r="G6" s="319">
        <v>59.3</v>
      </c>
      <c r="H6" s="317">
        <v>0.83</v>
      </c>
      <c r="I6" s="320">
        <v>61.27</v>
      </c>
      <c r="J6" s="321" t="s">
        <v>122</v>
      </c>
      <c r="K6" s="304"/>
      <c r="L6" s="305"/>
      <c r="M6" s="304"/>
      <c r="N6" s="305"/>
    </row>
    <row r="7" spans="1:14" ht="24" customHeight="1" x14ac:dyDescent="0.3">
      <c r="A7" s="315">
        <v>43834</v>
      </c>
      <c r="B7" s="359"/>
      <c r="C7" s="316" t="s">
        <v>2296</v>
      </c>
      <c r="D7" s="317"/>
      <c r="E7" s="318">
        <v>33900</v>
      </c>
      <c r="F7" s="317">
        <v>0.83</v>
      </c>
      <c r="G7" s="319">
        <v>59.17</v>
      </c>
      <c r="H7" s="317">
        <v>0.83</v>
      </c>
      <c r="I7" s="320">
        <v>61.14</v>
      </c>
      <c r="J7" s="321" t="s">
        <v>122</v>
      </c>
      <c r="K7" s="304"/>
      <c r="L7" s="305"/>
      <c r="M7" s="304"/>
      <c r="N7" s="305"/>
    </row>
    <row r="8" spans="1:14" ht="24" customHeight="1" x14ac:dyDescent="0.3">
      <c r="A8" s="315">
        <v>43835</v>
      </c>
      <c r="B8" s="359"/>
      <c r="C8" s="316" t="s">
        <v>1873</v>
      </c>
      <c r="D8" s="317"/>
      <c r="E8" s="318">
        <v>33850</v>
      </c>
      <c r="F8" s="319" t="s">
        <v>122</v>
      </c>
      <c r="G8" s="319" t="s">
        <v>122</v>
      </c>
      <c r="H8" s="319" t="s">
        <v>122</v>
      </c>
      <c r="I8" s="319" t="s">
        <v>122</v>
      </c>
      <c r="J8" s="321" t="s">
        <v>122</v>
      </c>
      <c r="K8" s="304"/>
      <c r="L8" s="305"/>
      <c r="M8" s="304"/>
    </row>
    <row r="9" spans="1:14" ht="24" customHeight="1" x14ac:dyDescent="0.3">
      <c r="A9" s="315">
        <v>43836</v>
      </c>
      <c r="B9" s="359"/>
      <c r="C9" s="316" t="s">
        <v>1873</v>
      </c>
      <c r="D9" s="317"/>
      <c r="E9" s="318">
        <v>33850</v>
      </c>
      <c r="F9" s="319" t="s">
        <v>122</v>
      </c>
      <c r="G9" s="319" t="s">
        <v>122</v>
      </c>
      <c r="H9" s="319" t="s">
        <v>122</v>
      </c>
      <c r="I9" s="319" t="s">
        <v>122</v>
      </c>
      <c r="J9" s="321" t="s">
        <v>122</v>
      </c>
      <c r="K9" s="304"/>
      <c r="L9" s="305"/>
      <c r="M9" s="304"/>
    </row>
    <row r="10" spans="1:14" ht="24" customHeight="1" x14ac:dyDescent="0.3">
      <c r="A10" s="315">
        <v>43837</v>
      </c>
      <c r="B10" s="359"/>
      <c r="C10" s="316" t="s">
        <v>1873</v>
      </c>
      <c r="D10" s="317"/>
      <c r="E10" s="318">
        <v>33850</v>
      </c>
      <c r="F10" s="319" t="s">
        <v>122</v>
      </c>
      <c r="G10" s="319" t="s">
        <v>122</v>
      </c>
      <c r="H10" s="319" t="s">
        <v>122</v>
      </c>
      <c r="I10" s="319" t="s">
        <v>122</v>
      </c>
      <c r="J10" s="321" t="s">
        <v>122</v>
      </c>
      <c r="K10" s="304"/>
      <c r="L10" s="305"/>
      <c r="M10" s="304"/>
    </row>
    <row r="11" spans="1:14" ht="24" customHeight="1" x14ac:dyDescent="0.3">
      <c r="A11" s="315">
        <v>43838</v>
      </c>
      <c r="B11" s="359"/>
      <c r="C11" s="316" t="s">
        <v>1873</v>
      </c>
      <c r="D11" s="317"/>
      <c r="E11" s="318">
        <v>33850</v>
      </c>
      <c r="F11" s="317">
        <v>0.83</v>
      </c>
      <c r="G11" s="319"/>
      <c r="H11" s="317">
        <v>0.83</v>
      </c>
      <c r="I11" s="317">
        <f>(60.99+61.14)/2</f>
        <v>61.064999999999998</v>
      </c>
      <c r="J11" s="321" t="s">
        <v>122</v>
      </c>
      <c r="K11" s="304"/>
      <c r="L11" s="305"/>
      <c r="M11" s="304"/>
    </row>
    <row r="12" spans="1:14" ht="24" customHeight="1" x14ac:dyDescent="0.3">
      <c r="A12" s="315">
        <v>43839</v>
      </c>
      <c r="B12" s="359"/>
      <c r="C12" s="316" t="s">
        <v>1864</v>
      </c>
      <c r="D12" s="317"/>
      <c r="E12" s="318">
        <v>33800</v>
      </c>
      <c r="F12" s="317">
        <v>0.83</v>
      </c>
      <c r="G12" s="319">
        <v>59.03</v>
      </c>
      <c r="H12" s="317">
        <v>0.83</v>
      </c>
      <c r="I12" s="320">
        <v>60.99</v>
      </c>
      <c r="J12" s="321" t="s">
        <v>122</v>
      </c>
      <c r="K12" s="304"/>
      <c r="L12" s="305"/>
      <c r="M12" s="304"/>
    </row>
    <row r="13" spans="1:14" ht="24" customHeight="1" x14ac:dyDescent="0.3">
      <c r="A13" s="315">
        <v>43840</v>
      </c>
      <c r="B13" s="359"/>
      <c r="C13" s="316" t="s">
        <v>1866</v>
      </c>
      <c r="D13" s="317"/>
      <c r="E13" s="318">
        <v>33500</v>
      </c>
      <c r="F13" s="317">
        <v>1</v>
      </c>
      <c r="G13" s="319">
        <v>70.33</v>
      </c>
      <c r="H13" s="317">
        <v>1</v>
      </c>
      <c r="I13" s="320">
        <v>72.319999999999993</v>
      </c>
      <c r="J13" s="321" t="s">
        <v>122</v>
      </c>
      <c r="K13" s="304"/>
      <c r="L13" s="305"/>
      <c r="M13" s="304"/>
    </row>
    <row r="14" spans="1:14" ht="24" customHeight="1" x14ac:dyDescent="0.3">
      <c r="A14" s="315">
        <v>43841</v>
      </c>
      <c r="B14" s="359"/>
      <c r="C14" s="316" t="s">
        <v>1852</v>
      </c>
      <c r="D14" s="317"/>
      <c r="E14" s="318">
        <v>33000</v>
      </c>
      <c r="F14" s="317">
        <v>1</v>
      </c>
      <c r="G14" s="319">
        <v>70.16</v>
      </c>
      <c r="H14" s="317">
        <v>1</v>
      </c>
      <c r="I14" s="320">
        <v>72.16</v>
      </c>
      <c r="J14" s="321" t="s">
        <v>122</v>
      </c>
      <c r="K14" s="304"/>
      <c r="L14" s="305"/>
      <c r="M14" s="304"/>
    </row>
    <row r="15" spans="1:14" ht="24" customHeight="1" x14ac:dyDescent="0.3">
      <c r="A15" s="315">
        <v>43842</v>
      </c>
      <c r="B15" s="359"/>
      <c r="C15" s="316" t="s">
        <v>2297</v>
      </c>
      <c r="D15" s="317"/>
      <c r="E15" s="318">
        <v>32800</v>
      </c>
      <c r="F15" s="317">
        <v>1</v>
      </c>
      <c r="G15" s="319">
        <v>69.989999999999995</v>
      </c>
      <c r="H15" s="317">
        <v>1</v>
      </c>
      <c r="I15" s="320">
        <v>71.989999999999995</v>
      </c>
      <c r="J15" s="321" t="s">
        <v>122</v>
      </c>
      <c r="K15" s="304"/>
      <c r="L15" s="305"/>
      <c r="M15" s="304"/>
    </row>
    <row r="16" spans="1:14" ht="24" customHeight="1" x14ac:dyDescent="0.3">
      <c r="A16" s="315">
        <v>43843</v>
      </c>
      <c r="B16" s="359"/>
      <c r="C16" s="316" t="s">
        <v>1853</v>
      </c>
      <c r="D16" s="317"/>
      <c r="E16" s="318">
        <v>32600</v>
      </c>
      <c r="F16" s="317">
        <v>1</v>
      </c>
      <c r="G16" s="319">
        <v>69.819999999999993</v>
      </c>
      <c r="H16" s="317">
        <v>1</v>
      </c>
      <c r="I16" s="320">
        <v>71.83</v>
      </c>
      <c r="J16" s="321" t="s">
        <v>122</v>
      </c>
      <c r="K16" s="304"/>
      <c r="L16" s="305"/>
      <c r="M16" s="304"/>
    </row>
    <row r="17" spans="1:14" ht="24" customHeight="1" x14ac:dyDescent="0.3">
      <c r="A17" s="315">
        <v>43844</v>
      </c>
      <c r="B17" s="359"/>
      <c r="C17" s="316" t="s">
        <v>2298</v>
      </c>
      <c r="D17" s="317"/>
      <c r="E17" s="318">
        <v>32250</v>
      </c>
      <c r="F17" s="319" t="s">
        <v>122</v>
      </c>
      <c r="G17" s="319" t="s">
        <v>122</v>
      </c>
      <c r="H17" s="319" t="s">
        <v>122</v>
      </c>
      <c r="I17" s="319" t="s">
        <v>122</v>
      </c>
      <c r="J17" s="321" t="s">
        <v>122</v>
      </c>
      <c r="K17" s="304"/>
      <c r="L17" s="305"/>
      <c r="M17" s="304"/>
    </row>
    <row r="18" spans="1:14" ht="24" customHeight="1" x14ac:dyDescent="0.3">
      <c r="A18" s="315">
        <v>43845</v>
      </c>
      <c r="B18" s="359"/>
      <c r="C18" s="316" t="s">
        <v>1851</v>
      </c>
      <c r="D18" s="317"/>
      <c r="E18" s="318">
        <v>32100</v>
      </c>
      <c r="F18" s="319" t="s">
        <v>122</v>
      </c>
      <c r="G18" s="319" t="s">
        <v>122</v>
      </c>
      <c r="H18" s="319" t="s">
        <v>122</v>
      </c>
      <c r="I18" s="319" t="s">
        <v>122</v>
      </c>
      <c r="J18" s="321" t="s">
        <v>122</v>
      </c>
      <c r="K18" s="304"/>
      <c r="L18" s="305"/>
    </row>
    <row r="19" spans="1:14" ht="24" customHeight="1" x14ac:dyDescent="0.3">
      <c r="A19" s="315">
        <v>43846</v>
      </c>
      <c r="B19" s="359"/>
      <c r="C19" s="316" t="s">
        <v>1851</v>
      </c>
      <c r="D19" s="317"/>
      <c r="E19" s="318">
        <v>32100</v>
      </c>
      <c r="F19" s="319" t="s">
        <v>122</v>
      </c>
      <c r="G19" s="319" t="s">
        <v>122</v>
      </c>
      <c r="H19" s="319" t="s">
        <v>122</v>
      </c>
      <c r="I19" s="319" t="s">
        <v>122</v>
      </c>
      <c r="J19" s="321" t="s">
        <v>122</v>
      </c>
      <c r="K19" s="304"/>
      <c r="L19" s="305"/>
    </row>
    <row r="20" spans="1:14" ht="24" customHeight="1" x14ac:dyDescent="0.3">
      <c r="A20" s="315">
        <v>43847</v>
      </c>
      <c r="B20" s="359"/>
      <c r="C20" s="316" t="s">
        <v>1851</v>
      </c>
      <c r="D20" s="317"/>
      <c r="E20" s="318">
        <v>32100</v>
      </c>
      <c r="F20" s="319" t="s">
        <v>122</v>
      </c>
      <c r="G20" s="319" t="s">
        <v>122</v>
      </c>
      <c r="H20" s="319" t="s">
        <v>122</v>
      </c>
      <c r="I20" s="319" t="s">
        <v>122</v>
      </c>
      <c r="J20" s="321" t="s">
        <v>122</v>
      </c>
      <c r="K20" s="304"/>
      <c r="L20" s="305"/>
    </row>
    <row r="21" spans="1:14" ht="24" customHeight="1" x14ac:dyDescent="0.3">
      <c r="A21" s="315">
        <v>43848</v>
      </c>
      <c r="B21" s="359"/>
      <c r="C21" s="316" t="s">
        <v>1851</v>
      </c>
      <c r="D21" s="317"/>
      <c r="E21" s="318">
        <v>32100</v>
      </c>
      <c r="F21" s="319" t="s">
        <v>122</v>
      </c>
      <c r="G21" s="319" t="s">
        <v>122</v>
      </c>
      <c r="H21" s="319" t="s">
        <v>122</v>
      </c>
      <c r="I21" s="319" t="s">
        <v>122</v>
      </c>
      <c r="J21" s="321" t="s">
        <v>122</v>
      </c>
      <c r="K21" s="304"/>
      <c r="L21" s="305"/>
    </row>
    <row r="22" spans="1:14" ht="24" customHeight="1" x14ac:dyDescent="0.3">
      <c r="A22" s="315">
        <v>43849</v>
      </c>
      <c r="B22" s="359"/>
      <c r="C22" s="316" t="s">
        <v>1851</v>
      </c>
      <c r="D22" s="317"/>
      <c r="E22" s="318">
        <v>32100</v>
      </c>
      <c r="F22" s="319" t="s">
        <v>122</v>
      </c>
      <c r="G22" s="319" t="s">
        <v>122</v>
      </c>
      <c r="H22" s="319" t="s">
        <v>122</v>
      </c>
      <c r="I22" s="319" t="s">
        <v>122</v>
      </c>
      <c r="J22" s="321" t="s">
        <v>122</v>
      </c>
    </row>
    <row r="23" spans="1:14" ht="24" customHeight="1" x14ac:dyDescent="0.3">
      <c r="A23" s="315">
        <v>43850</v>
      </c>
      <c r="B23" s="359"/>
      <c r="C23" s="316" t="s">
        <v>1851</v>
      </c>
      <c r="D23" s="317"/>
      <c r="E23" s="318">
        <v>32100</v>
      </c>
      <c r="F23" s="319" t="s">
        <v>122</v>
      </c>
      <c r="G23" s="319" t="s">
        <v>122</v>
      </c>
      <c r="H23" s="319" t="s">
        <v>122</v>
      </c>
      <c r="I23" s="319" t="s">
        <v>122</v>
      </c>
      <c r="J23" s="321" t="s">
        <v>122</v>
      </c>
    </row>
    <row r="24" spans="1:14" ht="24" customHeight="1" x14ac:dyDescent="0.3">
      <c r="A24" s="315">
        <v>43851</v>
      </c>
      <c r="B24" s="359"/>
      <c r="C24" s="316" t="s">
        <v>1851</v>
      </c>
      <c r="D24" s="317"/>
      <c r="E24" s="318">
        <v>32100</v>
      </c>
      <c r="F24" s="319" t="s">
        <v>122</v>
      </c>
      <c r="G24" s="319" t="s">
        <v>122</v>
      </c>
      <c r="H24" s="319" t="s">
        <v>122</v>
      </c>
      <c r="I24" s="319" t="s">
        <v>122</v>
      </c>
      <c r="J24" s="321" t="s">
        <v>122</v>
      </c>
      <c r="K24" s="306"/>
      <c r="L24" s="305"/>
      <c r="M24" s="304"/>
      <c r="N24" s="305"/>
    </row>
    <row r="25" spans="1:14" ht="24" customHeight="1" x14ac:dyDescent="0.3">
      <c r="A25" s="315">
        <v>43852</v>
      </c>
      <c r="B25" s="359"/>
      <c r="C25" s="316" t="s">
        <v>1851</v>
      </c>
      <c r="D25" s="317"/>
      <c r="E25" s="318">
        <v>32100</v>
      </c>
      <c r="F25" s="319" t="s">
        <v>122</v>
      </c>
      <c r="G25" s="319" t="s">
        <v>122</v>
      </c>
      <c r="H25" s="317">
        <v>0.83</v>
      </c>
      <c r="I25" s="320">
        <v>59.86</v>
      </c>
      <c r="J25" s="321" t="s">
        <v>122</v>
      </c>
      <c r="K25" s="306"/>
      <c r="L25" s="305"/>
      <c r="M25" s="304"/>
      <c r="N25" s="305"/>
    </row>
    <row r="26" spans="1:14" ht="24" customHeight="1" x14ac:dyDescent="0.3">
      <c r="A26" s="315">
        <v>43853</v>
      </c>
      <c r="B26" s="359"/>
      <c r="C26" s="316" t="s">
        <v>1851</v>
      </c>
      <c r="D26" s="317"/>
      <c r="E26" s="318">
        <v>32100</v>
      </c>
      <c r="F26" s="319" t="s">
        <v>122</v>
      </c>
      <c r="G26" s="319" t="s">
        <v>122</v>
      </c>
      <c r="H26" s="319" t="s">
        <v>122</v>
      </c>
      <c r="I26" s="320" t="s">
        <v>122</v>
      </c>
      <c r="J26" s="321" t="s">
        <v>122</v>
      </c>
      <c r="K26" s="306"/>
      <c r="L26" s="305"/>
      <c r="M26" s="304"/>
      <c r="N26" s="305"/>
    </row>
    <row r="27" spans="1:14" ht="24" customHeight="1" x14ac:dyDescent="0.3">
      <c r="A27" s="315">
        <v>43854</v>
      </c>
      <c r="B27" s="359"/>
      <c r="C27" s="316" t="s">
        <v>1851</v>
      </c>
      <c r="D27" s="317"/>
      <c r="E27" s="318">
        <v>32100</v>
      </c>
      <c r="F27" s="319" t="s">
        <v>122</v>
      </c>
      <c r="G27" s="322" t="s">
        <v>122</v>
      </c>
      <c r="H27" s="317">
        <v>0.83</v>
      </c>
      <c r="I27" s="320">
        <v>59.86</v>
      </c>
      <c r="J27" s="321" t="s">
        <v>122</v>
      </c>
      <c r="K27" s="306"/>
      <c r="L27" s="305"/>
      <c r="M27" s="304"/>
      <c r="N27" s="305"/>
    </row>
    <row r="28" spans="1:14" ht="24" customHeight="1" x14ac:dyDescent="0.3">
      <c r="A28" s="315">
        <v>43855</v>
      </c>
      <c r="B28" s="359"/>
      <c r="C28" s="316" t="s">
        <v>1851</v>
      </c>
      <c r="D28" s="317"/>
      <c r="E28" s="318">
        <v>32100</v>
      </c>
      <c r="F28" s="317">
        <v>1</v>
      </c>
      <c r="G28" s="319">
        <v>69.48</v>
      </c>
      <c r="H28" s="317">
        <v>1</v>
      </c>
      <c r="I28" s="317">
        <v>71.5</v>
      </c>
      <c r="J28" s="321" t="s">
        <v>122</v>
      </c>
      <c r="K28" s="306"/>
      <c r="L28" s="305"/>
      <c r="M28" s="304"/>
      <c r="N28" s="305"/>
    </row>
    <row r="29" spans="1:14" ht="24" customHeight="1" x14ac:dyDescent="0.3">
      <c r="A29" s="315">
        <v>43856</v>
      </c>
      <c r="B29" s="359"/>
      <c r="C29" s="316" t="s">
        <v>1856</v>
      </c>
      <c r="D29" s="317"/>
      <c r="E29" s="318">
        <v>32000</v>
      </c>
      <c r="F29" s="317">
        <v>1</v>
      </c>
      <c r="G29" s="319">
        <v>69.31</v>
      </c>
      <c r="H29" s="317">
        <v>1</v>
      </c>
      <c r="I29" s="320">
        <v>71.33</v>
      </c>
      <c r="J29" s="321" t="s">
        <v>122</v>
      </c>
      <c r="K29" s="306"/>
      <c r="L29" s="305"/>
      <c r="M29" s="304"/>
      <c r="N29" s="305"/>
    </row>
    <row r="30" spans="1:14" ht="24" customHeight="1" x14ac:dyDescent="0.3">
      <c r="A30" s="315">
        <v>43857</v>
      </c>
      <c r="B30" s="359"/>
      <c r="C30" s="316" t="s">
        <v>1857</v>
      </c>
      <c r="D30" s="317"/>
      <c r="E30" s="318">
        <v>31500</v>
      </c>
      <c r="F30" s="317">
        <v>1</v>
      </c>
      <c r="G30" s="319">
        <v>69.14</v>
      </c>
      <c r="H30" s="317">
        <v>1</v>
      </c>
      <c r="I30" s="320">
        <v>71.16</v>
      </c>
      <c r="J30" s="321" t="s">
        <v>122</v>
      </c>
      <c r="K30" s="306"/>
      <c r="L30" s="305"/>
      <c r="M30" s="304"/>
      <c r="N30" s="305"/>
    </row>
    <row r="31" spans="1:14" ht="24" customHeight="1" x14ac:dyDescent="0.3">
      <c r="A31" s="315">
        <v>43858</v>
      </c>
      <c r="B31" s="359"/>
      <c r="C31" s="316" t="s">
        <v>1858</v>
      </c>
      <c r="D31" s="317"/>
      <c r="E31" s="318">
        <v>31125</v>
      </c>
      <c r="F31" s="317">
        <v>1</v>
      </c>
      <c r="G31" s="319">
        <v>68.97</v>
      </c>
      <c r="H31" s="317">
        <v>1</v>
      </c>
      <c r="I31" s="317">
        <v>71</v>
      </c>
      <c r="J31" s="321" t="s">
        <v>122</v>
      </c>
      <c r="K31" s="306"/>
      <c r="L31" s="305"/>
      <c r="M31" s="304"/>
      <c r="N31" s="305"/>
    </row>
    <row r="32" spans="1:14" ht="24" customHeight="1" x14ac:dyDescent="0.3">
      <c r="A32" s="315">
        <v>43859</v>
      </c>
      <c r="B32" s="359"/>
      <c r="C32" s="316" t="s">
        <v>2299</v>
      </c>
      <c r="D32" s="317"/>
      <c r="E32" s="318">
        <v>30625</v>
      </c>
      <c r="F32" s="317">
        <v>1</v>
      </c>
      <c r="G32" s="319">
        <f>(68.62+68.8)/2</f>
        <v>68.710000000000008</v>
      </c>
      <c r="H32" s="317">
        <v>1</v>
      </c>
      <c r="I32" s="317">
        <f>(70.83+70.66)/2</f>
        <v>70.745000000000005</v>
      </c>
      <c r="J32" s="321" t="s">
        <v>122</v>
      </c>
      <c r="K32" s="306"/>
      <c r="M32" s="304"/>
      <c r="N32" s="305"/>
    </row>
    <row r="33" spans="1:14" ht="24" customHeight="1" x14ac:dyDescent="0.3">
      <c r="A33" s="315">
        <v>43860</v>
      </c>
      <c r="B33" s="359"/>
      <c r="C33" s="316" t="s">
        <v>2300</v>
      </c>
      <c r="D33" s="317"/>
      <c r="E33" s="318">
        <v>30300</v>
      </c>
      <c r="F33" s="317">
        <v>1</v>
      </c>
      <c r="G33" s="319">
        <v>68.45</v>
      </c>
      <c r="H33" s="317"/>
      <c r="I33" s="320" t="s">
        <v>122</v>
      </c>
      <c r="J33" s="321" t="s">
        <v>122</v>
      </c>
      <c r="K33" s="306"/>
      <c r="M33" s="304"/>
      <c r="N33" s="305"/>
    </row>
    <row r="34" spans="1:14" ht="24" customHeight="1" x14ac:dyDescent="0.3">
      <c r="A34" s="315">
        <v>43861</v>
      </c>
      <c r="B34" s="359"/>
      <c r="C34" s="316" t="s">
        <v>2301</v>
      </c>
      <c r="D34" s="317"/>
      <c r="E34" s="318">
        <v>30200</v>
      </c>
      <c r="F34" s="319" t="s">
        <v>122</v>
      </c>
      <c r="G34" s="319" t="s">
        <v>122</v>
      </c>
      <c r="H34" s="319" t="s">
        <v>122</v>
      </c>
      <c r="I34" s="320" t="s">
        <v>122</v>
      </c>
      <c r="J34" s="321" t="s">
        <v>122</v>
      </c>
      <c r="K34" s="306"/>
      <c r="M34" s="304"/>
      <c r="N34" s="305"/>
    </row>
    <row r="35" spans="1:14" ht="24" customHeight="1" x14ac:dyDescent="0.3">
      <c r="A35" s="315">
        <v>43862</v>
      </c>
      <c r="B35" s="359"/>
      <c r="C35" s="316" t="s">
        <v>2302</v>
      </c>
      <c r="D35" s="323"/>
      <c r="E35" s="318">
        <v>30200</v>
      </c>
      <c r="F35" s="319" t="s">
        <v>122</v>
      </c>
      <c r="G35" s="319" t="s">
        <v>122</v>
      </c>
      <c r="H35" s="319" t="s">
        <v>122</v>
      </c>
      <c r="I35" s="320" t="s">
        <v>122</v>
      </c>
      <c r="J35" s="321" t="s">
        <v>122</v>
      </c>
    </row>
    <row r="36" spans="1:14" ht="24" customHeight="1" x14ac:dyDescent="0.3">
      <c r="A36" s="315">
        <v>43863</v>
      </c>
      <c r="B36" s="359"/>
      <c r="C36" s="316" t="s">
        <v>2302</v>
      </c>
      <c r="D36" s="323"/>
      <c r="E36" s="318">
        <v>30200</v>
      </c>
      <c r="F36" s="319" t="s">
        <v>122</v>
      </c>
      <c r="G36" s="319" t="s">
        <v>122</v>
      </c>
      <c r="H36" s="319" t="s">
        <v>122</v>
      </c>
      <c r="I36" s="320" t="s">
        <v>122</v>
      </c>
      <c r="J36" s="321" t="s">
        <v>122</v>
      </c>
    </row>
    <row r="37" spans="1:14" ht="24" customHeight="1" x14ac:dyDescent="0.3">
      <c r="A37" s="315">
        <v>43864</v>
      </c>
      <c r="B37" s="359"/>
      <c r="C37" s="316" t="s">
        <v>2302</v>
      </c>
      <c r="D37" s="323"/>
      <c r="E37" s="318">
        <v>30200</v>
      </c>
      <c r="F37" s="319" t="s">
        <v>122</v>
      </c>
      <c r="G37" s="319" t="s">
        <v>122</v>
      </c>
      <c r="H37" s="319" t="s">
        <v>122</v>
      </c>
      <c r="I37" s="320" t="s">
        <v>122</v>
      </c>
      <c r="J37" s="321" t="s">
        <v>122</v>
      </c>
    </row>
    <row r="38" spans="1:14" ht="24" customHeight="1" x14ac:dyDescent="0.3">
      <c r="A38" s="315">
        <v>43865</v>
      </c>
      <c r="B38" s="359"/>
      <c r="C38" s="316" t="s">
        <v>2303</v>
      </c>
      <c r="D38" s="323"/>
      <c r="E38" s="318">
        <v>30100</v>
      </c>
      <c r="F38" s="317">
        <v>0.83</v>
      </c>
      <c r="G38" s="319">
        <v>57.17</v>
      </c>
      <c r="H38" s="317">
        <v>1</v>
      </c>
      <c r="I38" s="317">
        <f>(70.16+70.33)/2</f>
        <v>70.245000000000005</v>
      </c>
      <c r="J38" s="321" t="s">
        <v>122</v>
      </c>
    </row>
    <row r="39" spans="1:14" ht="24" customHeight="1" x14ac:dyDescent="0.3">
      <c r="A39" s="315">
        <v>43866</v>
      </c>
      <c r="B39" s="359"/>
      <c r="C39" s="316" t="s">
        <v>2304</v>
      </c>
      <c r="D39" s="323"/>
      <c r="E39" s="318">
        <v>28850</v>
      </c>
      <c r="F39" s="317">
        <v>1.08</v>
      </c>
      <c r="G39" s="324">
        <f>(73.31+73.5)/2</f>
        <v>73.405000000000001</v>
      </c>
      <c r="H39" s="317">
        <v>1.08</v>
      </c>
      <c r="I39" s="320">
        <f>(75.55+75.73)/2</f>
        <v>75.64</v>
      </c>
      <c r="J39" s="321" t="s">
        <v>122</v>
      </c>
    </row>
    <row r="40" spans="1:14" ht="24" customHeight="1" x14ac:dyDescent="0.3">
      <c r="A40" s="315">
        <v>43867</v>
      </c>
      <c r="B40" s="359"/>
      <c r="C40" s="316" t="s">
        <v>2305</v>
      </c>
      <c r="D40" s="323"/>
      <c r="E40" s="318">
        <v>28675</v>
      </c>
      <c r="F40" s="317">
        <v>1.08</v>
      </c>
      <c r="G40" s="319">
        <v>73.12</v>
      </c>
      <c r="H40" s="317">
        <v>1.08</v>
      </c>
      <c r="I40" s="320">
        <v>75.36</v>
      </c>
      <c r="J40" s="321" t="s">
        <v>122</v>
      </c>
    </row>
    <row r="41" spans="1:14" ht="24" customHeight="1" x14ac:dyDescent="0.3">
      <c r="A41" s="315">
        <v>43868</v>
      </c>
      <c r="B41" s="359"/>
      <c r="C41" s="316" t="s">
        <v>2306</v>
      </c>
      <c r="D41" s="323"/>
      <c r="E41" s="318">
        <v>28500</v>
      </c>
      <c r="F41" s="317">
        <v>1.08</v>
      </c>
      <c r="G41" s="324">
        <f>(72.93+73.12)/2</f>
        <v>73.025000000000006</v>
      </c>
      <c r="H41" s="317">
        <v>1.08</v>
      </c>
      <c r="I41" s="320">
        <f>(75.18+75.36)/2</f>
        <v>75.27000000000001</v>
      </c>
      <c r="J41" s="321" t="s">
        <v>122</v>
      </c>
    </row>
    <row r="42" spans="1:14" ht="24" customHeight="1" x14ac:dyDescent="0.3">
      <c r="A42" s="315">
        <v>43869</v>
      </c>
      <c r="B42" s="359"/>
      <c r="C42" s="316" t="s">
        <v>2307</v>
      </c>
      <c r="D42" s="323"/>
      <c r="E42" s="318">
        <v>28300</v>
      </c>
      <c r="F42" s="317">
        <v>1.08</v>
      </c>
      <c r="G42" s="319">
        <v>72.55</v>
      </c>
      <c r="H42" s="317">
        <v>1.08</v>
      </c>
      <c r="I42" s="320">
        <v>74.81</v>
      </c>
      <c r="J42" s="321" t="s">
        <v>122</v>
      </c>
    </row>
    <row r="43" spans="1:14" ht="24" customHeight="1" x14ac:dyDescent="0.3">
      <c r="A43" s="315">
        <v>43870</v>
      </c>
      <c r="B43" s="359"/>
      <c r="C43" s="316" t="s">
        <v>2308</v>
      </c>
      <c r="D43" s="323"/>
      <c r="E43" s="318">
        <v>28000</v>
      </c>
      <c r="F43" s="317">
        <v>0.83</v>
      </c>
      <c r="G43" s="319">
        <v>56.03</v>
      </c>
      <c r="H43" s="317">
        <v>0.83</v>
      </c>
      <c r="I43" s="320">
        <v>57.76</v>
      </c>
      <c r="J43" s="321" t="s">
        <v>122</v>
      </c>
    </row>
    <row r="44" spans="1:14" ht="24" customHeight="1" x14ac:dyDescent="0.3">
      <c r="A44" s="315">
        <v>43871</v>
      </c>
      <c r="B44" s="359"/>
      <c r="C44" s="316" t="s">
        <v>2309</v>
      </c>
      <c r="D44" s="323"/>
      <c r="E44" s="318">
        <v>27850</v>
      </c>
      <c r="F44" s="317"/>
      <c r="G44" s="319" t="s">
        <v>122</v>
      </c>
      <c r="H44" s="317"/>
      <c r="I44" s="320" t="s">
        <v>122</v>
      </c>
      <c r="J44" s="321" t="s">
        <v>122</v>
      </c>
    </row>
    <row r="45" spans="1:14" ht="24" customHeight="1" x14ac:dyDescent="0.3">
      <c r="A45" s="315">
        <v>43872</v>
      </c>
      <c r="B45" s="359"/>
      <c r="C45" s="316" t="s">
        <v>2309</v>
      </c>
      <c r="D45" s="323"/>
      <c r="E45" s="318">
        <v>27850</v>
      </c>
      <c r="F45" s="317"/>
      <c r="G45" s="319" t="s">
        <v>122</v>
      </c>
      <c r="H45" s="317"/>
      <c r="I45" s="320" t="s">
        <v>122</v>
      </c>
      <c r="J45" s="321" t="s">
        <v>122</v>
      </c>
    </row>
    <row r="46" spans="1:14" ht="24" customHeight="1" x14ac:dyDescent="0.3">
      <c r="A46" s="315">
        <v>43873</v>
      </c>
      <c r="B46" s="359"/>
      <c r="C46" s="316" t="s">
        <v>2309</v>
      </c>
      <c r="D46" s="323"/>
      <c r="E46" s="318">
        <v>27850</v>
      </c>
      <c r="F46" s="317"/>
      <c r="G46" s="319" t="s">
        <v>122</v>
      </c>
      <c r="H46" s="317"/>
      <c r="I46" s="320" t="s">
        <v>122</v>
      </c>
      <c r="J46" s="321" t="s">
        <v>122</v>
      </c>
    </row>
    <row r="47" spans="1:14" ht="24" customHeight="1" x14ac:dyDescent="0.3">
      <c r="A47" s="315">
        <v>43874</v>
      </c>
      <c r="B47" s="359"/>
      <c r="C47" s="316" t="s">
        <v>2309</v>
      </c>
      <c r="D47" s="323"/>
      <c r="E47" s="318">
        <v>27850</v>
      </c>
      <c r="F47" s="317"/>
      <c r="G47" s="319" t="s">
        <v>122</v>
      </c>
      <c r="H47" s="317"/>
      <c r="I47" s="320" t="s">
        <v>122</v>
      </c>
      <c r="J47" s="321" t="s">
        <v>122</v>
      </c>
    </row>
    <row r="48" spans="1:14" ht="24" customHeight="1" x14ac:dyDescent="0.3">
      <c r="A48" s="315">
        <v>43875</v>
      </c>
      <c r="B48" s="359"/>
      <c r="C48" s="316" t="s">
        <v>2310</v>
      </c>
      <c r="D48" s="323"/>
      <c r="E48" s="318">
        <v>27500</v>
      </c>
      <c r="F48" s="317">
        <v>1.08</v>
      </c>
      <c r="G48" s="324">
        <f>(71.78+71.97)/2</f>
        <v>71.875</v>
      </c>
      <c r="H48" s="317">
        <v>1</v>
      </c>
      <c r="I48" s="320">
        <v>68.62</v>
      </c>
      <c r="J48" s="321" t="s">
        <v>122</v>
      </c>
    </row>
    <row r="49" spans="1:10" ht="24" customHeight="1" x14ac:dyDescent="0.3">
      <c r="A49" s="315">
        <v>43876</v>
      </c>
      <c r="B49" s="359"/>
      <c r="C49" s="316" t="s">
        <v>2311</v>
      </c>
      <c r="D49" s="323"/>
      <c r="E49" s="318">
        <v>27000</v>
      </c>
      <c r="F49" s="317">
        <v>1</v>
      </c>
      <c r="G49" s="319">
        <v>66.349999999999994</v>
      </c>
      <c r="H49" s="317">
        <v>1</v>
      </c>
      <c r="I49" s="320">
        <v>68.45</v>
      </c>
      <c r="J49" s="321" t="s">
        <v>122</v>
      </c>
    </row>
    <row r="50" spans="1:10" ht="24" customHeight="1" x14ac:dyDescent="0.3">
      <c r="A50" s="315">
        <v>43877</v>
      </c>
      <c r="B50" s="359"/>
      <c r="C50" s="316" t="s">
        <v>2312</v>
      </c>
      <c r="D50" s="323"/>
      <c r="E50" s="318">
        <v>26625</v>
      </c>
      <c r="F50" s="317">
        <v>1.1599999999999999</v>
      </c>
      <c r="G50" s="324">
        <f>(76.56+76.77)/2</f>
        <v>76.664999999999992</v>
      </c>
      <c r="H50" s="317">
        <v>1.1599999999999999</v>
      </c>
      <c r="I50" s="320">
        <v>79.150000000000006</v>
      </c>
      <c r="J50" s="321" t="s">
        <v>122</v>
      </c>
    </row>
    <row r="51" spans="1:10" ht="24" customHeight="1" x14ac:dyDescent="0.3">
      <c r="A51" s="315">
        <v>43878</v>
      </c>
      <c r="B51" s="359"/>
      <c r="C51" s="316" t="s">
        <v>2313</v>
      </c>
      <c r="D51" s="323"/>
      <c r="E51" s="318">
        <v>26000</v>
      </c>
      <c r="F51" s="317">
        <v>1.1599999999999999</v>
      </c>
      <c r="G51" s="319">
        <v>76.349999999999994</v>
      </c>
      <c r="H51" s="317">
        <v>1.1599999999999999</v>
      </c>
      <c r="I51" s="320">
        <v>78.84</v>
      </c>
      <c r="J51" s="321" t="s">
        <v>122</v>
      </c>
    </row>
    <row r="52" spans="1:10" ht="24" customHeight="1" x14ac:dyDescent="0.3">
      <c r="A52" s="315">
        <v>43879</v>
      </c>
      <c r="B52" s="359"/>
      <c r="C52" s="316" t="s">
        <v>2314</v>
      </c>
      <c r="D52" s="323"/>
      <c r="E52" s="318">
        <v>25700</v>
      </c>
      <c r="F52" s="317">
        <v>1.1599999999999999</v>
      </c>
      <c r="G52" s="319">
        <v>75.930000000000007</v>
      </c>
      <c r="H52" s="317">
        <v>1.1599999999999999</v>
      </c>
      <c r="I52" s="320">
        <v>78.44</v>
      </c>
      <c r="J52" s="321" t="s">
        <v>122</v>
      </c>
    </row>
    <row r="53" spans="1:10" ht="24" customHeight="1" x14ac:dyDescent="0.3">
      <c r="A53" s="315">
        <v>43880</v>
      </c>
      <c r="B53" s="359"/>
      <c r="C53" s="316" t="s">
        <v>2315</v>
      </c>
      <c r="D53" s="323"/>
      <c r="E53" s="318">
        <v>25400</v>
      </c>
      <c r="F53" s="317">
        <v>1.1599999999999999</v>
      </c>
      <c r="G53" s="319">
        <v>75.510000000000005</v>
      </c>
      <c r="H53" s="317">
        <v>1.1599999999999999</v>
      </c>
      <c r="I53" s="320">
        <v>78.02</v>
      </c>
      <c r="J53" s="321" t="s">
        <v>122</v>
      </c>
    </row>
    <row r="54" spans="1:10" ht="24" customHeight="1" x14ac:dyDescent="0.3">
      <c r="A54" s="315">
        <v>43881</v>
      </c>
      <c r="B54" s="359"/>
      <c r="C54" s="316" t="s">
        <v>2316</v>
      </c>
      <c r="D54" s="323"/>
      <c r="E54" s="318">
        <v>25000</v>
      </c>
      <c r="F54" s="319" t="s">
        <v>122</v>
      </c>
      <c r="G54" s="319" t="s">
        <v>122</v>
      </c>
      <c r="H54" s="319" t="s">
        <v>122</v>
      </c>
      <c r="I54" s="320" t="s">
        <v>122</v>
      </c>
      <c r="J54" s="321" t="s">
        <v>122</v>
      </c>
    </row>
    <row r="55" spans="1:10" ht="24" customHeight="1" x14ac:dyDescent="0.3">
      <c r="A55" s="315">
        <v>43882</v>
      </c>
      <c r="B55" s="359"/>
      <c r="C55" s="316" t="s">
        <v>2317</v>
      </c>
      <c r="D55" s="323"/>
      <c r="E55" s="318">
        <v>25000</v>
      </c>
      <c r="F55" s="319" t="s">
        <v>122</v>
      </c>
      <c r="G55" s="319" t="s">
        <v>122</v>
      </c>
      <c r="H55" s="319" t="s">
        <v>122</v>
      </c>
      <c r="I55" s="320" t="s">
        <v>122</v>
      </c>
      <c r="J55" s="321" t="s">
        <v>122</v>
      </c>
    </row>
    <row r="56" spans="1:10" ht="24" customHeight="1" x14ac:dyDescent="0.3">
      <c r="A56" s="315">
        <v>43883</v>
      </c>
      <c r="B56" s="359"/>
      <c r="C56" s="316" t="s">
        <v>2318</v>
      </c>
      <c r="D56" s="323"/>
      <c r="E56" s="318">
        <v>25200</v>
      </c>
      <c r="F56" s="319" t="s">
        <v>122</v>
      </c>
      <c r="G56" s="319" t="s">
        <v>122</v>
      </c>
      <c r="H56" s="319" t="s">
        <v>122</v>
      </c>
      <c r="I56" s="320" t="s">
        <v>122</v>
      </c>
      <c r="J56" s="321" t="s">
        <v>122</v>
      </c>
    </row>
    <row r="57" spans="1:10" ht="24" customHeight="1" x14ac:dyDescent="0.3">
      <c r="A57" s="315">
        <v>43884</v>
      </c>
      <c r="B57" s="359"/>
      <c r="C57" s="316" t="s">
        <v>2318</v>
      </c>
      <c r="D57" s="323"/>
      <c r="E57" s="318">
        <v>25200</v>
      </c>
      <c r="F57" s="319" t="s">
        <v>122</v>
      </c>
      <c r="G57" s="319" t="s">
        <v>122</v>
      </c>
      <c r="H57" s="319" t="s">
        <v>122</v>
      </c>
      <c r="I57" s="320" t="s">
        <v>122</v>
      </c>
      <c r="J57" s="321" t="s">
        <v>122</v>
      </c>
    </row>
    <row r="58" spans="1:10" ht="24" customHeight="1" x14ac:dyDescent="0.3">
      <c r="A58" s="315">
        <v>43885</v>
      </c>
      <c r="B58" s="359"/>
      <c r="C58" s="316" t="s">
        <v>2318</v>
      </c>
      <c r="D58" s="323"/>
      <c r="E58" s="318">
        <v>25200</v>
      </c>
      <c r="F58" s="319" t="s">
        <v>122</v>
      </c>
      <c r="G58" s="319" t="s">
        <v>122</v>
      </c>
      <c r="H58" s="319" t="s">
        <v>122</v>
      </c>
      <c r="I58" s="320" t="s">
        <v>122</v>
      </c>
      <c r="J58" s="321" t="s">
        <v>122</v>
      </c>
    </row>
    <row r="59" spans="1:10" ht="24" customHeight="1" x14ac:dyDescent="0.3">
      <c r="A59" s="315">
        <v>43886</v>
      </c>
      <c r="B59" s="359"/>
      <c r="C59" s="316" t="s">
        <v>2318</v>
      </c>
      <c r="D59" s="323"/>
      <c r="E59" s="318">
        <v>25200</v>
      </c>
      <c r="F59" s="317">
        <v>1.08</v>
      </c>
      <c r="G59" s="319">
        <v>70.11</v>
      </c>
      <c r="H59" s="317">
        <v>0.67</v>
      </c>
      <c r="I59" s="320">
        <v>45.17</v>
      </c>
      <c r="J59" s="321" t="s">
        <v>122</v>
      </c>
    </row>
    <row r="60" spans="1:10" ht="24" customHeight="1" x14ac:dyDescent="0.3">
      <c r="A60" s="315">
        <v>43887</v>
      </c>
      <c r="B60" s="359"/>
      <c r="C60" s="316" t="s">
        <v>2317</v>
      </c>
      <c r="D60" s="323"/>
      <c r="E60" s="318">
        <v>25000</v>
      </c>
      <c r="F60" s="317">
        <v>1.1599999999999999</v>
      </c>
      <c r="G60" s="319">
        <v>75.08</v>
      </c>
      <c r="H60" s="317">
        <v>1.1599999999999999</v>
      </c>
      <c r="I60" s="320">
        <v>77.61</v>
      </c>
      <c r="J60" s="321" t="s">
        <v>122</v>
      </c>
    </row>
    <row r="61" spans="1:10" ht="24" customHeight="1" x14ac:dyDescent="0.3">
      <c r="A61" s="315">
        <v>43888</v>
      </c>
      <c r="B61" s="359"/>
      <c r="C61" s="316" t="s">
        <v>2319</v>
      </c>
      <c r="D61" s="323"/>
      <c r="E61" s="318">
        <v>24000</v>
      </c>
      <c r="F61" s="317">
        <v>1.1599999999999999</v>
      </c>
      <c r="G61" s="319">
        <v>74.650000000000006</v>
      </c>
      <c r="H61" s="317">
        <v>1.1599999999999999</v>
      </c>
      <c r="I61" s="320">
        <v>77.19</v>
      </c>
      <c r="J61" s="321" t="s">
        <v>122</v>
      </c>
    </row>
    <row r="62" spans="1:10" ht="24" customHeight="1" x14ac:dyDescent="0.3">
      <c r="A62" s="315">
        <v>43889</v>
      </c>
      <c r="B62" s="359"/>
      <c r="C62" s="316" t="s">
        <v>2320</v>
      </c>
      <c r="D62" s="323"/>
      <c r="E62" s="318">
        <v>23500</v>
      </c>
      <c r="F62" s="317">
        <v>1.1599999999999999</v>
      </c>
      <c r="G62" s="319">
        <v>74.430000000000007</v>
      </c>
      <c r="H62" s="317">
        <v>1.1599999999999999</v>
      </c>
      <c r="I62" s="320">
        <v>76.98</v>
      </c>
      <c r="J62" s="321" t="s">
        <v>122</v>
      </c>
    </row>
    <row r="63" spans="1:10" ht="24" customHeight="1" x14ac:dyDescent="0.3">
      <c r="A63" s="315">
        <v>43890</v>
      </c>
      <c r="B63" s="359"/>
      <c r="C63" s="316" t="s">
        <v>2321</v>
      </c>
      <c r="D63" s="323"/>
      <c r="E63" s="318">
        <v>22400</v>
      </c>
      <c r="F63" s="317">
        <v>1.1599999999999999</v>
      </c>
      <c r="G63" s="319">
        <v>74.430000000000007</v>
      </c>
      <c r="H63" s="317">
        <v>1.1599999999999999</v>
      </c>
      <c r="I63" s="320">
        <v>76.56</v>
      </c>
      <c r="J63" s="321" t="s">
        <v>122</v>
      </c>
    </row>
    <row r="64" spans="1:10" ht="24" customHeight="1" x14ac:dyDescent="0.3">
      <c r="A64" s="315">
        <v>43891</v>
      </c>
      <c r="B64" s="359"/>
      <c r="C64" s="316" t="s">
        <v>2322</v>
      </c>
      <c r="D64" s="323"/>
      <c r="E64" s="318">
        <f>[1]Mahakanadarawa!$G$46</f>
        <v>22350</v>
      </c>
      <c r="F64" s="325">
        <v>1.1599999999999999</v>
      </c>
      <c r="G64" s="319">
        <v>73.78</v>
      </c>
      <c r="H64" s="325">
        <v>1.1599999999999999</v>
      </c>
      <c r="I64" s="320">
        <v>76.349999999999994</v>
      </c>
      <c r="J64" s="321" t="s">
        <v>122</v>
      </c>
    </row>
    <row r="65" spans="1:10" ht="24" customHeight="1" x14ac:dyDescent="0.3">
      <c r="A65" s="315">
        <v>43892</v>
      </c>
      <c r="B65" s="359"/>
      <c r="C65" s="316" t="s">
        <v>2323</v>
      </c>
      <c r="D65" s="323"/>
      <c r="E65" s="318">
        <f>[1]Mahakanadarawa!$G$47</f>
        <v>22300</v>
      </c>
      <c r="F65" s="319" t="s">
        <v>122</v>
      </c>
      <c r="G65" s="319" t="s">
        <v>122</v>
      </c>
      <c r="H65" s="319" t="s">
        <v>122</v>
      </c>
      <c r="I65" s="320" t="s">
        <v>122</v>
      </c>
      <c r="J65" s="321" t="s">
        <v>122</v>
      </c>
    </row>
    <row r="66" spans="1:10" ht="24" customHeight="1" x14ac:dyDescent="0.3">
      <c r="A66" s="315">
        <v>43893</v>
      </c>
      <c r="B66" s="359"/>
      <c r="C66" s="316" t="s">
        <v>2323</v>
      </c>
      <c r="D66" s="323"/>
      <c r="E66" s="318">
        <f>[1]Mahakanadarawa!$G$48</f>
        <v>22300</v>
      </c>
      <c r="F66" s="319" t="s">
        <v>122</v>
      </c>
      <c r="G66" s="319" t="s">
        <v>122</v>
      </c>
      <c r="H66" s="319" t="s">
        <v>122</v>
      </c>
      <c r="I66" s="320" t="s">
        <v>122</v>
      </c>
      <c r="J66" s="321" t="s">
        <v>122</v>
      </c>
    </row>
    <row r="67" spans="1:10" ht="24" customHeight="1" x14ac:dyDescent="0.3">
      <c r="A67" s="315">
        <v>43894</v>
      </c>
      <c r="B67" s="359"/>
      <c r="C67" s="316" t="s">
        <v>2323</v>
      </c>
      <c r="D67" s="323"/>
      <c r="E67" s="318">
        <f>[1]Mahakanadarawa!$G$49</f>
        <v>22300</v>
      </c>
      <c r="F67" s="319" t="s">
        <v>122</v>
      </c>
      <c r="G67" s="319" t="s">
        <v>122</v>
      </c>
      <c r="H67" s="319" t="s">
        <v>122</v>
      </c>
      <c r="I67" s="320" t="s">
        <v>122</v>
      </c>
      <c r="J67" s="321" t="s">
        <v>122</v>
      </c>
    </row>
    <row r="68" spans="1:10" ht="24" customHeight="1" x14ac:dyDescent="0.3">
      <c r="A68" s="315">
        <v>43895</v>
      </c>
      <c r="B68" s="359"/>
      <c r="C68" s="316" t="s">
        <v>2323</v>
      </c>
      <c r="D68" s="323"/>
      <c r="E68" s="318">
        <f>[1]Mahakanadarawa!$G$50</f>
        <v>22300</v>
      </c>
      <c r="F68" s="319" t="s">
        <v>122</v>
      </c>
      <c r="G68" s="319" t="s">
        <v>122</v>
      </c>
      <c r="H68" s="319" t="s">
        <v>122</v>
      </c>
      <c r="I68" s="320" t="s">
        <v>122</v>
      </c>
      <c r="J68" s="321" t="s">
        <v>122</v>
      </c>
    </row>
    <row r="69" spans="1:10" ht="24" customHeight="1" x14ac:dyDescent="0.3">
      <c r="A69" s="315">
        <v>43896</v>
      </c>
      <c r="B69" s="359"/>
      <c r="C69" s="316" t="s">
        <v>2324</v>
      </c>
      <c r="D69" s="323"/>
      <c r="E69" s="318">
        <f>[1]Mahakanadarawa!$G$51</f>
        <v>22250</v>
      </c>
      <c r="F69" s="325">
        <v>1</v>
      </c>
      <c r="G69" s="319">
        <v>63.05</v>
      </c>
      <c r="H69" s="325">
        <v>0.83</v>
      </c>
      <c r="I69" s="320">
        <v>54.69</v>
      </c>
      <c r="J69" s="321" t="s">
        <v>122</v>
      </c>
    </row>
    <row r="70" spans="1:10" ht="24" customHeight="1" x14ac:dyDescent="0.3">
      <c r="A70" s="315">
        <v>43897</v>
      </c>
      <c r="B70" s="359"/>
      <c r="C70" s="316" t="s">
        <v>2325</v>
      </c>
      <c r="D70" s="323"/>
      <c r="E70" s="318">
        <f>[1]Mahakanadarawa!$G$52</f>
        <v>21750</v>
      </c>
      <c r="F70" s="325">
        <v>1.1599999999999999</v>
      </c>
      <c r="G70" s="319">
        <v>72.680000000000007</v>
      </c>
      <c r="H70" s="325">
        <v>1.1599999999999999</v>
      </c>
      <c r="I70" s="320">
        <v>75.290000000000006</v>
      </c>
      <c r="J70" s="321" t="s">
        <v>122</v>
      </c>
    </row>
    <row r="71" spans="1:10" ht="24" customHeight="1" x14ac:dyDescent="0.3">
      <c r="A71" s="315">
        <v>43898</v>
      </c>
      <c r="B71" s="359"/>
      <c r="C71" s="316" t="s">
        <v>2326</v>
      </c>
      <c r="D71" s="323"/>
      <c r="E71" s="318">
        <f>[1]Mahakanadarawa!$G$53</f>
        <v>21400</v>
      </c>
      <c r="F71" s="325">
        <v>1.1599999999999999</v>
      </c>
      <c r="G71" s="319">
        <v>72.23</v>
      </c>
      <c r="H71" s="325">
        <v>1.1599999999999999</v>
      </c>
      <c r="I71" s="320">
        <v>74.86</v>
      </c>
      <c r="J71" s="321" t="s">
        <v>122</v>
      </c>
    </row>
    <row r="72" spans="1:10" ht="24" customHeight="1" x14ac:dyDescent="0.3">
      <c r="A72" s="315">
        <v>43899</v>
      </c>
      <c r="B72" s="359"/>
      <c r="C72" s="316" t="s">
        <v>2327</v>
      </c>
      <c r="D72" s="323"/>
      <c r="E72" s="318">
        <f>[1]Mahakanadarawa!$G$54</f>
        <v>21200</v>
      </c>
      <c r="F72" s="325">
        <v>1.1599999999999999</v>
      </c>
      <c r="G72" s="319">
        <v>72.010000000000005</v>
      </c>
      <c r="H72" s="325">
        <v>1.1599999999999999</v>
      </c>
      <c r="I72" s="320">
        <v>74.650000000000006</v>
      </c>
      <c r="J72" s="321" t="s">
        <v>122</v>
      </c>
    </row>
    <row r="73" spans="1:10" ht="24" customHeight="1" x14ac:dyDescent="0.3">
      <c r="A73" s="315">
        <v>43900</v>
      </c>
      <c r="B73" s="359"/>
      <c r="C73" s="316" t="s">
        <v>2328</v>
      </c>
      <c r="D73" s="323"/>
      <c r="E73" s="318">
        <f>[1]Mahakanadarawa!$G$55</f>
        <v>20650</v>
      </c>
      <c r="F73" s="325">
        <v>1.1599999999999999</v>
      </c>
      <c r="G73" s="319">
        <v>71.56</v>
      </c>
      <c r="H73" s="325">
        <v>1.1599999999999999</v>
      </c>
      <c r="I73" s="320">
        <v>74.209999999999994</v>
      </c>
      <c r="J73" s="321" t="s">
        <v>122</v>
      </c>
    </row>
    <row r="74" spans="1:10" ht="24" customHeight="1" x14ac:dyDescent="0.3">
      <c r="A74" s="315">
        <v>43901</v>
      </c>
      <c r="B74" s="359"/>
      <c r="C74" s="316" t="s">
        <v>2329</v>
      </c>
      <c r="D74" s="323"/>
      <c r="E74" s="318">
        <f>[1]Mahakanadarawa!$G$56</f>
        <v>20000</v>
      </c>
      <c r="F74" s="325">
        <v>1</v>
      </c>
      <c r="G74" s="319">
        <v>61.34</v>
      </c>
      <c r="H74" s="325">
        <v>0.75</v>
      </c>
      <c r="I74" s="320">
        <v>48.13</v>
      </c>
      <c r="J74" s="321" t="s">
        <v>122</v>
      </c>
    </row>
    <row r="75" spans="1:10" ht="24" customHeight="1" x14ac:dyDescent="0.3">
      <c r="A75" s="315">
        <v>43902</v>
      </c>
      <c r="B75" s="359"/>
      <c r="C75" s="316" t="s">
        <v>2330</v>
      </c>
      <c r="D75" s="323"/>
      <c r="E75" s="318">
        <f>[1]Mahakanadarawa!$G$57</f>
        <v>19850</v>
      </c>
      <c r="F75" s="319" t="s">
        <v>122</v>
      </c>
      <c r="G75" s="319" t="s">
        <v>122</v>
      </c>
      <c r="H75" s="319" t="s">
        <v>122</v>
      </c>
      <c r="I75" s="319" t="s">
        <v>122</v>
      </c>
      <c r="J75" s="321" t="s">
        <v>122</v>
      </c>
    </row>
    <row r="76" spans="1:10" ht="24" customHeight="1" x14ac:dyDescent="0.3">
      <c r="A76" s="315">
        <v>43903</v>
      </c>
      <c r="B76" s="359"/>
      <c r="C76" s="316" t="s">
        <v>2330</v>
      </c>
      <c r="D76" s="323"/>
      <c r="E76" s="318">
        <f>[1]Mahakanadarawa!$G$58</f>
        <v>19850</v>
      </c>
      <c r="F76" s="319" t="s">
        <v>122</v>
      </c>
      <c r="G76" s="319" t="s">
        <v>122</v>
      </c>
      <c r="H76" s="319" t="s">
        <v>122</v>
      </c>
      <c r="I76" s="319" t="s">
        <v>122</v>
      </c>
      <c r="J76" s="321" t="s">
        <v>122</v>
      </c>
    </row>
    <row r="77" spans="1:10" ht="24" customHeight="1" x14ac:dyDescent="0.3">
      <c r="A77" s="315">
        <v>43904</v>
      </c>
      <c r="B77" s="359"/>
      <c r="C77" s="316" t="s">
        <v>2330</v>
      </c>
      <c r="D77" s="323"/>
      <c r="E77" s="318">
        <f>[1]Mahakanadarawa!$G$59</f>
        <v>19850</v>
      </c>
      <c r="F77" s="319" t="s">
        <v>122</v>
      </c>
      <c r="G77" s="319" t="s">
        <v>122</v>
      </c>
      <c r="H77" s="319" t="s">
        <v>122</v>
      </c>
      <c r="I77" s="319" t="s">
        <v>122</v>
      </c>
      <c r="J77" s="321" t="s">
        <v>122</v>
      </c>
    </row>
    <row r="78" spans="1:10" ht="24" customHeight="1" x14ac:dyDescent="0.3">
      <c r="A78" s="315">
        <v>43905</v>
      </c>
      <c r="B78" s="359"/>
      <c r="C78" s="316" t="s">
        <v>2330</v>
      </c>
      <c r="D78" s="323"/>
      <c r="E78" s="318">
        <f>[1]Mahakanadarawa!$G$60</f>
        <v>19850</v>
      </c>
      <c r="F78" s="319" t="s">
        <v>122</v>
      </c>
      <c r="G78" s="319" t="s">
        <v>122</v>
      </c>
      <c r="H78" s="319" t="s">
        <v>122</v>
      </c>
      <c r="I78" s="319" t="s">
        <v>122</v>
      </c>
      <c r="J78" s="321" t="s">
        <v>122</v>
      </c>
    </row>
    <row r="79" spans="1:10" ht="24" customHeight="1" x14ac:dyDescent="0.3">
      <c r="A79" s="315">
        <v>43906</v>
      </c>
      <c r="B79" s="359"/>
      <c r="C79" s="316" t="s">
        <v>2330</v>
      </c>
      <c r="D79" s="323"/>
      <c r="E79" s="318">
        <f>[1]Mahakanadarawa!$G$61</f>
        <v>19850</v>
      </c>
      <c r="F79" s="325">
        <v>1.1599999999999999</v>
      </c>
      <c r="G79" s="319">
        <v>70.88</v>
      </c>
      <c r="H79" s="325">
        <v>0.83</v>
      </c>
      <c r="I79" s="320">
        <v>53.17</v>
      </c>
      <c r="J79" s="321" t="s">
        <v>122</v>
      </c>
    </row>
    <row r="80" spans="1:10" ht="24" customHeight="1" x14ac:dyDescent="0.3">
      <c r="A80" s="315">
        <v>43907</v>
      </c>
      <c r="B80" s="359"/>
      <c r="C80" s="316" t="s">
        <v>2331</v>
      </c>
      <c r="D80" s="323"/>
      <c r="E80" s="318">
        <f>[1]Mahakanadarawa!$G$62</f>
        <v>19500</v>
      </c>
      <c r="F80" s="325">
        <v>1.1599999999999999</v>
      </c>
      <c r="G80" s="319">
        <v>70.430000000000007</v>
      </c>
      <c r="H80" s="325">
        <v>1.1599999999999999</v>
      </c>
      <c r="I80" s="320">
        <v>73.12</v>
      </c>
      <c r="J80" s="321" t="s">
        <v>122</v>
      </c>
    </row>
    <row r="81" spans="1:10" ht="24" customHeight="1" x14ac:dyDescent="0.3">
      <c r="A81" s="315">
        <v>43908</v>
      </c>
      <c r="B81" s="359"/>
      <c r="C81" s="316" t="s">
        <v>2332</v>
      </c>
      <c r="D81" s="323"/>
      <c r="E81" s="318">
        <f>[1]Mahakanadarawa!$G$63</f>
        <v>19200</v>
      </c>
      <c r="F81" s="325">
        <v>1.1599999999999999</v>
      </c>
      <c r="G81" s="319">
        <v>69.97</v>
      </c>
      <c r="H81" s="325">
        <v>1.1599999999999999</v>
      </c>
      <c r="I81" s="320">
        <v>72.680000000000007</v>
      </c>
      <c r="J81" s="321" t="s">
        <v>122</v>
      </c>
    </row>
    <row r="82" spans="1:10" ht="24" customHeight="1" x14ac:dyDescent="0.3">
      <c r="A82" s="315">
        <v>43909</v>
      </c>
      <c r="B82" s="359"/>
      <c r="C82" s="316" t="s">
        <v>2333</v>
      </c>
      <c r="D82" s="323"/>
      <c r="E82" s="318">
        <f>[1]Mahakanadarawa!$G$64</f>
        <v>18600</v>
      </c>
      <c r="F82" s="325">
        <v>1.1599999999999999</v>
      </c>
      <c r="G82" s="319">
        <v>69.510000000000005</v>
      </c>
      <c r="H82" s="325">
        <v>0.75</v>
      </c>
      <c r="I82" s="320">
        <v>47.15</v>
      </c>
      <c r="J82" s="321" t="s">
        <v>122</v>
      </c>
    </row>
    <row r="83" spans="1:10" ht="24" customHeight="1" x14ac:dyDescent="0.3">
      <c r="A83" s="315">
        <v>43910</v>
      </c>
      <c r="B83" s="359"/>
      <c r="C83" s="316" t="s">
        <v>2334</v>
      </c>
      <c r="D83" s="323"/>
      <c r="E83" s="318">
        <f>[1]Mahakanadarawa!$G$65</f>
        <v>18250</v>
      </c>
      <c r="F83" s="319" t="s">
        <v>122</v>
      </c>
      <c r="G83" s="319" t="s">
        <v>122</v>
      </c>
      <c r="H83" s="319" t="s">
        <v>122</v>
      </c>
      <c r="I83" s="319" t="s">
        <v>122</v>
      </c>
      <c r="J83" s="321" t="s">
        <v>122</v>
      </c>
    </row>
    <row r="84" spans="1:10" ht="24" customHeight="1" x14ac:dyDescent="0.3">
      <c r="A84" s="315">
        <v>43911</v>
      </c>
      <c r="B84" s="359"/>
      <c r="C84" s="316" t="s">
        <v>2334</v>
      </c>
      <c r="D84" s="323"/>
      <c r="E84" s="318">
        <f>[1]Mahakanadarawa!$G$66</f>
        <v>18250</v>
      </c>
      <c r="F84" s="319" t="s">
        <v>122</v>
      </c>
      <c r="G84" s="319" t="s">
        <v>122</v>
      </c>
      <c r="H84" s="319" t="s">
        <v>122</v>
      </c>
      <c r="I84" s="319" t="s">
        <v>122</v>
      </c>
      <c r="J84" s="321" t="s">
        <v>122</v>
      </c>
    </row>
    <row r="85" spans="1:10" ht="24" customHeight="1" x14ac:dyDescent="0.3">
      <c r="A85" s="315">
        <v>43912</v>
      </c>
      <c r="B85" s="359"/>
      <c r="C85" s="316" t="s">
        <v>2334</v>
      </c>
      <c r="D85" s="323"/>
      <c r="E85" s="318">
        <f>[1]Mahakanadarawa!$G$67</f>
        <v>18250</v>
      </c>
      <c r="F85" s="319" t="s">
        <v>122</v>
      </c>
      <c r="G85" s="319" t="s">
        <v>122</v>
      </c>
      <c r="H85" s="319" t="s">
        <v>122</v>
      </c>
      <c r="I85" s="319" t="s">
        <v>122</v>
      </c>
      <c r="J85" s="321" t="s">
        <v>122</v>
      </c>
    </row>
    <row r="86" spans="1:10" ht="24" customHeight="1" x14ac:dyDescent="0.3">
      <c r="A86" s="315">
        <v>43913</v>
      </c>
      <c r="B86" s="359"/>
      <c r="C86" s="316" t="s">
        <v>2334</v>
      </c>
      <c r="D86" s="323"/>
      <c r="E86" s="318">
        <f>[1]Mahakanadarawa!$G$68</f>
        <v>18250</v>
      </c>
      <c r="F86" s="319" t="s">
        <v>122</v>
      </c>
      <c r="G86" s="319" t="s">
        <v>122</v>
      </c>
      <c r="H86" s="319" t="s">
        <v>122</v>
      </c>
      <c r="I86" s="319" t="s">
        <v>122</v>
      </c>
      <c r="J86" s="321" t="s">
        <v>122</v>
      </c>
    </row>
    <row r="87" spans="1:10" ht="24" customHeight="1" x14ac:dyDescent="0.3">
      <c r="A87" s="315">
        <v>43914</v>
      </c>
      <c r="B87" s="359"/>
      <c r="C87" s="316" t="s">
        <v>2334</v>
      </c>
      <c r="D87" s="323"/>
      <c r="E87" s="318">
        <f>[1]Mahakanadarawa!$G$69</f>
        <v>18250</v>
      </c>
      <c r="F87" s="319" t="s">
        <v>122</v>
      </c>
      <c r="G87" s="319" t="s">
        <v>122</v>
      </c>
      <c r="H87" s="319" t="s">
        <v>122</v>
      </c>
      <c r="I87" s="319" t="s">
        <v>122</v>
      </c>
      <c r="J87" s="321" t="s">
        <v>122</v>
      </c>
    </row>
    <row r="88" spans="1:10" ht="24" customHeight="1" x14ac:dyDescent="0.3">
      <c r="A88" s="315">
        <v>43915</v>
      </c>
      <c r="B88" s="359"/>
      <c r="C88" s="316" t="s">
        <v>2335</v>
      </c>
      <c r="D88" s="323"/>
      <c r="E88" s="318">
        <f>[1]Mahakanadarawa!$G$70</f>
        <v>18000</v>
      </c>
      <c r="F88" s="319" t="s">
        <v>122</v>
      </c>
      <c r="G88" s="319" t="s">
        <v>122</v>
      </c>
      <c r="H88" s="319" t="s">
        <v>122</v>
      </c>
      <c r="I88" s="319" t="s">
        <v>122</v>
      </c>
      <c r="J88" s="321" t="s">
        <v>122</v>
      </c>
    </row>
    <row r="89" spans="1:10" ht="24" customHeight="1" x14ac:dyDescent="0.3">
      <c r="A89" s="315">
        <v>43916</v>
      </c>
      <c r="B89" s="359"/>
      <c r="C89" s="316" t="s">
        <v>2335</v>
      </c>
      <c r="D89" s="323"/>
      <c r="E89" s="318">
        <f>[1]Mahakanadarawa!$G$71</f>
        <v>18000</v>
      </c>
      <c r="F89" s="319" t="s">
        <v>122</v>
      </c>
      <c r="G89" s="319" t="s">
        <v>122</v>
      </c>
      <c r="H89" s="319" t="s">
        <v>122</v>
      </c>
      <c r="I89" s="319" t="s">
        <v>122</v>
      </c>
      <c r="J89" s="321" t="s">
        <v>122</v>
      </c>
    </row>
    <row r="90" spans="1:10" ht="24" customHeight="1" x14ac:dyDescent="0.3">
      <c r="A90" s="315">
        <v>43917</v>
      </c>
      <c r="B90" s="359"/>
      <c r="C90" s="316" t="s">
        <v>2335</v>
      </c>
      <c r="D90" s="323"/>
      <c r="E90" s="318">
        <f>[1]Mahakanadarawa!$G$72</f>
        <v>18000</v>
      </c>
      <c r="F90" s="319" t="s">
        <v>122</v>
      </c>
      <c r="G90" s="319" t="s">
        <v>122</v>
      </c>
      <c r="H90" s="319" t="s">
        <v>122</v>
      </c>
      <c r="I90" s="319" t="s">
        <v>122</v>
      </c>
      <c r="J90" s="321" t="s">
        <v>122</v>
      </c>
    </row>
    <row r="91" spans="1:10" ht="24" customHeight="1" x14ac:dyDescent="0.3">
      <c r="A91" s="315">
        <v>43918</v>
      </c>
      <c r="B91" s="359"/>
      <c r="C91" s="316" t="s">
        <v>2335</v>
      </c>
      <c r="D91" s="323"/>
      <c r="E91" s="318">
        <f>[1]Mahakanadarawa!$G$73</f>
        <v>18000</v>
      </c>
      <c r="F91" s="319" t="s">
        <v>122</v>
      </c>
      <c r="G91" s="319" t="s">
        <v>122</v>
      </c>
      <c r="H91" s="319" t="s">
        <v>122</v>
      </c>
      <c r="I91" s="319" t="s">
        <v>122</v>
      </c>
      <c r="J91" s="321" t="s">
        <v>122</v>
      </c>
    </row>
    <row r="92" spans="1:10" ht="24" customHeight="1" x14ac:dyDescent="0.3">
      <c r="A92" s="315">
        <v>43919</v>
      </c>
      <c r="B92" s="359"/>
      <c r="C92" s="316" t="s">
        <v>1846</v>
      </c>
      <c r="D92" s="323"/>
      <c r="E92" s="318">
        <f>[1]Mahakanadarawa!$G$74</f>
        <v>17800</v>
      </c>
      <c r="F92" s="319" t="s">
        <v>122</v>
      </c>
      <c r="G92" s="319" t="s">
        <v>122</v>
      </c>
      <c r="H92" s="319" t="s">
        <v>122</v>
      </c>
      <c r="I92" s="319" t="s">
        <v>122</v>
      </c>
      <c r="J92" s="321" t="s">
        <v>122</v>
      </c>
    </row>
    <row r="93" spans="1:10" ht="24" customHeight="1" x14ac:dyDescent="0.3">
      <c r="A93" s="315">
        <v>43920</v>
      </c>
      <c r="B93" s="359"/>
      <c r="C93" s="316" t="s">
        <v>1846</v>
      </c>
      <c r="D93" s="323"/>
      <c r="E93" s="318">
        <f>[1]Mahakanadarawa!$G$75</f>
        <v>17800</v>
      </c>
      <c r="F93" s="319" t="s">
        <v>122</v>
      </c>
      <c r="G93" s="319" t="s">
        <v>122</v>
      </c>
      <c r="H93" s="319" t="s">
        <v>122</v>
      </c>
      <c r="I93" s="319" t="s">
        <v>122</v>
      </c>
      <c r="J93" s="321" t="s">
        <v>122</v>
      </c>
    </row>
    <row r="94" spans="1:10" ht="24" customHeight="1" x14ac:dyDescent="0.3">
      <c r="A94" s="315">
        <v>43921</v>
      </c>
      <c r="B94" s="359"/>
      <c r="C94" s="316" t="s">
        <v>1846</v>
      </c>
      <c r="D94" s="323"/>
      <c r="E94" s="318">
        <f>[1]Mahakanadarawa!$G$76</f>
        <v>17800</v>
      </c>
      <c r="F94" s="319" t="s">
        <v>122</v>
      </c>
      <c r="G94" s="319" t="s">
        <v>122</v>
      </c>
      <c r="H94" s="319" t="s">
        <v>122</v>
      </c>
      <c r="I94" s="319" t="s">
        <v>122</v>
      </c>
      <c r="J94" s="321" t="s">
        <v>122</v>
      </c>
    </row>
    <row r="95" spans="1:10" ht="24" customHeight="1" x14ac:dyDescent="0.3">
      <c r="A95" s="315">
        <v>43922</v>
      </c>
      <c r="B95" s="359"/>
      <c r="C95" s="316" t="s">
        <v>1846</v>
      </c>
      <c r="D95" s="323"/>
      <c r="E95" s="318">
        <v>17800</v>
      </c>
      <c r="F95" s="319" t="s">
        <v>122</v>
      </c>
      <c r="G95" s="319" t="s">
        <v>122</v>
      </c>
      <c r="H95" s="319" t="s">
        <v>122</v>
      </c>
      <c r="I95" s="319" t="s">
        <v>122</v>
      </c>
      <c r="J95" s="321" t="s">
        <v>122</v>
      </c>
    </row>
    <row r="96" spans="1:10" ht="24" customHeight="1" x14ac:dyDescent="0.3">
      <c r="A96" s="315">
        <v>43923</v>
      </c>
      <c r="B96" s="359"/>
      <c r="C96" s="316" t="s">
        <v>2336</v>
      </c>
      <c r="D96" s="323"/>
      <c r="E96" s="318">
        <v>17500</v>
      </c>
      <c r="F96" s="319" t="s">
        <v>122</v>
      </c>
      <c r="G96" s="319" t="s">
        <v>122</v>
      </c>
      <c r="H96" s="319" t="s">
        <v>122</v>
      </c>
      <c r="I96" s="319" t="s">
        <v>122</v>
      </c>
      <c r="J96" s="321" t="s">
        <v>122</v>
      </c>
    </row>
    <row r="97" spans="1:10" ht="24" customHeight="1" x14ac:dyDescent="0.3">
      <c r="A97" s="315">
        <v>43924</v>
      </c>
      <c r="B97" s="359"/>
      <c r="C97" s="316" t="s">
        <v>2336</v>
      </c>
      <c r="D97" s="323"/>
      <c r="E97" s="318">
        <v>17500</v>
      </c>
      <c r="F97" s="319" t="s">
        <v>122</v>
      </c>
      <c r="G97" s="319" t="s">
        <v>122</v>
      </c>
      <c r="H97" s="319" t="s">
        <v>122</v>
      </c>
      <c r="I97" s="319" t="s">
        <v>122</v>
      </c>
      <c r="J97" s="321" t="s">
        <v>122</v>
      </c>
    </row>
    <row r="98" spans="1:10" ht="24" customHeight="1" x14ac:dyDescent="0.3">
      <c r="A98" s="315">
        <v>43925</v>
      </c>
      <c r="B98" s="359"/>
      <c r="C98" s="316" t="s">
        <v>2336</v>
      </c>
      <c r="D98" s="323"/>
      <c r="E98" s="318">
        <v>17500</v>
      </c>
      <c r="F98" s="319" t="s">
        <v>122</v>
      </c>
      <c r="G98" s="319" t="s">
        <v>122</v>
      </c>
      <c r="H98" s="319" t="s">
        <v>122</v>
      </c>
      <c r="I98" s="319" t="s">
        <v>122</v>
      </c>
      <c r="J98" s="321" t="s">
        <v>122</v>
      </c>
    </row>
    <row r="99" spans="1:10" ht="24" customHeight="1" x14ac:dyDescent="0.3">
      <c r="A99" s="315">
        <v>43926</v>
      </c>
      <c r="B99" s="359"/>
      <c r="C99" s="316" t="s">
        <v>2336</v>
      </c>
      <c r="D99" s="323"/>
      <c r="E99" s="318">
        <v>17500</v>
      </c>
      <c r="F99" s="319" t="s">
        <v>122</v>
      </c>
      <c r="G99" s="319" t="s">
        <v>122</v>
      </c>
      <c r="H99" s="319" t="s">
        <v>122</v>
      </c>
      <c r="I99" s="319" t="s">
        <v>122</v>
      </c>
      <c r="J99" s="321" t="s">
        <v>122</v>
      </c>
    </row>
    <row r="100" spans="1:10" ht="24" customHeight="1" x14ac:dyDescent="0.3">
      <c r="A100" s="315">
        <v>43927</v>
      </c>
      <c r="B100" s="359"/>
      <c r="C100" s="316" t="s">
        <v>2336</v>
      </c>
      <c r="D100" s="323"/>
      <c r="E100" s="318">
        <v>17500</v>
      </c>
      <c r="F100" s="319" t="s">
        <v>122</v>
      </c>
      <c r="G100" s="319" t="s">
        <v>122</v>
      </c>
      <c r="H100" s="319" t="s">
        <v>122</v>
      </c>
      <c r="I100" s="319" t="s">
        <v>122</v>
      </c>
      <c r="J100" s="321" t="s">
        <v>122</v>
      </c>
    </row>
    <row r="101" spans="1:10" ht="24" customHeight="1" x14ac:dyDescent="0.3">
      <c r="A101" s="315">
        <v>43928</v>
      </c>
      <c r="B101" s="359"/>
      <c r="C101" s="316" t="s">
        <v>2336</v>
      </c>
      <c r="D101" s="323"/>
      <c r="E101" s="318">
        <v>17500</v>
      </c>
      <c r="F101" s="319" t="s">
        <v>122</v>
      </c>
      <c r="G101" s="319" t="s">
        <v>122</v>
      </c>
      <c r="H101" s="319" t="s">
        <v>122</v>
      </c>
      <c r="I101" s="319" t="s">
        <v>122</v>
      </c>
      <c r="J101" s="321" t="s">
        <v>122</v>
      </c>
    </row>
    <row r="102" spans="1:10" ht="24" customHeight="1" x14ac:dyDescent="0.3">
      <c r="A102" s="315">
        <v>43929</v>
      </c>
      <c r="B102" s="359"/>
      <c r="C102" s="316" t="s">
        <v>2336</v>
      </c>
      <c r="D102" s="323"/>
      <c r="E102" s="318">
        <v>17500</v>
      </c>
      <c r="F102" s="319" t="s">
        <v>122</v>
      </c>
      <c r="G102" s="319" t="s">
        <v>122</v>
      </c>
      <c r="H102" s="319" t="s">
        <v>122</v>
      </c>
      <c r="I102" s="319" t="s">
        <v>122</v>
      </c>
      <c r="J102" s="321" t="s">
        <v>122</v>
      </c>
    </row>
    <row r="103" spans="1:10" ht="24" customHeight="1" x14ac:dyDescent="0.3">
      <c r="A103" s="315">
        <v>43930</v>
      </c>
      <c r="B103" s="359"/>
      <c r="C103" s="316" t="s">
        <v>2337</v>
      </c>
      <c r="D103" s="323"/>
      <c r="E103" s="318">
        <v>17400</v>
      </c>
      <c r="F103" s="319" t="s">
        <v>122</v>
      </c>
      <c r="G103" s="319" t="s">
        <v>122</v>
      </c>
      <c r="H103" s="319" t="s">
        <v>122</v>
      </c>
      <c r="I103" s="319" t="s">
        <v>122</v>
      </c>
      <c r="J103" s="321" t="s">
        <v>122</v>
      </c>
    </row>
    <row r="104" spans="1:10" ht="24" customHeight="1" x14ac:dyDescent="0.3">
      <c r="A104" s="315">
        <v>43931</v>
      </c>
      <c r="B104" s="359"/>
      <c r="C104" s="316" t="s">
        <v>2337</v>
      </c>
      <c r="D104" s="323"/>
      <c r="E104" s="318">
        <v>17400</v>
      </c>
      <c r="F104" s="319" t="s">
        <v>122</v>
      </c>
      <c r="G104" s="319" t="s">
        <v>122</v>
      </c>
      <c r="H104" s="319" t="s">
        <v>122</v>
      </c>
      <c r="I104" s="319" t="s">
        <v>122</v>
      </c>
      <c r="J104" s="321" t="s">
        <v>122</v>
      </c>
    </row>
    <row r="105" spans="1:10" ht="24" customHeight="1" x14ac:dyDescent="0.3">
      <c r="A105" s="315">
        <v>43932</v>
      </c>
      <c r="B105" s="359"/>
      <c r="C105" s="316" t="s">
        <v>2337</v>
      </c>
      <c r="D105" s="323"/>
      <c r="E105" s="318">
        <v>17400</v>
      </c>
      <c r="F105" s="319" t="s">
        <v>122</v>
      </c>
      <c r="G105" s="319" t="s">
        <v>122</v>
      </c>
      <c r="H105" s="319" t="s">
        <v>122</v>
      </c>
      <c r="I105" s="319" t="s">
        <v>122</v>
      </c>
      <c r="J105" s="321" t="s">
        <v>122</v>
      </c>
    </row>
    <row r="106" spans="1:10" ht="24" customHeight="1" x14ac:dyDescent="0.3">
      <c r="A106" s="315">
        <v>43933</v>
      </c>
      <c r="B106" s="359"/>
      <c r="C106" s="316" t="s">
        <v>2337</v>
      </c>
      <c r="D106" s="323"/>
      <c r="E106" s="318">
        <v>17400</v>
      </c>
      <c r="F106" s="319" t="s">
        <v>122</v>
      </c>
      <c r="G106" s="319" t="s">
        <v>122</v>
      </c>
      <c r="H106" s="319" t="s">
        <v>122</v>
      </c>
      <c r="I106" s="319" t="s">
        <v>122</v>
      </c>
      <c r="J106" s="321" t="s">
        <v>122</v>
      </c>
    </row>
    <row r="107" spans="1:10" ht="24" customHeight="1" x14ac:dyDescent="0.3">
      <c r="A107" s="315">
        <v>43934</v>
      </c>
      <c r="B107" s="359"/>
      <c r="C107" s="316" t="s">
        <v>2337</v>
      </c>
      <c r="D107" s="323"/>
      <c r="E107" s="318">
        <v>17400</v>
      </c>
      <c r="F107" s="319" t="s">
        <v>122</v>
      </c>
      <c r="G107" s="319" t="s">
        <v>122</v>
      </c>
      <c r="H107" s="319" t="s">
        <v>122</v>
      </c>
      <c r="I107" s="319" t="s">
        <v>122</v>
      </c>
      <c r="J107" s="321" t="s">
        <v>122</v>
      </c>
    </row>
    <row r="108" spans="1:10" ht="24" customHeight="1" x14ac:dyDescent="0.3">
      <c r="A108" s="315">
        <v>43935</v>
      </c>
      <c r="B108" s="359"/>
      <c r="C108" s="316" t="s">
        <v>2338</v>
      </c>
      <c r="D108" s="323"/>
      <c r="E108" s="318">
        <v>17250</v>
      </c>
      <c r="F108" s="319" t="s">
        <v>122</v>
      </c>
      <c r="G108" s="319" t="s">
        <v>122</v>
      </c>
      <c r="H108" s="319" t="s">
        <v>122</v>
      </c>
      <c r="I108" s="319" t="s">
        <v>122</v>
      </c>
      <c r="J108" s="321" t="s">
        <v>122</v>
      </c>
    </row>
    <row r="109" spans="1:10" ht="24" customHeight="1" x14ac:dyDescent="0.3">
      <c r="A109" s="315">
        <v>43936</v>
      </c>
      <c r="B109" s="359"/>
      <c r="C109" s="316" t="s">
        <v>2338</v>
      </c>
      <c r="D109" s="323"/>
      <c r="E109" s="318">
        <v>17250</v>
      </c>
      <c r="F109" s="319" t="s">
        <v>122</v>
      </c>
      <c r="G109" s="319" t="s">
        <v>122</v>
      </c>
      <c r="H109" s="319" t="s">
        <v>122</v>
      </c>
      <c r="I109" s="319" t="s">
        <v>122</v>
      </c>
      <c r="J109" s="321" t="s">
        <v>122</v>
      </c>
    </row>
    <row r="110" spans="1:10" ht="24" customHeight="1" x14ac:dyDescent="0.3">
      <c r="A110" s="315">
        <v>43937</v>
      </c>
      <c r="B110" s="359"/>
      <c r="C110" s="316" t="s">
        <v>2338</v>
      </c>
      <c r="D110" s="323"/>
      <c r="E110" s="318">
        <v>17250</v>
      </c>
      <c r="F110" s="319" t="s">
        <v>122</v>
      </c>
      <c r="G110" s="319" t="s">
        <v>122</v>
      </c>
      <c r="H110" s="319" t="s">
        <v>122</v>
      </c>
      <c r="I110" s="319" t="s">
        <v>122</v>
      </c>
      <c r="J110" s="321" t="s">
        <v>122</v>
      </c>
    </row>
    <row r="111" spans="1:10" ht="24" customHeight="1" x14ac:dyDescent="0.3">
      <c r="A111" s="315">
        <v>43938</v>
      </c>
      <c r="B111" s="359"/>
      <c r="C111" s="316" t="s">
        <v>2338</v>
      </c>
      <c r="D111" s="323"/>
      <c r="E111" s="318">
        <v>17250</v>
      </c>
      <c r="F111" s="319" t="s">
        <v>122</v>
      </c>
      <c r="G111" s="319" t="s">
        <v>122</v>
      </c>
      <c r="H111" s="319" t="s">
        <v>122</v>
      </c>
      <c r="I111" s="319" t="s">
        <v>122</v>
      </c>
      <c r="J111" s="321" t="s">
        <v>122</v>
      </c>
    </row>
    <row r="112" spans="1:10" ht="24" customHeight="1" x14ac:dyDescent="0.3">
      <c r="A112" s="315">
        <v>43939</v>
      </c>
      <c r="B112" s="359"/>
      <c r="C112" s="316" t="s">
        <v>2339</v>
      </c>
      <c r="D112" s="323"/>
      <c r="E112" s="318">
        <v>17000</v>
      </c>
      <c r="F112" s="319" t="s">
        <v>122</v>
      </c>
      <c r="G112" s="319" t="s">
        <v>122</v>
      </c>
      <c r="H112" s="319" t="s">
        <v>122</v>
      </c>
      <c r="I112" s="319" t="s">
        <v>122</v>
      </c>
      <c r="J112" s="321" t="s">
        <v>122</v>
      </c>
    </row>
    <row r="113" spans="1:10" ht="24" customHeight="1" x14ac:dyDescent="0.3">
      <c r="A113" s="315">
        <v>43940</v>
      </c>
      <c r="B113" s="359"/>
      <c r="C113" s="316" t="s">
        <v>2339</v>
      </c>
      <c r="D113" s="323"/>
      <c r="E113" s="318">
        <v>17000</v>
      </c>
      <c r="F113" s="319" t="s">
        <v>122</v>
      </c>
      <c r="G113" s="319" t="s">
        <v>122</v>
      </c>
      <c r="H113" s="319" t="s">
        <v>122</v>
      </c>
      <c r="I113" s="319" t="s">
        <v>122</v>
      </c>
      <c r="J113" s="321" t="s">
        <v>122</v>
      </c>
    </row>
    <row r="114" spans="1:10" ht="24" customHeight="1" x14ac:dyDescent="0.3">
      <c r="A114" s="315">
        <v>43941</v>
      </c>
      <c r="B114" s="359"/>
      <c r="C114" s="316" t="s">
        <v>2339</v>
      </c>
      <c r="D114" s="323"/>
      <c r="E114" s="318">
        <v>17000</v>
      </c>
      <c r="F114" s="319" t="s">
        <v>122</v>
      </c>
      <c r="G114" s="319" t="s">
        <v>122</v>
      </c>
      <c r="H114" s="319" t="s">
        <v>122</v>
      </c>
      <c r="I114" s="319" t="s">
        <v>122</v>
      </c>
      <c r="J114" s="321" t="s">
        <v>122</v>
      </c>
    </row>
    <row r="115" spans="1:10" ht="24" customHeight="1" x14ac:dyDescent="0.3">
      <c r="A115" s="315">
        <v>43942</v>
      </c>
      <c r="B115" s="359"/>
      <c r="C115" s="316" t="s">
        <v>2339</v>
      </c>
      <c r="D115" s="323"/>
      <c r="E115" s="318">
        <v>17000</v>
      </c>
      <c r="F115" s="319" t="s">
        <v>122</v>
      </c>
      <c r="G115" s="319" t="s">
        <v>122</v>
      </c>
      <c r="H115" s="319" t="s">
        <v>122</v>
      </c>
      <c r="I115" s="319" t="s">
        <v>122</v>
      </c>
      <c r="J115" s="321" t="s">
        <v>122</v>
      </c>
    </row>
    <row r="116" spans="1:10" ht="24" customHeight="1" x14ac:dyDescent="0.3">
      <c r="A116" s="315">
        <v>43943</v>
      </c>
      <c r="B116" s="359"/>
      <c r="C116" s="316" t="s">
        <v>2339</v>
      </c>
      <c r="D116" s="323"/>
      <c r="E116" s="318">
        <v>17000</v>
      </c>
      <c r="F116" s="319" t="s">
        <v>122</v>
      </c>
      <c r="G116" s="319" t="s">
        <v>122</v>
      </c>
      <c r="H116" s="319" t="s">
        <v>122</v>
      </c>
      <c r="I116" s="319" t="s">
        <v>122</v>
      </c>
      <c r="J116" s="321" t="s">
        <v>122</v>
      </c>
    </row>
    <row r="117" spans="1:10" ht="24" customHeight="1" x14ac:dyDescent="0.3">
      <c r="A117" s="315">
        <v>43944</v>
      </c>
      <c r="B117" s="359"/>
      <c r="C117" s="316" t="s">
        <v>2339</v>
      </c>
      <c r="D117" s="323"/>
      <c r="E117" s="318">
        <v>17000</v>
      </c>
      <c r="F117" s="319" t="s">
        <v>122</v>
      </c>
      <c r="G117" s="319" t="s">
        <v>122</v>
      </c>
      <c r="H117" s="319" t="s">
        <v>122</v>
      </c>
      <c r="I117" s="319" t="s">
        <v>122</v>
      </c>
      <c r="J117" s="321" t="s">
        <v>122</v>
      </c>
    </row>
    <row r="118" spans="1:10" ht="24" customHeight="1" x14ac:dyDescent="0.3">
      <c r="A118" s="315">
        <v>43945</v>
      </c>
      <c r="B118" s="359"/>
      <c r="C118" s="316" t="s">
        <v>2339</v>
      </c>
      <c r="D118" s="323"/>
      <c r="E118" s="318">
        <v>17000</v>
      </c>
      <c r="F118" s="319" t="s">
        <v>122</v>
      </c>
      <c r="G118" s="319" t="s">
        <v>122</v>
      </c>
      <c r="H118" s="319" t="s">
        <v>122</v>
      </c>
      <c r="I118" s="319" t="s">
        <v>122</v>
      </c>
      <c r="J118" s="321" t="s">
        <v>122</v>
      </c>
    </row>
    <row r="119" spans="1:10" ht="24" customHeight="1" x14ac:dyDescent="0.3">
      <c r="A119" s="315">
        <v>43946</v>
      </c>
      <c r="B119" s="359"/>
      <c r="C119" s="316" t="s">
        <v>2339</v>
      </c>
      <c r="D119" s="323"/>
      <c r="E119" s="318">
        <v>17000</v>
      </c>
      <c r="F119" s="319" t="s">
        <v>122</v>
      </c>
      <c r="G119" s="319" t="s">
        <v>122</v>
      </c>
      <c r="H119" s="319" t="s">
        <v>122</v>
      </c>
      <c r="I119" s="319" t="s">
        <v>122</v>
      </c>
      <c r="J119" s="321" t="s">
        <v>122</v>
      </c>
    </row>
    <row r="120" spans="1:10" ht="24" customHeight="1" x14ac:dyDescent="0.3">
      <c r="A120" s="315">
        <v>43947</v>
      </c>
      <c r="B120" s="359"/>
      <c r="C120" s="316" t="s">
        <v>2339</v>
      </c>
      <c r="D120" s="323"/>
      <c r="E120" s="318">
        <v>17000</v>
      </c>
      <c r="F120" s="319" t="s">
        <v>122</v>
      </c>
      <c r="G120" s="319" t="s">
        <v>122</v>
      </c>
      <c r="H120" s="319" t="s">
        <v>122</v>
      </c>
      <c r="I120" s="319" t="s">
        <v>122</v>
      </c>
      <c r="J120" s="321" t="s">
        <v>122</v>
      </c>
    </row>
    <row r="121" spans="1:10" ht="24" customHeight="1" x14ac:dyDescent="0.3">
      <c r="A121" s="315">
        <v>43948</v>
      </c>
      <c r="B121" s="359"/>
      <c r="C121" s="316" t="s">
        <v>2339</v>
      </c>
      <c r="D121" s="323"/>
      <c r="E121" s="318">
        <v>17000</v>
      </c>
      <c r="F121" s="319" t="s">
        <v>122</v>
      </c>
      <c r="G121" s="319" t="s">
        <v>122</v>
      </c>
      <c r="H121" s="319" t="s">
        <v>122</v>
      </c>
      <c r="I121" s="319" t="s">
        <v>122</v>
      </c>
      <c r="J121" s="321" t="s">
        <v>122</v>
      </c>
    </row>
    <row r="122" spans="1:10" ht="24" customHeight="1" x14ac:dyDescent="0.3">
      <c r="A122" s="315">
        <v>43949</v>
      </c>
      <c r="B122" s="359"/>
      <c r="C122" s="316" t="s">
        <v>2339</v>
      </c>
      <c r="D122" s="323"/>
      <c r="E122" s="318">
        <v>17000</v>
      </c>
      <c r="F122" s="319" t="s">
        <v>122</v>
      </c>
      <c r="G122" s="319" t="s">
        <v>122</v>
      </c>
      <c r="H122" s="319" t="s">
        <v>122</v>
      </c>
      <c r="I122" s="319" t="s">
        <v>122</v>
      </c>
      <c r="J122" s="321" t="s">
        <v>122</v>
      </c>
    </row>
    <row r="123" spans="1:10" ht="24" customHeight="1" x14ac:dyDescent="0.3">
      <c r="A123" s="315">
        <v>43950</v>
      </c>
      <c r="B123" s="359"/>
      <c r="C123" s="316" t="s">
        <v>2339</v>
      </c>
      <c r="D123" s="323"/>
      <c r="E123" s="318">
        <v>17000</v>
      </c>
      <c r="F123" s="319" t="s">
        <v>122</v>
      </c>
      <c r="G123" s="319" t="s">
        <v>122</v>
      </c>
      <c r="H123" s="319" t="s">
        <v>122</v>
      </c>
      <c r="I123" s="319" t="s">
        <v>122</v>
      </c>
      <c r="J123" s="321" t="s">
        <v>122</v>
      </c>
    </row>
    <row r="124" spans="1:10" ht="24" customHeight="1" x14ac:dyDescent="0.3">
      <c r="A124" s="315">
        <v>43951</v>
      </c>
      <c r="B124" s="359"/>
      <c r="C124" s="316" t="s">
        <v>2339</v>
      </c>
      <c r="D124" s="323"/>
      <c r="E124" s="318">
        <v>17000</v>
      </c>
      <c r="F124" s="319" t="s">
        <v>122</v>
      </c>
      <c r="G124" s="319" t="s">
        <v>122</v>
      </c>
      <c r="H124" s="319" t="s">
        <v>122</v>
      </c>
      <c r="I124" s="319" t="s">
        <v>122</v>
      </c>
      <c r="J124" s="321" t="s">
        <v>122</v>
      </c>
    </row>
    <row r="125" spans="1:10" ht="24" customHeight="1" x14ac:dyDescent="0.3">
      <c r="A125" s="315">
        <v>43952</v>
      </c>
      <c r="B125" s="359"/>
      <c r="C125" s="316" t="s">
        <v>2339</v>
      </c>
      <c r="D125" s="323"/>
      <c r="E125" s="319">
        <v>17000</v>
      </c>
      <c r="F125" s="319" t="s">
        <v>122</v>
      </c>
      <c r="G125" s="319" t="s">
        <v>122</v>
      </c>
      <c r="H125" s="319" t="s">
        <v>122</v>
      </c>
      <c r="I125" s="319" t="s">
        <v>122</v>
      </c>
      <c r="J125" s="321" t="s">
        <v>122</v>
      </c>
    </row>
    <row r="126" spans="1:10" ht="24" customHeight="1" x14ac:dyDescent="0.3">
      <c r="A126" s="315">
        <v>43953</v>
      </c>
      <c r="B126" s="359"/>
      <c r="C126" s="316" t="s">
        <v>2339</v>
      </c>
      <c r="D126" s="323"/>
      <c r="E126" s="319">
        <v>17000</v>
      </c>
      <c r="F126" s="325">
        <v>0.83</v>
      </c>
      <c r="G126" s="319">
        <v>48.98</v>
      </c>
      <c r="H126" s="325">
        <v>0.5</v>
      </c>
      <c r="I126" s="320">
        <v>30.96</v>
      </c>
      <c r="J126" s="321" t="s">
        <v>122</v>
      </c>
    </row>
    <row r="127" spans="1:10" ht="24" customHeight="1" x14ac:dyDescent="0.3">
      <c r="A127" s="315">
        <v>43954</v>
      </c>
      <c r="B127" s="359"/>
      <c r="C127" s="316" t="s">
        <v>2340</v>
      </c>
      <c r="D127" s="323"/>
      <c r="E127" s="319">
        <v>16850</v>
      </c>
      <c r="F127" s="325">
        <v>0.83</v>
      </c>
      <c r="G127" s="319">
        <v>48.73</v>
      </c>
      <c r="H127" s="325">
        <v>0.75</v>
      </c>
      <c r="I127" s="320">
        <v>45.79</v>
      </c>
      <c r="J127" s="321" t="s">
        <v>122</v>
      </c>
    </row>
    <row r="128" spans="1:10" ht="24" customHeight="1" x14ac:dyDescent="0.3">
      <c r="A128" s="315">
        <v>43955</v>
      </c>
      <c r="B128" s="359"/>
      <c r="C128" s="316" t="s">
        <v>2341</v>
      </c>
      <c r="D128" s="323"/>
      <c r="E128" s="319">
        <v>16700</v>
      </c>
      <c r="F128" s="325">
        <v>0.83</v>
      </c>
      <c r="G128" s="319">
        <v>48.48</v>
      </c>
      <c r="H128" s="325">
        <v>0.75</v>
      </c>
      <c r="I128" s="320">
        <v>45.57</v>
      </c>
      <c r="J128" s="321" t="s">
        <v>122</v>
      </c>
    </row>
    <row r="129" spans="1:10" ht="24" customHeight="1" x14ac:dyDescent="0.3">
      <c r="A129" s="315">
        <v>43956</v>
      </c>
      <c r="B129" s="359"/>
      <c r="C129" s="316" t="s">
        <v>2342</v>
      </c>
      <c r="D129" s="323"/>
      <c r="E129" s="319">
        <v>16800</v>
      </c>
      <c r="F129" s="319" t="s">
        <v>122</v>
      </c>
      <c r="G129" s="319" t="s">
        <v>122</v>
      </c>
      <c r="H129" s="319" t="s">
        <v>122</v>
      </c>
      <c r="I129" s="319" t="s">
        <v>122</v>
      </c>
      <c r="J129" s="319" t="s">
        <v>122</v>
      </c>
    </row>
    <row r="130" spans="1:10" ht="24" customHeight="1" x14ac:dyDescent="0.3">
      <c r="A130" s="315">
        <v>43957</v>
      </c>
      <c r="B130" s="359"/>
      <c r="C130" s="316" t="s">
        <v>2343</v>
      </c>
      <c r="D130" s="323"/>
      <c r="E130" s="319">
        <v>16950</v>
      </c>
      <c r="F130" s="319" t="s">
        <v>122</v>
      </c>
      <c r="G130" s="319" t="s">
        <v>122</v>
      </c>
      <c r="H130" s="319" t="s">
        <v>122</v>
      </c>
      <c r="I130" s="319" t="s">
        <v>122</v>
      </c>
      <c r="J130" s="321" t="s">
        <v>122</v>
      </c>
    </row>
    <row r="131" spans="1:10" ht="24" customHeight="1" x14ac:dyDescent="0.3">
      <c r="A131" s="315">
        <v>43958</v>
      </c>
      <c r="B131" s="359"/>
      <c r="C131" s="316" t="s">
        <v>2343</v>
      </c>
      <c r="D131" s="323"/>
      <c r="E131" s="319">
        <v>16950</v>
      </c>
      <c r="F131" s="319" t="s">
        <v>122</v>
      </c>
      <c r="G131" s="319" t="s">
        <v>122</v>
      </c>
      <c r="H131" s="319" t="s">
        <v>122</v>
      </c>
      <c r="I131" s="319" t="s">
        <v>122</v>
      </c>
      <c r="J131" s="321" t="s">
        <v>122</v>
      </c>
    </row>
    <row r="132" spans="1:10" ht="24" customHeight="1" x14ac:dyDescent="0.3">
      <c r="A132" s="315">
        <v>43959</v>
      </c>
      <c r="B132" s="359"/>
      <c r="C132" s="316" t="s">
        <v>2339</v>
      </c>
      <c r="D132" s="323"/>
      <c r="E132" s="319">
        <v>17000</v>
      </c>
      <c r="F132" s="319" t="s">
        <v>122</v>
      </c>
      <c r="G132" s="319" t="s">
        <v>122</v>
      </c>
      <c r="H132" s="319" t="s">
        <v>122</v>
      </c>
      <c r="I132" s="319" t="s">
        <v>122</v>
      </c>
      <c r="J132" s="321" t="s">
        <v>122</v>
      </c>
    </row>
    <row r="133" spans="1:10" ht="24" customHeight="1" x14ac:dyDescent="0.3">
      <c r="A133" s="315">
        <v>43960</v>
      </c>
      <c r="B133" s="359"/>
      <c r="C133" s="316" t="s">
        <v>2339</v>
      </c>
      <c r="D133" s="323"/>
      <c r="E133" s="319">
        <v>17000</v>
      </c>
      <c r="F133" s="319" t="s">
        <v>122</v>
      </c>
      <c r="G133" s="319" t="s">
        <v>122</v>
      </c>
      <c r="H133" s="319" t="s">
        <v>122</v>
      </c>
      <c r="I133" s="319" t="s">
        <v>122</v>
      </c>
      <c r="J133" s="321" t="s">
        <v>122</v>
      </c>
    </row>
    <row r="134" spans="1:10" ht="24" customHeight="1" x14ac:dyDescent="0.3">
      <c r="A134" s="315">
        <v>43961</v>
      </c>
      <c r="B134" s="359"/>
      <c r="C134" s="316" t="s">
        <v>2337</v>
      </c>
      <c r="D134" s="323"/>
      <c r="E134" s="319">
        <v>17400</v>
      </c>
      <c r="F134" s="319" t="s">
        <v>122</v>
      </c>
      <c r="G134" s="319" t="s">
        <v>122</v>
      </c>
      <c r="H134" s="319" t="s">
        <v>122</v>
      </c>
      <c r="I134" s="319" t="s">
        <v>122</v>
      </c>
      <c r="J134" s="321" t="s">
        <v>122</v>
      </c>
    </row>
    <row r="135" spans="1:10" ht="24" customHeight="1" x14ac:dyDescent="0.3">
      <c r="A135" s="315">
        <v>43962</v>
      </c>
      <c r="B135" s="359"/>
      <c r="C135" s="316" t="s">
        <v>2336</v>
      </c>
      <c r="D135" s="323"/>
      <c r="E135" s="319">
        <v>17500</v>
      </c>
      <c r="F135" s="319" t="s">
        <v>122</v>
      </c>
      <c r="G135" s="319" t="s">
        <v>122</v>
      </c>
      <c r="H135" s="319" t="s">
        <v>122</v>
      </c>
      <c r="I135" s="319" t="s">
        <v>122</v>
      </c>
      <c r="J135" s="321" t="s">
        <v>122</v>
      </c>
    </row>
    <row r="136" spans="1:10" ht="24" customHeight="1" x14ac:dyDescent="0.3">
      <c r="A136" s="315">
        <v>43963</v>
      </c>
      <c r="B136" s="359"/>
      <c r="C136" s="316" t="s">
        <v>2334</v>
      </c>
      <c r="D136" s="323"/>
      <c r="E136" s="319">
        <v>18250</v>
      </c>
      <c r="F136" s="319" t="s">
        <v>122</v>
      </c>
      <c r="G136" s="319" t="s">
        <v>122</v>
      </c>
      <c r="H136" s="319" t="s">
        <v>122</v>
      </c>
      <c r="I136" s="319" t="s">
        <v>122</v>
      </c>
      <c r="J136" s="321" t="s">
        <v>122</v>
      </c>
    </row>
    <row r="137" spans="1:10" ht="24" customHeight="1" x14ac:dyDescent="0.3">
      <c r="A137" s="315">
        <v>43964</v>
      </c>
      <c r="B137" s="359"/>
      <c r="C137" s="316" t="s">
        <v>2344</v>
      </c>
      <c r="D137" s="323"/>
      <c r="E137" s="319">
        <v>18800</v>
      </c>
      <c r="F137" s="319" t="s">
        <v>122</v>
      </c>
      <c r="G137" s="319" t="s">
        <v>122</v>
      </c>
      <c r="H137" s="319" t="s">
        <v>122</v>
      </c>
      <c r="I137" s="319" t="s">
        <v>122</v>
      </c>
      <c r="J137" s="321" t="s">
        <v>122</v>
      </c>
    </row>
    <row r="138" spans="1:10" ht="24" customHeight="1" x14ac:dyDescent="0.3">
      <c r="A138" s="315">
        <v>43965</v>
      </c>
      <c r="B138" s="359"/>
      <c r="C138" s="316" t="s">
        <v>2345</v>
      </c>
      <c r="D138" s="323"/>
      <c r="E138" s="319">
        <v>19000</v>
      </c>
      <c r="F138" s="319" t="s">
        <v>122</v>
      </c>
      <c r="G138" s="319" t="s">
        <v>122</v>
      </c>
      <c r="H138" s="319" t="s">
        <v>122</v>
      </c>
      <c r="I138" s="319" t="s">
        <v>122</v>
      </c>
      <c r="J138" s="321" t="s">
        <v>122</v>
      </c>
    </row>
    <row r="139" spans="1:10" ht="24" customHeight="1" x14ac:dyDescent="0.3">
      <c r="A139" s="315">
        <v>43966</v>
      </c>
      <c r="B139" s="359"/>
      <c r="C139" s="316" t="s">
        <v>2332</v>
      </c>
      <c r="D139" s="323"/>
      <c r="E139" s="319">
        <v>19200</v>
      </c>
      <c r="F139" s="319" t="s">
        <v>122</v>
      </c>
      <c r="G139" s="319" t="s">
        <v>122</v>
      </c>
      <c r="H139" s="319" t="s">
        <v>122</v>
      </c>
      <c r="I139" s="319" t="s">
        <v>122</v>
      </c>
      <c r="J139" s="321" t="s">
        <v>122</v>
      </c>
    </row>
    <row r="140" spans="1:10" ht="24" customHeight="1" x14ac:dyDescent="0.3">
      <c r="A140" s="315">
        <v>43967</v>
      </c>
      <c r="B140" s="359"/>
      <c r="C140" s="316" t="s">
        <v>2346</v>
      </c>
      <c r="D140" s="323"/>
      <c r="E140" s="319">
        <v>20450</v>
      </c>
      <c r="F140" s="319" t="s">
        <v>122</v>
      </c>
      <c r="G140" s="319" t="s">
        <v>122</v>
      </c>
      <c r="H140" s="319" t="s">
        <v>122</v>
      </c>
      <c r="I140" s="319" t="s">
        <v>122</v>
      </c>
      <c r="J140" s="321" t="s">
        <v>122</v>
      </c>
    </row>
    <row r="141" spans="1:10" ht="24" customHeight="1" x14ac:dyDescent="0.3">
      <c r="A141" s="315">
        <v>43968</v>
      </c>
      <c r="B141" s="359"/>
      <c r="C141" s="316" t="s">
        <v>1847</v>
      </c>
      <c r="D141" s="323"/>
      <c r="E141" s="319">
        <v>21000</v>
      </c>
      <c r="F141" s="319" t="s">
        <v>122</v>
      </c>
      <c r="G141" s="319" t="s">
        <v>122</v>
      </c>
      <c r="H141" s="319" t="s">
        <v>122</v>
      </c>
      <c r="I141" s="319" t="s">
        <v>122</v>
      </c>
      <c r="J141" s="321" t="s">
        <v>122</v>
      </c>
    </row>
    <row r="142" spans="1:10" ht="24" customHeight="1" x14ac:dyDescent="0.3">
      <c r="A142" s="315">
        <v>43969</v>
      </c>
      <c r="B142" s="359"/>
      <c r="C142" s="316" t="s">
        <v>1847</v>
      </c>
      <c r="D142" s="323"/>
      <c r="E142" s="319">
        <v>21000</v>
      </c>
      <c r="F142" s="319" t="s">
        <v>122</v>
      </c>
      <c r="G142" s="319" t="s">
        <v>122</v>
      </c>
      <c r="H142" s="319" t="s">
        <v>122</v>
      </c>
      <c r="I142" s="319" t="s">
        <v>122</v>
      </c>
      <c r="J142" s="321" t="s">
        <v>122</v>
      </c>
    </row>
    <row r="143" spans="1:10" ht="24" customHeight="1" x14ac:dyDescent="0.3">
      <c r="A143" s="315">
        <v>43970</v>
      </c>
      <c r="B143" s="359"/>
      <c r="C143" s="316" t="s">
        <v>2327</v>
      </c>
      <c r="D143" s="323"/>
      <c r="E143" s="319">
        <v>21200</v>
      </c>
      <c r="F143" s="319" t="s">
        <v>122</v>
      </c>
      <c r="G143" s="319" t="s">
        <v>122</v>
      </c>
      <c r="H143" s="319" t="s">
        <v>122</v>
      </c>
      <c r="I143" s="319" t="s">
        <v>122</v>
      </c>
      <c r="J143" s="321" t="s">
        <v>122</v>
      </c>
    </row>
    <row r="144" spans="1:10" ht="24" customHeight="1" x14ac:dyDescent="0.3">
      <c r="A144" s="315">
        <v>43971</v>
      </c>
      <c r="B144" s="359"/>
      <c r="C144" s="316" t="s">
        <v>2327</v>
      </c>
      <c r="D144" s="323"/>
      <c r="E144" s="319">
        <v>21200</v>
      </c>
      <c r="F144" s="319" t="s">
        <v>122</v>
      </c>
      <c r="G144" s="319" t="s">
        <v>122</v>
      </c>
      <c r="H144" s="319" t="s">
        <v>122</v>
      </c>
      <c r="I144" s="319" t="s">
        <v>122</v>
      </c>
      <c r="J144" s="321" t="s">
        <v>122</v>
      </c>
    </row>
    <row r="145" spans="1:10" ht="24" customHeight="1" x14ac:dyDescent="0.3">
      <c r="A145" s="315">
        <v>43972</v>
      </c>
      <c r="B145" s="359"/>
      <c r="C145" s="316" t="s">
        <v>2327</v>
      </c>
      <c r="D145" s="323"/>
      <c r="E145" s="319">
        <v>21200</v>
      </c>
      <c r="F145" s="319" t="s">
        <v>122</v>
      </c>
      <c r="G145" s="319" t="s">
        <v>122</v>
      </c>
      <c r="H145" s="319" t="s">
        <v>122</v>
      </c>
      <c r="I145" s="319" t="s">
        <v>122</v>
      </c>
      <c r="J145" s="321" t="s">
        <v>122</v>
      </c>
    </row>
    <row r="146" spans="1:10" ht="24" customHeight="1" x14ac:dyDescent="0.3">
      <c r="A146" s="315">
        <v>43973</v>
      </c>
      <c r="B146" s="359"/>
      <c r="C146" s="316" t="s">
        <v>2346</v>
      </c>
      <c r="D146" s="323"/>
      <c r="E146" s="319">
        <v>20450</v>
      </c>
      <c r="F146" s="319" t="s">
        <v>122</v>
      </c>
      <c r="G146" s="319" t="s">
        <v>122</v>
      </c>
      <c r="H146" s="319" t="s">
        <v>122</v>
      </c>
      <c r="I146" s="319" t="s">
        <v>122</v>
      </c>
      <c r="J146" s="321" t="s">
        <v>122</v>
      </c>
    </row>
    <row r="147" spans="1:10" ht="24" customHeight="1" x14ac:dyDescent="0.3">
      <c r="A147" s="315">
        <v>43974</v>
      </c>
      <c r="B147" s="359"/>
      <c r="C147" s="316" t="s">
        <v>1847</v>
      </c>
      <c r="D147" s="323"/>
      <c r="E147" s="319">
        <v>21000</v>
      </c>
      <c r="F147" s="325">
        <v>1</v>
      </c>
      <c r="G147" s="319">
        <v>61.92</v>
      </c>
      <c r="H147" s="325">
        <v>0.42</v>
      </c>
      <c r="I147" s="320">
        <v>89.19</v>
      </c>
      <c r="J147" s="321" t="s">
        <v>122</v>
      </c>
    </row>
    <row r="148" spans="1:10" ht="24" customHeight="1" x14ac:dyDescent="0.3">
      <c r="A148" s="315">
        <v>43975</v>
      </c>
      <c r="B148" s="359"/>
      <c r="C148" s="316" t="s">
        <v>2347</v>
      </c>
      <c r="D148" s="323"/>
      <c r="E148" s="319">
        <v>20825</v>
      </c>
      <c r="F148" s="325">
        <v>1</v>
      </c>
      <c r="G148" s="319">
        <v>61.82</v>
      </c>
      <c r="H148" s="325">
        <v>0.67</v>
      </c>
      <c r="I148" s="320">
        <v>105.03</v>
      </c>
      <c r="J148" s="321" t="s">
        <v>122</v>
      </c>
    </row>
    <row r="149" spans="1:10" ht="24" customHeight="1" x14ac:dyDescent="0.3">
      <c r="A149" s="315">
        <v>43976</v>
      </c>
      <c r="B149" s="359"/>
      <c r="C149" s="316" t="s">
        <v>2348</v>
      </c>
      <c r="D149" s="323"/>
      <c r="E149" s="319">
        <v>20550</v>
      </c>
      <c r="F149" s="325">
        <v>0.83</v>
      </c>
      <c r="G149" s="319">
        <v>51.68</v>
      </c>
      <c r="H149" s="325">
        <v>0.33</v>
      </c>
      <c r="I149" s="320">
        <v>73.47</v>
      </c>
      <c r="J149" s="321" t="s">
        <v>122</v>
      </c>
    </row>
    <row r="150" spans="1:10" ht="24" customHeight="1" x14ac:dyDescent="0.3">
      <c r="A150" s="315">
        <v>43977</v>
      </c>
      <c r="B150" s="359"/>
      <c r="C150" s="316" t="s">
        <v>2329</v>
      </c>
      <c r="D150" s="323"/>
      <c r="E150" s="319">
        <v>20000</v>
      </c>
      <c r="F150" s="325">
        <v>0.75</v>
      </c>
      <c r="G150" s="319">
        <v>46.44</v>
      </c>
      <c r="H150" s="325">
        <v>0.67</v>
      </c>
      <c r="I150" s="320">
        <v>89.34</v>
      </c>
      <c r="J150" s="321" t="s">
        <v>122</v>
      </c>
    </row>
    <row r="151" spans="1:10" ht="24" customHeight="1" x14ac:dyDescent="0.3">
      <c r="A151" s="315">
        <v>43978</v>
      </c>
      <c r="B151" s="359"/>
      <c r="C151" s="316" t="s">
        <v>2349</v>
      </c>
      <c r="D151" s="323"/>
      <c r="E151" s="319">
        <v>19925</v>
      </c>
      <c r="F151" s="325">
        <v>0.75</v>
      </c>
      <c r="G151" s="319">
        <v>46.37</v>
      </c>
      <c r="H151" s="325">
        <v>0.67</v>
      </c>
      <c r="I151" s="320">
        <v>89.21</v>
      </c>
      <c r="J151" s="321" t="s">
        <v>122</v>
      </c>
    </row>
    <row r="152" spans="1:10" ht="24" customHeight="1" x14ac:dyDescent="0.3">
      <c r="A152" s="315">
        <v>43979</v>
      </c>
      <c r="B152" s="359"/>
      <c r="C152" s="316" t="s">
        <v>2350</v>
      </c>
      <c r="D152" s="323"/>
      <c r="E152" s="326">
        <v>19775</v>
      </c>
      <c r="F152" s="325">
        <v>1</v>
      </c>
      <c r="G152" s="319">
        <v>61.05</v>
      </c>
      <c r="H152" s="325">
        <v>0.67</v>
      </c>
      <c r="I152" s="320">
        <v>103.77</v>
      </c>
      <c r="J152" s="321" t="s">
        <v>122</v>
      </c>
    </row>
    <row r="153" spans="1:10" ht="24" customHeight="1" x14ac:dyDescent="0.3">
      <c r="A153" s="315">
        <v>43980</v>
      </c>
      <c r="B153" s="359"/>
      <c r="C153" s="316" t="s">
        <v>2351</v>
      </c>
      <c r="D153" s="323"/>
      <c r="E153" s="319">
        <v>19700</v>
      </c>
      <c r="F153" s="325">
        <v>0.83</v>
      </c>
      <c r="G153" s="319">
        <v>51.12</v>
      </c>
      <c r="H153" s="325">
        <v>0.67</v>
      </c>
      <c r="I153" s="320">
        <v>93.78</v>
      </c>
      <c r="J153" s="321" t="s">
        <v>122</v>
      </c>
    </row>
    <row r="154" spans="1:10" ht="24" customHeight="1" x14ac:dyDescent="0.3">
      <c r="A154" s="315">
        <v>43981</v>
      </c>
      <c r="B154" s="359"/>
      <c r="C154" s="316" t="s">
        <v>2331</v>
      </c>
      <c r="D154" s="323"/>
      <c r="E154" s="319">
        <v>19500</v>
      </c>
      <c r="F154" s="325">
        <v>1</v>
      </c>
      <c r="G154" s="319">
        <v>60.76</v>
      </c>
      <c r="H154" s="325">
        <v>0.5</v>
      </c>
      <c r="I154" s="320">
        <v>92.85</v>
      </c>
      <c r="J154" s="321" t="s">
        <v>122</v>
      </c>
    </row>
    <row r="155" spans="1:10" ht="24" customHeight="1" x14ac:dyDescent="0.3">
      <c r="A155" s="315">
        <v>43982</v>
      </c>
      <c r="B155" s="359"/>
      <c r="C155" s="316" t="s">
        <v>2352</v>
      </c>
      <c r="D155" s="323"/>
      <c r="E155" s="319">
        <v>19300</v>
      </c>
      <c r="F155" s="325">
        <v>1</v>
      </c>
      <c r="G155" s="319">
        <v>60.56</v>
      </c>
      <c r="H155" s="325">
        <v>0.5</v>
      </c>
      <c r="I155" s="320">
        <v>92.55</v>
      </c>
      <c r="J155" s="321" t="s">
        <v>122</v>
      </c>
    </row>
    <row r="156" spans="1:10" ht="24" customHeight="1" x14ac:dyDescent="0.3">
      <c r="A156" s="315">
        <v>43983</v>
      </c>
      <c r="B156" s="359"/>
      <c r="C156" s="316" t="s">
        <v>2345</v>
      </c>
      <c r="D156" s="323"/>
      <c r="E156" s="319">
        <v>19000</v>
      </c>
      <c r="F156" s="317">
        <v>1</v>
      </c>
      <c r="G156" s="319">
        <v>60.17</v>
      </c>
      <c r="H156" s="317">
        <v>0.5</v>
      </c>
      <c r="I156" s="320" t="s">
        <v>122</v>
      </c>
      <c r="J156" s="321" t="s">
        <v>122</v>
      </c>
    </row>
    <row r="157" spans="1:10" ht="24" customHeight="1" x14ac:dyDescent="0.3">
      <c r="A157" s="315">
        <v>43984</v>
      </c>
      <c r="B157" s="359"/>
      <c r="C157" s="316" t="s">
        <v>2353</v>
      </c>
      <c r="D157" s="323"/>
      <c r="E157" s="319">
        <v>18425</v>
      </c>
      <c r="F157" s="317">
        <v>0.83</v>
      </c>
      <c r="G157" s="319">
        <v>50.23</v>
      </c>
      <c r="H157" s="317">
        <v>0.75</v>
      </c>
      <c r="I157" s="320" t="s">
        <v>122</v>
      </c>
      <c r="J157" s="321" t="s">
        <v>122</v>
      </c>
    </row>
    <row r="158" spans="1:10" ht="24" customHeight="1" x14ac:dyDescent="0.3">
      <c r="A158" s="315">
        <v>43985</v>
      </c>
      <c r="B158" s="359"/>
      <c r="C158" s="316" t="s">
        <v>2335</v>
      </c>
      <c r="D158" s="323"/>
      <c r="E158" s="319">
        <v>18000</v>
      </c>
      <c r="F158" s="317">
        <v>0.83</v>
      </c>
      <c r="G158" s="319">
        <v>49.98</v>
      </c>
      <c r="H158" s="317">
        <v>0.75</v>
      </c>
      <c r="I158" s="320" t="s">
        <v>122</v>
      </c>
      <c r="J158" s="321" t="s">
        <v>122</v>
      </c>
    </row>
    <row r="159" spans="1:10" ht="24" customHeight="1" x14ac:dyDescent="0.3">
      <c r="A159" s="315">
        <v>43986</v>
      </c>
      <c r="B159" s="359"/>
      <c r="C159" s="316" t="s">
        <v>1846</v>
      </c>
      <c r="D159" s="323"/>
      <c r="E159" s="319">
        <v>17800</v>
      </c>
      <c r="F159" s="317">
        <v>0.5</v>
      </c>
      <c r="G159" s="319">
        <v>30.28</v>
      </c>
      <c r="H159" s="317">
        <v>0.75</v>
      </c>
      <c r="I159" s="320" t="s">
        <v>122</v>
      </c>
      <c r="J159" s="321" t="s">
        <v>122</v>
      </c>
    </row>
    <row r="160" spans="1:10" ht="24" customHeight="1" x14ac:dyDescent="0.3">
      <c r="A160" s="315">
        <v>43987</v>
      </c>
      <c r="B160" s="359"/>
      <c r="C160" s="316" t="s">
        <v>2354</v>
      </c>
      <c r="D160" s="323"/>
      <c r="E160" s="319">
        <v>17600</v>
      </c>
      <c r="F160" s="319" t="s">
        <v>122</v>
      </c>
      <c r="G160" s="319" t="s">
        <v>122</v>
      </c>
      <c r="H160" s="319" t="s">
        <v>122</v>
      </c>
      <c r="I160" s="320" t="s">
        <v>122</v>
      </c>
      <c r="J160" s="321" t="s">
        <v>122</v>
      </c>
    </row>
    <row r="161" spans="1:10" ht="24" customHeight="1" x14ac:dyDescent="0.3">
      <c r="A161" s="315">
        <v>43988</v>
      </c>
      <c r="B161" s="359"/>
      <c r="C161" s="316" t="s">
        <v>2354</v>
      </c>
      <c r="D161" s="323"/>
      <c r="E161" s="319">
        <v>17600</v>
      </c>
      <c r="F161" s="319" t="s">
        <v>122</v>
      </c>
      <c r="G161" s="319" t="s">
        <v>122</v>
      </c>
      <c r="H161" s="319" t="s">
        <v>122</v>
      </c>
      <c r="I161" s="320" t="s">
        <v>122</v>
      </c>
      <c r="J161" s="321" t="s">
        <v>122</v>
      </c>
    </row>
    <row r="162" spans="1:10" ht="24" customHeight="1" x14ac:dyDescent="0.3">
      <c r="A162" s="315">
        <v>43989</v>
      </c>
      <c r="B162" s="359"/>
      <c r="C162" s="316" t="s">
        <v>2336</v>
      </c>
      <c r="D162" s="323"/>
      <c r="E162" s="319">
        <v>17500</v>
      </c>
      <c r="F162" s="319" t="s">
        <v>122</v>
      </c>
      <c r="G162" s="319" t="s">
        <v>122</v>
      </c>
      <c r="H162" s="319" t="s">
        <v>122</v>
      </c>
      <c r="I162" s="320" t="s">
        <v>122</v>
      </c>
      <c r="J162" s="321" t="s">
        <v>122</v>
      </c>
    </row>
    <row r="163" spans="1:10" ht="24" customHeight="1" x14ac:dyDescent="0.3">
      <c r="A163" s="315">
        <v>43990</v>
      </c>
      <c r="B163" s="359"/>
      <c r="C163" s="316" t="s">
        <v>2336</v>
      </c>
      <c r="D163" s="323"/>
      <c r="E163" s="319">
        <v>17500</v>
      </c>
      <c r="F163" s="319" t="s">
        <v>122</v>
      </c>
      <c r="G163" s="319" t="s">
        <v>122</v>
      </c>
      <c r="H163" s="319" t="s">
        <v>122</v>
      </c>
      <c r="I163" s="320" t="s">
        <v>122</v>
      </c>
      <c r="J163" s="321" t="s">
        <v>122</v>
      </c>
    </row>
    <row r="164" spans="1:10" ht="24" customHeight="1" x14ac:dyDescent="0.3">
      <c r="A164" s="315">
        <v>43991</v>
      </c>
      <c r="B164" s="359"/>
      <c r="C164" s="316" t="s">
        <v>2355</v>
      </c>
      <c r="D164" s="323"/>
      <c r="E164" s="319">
        <v>17450</v>
      </c>
      <c r="F164" s="317">
        <v>0.83</v>
      </c>
      <c r="G164" s="319">
        <v>49.4</v>
      </c>
      <c r="H164" s="317">
        <v>0.75</v>
      </c>
      <c r="I164" s="320">
        <v>46.37</v>
      </c>
      <c r="J164" s="321" t="s">
        <v>122</v>
      </c>
    </row>
    <row r="165" spans="1:10" ht="24" customHeight="1" x14ac:dyDescent="0.3">
      <c r="A165" s="315">
        <v>43992</v>
      </c>
      <c r="B165" s="359"/>
      <c r="C165" s="316" t="s">
        <v>2356</v>
      </c>
      <c r="D165" s="323"/>
      <c r="E165" s="319">
        <v>17325</v>
      </c>
      <c r="F165" s="317">
        <v>1</v>
      </c>
      <c r="G165" s="319">
        <v>58.68</v>
      </c>
      <c r="H165" s="317">
        <v>0.75</v>
      </c>
      <c r="I165" s="320">
        <v>46.22</v>
      </c>
      <c r="J165" s="321" t="s">
        <v>122</v>
      </c>
    </row>
    <row r="166" spans="1:10" ht="24" customHeight="1" x14ac:dyDescent="0.3">
      <c r="A166" s="315">
        <v>43993</v>
      </c>
      <c r="B166" s="359"/>
      <c r="C166" s="316" t="s">
        <v>2339</v>
      </c>
      <c r="D166" s="323"/>
      <c r="E166" s="319">
        <v>17000</v>
      </c>
      <c r="F166" s="317">
        <v>1.1599999999999999</v>
      </c>
      <c r="G166" s="319">
        <v>67.63</v>
      </c>
      <c r="H166" s="317">
        <v>0.75</v>
      </c>
      <c r="I166" s="320">
        <v>46.01</v>
      </c>
      <c r="J166" s="321" t="s">
        <v>122</v>
      </c>
    </row>
    <row r="167" spans="1:10" ht="24" customHeight="1" x14ac:dyDescent="0.3">
      <c r="A167" s="315">
        <v>43994</v>
      </c>
      <c r="B167" s="359"/>
      <c r="C167" s="316" t="s">
        <v>2357</v>
      </c>
      <c r="D167" s="323"/>
      <c r="E167" s="319">
        <v>16900</v>
      </c>
      <c r="F167" s="317">
        <v>1</v>
      </c>
      <c r="G167" s="319">
        <v>58.17</v>
      </c>
      <c r="H167" s="317">
        <v>0.92</v>
      </c>
      <c r="I167" s="320">
        <v>55.7</v>
      </c>
      <c r="J167" s="321" t="s">
        <v>122</v>
      </c>
    </row>
    <row r="168" spans="1:10" ht="24" customHeight="1" x14ac:dyDescent="0.3">
      <c r="A168" s="315">
        <v>43995</v>
      </c>
      <c r="B168" s="359"/>
      <c r="C168" s="316" t="s">
        <v>2358</v>
      </c>
      <c r="D168" s="323"/>
      <c r="E168" s="319">
        <v>16750</v>
      </c>
      <c r="F168" s="317">
        <v>1</v>
      </c>
      <c r="G168" s="319">
        <v>57.87</v>
      </c>
      <c r="H168" s="317">
        <v>0.92</v>
      </c>
      <c r="I168" s="320">
        <v>55.43</v>
      </c>
      <c r="J168" s="321" t="s">
        <v>122</v>
      </c>
    </row>
    <row r="169" spans="1:10" ht="24" customHeight="1" x14ac:dyDescent="0.3">
      <c r="A169" s="315">
        <v>43996</v>
      </c>
      <c r="B169" s="359"/>
      <c r="C169" s="316" t="s">
        <v>2359</v>
      </c>
      <c r="D169" s="323"/>
      <c r="E169" s="319">
        <v>16700</v>
      </c>
      <c r="F169" s="317"/>
      <c r="G169" s="319" t="s">
        <v>122</v>
      </c>
      <c r="H169" s="317"/>
      <c r="I169" s="320" t="s">
        <v>122</v>
      </c>
      <c r="J169" s="321" t="s">
        <v>122</v>
      </c>
    </row>
    <row r="170" spans="1:10" ht="24" customHeight="1" x14ac:dyDescent="0.3">
      <c r="A170" s="315">
        <v>43997</v>
      </c>
      <c r="B170" s="359"/>
      <c r="C170" s="316" t="s">
        <v>2360</v>
      </c>
      <c r="D170" s="323"/>
      <c r="E170" s="319">
        <v>16650</v>
      </c>
      <c r="F170" s="317"/>
      <c r="G170" s="319" t="s">
        <v>122</v>
      </c>
      <c r="H170" s="317"/>
      <c r="I170" s="320" t="s">
        <v>122</v>
      </c>
      <c r="J170" s="321" t="s">
        <v>122</v>
      </c>
    </row>
    <row r="171" spans="1:10" ht="24" customHeight="1" x14ac:dyDescent="0.3">
      <c r="A171" s="315">
        <v>43998</v>
      </c>
      <c r="B171" s="359"/>
      <c r="C171" s="316" t="s">
        <v>2360</v>
      </c>
      <c r="D171" s="323"/>
      <c r="E171" s="319">
        <v>16650</v>
      </c>
      <c r="F171" s="317"/>
      <c r="G171" s="319" t="s">
        <v>122</v>
      </c>
      <c r="H171" s="317"/>
      <c r="I171" s="320" t="s">
        <v>122</v>
      </c>
      <c r="J171" s="321" t="s">
        <v>122</v>
      </c>
    </row>
    <row r="172" spans="1:10" ht="24" customHeight="1" x14ac:dyDescent="0.3">
      <c r="A172" s="315">
        <v>43999</v>
      </c>
      <c r="B172" s="359"/>
      <c r="C172" s="316" t="s">
        <v>2361</v>
      </c>
      <c r="D172" s="323"/>
      <c r="E172" s="319">
        <v>16600</v>
      </c>
      <c r="F172" s="317"/>
      <c r="G172" s="319" t="s">
        <v>122</v>
      </c>
      <c r="H172" s="317"/>
      <c r="I172" s="320" t="s">
        <v>122</v>
      </c>
      <c r="J172" s="321" t="s">
        <v>122</v>
      </c>
    </row>
    <row r="173" spans="1:10" ht="24" customHeight="1" x14ac:dyDescent="0.3">
      <c r="A173" s="315">
        <v>44000</v>
      </c>
      <c r="B173" s="359"/>
      <c r="C173" s="316" t="s">
        <v>2362</v>
      </c>
      <c r="D173" s="323"/>
      <c r="E173" s="319">
        <v>16550</v>
      </c>
      <c r="F173" s="317">
        <v>1</v>
      </c>
      <c r="G173" s="319">
        <v>57.46</v>
      </c>
      <c r="H173" s="317">
        <v>0.83</v>
      </c>
      <c r="I173" s="320">
        <v>50.23</v>
      </c>
      <c r="J173" s="321" t="s">
        <v>122</v>
      </c>
    </row>
    <row r="174" spans="1:10" ht="24" customHeight="1" x14ac:dyDescent="0.3">
      <c r="A174" s="315">
        <v>44001</v>
      </c>
      <c r="B174" s="359"/>
      <c r="C174" s="316" t="s">
        <v>2363</v>
      </c>
      <c r="D174" s="323"/>
      <c r="E174" s="319">
        <v>16400</v>
      </c>
      <c r="F174" s="317">
        <f>16*0.083</f>
        <v>1.3280000000000001</v>
      </c>
      <c r="G174" s="319">
        <v>75.08</v>
      </c>
      <c r="H174" s="317">
        <v>0.83</v>
      </c>
      <c r="I174" s="320">
        <v>49.98</v>
      </c>
      <c r="J174" s="321" t="s">
        <v>122</v>
      </c>
    </row>
    <row r="175" spans="1:10" ht="24" customHeight="1" x14ac:dyDescent="0.3">
      <c r="A175" s="315">
        <v>44002</v>
      </c>
      <c r="B175" s="359"/>
      <c r="C175" s="316" t="s">
        <v>2364</v>
      </c>
      <c r="D175" s="323"/>
      <c r="E175" s="319">
        <v>16100</v>
      </c>
      <c r="F175" s="317">
        <v>1.33</v>
      </c>
      <c r="G175" s="319">
        <v>74.510000000000005</v>
      </c>
      <c r="H175" s="317">
        <v>1</v>
      </c>
      <c r="I175" s="320">
        <v>59.28</v>
      </c>
      <c r="J175" s="321" t="s">
        <v>122</v>
      </c>
    </row>
    <row r="176" spans="1:10" ht="24" customHeight="1" x14ac:dyDescent="0.3">
      <c r="A176" s="315">
        <v>44003</v>
      </c>
      <c r="B176" s="359"/>
      <c r="C176" s="316" t="s">
        <v>2365</v>
      </c>
      <c r="D176" s="323"/>
      <c r="E176" s="319">
        <v>15675</v>
      </c>
      <c r="F176" s="317">
        <v>1</v>
      </c>
      <c r="G176" s="319">
        <v>56.31</v>
      </c>
      <c r="H176" s="317">
        <v>1</v>
      </c>
      <c r="I176" s="320">
        <v>58.88</v>
      </c>
      <c r="J176" s="321" t="s">
        <v>122</v>
      </c>
    </row>
    <row r="177" spans="1:10" ht="24" customHeight="1" x14ac:dyDescent="0.3">
      <c r="A177" s="315">
        <v>44004</v>
      </c>
      <c r="B177" s="359"/>
      <c r="C177" s="316" t="s">
        <v>2366</v>
      </c>
      <c r="D177" s="323"/>
      <c r="E177" s="319">
        <v>15400</v>
      </c>
      <c r="F177" s="317">
        <v>1</v>
      </c>
      <c r="G177" s="319">
        <v>55.89</v>
      </c>
      <c r="H177" s="317">
        <v>1</v>
      </c>
      <c r="I177" s="320">
        <v>58.37</v>
      </c>
      <c r="J177" s="321" t="s">
        <v>122</v>
      </c>
    </row>
    <row r="178" spans="1:10" ht="24" customHeight="1" x14ac:dyDescent="0.3">
      <c r="A178" s="315">
        <v>44005</v>
      </c>
      <c r="B178" s="359"/>
      <c r="C178" s="316" t="s">
        <v>2367</v>
      </c>
      <c r="D178" s="323"/>
      <c r="E178" s="319">
        <v>15300</v>
      </c>
      <c r="F178" s="317"/>
      <c r="G178" s="319" t="s">
        <v>122</v>
      </c>
      <c r="H178" s="317"/>
      <c r="I178" s="320" t="s">
        <v>122</v>
      </c>
      <c r="J178" s="321" t="s">
        <v>122</v>
      </c>
    </row>
    <row r="179" spans="1:10" ht="24" customHeight="1" x14ac:dyDescent="0.3">
      <c r="A179" s="315">
        <v>44006</v>
      </c>
      <c r="B179" s="359"/>
      <c r="C179" s="316" t="s">
        <v>2367</v>
      </c>
      <c r="D179" s="323"/>
      <c r="E179" s="319">
        <v>15300</v>
      </c>
      <c r="F179" s="317"/>
      <c r="G179" s="319" t="s">
        <v>122</v>
      </c>
      <c r="H179" s="317"/>
      <c r="I179" s="320" t="s">
        <v>122</v>
      </c>
      <c r="J179" s="321" t="s">
        <v>122</v>
      </c>
    </row>
    <row r="180" spans="1:10" ht="24" customHeight="1" x14ac:dyDescent="0.3">
      <c r="A180" s="315">
        <v>44007</v>
      </c>
      <c r="B180" s="359"/>
      <c r="C180" s="316" t="s">
        <v>2367</v>
      </c>
      <c r="D180" s="323"/>
      <c r="E180" s="319">
        <v>15300</v>
      </c>
      <c r="F180" s="317"/>
      <c r="G180" s="319" t="s">
        <v>122</v>
      </c>
      <c r="H180" s="317"/>
      <c r="I180" s="320" t="s">
        <v>122</v>
      </c>
      <c r="J180" s="321" t="s">
        <v>122</v>
      </c>
    </row>
    <row r="181" spans="1:10" ht="24" customHeight="1" x14ac:dyDescent="0.3">
      <c r="A181" s="315">
        <v>44008</v>
      </c>
      <c r="B181" s="359"/>
      <c r="C181" s="316" t="s">
        <v>2367</v>
      </c>
      <c r="D181" s="323"/>
      <c r="E181" s="319">
        <v>15300</v>
      </c>
      <c r="F181" s="317"/>
      <c r="G181" s="319" t="s">
        <v>122</v>
      </c>
      <c r="H181" s="317"/>
      <c r="I181" s="320" t="s">
        <v>122</v>
      </c>
      <c r="J181" s="321" t="s">
        <v>122</v>
      </c>
    </row>
    <row r="182" spans="1:10" ht="24" customHeight="1" x14ac:dyDescent="0.3">
      <c r="A182" s="315">
        <v>44009</v>
      </c>
      <c r="B182" s="359"/>
      <c r="C182" s="316" t="s">
        <v>2367</v>
      </c>
      <c r="D182" s="323"/>
      <c r="E182" s="319">
        <v>15300</v>
      </c>
      <c r="F182" s="317"/>
      <c r="G182" s="319" t="s">
        <v>122</v>
      </c>
      <c r="H182" s="317"/>
      <c r="I182" s="320" t="s">
        <v>122</v>
      </c>
      <c r="J182" s="321" t="s">
        <v>122</v>
      </c>
    </row>
    <row r="183" spans="1:10" ht="24" customHeight="1" x14ac:dyDescent="0.3">
      <c r="A183" s="315">
        <v>44010</v>
      </c>
      <c r="B183" s="359"/>
      <c r="C183" s="316" t="s">
        <v>2367</v>
      </c>
      <c r="D183" s="323"/>
      <c r="E183" s="319">
        <v>15300</v>
      </c>
      <c r="F183" s="317"/>
      <c r="G183" s="319" t="s">
        <v>122</v>
      </c>
      <c r="H183" s="317"/>
      <c r="I183" s="320" t="s">
        <v>122</v>
      </c>
      <c r="J183" s="321" t="s">
        <v>122</v>
      </c>
    </row>
    <row r="184" spans="1:10" ht="24" customHeight="1" x14ac:dyDescent="0.3">
      <c r="A184" s="315">
        <v>44011</v>
      </c>
      <c r="B184" s="359"/>
      <c r="C184" s="316" t="s">
        <v>2367</v>
      </c>
      <c r="D184" s="323"/>
      <c r="E184" s="319">
        <v>15300</v>
      </c>
      <c r="F184" s="317"/>
      <c r="G184" s="319" t="s">
        <v>122</v>
      </c>
      <c r="H184" s="317"/>
      <c r="I184" s="320" t="s">
        <v>122</v>
      </c>
      <c r="J184" s="321" t="s">
        <v>122</v>
      </c>
    </row>
    <row r="185" spans="1:10" ht="24" customHeight="1" x14ac:dyDescent="0.3">
      <c r="A185" s="315">
        <v>44012</v>
      </c>
      <c r="B185" s="359"/>
      <c r="C185" s="316" t="s">
        <v>2367</v>
      </c>
      <c r="D185" s="323"/>
      <c r="E185" s="319">
        <v>15300</v>
      </c>
      <c r="F185" s="317">
        <f>15*0.083</f>
        <v>1.2450000000000001</v>
      </c>
      <c r="G185" s="319">
        <v>68.66</v>
      </c>
      <c r="H185" s="317"/>
      <c r="I185" s="320" t="s">
        <v>122</v>
      </c>
      <c r="J185" s="321" t="s">
        <v>122</v>
      </c>
    </row>
    <row r="186" spans="1:10" ht="24" customHeight="1" x14ac:dyDescent="0.3">
      <c r="A186" s="315">
        <v>44013</v>
      </c>
      <c r="B186" s="359"/>
      <c r="C186" s="316" t="s">
        <v>2368</v>
      </c>
      <c r="D186" s="323"/>
      <c r="E186" s="319">
        <v>15200</v>
      </c>
      <c r="F186" s="325">
        <v>1.1599999999999999</v>
      </c>
      <c r="G186" s="319">
        <v>73.09</v>
      </c>
      <c r="H186" s="324">
        <f>14*0.083</f>
        <v>1.1620000000000001</v>
      </c>
      <c r="I186" s="320">
        <v>72.069999999999993</v>
      </c>
      <c r="J186" s="321" t="s">
        <v>122</v>
      </c>
    </row>
    <row r="187" spans="1:10" ht="24" customHeight="1" x14ac:dyDescent="0.3">
      <c r="A187" s="315">
        <v>44014</v>
      </c>
      <c r="B187" s="359"/>
      <c r="C187" s="316" t="s">
        <v>1845</v>
      </c>
      <c r="D187" s="323"/>
      <c r="E187" s="319">
        <v>14900</v>
      </c>
      <c r="F187" s="325">
        <f>18*0.08</f>
        <v>1.44</v>
      </c>
      <c r="G187" s="319">
        <v>80.91</v>
      </c>
      <c r="H187" s="324">
        <f t="shared" ref="H187:H188" si="0">14*0.083</f>
        <v>1.1620000000000001</v>
      </c>
      <c r="I187" s="320">
        <v>71.56</v>
      </c>
      <c r="J187" s="321" t="s">
        <v>122</v>
      </c>
    </row>
    <row r="188" spans="1:10" ht="24" customHeight="1" x14ac:dyDescent="0.3">
      <c r="A188" s="315">
        <v>44015</v>
      </c>
      <c r="B188" s="359"/>
      <c r="C188" s="316" t="s">
        <v>2369</v>
      </c>
      <c r="D188" s="323"/>
      <c r="E188" s="319">
        <v>14600</v>
      </c>
      <c r="F188" s="325">
        <f>16*0.08</f>
        <v>1.28</v>
      </c>
      <c r="G188" s="319">
        <v>71.930000000000007</v>
      </c>
      <c r="H188" s="324">
        <f t="shared" si="0"/>
        <v>1.1620000000000001</v>
      </c>
      <c r="I188" s="320">
        <v>71.040000000000006</v>
      </c>
      <c r="J188" s="321" t="s">
        <v>122</v>
      </c>
    </row>
    <row r="189" spans="1:10" ht="24" customHeight="1" x14ac:dyDescent="0.3">
      <c r="A189" s="315">
        <v>44016</v>
      </c>
      <c r="B189" s="359"/>
      <c r="C189" s="316" t="s">
        <v>2370</v>
      </c>
      <c r="D189" s="323"/>
      <c r="E189" s="319">
        <v>14300</v>
      </c>
      <c r="F189" s="325">
        <v>1</v>
      </c>
      <c r="G189" s="319">
        <v>54.39</v>
      </c>
      <c r="H189" s="324">
        <v>1</v>
      </c>
      <c r="I189" s="320">
        <v>61.57</v>
      </c>
      <c r="J189" s="321" t="s">
        <v>122</v>
      </c>
    </row>
    <row r="190" spans="1:10" ht="24" customHeight="1" x14ac:dyDescent="0.3">
      <c r="A190" s="315">
        <v>44017</v>
      </c>
      <c r="B190" s="359"/>
      <c r="C190" s="316" t="s">
        <v>2371</v>
      </c>
      <c r="D190" s="323"/>
      <c r="E190" s="319">
        <v>14100</v>
      </c>
      <c r="F190" s="325"/>
      <c r="G190" s="319" t="s">
        <v>122</v>
      </c>
      <c r="H190" s="324">
        <v>1</v>
      </c>
      <c r="I190" s="320">
        <v>61.34</v>
      </c>
      <c r="J190" s="321" t="s">
        <v>122</v>
      </c>
    </row>
    <row r="191" spans="1:10" ht="24" customHeight="1" x14ac:dyDescent="0.3">
      <c r="A191" s="315">
        <v>44018</v>
      </c>
      <c r="B191" s="359"/>
      <c r="C191" s="316" t="s">
        <v>2372</v>
      </c>
      <c r="D191" s="323"/>
      <c r="E191" s="319">
        <v>13900</v>
      </c>
      <c r="F191" s="325"/>
      <c r="G191" s="319" t="s">
        <v>122</v>
      </c>
      <c r="H191" s="324"/>
      <c r="I191" s="320" t="s">
        <v>122</v>
      </c>
      <c r="J191" s="321" t="s">
        <v>122</v>
      </c>
    </row>
    <row r="192" spans="1:10" ht="24" customHeight="1" x14ac:dyDescent="0.3">
      <c r="A192" s="315">
        <v>44019</v>
      </c>
      <c r="B192" s="359"/>
      <c r="C192" s="316" t="s">
        <v>2372</v>
      </c>
      <c r="D192" s="323"/>
      <c r="E192" s="319">
        <v>13900</v>
      </c>
      <c r="F192" s="325"/>
      <c r="G192" s="319" t="s">
        <v>122</v>
      </c>
      <c r="H192" s="324"/>
      <c r="I192" s="320" t="s">
        <v>122</v>
      </c>
      <c r="J192" s="321" t="s">
        <v>122</v>
      </c>
    </row>
    <row r="193" spans="1:10" ht="24" customHeight="1" x14ac:dyDescent="0.3">
      <c r="A193" s="315">
        <v>44020</v>
      </c>
      <c r="B193" s="359"/>
      <c r="C193" s="316" t="s">
        <v>2373</v>
      </c>
      <c r="D193" s="323"/>
      <c r="E193" s="319">
        <v>13800</v>
      </c>
      <c r="F193" s="325"/>
      <c r="G193" s="319" t="s">
        <v>122</v>
      </c>
      <c r="H193" s="324"/>
      <c r="I193" s="320" t="s">
        <v>122</v>
      </c>
      <c r="J193" s="321" t="s">
        <v>122</v>
      </c>
    </row>
    <row r="194" spans="1:10" ht="24" customHeight="1" x14ac:dyDescent="0.3">
      <c r="A194" s="315">
        <v>44021</v>
      </c>
      <c r="B194" s="359"/>
      <c r="C194" s="316" t="s">
        <v>2373</v>
      </c>
      <c r="D194" s="323"/>
      <c r="E194" s="319">
        <v>13800</v>
      </c>
      <c r="F194" s="325"/>
      <c r="G194" s="319" t="s">
        <v>122</v>
      </c>
      <c r="H194" s="324"/>
      <c r="I194" s="320" t="s">
        <v>122</v>
      </c>
      <c r="J194" s="321" t="s">
        <v>122</v>
      </c>
    </row>
    <row r="195" spans="1:10" ht="24" customHeight="1" x14ac:dyDescent="0.3">
      <c r="A195" s="315">
        <v>44022</v>
      </c>
      <c r="B195" s="359"/>
      <c r="C195" s="316" t="s">
        <v>2373</v>
      </c>
      <c r="D195" s="323"/>
      <c r="E195" s="319">
        <v>13800</v>
      </c>
      <c r="F195" s="325"/>
      <c r="G195" s="319" t="s">
        <v>122</v>
      </c>
      <c r="H195" s="324"/>
      <c r="I195" s="320" t="s">
        <v>122</v>
      </c>
      <c r="J195" s="321" t="s">
        <v>122</v>
      </c>
    </row>
    <row r="196" spans="1:10" ht="24" customHeight="1" x14ac:dyDescent="0.3">
      <c r="A196" s="315">
        <v>44023</v>
      </c>
      <c r="B196" s="359"/>
      <c r="C196" s="316" t="s">
        <v>2371</v>
      </c>
      <c r="D196" s="323"/>
      <c r="E196" s="319">
        <v>14100</v>
      </c>
      <c r="F196" s="325"/>
      <c r="G196" s="319" t="s">
        <v>122</v>
      </c>
      <c r="H196" s="324"/>
      <c r="I196" s="320" t="s">
        <v>122</v>
      </c>
      <c r="J196" s="321" t="s">
        <v>122</v>
      </c>
    </row>
    <row r="197" spans="1:10" ht="24" customHeight="1" x14ac:dyDescent="0.3">
      <c r="A197" s="315">
        <v>44024</v>
      </c>
      <c r="B197" s="359"/>
      <c r="C197" s="316" t="s">
        <v>2374</v>
      </c>
      <c r="D197" s="323"/>
      <c r="E197" s="319">
        <v>14200</v>
      </c>
      <c r="F197" s="325"/>
      <c r="G197" s="319" t="s">
        <v>122</v>
      </c>
      <c r="H197" s="324"/>
      <c r="I197" s="320" t="s">
        <v>122</v>
      </c>
      <c r="J197" s="321" t="s">
        <v>122</v>
      </c>
    </row>
    <row r="198" spans="1:10" ht="24" customHeight="1" x14ac:dyDescent="0.3">
      <c r="A198" s="315">
        <v>44025</v>
      </c>
      <c r="B198" s="359"/>
      <c r="C198" s="316" t="s">
        <v>2374</v>
      </c>
      <c r="D198" s="323"/>
      <c r="E198" s="319">
        <v>14200</v>
      </c>
      <c r="F198" s="325"/>
      <c r="G198" s="319" t="s">
        <v>122</v>
      </c>
      <c r="H198" s="324"/>
      <c r="I198" s="320" t="s">
        <v>122</v>
      </c>
      <c r="J198" s="321" t="s">
        <v>122</v>
      </c>
    </row>
    <row r="199" spans="1:10" ht="24" customHeight="1" x14ac:dyDescent="0.3">
      <c r="A199" s="315">
        <v>44026</v>
      </c>
      <c r="B199" s="359"/>
      <c r="C199" s="316" t="s">
        <v>2374</v>
      </c>
      <c r="D199" s="323"/>
      <c r="E199" s="319">
        <v>14200</v>
      </c>
      <c r="F199" s="325">
        <f>15*0.083</f>
        <v>1.2450000000000001</v>
      </c>
      <c r="G199" s="324">
        <v>67.02</v>
      </c>
      <c r="H199" s="324">
        <f>0.083*14</f>
        <v>1.1620000000000001</v>
      </c>
      <c r="I199" s="320">
        <v>69.989999999999995</v>
      </c>
      <c r="J199" s="321" t="s">
        <v>122</v>
      </c>
    </row>
    <row r="200" spans="1:10" ht="24" customHeight="1" x14ac:dyDescent="0.3">
      <c r="A200" s="315">
        <v>44027</v>
      </c>
      <c r="B200" s="359"/>
      <c r="C200" s="316" t="s">
        <v>2373</v>
      </c>
      <c r="D200" s="323"/>
      <c r="E200" s="319">
        <v>13800</v>
      </c>
      <c r="F200" s="325">
        <f>15*0.083</f>
        <v>1.2450000000000001</v>
      </c>
      <c r="G200" s="324">
        <v>66.47</v>
      </c>
      <c r="H200" s="324">
        <f t="shared" ref="H200:H203" si="1">0.083*14</f>
        <v>1.1620000000000001</v>
      </c>
      <c r="I200" s="320">
        <v>69.19</v>
      </c>
      <c r="J200" s="321" t="s">
        <v>122</v>
      </c>
    </row>
    <row r="201" spans="1:10" ht="24" customHeight="1" x14ac:dyDescent="0.3">
      <c r="A201" s="315">
        <v>44028</v>
      </c>
      <c r="B201" s="359"/>
      <c r="C201" s="316" t="s">
        <v>2375</v>
      </c>
      <c r="D201" s="323"/>
      <c r="E201" s="319">
        <v>13500</v>
      </c>
      <c r="F201" s="325">
        <f>18*0.083</f>
        <v>1.494</v>
      </c>
      <c r="G201" s="324">
        <v>77.89</v>
      </c>
      <c r="H201" s="324">
        <f t="shared" si="1"/>
        <v>1.1620000000000001</v>
      </c>
      <c r="I201" s="320">
        <v>68.39</v>
      </c>
      <c r="J201" s="321" t="s">
        <v>122</v>
      </c>
    </row>
    <row r="202" spans="1:10" ht="24" customHeight="1" x14ac:dyDescent="0.3">
      <c r="A202" s="315">
        <v>44029</v>
      </c>
      <c r="B202" s="359"/>
      <c r="C202" s="316" t="s">
        <v>2376</v>
      </c>
      <c r="D202" s="323"/>
      <c r="E202" s="319">
        <v>12950</v>
      </c>
      <c r="F202" s="325">
        <v>1.25</v>
      </c>
      <c r="G202" s="324">
        <v>65.06</v>
      </c>
      <c r="H202" s="324">
        <f t="shared" si="1"/>
        <v>1.1620000000000001</v>
      </c>
      <c r="I202" s="320">
        <v>68.11</v>
      </c>
      <c r="J202" s="321" t="s">
        <v>122</v>
      </c>
    </row>
    <row r="203" spans="1:10" ht="24" customHeight="1" x14ac:dyDescent="0.3">
      <c r="A203" s="315">
        <v>44030</v>
      </c>
      <c r="B203" s="359"/>
      <c r="C203" s="316" t="s">
        <v>2377</v>
      </c>
      <c r="D203" s="323"/>
      <c r="E203" s="319">
        <v>12800</v>
      </c>
      <c r="F203" s="325">
        <v>1.25</v>
      </c>
      <c r="G203" s="324">
        <v>64.489999999999995</v>
      </c>
      <c r="H203" s="324">
        <f t="shared" si="1"/>
        <v>1.1620000000000001</v>
      </c>
      <c r="I203" s="320">
        <v>67.84</v>
      </c>
      <c r="J203" s="321" t="s">
        <v>122</v>
      </c>
    </row>
    <row r="204" spans="1:10" ht="24" customHeight="1" x14ac:dyDescent="0.3">
      <c r="A204" s="315">
        <v>44031</v>
      </c>
      <c r="B204" s="359"/>
      <c r="C204" s="316" t="s">
        <v>2378</v>
      </c>
      <c r="D204" s="323"/>
      <c r="E204" s="319">
        <v>12700</v>
      </c>
      <c r="F204" s="325"/>
      <c r="G204" s="319" t="s">
        <v>122</v>
      </c>
      <c r="H204" s="324"/>
      <c r="I204" s="320" t="s">
        <v>122</v>
      </c>
      <c r="J204" s="321" t="s">
        <v>122</v>
      </c>
    </row>
    <row r="205" spans="1:10" ht="24" customHeight="1" x14ac:dyDescent="0.3">
      <c r="A205" s="315">
        <v>44032</v>
      </c>
      <c r="B205" s="359"/>
      <c r="C205" s="316" t="s">
        <v>2378</v>
      </c>
      <c r="D205" s="323"/>
      <c r="E205" s="319">
        <v>12700</v>
      </c>
      <c r="F205" s="325"/>
      <c r="G205" s="319" t="s">
        <v>122</v>
      </c>
      <c r="H205" s="324"/>
      <c r="I205" s="320" t="s">
        <v>122</v>
      </c>
      <c r="J205" s="321" t="s">
        <v>122</v>
      </c>
    </row>
    <row r="206" spans="1:10" ht="24" customHeight="1" x14ac:dyDescent="0.3">
      <c r="A206" s="315">
        <v>44033</v>
      </c>
      <c r="B206" s="359"/>
      <c r="C206" s="316" t="s">
        <v>2377</v>
      </c>
      <c r="D206" s="323"/>
      <c r="E206" s="319">
        <v>12800</v>
      </c>
      <c r="F206" s="325"/>
      <c r="G206" s="319" t="s">
        <v>122</v>
      </c>
      <c r="H206" s="324"/>
      <c r="I206" s="320" t="s">
        <v>122</v>
      </c>
      <c r="J206" s="321" t="s">
        <v>122</v>
      </c>
    </row>
    <row r="207" spans="1:10" ht="24" customHeight="1" x14ac:dyDescent="0.3">
      <c r="A207" s="315">
        <v>44034</v>
      </c>
      <c r="B207" s="359"/>
      <c r="C207" s="316" t="s">
        <v>2377</v>
      </c>
      <c r="D207" s="323"/>
      <c r="E207" s="319">
        <v>12800</v>
      </c>
      <c r="F207" s="325"/>
      <c r="G207" s="319" t="s">
        <v>122</v>
      </c>
      <c r="H207" s="324"/>
      <c r="I207" s="320" t="s">
        <v>122</v>
      </c>
      <c r="J207" s="321" t="s">
        <v>122</v>
      </c>
    </row>
    <row r="208" spans="1:10" ht="24" customHeight="1" x14ac:dyDescent="0.3">
      <c r="A208" s="315">
        <v>44035</v>
      </c>
      <c r="B208" s="359"/>
      <c r="C208" s="316" t="s">
        <v>2378</v>
      </c>
      <c r="D208" s="323"/>
      <c r="E208" s="319">
        <v>12700</v>
      </c>
      <c r="F208" s="325"/>
      <c r="G208" s="319" t="s">
        <v>122</v>
      </c>
      <c r="H208" s="324"/>
      <c r="I208" s="320" t="s">
        <v>122</v>
      </c>
      <c r="J208" s="321" t="s">
        <v>122</v>
      </c>
    </row>
    <row r="209" spans="1:10" ht="24" customHeight="1" x14ac:dyDescent="0.3">
      <c r="A209" s="315">
        <v>44036</v>
      </c>
      <c r="B209" s="359"/>
      <c r="C209" s="316" t="s">
        <v>2378</v>
      </c>
      <c r="D209" s="323"/>
      <c r="E209" s="319">
        <v>12700</v>
      </c>
      <c r="F209" s="325"/>
      <c r="G209" s="319" t="s">
        <v>122</v>
      </c>
      <c r="H209" s="324"/>
      <c r="I209" s="320" t="s">
        <v>122</v>
      </c>
      <c r="J209" s="321" t="s">
        <v>122</v>
      </c>
    </row>
    <row r="210" spans="1:10" ht="24" customHeight="1" x14ac:dyDescent="0.3">
      <c r="A210" s="315">
        <v>44037</v>
      </c>
      <c r="B210" s="359"/>
      <c r="C210" s="316" t="s">
        <v>2378</v>
      </c>
      <c r="D210" s="323"/>
      <c r="E210" s="319">
        <v>12700</v>
      </c>
      <c r="F210" s="325"/>
      <c r="G210" s="319" t="s">
        <v>122</v>
      </c>
      <c r="H210" s="324"/>
      <c r="I210" s="320" t="s">
        <v>122</v>
      </c>
      <c r="J210" s="321" t="s">
        <v>122</v>
      </c>
    </row>
    <row r="211" spans="1:10" ht="24" customHeight="1" x14ac:dyDescent="0.3">
      <c r="A211" s="315">
        <v>44038</v>
      </c>
      <c r="B211" s="359"/>
      <c r="C211" s="316" t="s">
        <v>1843</v>
      </c>
      <c r="D211" s="323"/>
      <c r="E211" s="319">
        <v>12600</v>
      </c>
      <c r="F211" s="325"/>
      <c r="G211" s="319" t="s">
        <v>122</v>
      </c>
      <c r="H211" s="324"/>
      <c r="I211" s="320" t="s">
        <v>122</v>
      </c>
      <c r="J211" s="321" t="s">
        <v>122</v>
      </c>
    </row>
    <row r="212" spans="1:10" ht="24" customHeight="1" x14ac:dyDescent="0.3">
      <c r="A212" s="315">
        <v>44039</v>
      </c>
      <c r="B212" s="359"/>
      <c r="C212" s="316" t="s">
        <v>1843</v>
      </c>
      <c r="D212" s="323"/>
      <c r="E212" s="319">
        <v>12600</v>
      </c>
      <c r="F212" s="325">
        <f>0.083*15</f>
        <v>1.2450000000000001</v>
      </c>
      <c r="G212" s="319">
        <v>63.91</v>
      </c>
      <c r="H212" s="324">
        <f>14*0.083</f>
        <v>1.1620000000000001</v>
      </c>
      <c r="I212" s="320">
        <v>63.45</v>
      </c>
      <c r="J212" s="321" t="s">
        <v>122</v>
      </c>
    </row>
    <row r="213" spans="1:10" ht="24" customHeight="1" x14ac:dyDescent="0.3">
      <c r="A213" s="315">
        <v>44040</v>
      </c>
      <c r="B213" s="359"/>
      <c r="C213" s="316" t="s">
        <v>2379</v>
      </c>
      <c r="D213" s="323"/>
      <c r="E213" s="319">
        <v>12500</v>
      </c>
      <c r="F213" s="325">
        <v>1.25</v>
      </c>
      <c r="G213" s="319">
        <v>63.62</v>
      </c>
      <c r="H213" s="324">
        <f>14*0.083</f>
        <v>1.1620000000000001</v>
      </c>
      <c r="I213" s="320">
        <v>63.19</v>
      </c>
      <c r="J213" s="321" t="s">
        <v>122</v>
      </c>
    </row>
    <row r="214" spans="1:10" ht="24" customHeight="1" x14ac:dyDescent="0.3">
      <c r="A214" s="315">
        <v>44041</v>
      </c>
      <c r="B214" s="359"/>
      <c r="C214" s="316" t="s">
        <v>2379</v>
      </c>
      <c r="D214" s="323"/>
      <c r="E214" s="319">
        <v>12500</v>
      </c>
      <c r="F214" s="325"/>
      <c r="G214" s="319" t="s">
        <v>122</v>
      </c>
      <c r="H214" s="324"/>
      <c r="I214" s="320" t="s">
        <v>122</v>
      </c>
      <c r="J214" s="321" t="s">
        <v>122</v>
      </c>
    </row>
    <row r="215" spans="1:10" ht="24" customHeight="1" x14ac:dyDescent="0.3">
      <c r="A215" s="315">
        <v>44042</v>
      </c>
      <c r="B215" s="359"/>
      <c r="C215" s="316" t="s">
        <v>2379</v>
      </c>
      <c r="D215" s="323"/>
      <c r="E215" s="319">
        <v>12500</v>
      </c>
      <c r="F215" s="325"/>
      <c r="G215" s="319" t="s">
        <v>122</v>
      </c>
      <c r="H215" s="324"/>
      <c r="I215" s="320" t="s">
        <v>122</v>
      </c>
      <c r="J215" s="321" t="s">
        <v>122</v>
      </c>
    </row>
    <row r="216" spans="1:10" ht="24" customHeight="1" x14ac:dyDescent="0.3">
      <c r="A216" s="315">
        <v>44043</v>
      </c>
      <c r="B216" s="359"/>
      <c r="C216" s="316" t="s">
        <v>2379</v>
      </c>
      <c r="D216" s="323"/>
      <c r="E216" s="319">
        <v>12500</v>
      </c>
      <c r="F216" s="325"/>
      <c r="G216" s="319" t="s">
        <v>122</v>
      </c>
      <c r="H216" s="324"/>
      <c r="I216" s="320" t="s">
        <v>122</v>
      </c>
      <c r="J216" s="321" t="s">
        <v>122</v>
      </c>
    </row>
    <row r="217" spans="1:10" ht="24" customHeight="1" x14ac:dyDescent="0.3">
      <c r="A217" s="315">
        <v>44044</v>
      </c>
      <c r="B217" s="359"/>
      <c r="C217" s="316" t="s">
        <v>2380</v>
      </c>
      <c r="D217" s="323"/>
      <c r="E217" s="319">
        <v>12500</v>
      </c>
      <c r="F217" s="317">
        <v>0</v>
      </c>
      <c r="G217" s="319" t="s">
        <v>122</v>
      </c>
      <c r="H217" s="317"/>
      <c r="I217" s="320" t="s">
        <v>122</v>
      </c>
      <c r="J217" s="321" t="s">
        <v>122</v>
      </c>
    </row>
    <row r="218" spans="1:10" ht="24" customHeight="1" x14ac:dyDescent="0.3">
      <c r="A218" s="315">
        <v>44045</v>
      </c>
      <c r="B218" s="359"/>
      <c r="C218" s="316" t="s">
        <v>2381</v>
      </c>
      <c r="D218" s="323"/>
      <c r="E218" s="319">
        <v>12450</v>
      </c>
      <c r="F218" s="317">
        <v>1</v>
      </c>
      <c r="G218" s="319">
        <v>51.48</v>
      </c>
      <c r="H218" s="317">
        <v>1.17</v>
      </c>
      <c r="I218" s="320">
        <v>62.94</v>
      </c>
      <c r="J218" s="321" t="s">
        <v>122</v>
      </c>
    </row>
    <row r="219" spans="1:10" ht="24" customHeight="1" x14ac:dyDescent="0.3">
      <c r="A219" s="315">
        <v>44046</v>
      </c>
      <c r="B219" s="359"/>
      <c r="C219" s="316" t="s">
        <v>2382</v>
      </c>
      <c r="D219" s="323"/>
      <c r="E219" s="319">
        <v>12300</v>
      </c>
      <c r="F219" s="317">
        <v>1.25</v>
      </c>
      <c r="G219" s="319">
        <v>63.04</v>
      </c>
      <c r="H219" s="317">
        <v>1.17</v>
      </c>
      <c r="I219" s="320">
        <v>62.68</v>
      </c>
      <c r="J219" s="321" t="s">
        <v>122</v>
      </c>
    </row>
    <row r="220" spans="1:10" ht="24" customHeight="1" x14ac:dyDescent="0.3">
      <c r="A220" s="315">
        <v>44047</v>
      </c>
      <c r="B220" s="359"/>
      <c r="C220" s="316" t="s">
        <v>2383</v>
      </c>
      <c r="D220" s="323"/>
      <c r="E220" s="319">
        <v>12100</v>
      </c>
      <c r="F220" s="317">
        <v>1.25</v>
      </c>
      <c r="G220" s="319">
        <v>62.74</v>
      </c>
      <c r="H220" s="317">
        <v>1.17</v>
      </c>
      <c r="I220" s="320">
        <v>62.17</v>
      </c>
      <c r="J220" s="321" t="s">
        <v>122</v>
      </c>
    </row>
    <row r="221" spans="1:10" ht="24" customHeight="1" x14ac:dyDescent="0.3">
      <c r="A221" s="315">
        <v>44048</v>
      </c>
      <c r="B221" s="359"/>
      <c r="C221" s="316" t="s">
        <v>2384</v>
      </c>
      <c r="D221" s="323"/>
      <c r="E221" s="319">
        <v>11600</v>
      </c>
      <c r="F221" s="317">
        <v>1.25</v>
      </c>
      <c r="G221" s="319">
        <v>61.85</v>
      </c>
      <c r="H221" s="317">
        <v>1.17</v>
      </c>
      <c r="I221" s="320">
        <v>61.64</v>
      </c>
      <c r="J221" s="321" t="s">
        <v>122</v>
      </c>
    </row>
    <row r="222" spans="1:10" ht="24" customHeight="1" x14ac:dyDescent="0.3">
      <c r="A222" s="315">
        <v>44049</v>
      </c>
      <c r="B222" s="359"/>
      <c r="C222" s="316" t="s">
        <v>2385</v>
      </c>
      <c r="D222" s="323"/>
      <c r="E222" s="319">
        <v>11400</v>
      </c>
      <c r="F222" s="317">
        <v>1.25</v>
      </c>
      <c r="G222" s="319">
        <v>61.25</v>
      </c>
      <c r="H222" s="317">
        <v>1.17</v>
      </c>
      <c r="I222" s="320">
        <v>61.12</v>
      </c>
      <c r="J222" s="321" t="s">
        <v>122</v>
      </c>
    </row>
    <row r="223" spans="1:10" ht="24" customHeight="1" x14ac:dyDescent="0.3">
      <c r="A223" s="315">
        <v>44050</v>
      </c>
      <c r="B223" s="359"/>
      <c r="C223" s="316" t="s">
        <v>2386</v>
      </c>
      <c r="D223" s="323"/>
      <c r="E223" s="319">
        <v>11350</v>
      </c>
      <c r="F223" s="317"/>
      <c r="G223" s="319" t="s">
        <v>122</v>
      </c>
      <c r="H223" s="317"/>
      <c r="I223" s="320" t="s">
        <v>122</v>
      </c>
      <c r="J223" s="321" t="s">
        <v>122</v>
      </c>
    </row>
    <row r="224" spans="1:10" ht="24" customHeight="1" x14ac:dyDescent="0.3">
      <c r="A224" s="315">
        <v>44051</v>
      </c>
      <c r="B224" s="359"/>
      <c r="C224" s="316" t="s">
        <v>2386</v>
      </c>
      <c r="D224" s="323"/>
      <c r="E224" s="319">
        <v>11350</v>
      </c>
      <c r="F224" s="317"/>
      <c r="G224" s="319" t="s">
        <v>122</v>
      </c>
      <c r="H224" s="317"/>
      <c r="I224" s="320" t="s">
        <v>122</v>
      </c>
      <c r="J224" s="321" t="s">
        <v>122</v>
      </c>
    </row>
    <row r="225" spans="1:10" ht="24" customHeight="1" x14ac:dyDescent="0.3">
      <c r="A225" s="315">
        <v>44052</v>
      </c>
      <c r="B225" s="359"/>
      <c r="C225" s="316" t="s">
        <v>2386</v>
      </c>
      <c r="D225" s="323"/>
      <c r="E225" s="319">
        <v>11350</v>
      </c>
      <c r="F225" s="317"/>
      <c r="G225" s="319" t="s">
        <v>122</v>
      </c>
      <c r="H225" s="317"/>
      <c r="I225" s="320" t="s">
        <v>122</v>
      </c>
      <c r="J225" s="321" t="s">
        <v>122</v>
      </c>
    </row>
    <row r="226" spans="1:10" ht="24" customHeight="1" x14ac:dyDescent="0.3">
      <c r="A226" s="315">
        <v>44053</v>
      </c>
      <c r="B226" s="359"/>
      <c r="C226" s="316" t="s">
        <v>2387</v>
      </c>
      <c r="D226" s="323"/>
      <c r="E226" s="319">
        <v>11300</v>
      </c>
      <c r="F226" s="317"/>
      <c r="G226" s="319" t="s">
        <v>122</v>
      </c>
      <c r="H226" s="317"/>
      <c r="I226" s="320" t="s">
        <v>122</v>
      </c>
      <c r="J226" s="321" t="s">
        <v>122</v>
      </c>
    </row>
    <row r="227" spans="1:10" ht="24" customHeight="1" x14ac:dyDescent="0.3">
      <c r="A227" s="315">
        <v>44054</v>
      </c>
      <c r="B227" s="359"/>
      <c r="C227" s="316" t="s">
        <v>2387</v>
      </c>
      <c r="D227" s="323"/>
      <c r="E227" s="319">
        <v>11300</v>
      </c>
      <c r="F227" s="317"/>
      <c r="G227" s="319" t="s">
        <v>122</v>
      </c>
      <c r="H227" s="317"/>
      <c r="I227" s="320" t="s">
        <v>122</v>
      </c>
      <c r="J227" s="321" t="s">
        <v>122</v>
      </c>
    </row>
    <row r="228" spans="1:10" ht="24" customHeight="1" x14ac:dyDescent="0.3">
      <c r="A228" s="315">
        <v>44055</v>
      </c>
      <c r="B228" s="359"/>
      <c r="C228" s="316" t="s">
        <v>2388</v>
      </c>
      <c r="D228" s="323"/>
      <c r="E228" s="319">
        <v>11100</v>
      </c>
      <c r="F228" s="317">
        <v>1</v>
      </c>
      <c r="G228" s="319">
        <v>49.13</v>
      </c>
      <c r="H228" s="317">
        <v>1.5</v>
      </c>
      <c r="I228" s="320">
        <v>76.16</v>
      </c>
      <c r="J228" s="321" t="s">
        <v>122</v>
      </c>
    </row>
    <row r="229" spans="1:10" ht="24" customHeight="1" x14ac:dyDescent="0.3">
      <c r="A229" s="315">
        <v>44056</v>
      </c>
      <c r="B229" s="359"/>
      <c r="C229" s="316" t="s">
        <v>2389</v>
      </c>
      <c r="D229" s="323"/>
      <c r="E229" s="319">
        <v>10700</v>
      </c>
      <c r="F229" s="317">
        <v>1.5</v>
      </c>
      <c r="G229" s="319">
        <v>70.72</v>
      </c>
      <c r="H229" s="317">
        <v>1.5</v>
      </c>
      <c r="I229" s="320">
        <v>75.459999999999994</v>
      </c>
      <c r="J229" s="321" t="s">
        <v>122</v>
      </c>
    </row>
    <row r="230" spans="1:10" ht="24" customHeight="1" x14ac:dyDescent="0.3">
      <c r="A230" s="315">
        <v>44057</v>
      </c>
      <c r="B230" s="359"/>
      <c r="C230" s="316" t="s">
        <v>2390</v>
      </c>
      <c r="D230" s="323"/>
      <c r="E230" s="319">
        <v>10500</v>
      </c>
      <c r="F230" s="317">
        <v>1.5</v>
      </c>
      <c r="G230" s="319">
        <v>69.97</v>
      </c>
      <c r="H230" s="317">
        <v>1.5</v>
      </c>
      <c r="I230" s="320">
        <v>74.75</v>
      </c>
      <c r="J230" s="321" t="s">
        <v>122</v>
      </c>
    </row>
    <row r="231" spans="1:10" ht="24" customHeight="1" x14ac:dyDescent="0.3">
      <c r="A231" s="315">
        <v>44058</v>
      </c>
      <c r="B231" s="359"/>
      <c r="C231" s="316" t="s">
        <v>2391</v>
      </c>
      <c r="D231" s="323"/>
      <c r="E231" s="319">
        <v>10300</v>
      </c>
      <c r="F231" s="317">
        <v>1.25</v>
      </c>
      <c r="G231" s="319">
        <v>58.47</v>
      </c>
      <c r="H231" s="317">
        <v>1.5</v>
      </c>
      <c r="I231" s="320">
        <v>74.040000000000006</v>
      </c>
      <c r="J231" s="321" t="s">
        <v>122</v>
      </c>
    </row>
    <row r="232" spans="1:10" ht="24" customHeight="1" x14ac:dyDescent="0.3">
      <c r="A232" s="315">
        <v>44059</v>
      </c>
      <c r="B232" s="359"/>
      <c r="C232" s="316" t="s">
        <v>2392</v>
      </c>
      <c r="D232" s="323"/>
      <c r="E232" s="319">
        <v>10100</v>
      </c>
      <c r="F232" s="317">
        <v>0.67</v>
      </c>
      <c r="G232" s="319">
        <v>32.1</v>
      </c>
      <c r="H232" s="317">
        <v>1.5</v>
      </c>
      <c r="I232" s="320">
        <v>73.31</v>
      </c>
      <c r="J232" s="321" t="s">
        <v>122</v>
      </c>
    </row>
    <row r="233" spans="1:10" ht="24" customHeight="1" x14ac:dyDescent="0.3">
      <c r="A233" s="315">
        <v>44060</v>
      </c>
      <c r="B233" s="359"/>
      <c r="C233" s="316" t="s">
        <v>2393</v>
      </c>
      <c r="D233" s="323"/>
      <c r="E233" s="319">
        <v>10050</v>
      </c>
      <c r="F233" s="317"/>
      <c r="G233" s="319" t="s">
        <v>122</v>
      </c>
      <c r="H233" s="317"/>
      <c r="I233" s="320" t="s">
        <v>122</v>
      </c>
      <c r="J233" s="321" t="s">
        <v>122</v>
      </c>
    </row>
    <row r="234" spans="1:10" ht="24" customHeight="1" x14ac:dyDescent="0.3">
      <c r="A234" s="315">
        <v>44061</v>
      </c>
      <c r="B234" s="359"/>
      <c r="C234" s="316" t="s">
        <v>2393</v>
      </c>
      <c r="D234" s="323"/>
      <c r="E234" s="319">
        <v>10050</v>
      </c>
      <c r="F234" s="317"/>
      <c r="G234" s="319" t="s">
        <v>122</v>
      </c>
      <c r="H234" s="317"/>
      <c r="I234" s="320" t="s">
        <v>122</v>
      </c>
      <c r="J234" s="321" t="s">
        <v>122</v>
      </c>
    </row>
    <row r="235" spans="1:10" ht="24" customHeight="1" x14ac:dyDescent="0.3">
      <c r="A235" s="315">
        <v>44062</v>
      </c>
      <c r="B235" s="359"/>
      <c r="C235" s="316" t="s">
        <v>2394</v>
      </c>
      <c r="D235" s="323"/>
      <c r="E235" s="319">
        <v>10000</v>
      </c>
      <c r="F235" s="317">
        <v>1.25</v>
      </c>
      <c r="G235" s="319">
        <v>57.51</v>
      </c>
      <c r="H235" s="317">
        <v>1.33</v>
      </c>
      <c r="I235" s="320">
        <v>65.489999999999995</v>
      </c>
      <c r="J235" s="321" t="s">
        <v>122</v>
      </c>
    </row>
    <row r="236" spans="1:10" ht="24" customHeight="1" x14ac:dyDescent="0.3">
      <c r="A236" s="315">
        <v>44063</v>
      </c>
      <c r="B236" s="359"/>
      <c r="C236" s="316" t="s">
        <v>2395</v>
      </c>
      <c r="D236" s="323"/>
      <c r="E236" s="319">
        <v>9800</v>
      </c>
      <c r="F236" s="317">
        <v>1.5</v>
      </c>
      <c r="G236" s="319">
        <v>67.25</v>
      </c>
      <c r="H236" s="317">
        <v>1.33</v>
      </c>
      <c r="I236" s="320">
        <v>64.849999999999994</v>
      </c>
      <c r="J236" s="321" t="s">
        <v>122</v>
      </c>
    </row>
    <row r="237" spans="1:10" ht="24" customHeight="1" x14ac:dyDescent="0.3">
      <c r="A237" s="315">
        <v>44064</v>
      </c>
      <c r="B237" s="359"/>
      <c r="C237" s="316" t="s">
        <v>2396</v>
      </c>
      <c r="D237" s="323"/>
      <c r="E237" s="319">
        <v>9550</v>
      </c>
      <c r="F237" s="317">
        <v>1.5</v>
      </c>
      <c r="G237" s="319">
        <v>66.05</v>
      </c>
      <c r="H237" s="317">
        <v>1.33</v>
      </c>
      <c r="I237" s="320">
        <v>63.87</v>
      </c>
      <c r="J237" s="321" t="s">
        <v>122</v>
      </c>
    </row>
    <row r="238" spans="1:10" ht="24" customHeight="1" x14ac:dyDescent="0.3">
      <c r="A238" s="315">
        <v>44065</v>
      </c>
      <c r="B238" s="359"/>
      <c r="C238" s="316" t="s">
        <v>2397</v>
      </c>
      <c r="D238" s="323"/>
      <c r="E238" s="319">
        <v>9300</v>
      </c>
      <c r="F238" s="317">
        <v>1</v>
      </c>
      <c r="G238" s="319">
        <v>45.11</v>
      </c>
      <c r="H238" s="317">
        <v>1</v>
      </c>
      <c r="I238" s="320">
        <v>48.4</v>
      </c>
      <c r="J238" s="321" t="s">
        <v>122</v>
      </c>
    </row>
    <row r="239" spans="1:10" ht="24" customHeight="1" x14ac:dyDescent="0.3">
      <c r="A239" s="315">
        <v>44066</v>
      </c>
      <c r="B239" s="359"/>
      <c r="C239" s="316" t="s">
        <v>2398</v>
      </c>
      <c r="D239" s="323"/>
      <c r="E239" s="319">
        <v>9150</v>
      </c>
      <c r="F239" s="317">
        <v>1</v>
      </c>
      <c r="G239" s="319">
        <v>44.58</v>
      </c>
      <c r="H239" s="317">
        <v>1</v>
      </c>
      <c r="I239" s="320">
        <v>47.91</v>
      </c>
      <c r="J239" s="321" t="s">
        <v>122</v>
      </c>
    </row>
    <row r="240" spans="1:10" ht="24" customHeight="1" x14ac:dyDescent="0.3">
      <c r="A240" s="315">
        <v>44067</v>
      </c>
      <c r="B240" s="359"/>
      <c r="C240" s="316" t="s">
        <v>2398</v>
      </c>
      <c r="D240" s="323"/>
      <c r="E240" s="319">
        <v>9150</v>
      </c>
      <c r="F240" s="317"/>
      <c r="G240" s="319" t="s">
        <v>122</v>
      </c>
      <c r="H240" s="317"/>
      <c r="I240" s="320" t="s">
        <v>122</v>
      </c>
      <c r="J240" s="321" t="s">
        <v>122</v>
      </c>
    </row>
    <row r="241" spans="1:10" ht="24" customHeight="1" x14ac:dyDescent="0.3">
      <c r="A241" s="315">
        <v>44068</v>
      </c>
      <c r="B241" s="359"/>
      <c r="C241" s="316" t="s">
        <v>2399</v>
      </c>
      <c r="D241" s="323"/>
      <c r="E241" s="319">
        <v>9100</v>
      </c>
      <c r="F241" s="317"/>
      <c r="G241" s="319" t="s">
        <v>122</v>
      </c>
      <c r="H241" s="317"/>
      <c r="I241" s="320" t="s">
        <v>122</v>
      </c>
      <c r="J241" s="321" t="s">
        <v>122</v>
      </c>
    </row>
    <row r="242" spans="1:10" ht="24" customHeight="1" x14ac:dyDescent="0.3">
      <c r="A242" s="315">
        <v>44069</v>
      </c>
      <c r="B242" s="359"/>
      <c r="C242" s="316" t="s">
        <v>2399</v>
      </c>
      <c r="D242" s="323"/>
      <c r="E242" s="319">
        <v>9100</v>
      </c>
      <c r="F242" s="317">
        <v>1.5</v>
      </c>
      <c r="G242" s="319">
        <v>64.41</v>
      </c>
      <c r="H242" s="317">
        <v>1.33</v>
      </c>
      <c r="I242" s="320">
        <v>62.53</v>
      </c>
      <c r="J242" s="321" t="s">
        <v>122</v>
      </c>
    </row>
    <row r="243" spans="1:10" ht="24" customHeight="1" x14ac:dyDescent="0.3">
      <c r="A243" s="315">
        <v>44070</v>
      </c>
      <c r="B243" s="359"/>
      <c r="C243" s="316" t="s">
        <v>2400</v>
      </c>
      <c r="D243" s="323"/>
      <c r="E243" s="319">
        <v>8800</v>
      </c>
      <c r="F243" s="317">
        <v>1.5</v>
      </c>
      <c r="G243" s="319">
        <v>63.16</v>
      </c>
      <c r="H243" s="317">
        <v>1.33</v>
      </c>
      <c r="I243" s="320">
        <v>61.52</v>
      </c>
      <c r="J243" s="321" t="s">
        <v>122</v>
      </c>
    </row>
    <row r="244" spans="1:10" ht="24" customHeight="1" x14ac:dyDescent="0.3">
      <c r="A244" s="315">
        <v>44071</v>
      </c>
      <c r="B244" s="359"/>
      <c r="C244" s="316" t="s">
        <v>2401</v>
      </c>
      <c r="D244" s="323"/>
      <c r="E244" s="319">
        <v>8550</v>
      </c>
      <c r="F244" s="317">
        <v>1.33</v>
      </c>
      <c r="G244" s="319">
        <v>55.77</v>
      </c>
      <c r="H244" s="317">
        <v>1.33</v>
      </c>
      <c r="I244" s="320">
        <v>60.48</v>
      </c>
      <c r="J244" s="321" t="s">
        <v>122</v>
      </c>
    </row>
    <row r="245" spans="1:10" ht="24" customHeight="1" x14ac:dyDescent="0.3">
      <c r="A245" s="315">
        <v>44072</v>
      </c>
      <c r="B245" s="359"/>
      <c r="C245" s="316" t="s">
        <v>2402</v>
      </c>
      <c r="D245" s="323"/>
      <c r="E245" s="319">
        <v>8350</v>
      </c>
      <c r="F245" s="317">
        <v>0.5</v>
      </c>
      <c r="G245" s="319">
        <v>22.03</v>
      </c>
      <c r="H245" s="317">
        <v>1.33</v>
      </c>
      <c r="I245" s="320">
        <v>59.78</v>
      </c>
      <c r="J245" s="321" t="s">
        <v>122</v>
      </c>
    </row>
    <row r="246" spans="1:10" ht="24" customHeight="1" x14ac:dyDescent="0.3">
      <c r="A246" s="315">
        <v>44073</v>
      </c>
      <c r="B246" s="359"/>
      <c r="C246" s="316" t="s">
        <v>2403</v>
      </c>
      <c r="D246" s="323"/>
      <c r="E246" s="319">
        <v>8225</v>
      </c>
      <c r="F246" s="317" t="s">
        <v>122</v>
      </c>
      <c r="G246" s="319" t="s">
        <v>122</v>
      </c>
      <c r="H246" s="317" t="s">
        <v>122</v>
      </c>
      <c r="I246" s="320" t="s">
        <v>122</v>
      </c>
      <c r="J246" s="321" t="s">
        <v>122</v>
      </c>
    </row>
    <row r="247" spans="1:10" ht="24" customHeight="1" x14ac:dyDescent="0.3">
      <c r="A247" s="315">
        <v>44074</v>
      </c>
      <c r="B247" s="359"/>
      <c r="C247" s="316" t="s">
        <v>2403</v>
      </c>
      <c r="D247" s="323"/>
      <c r="E247" s="319">
        <v>8225</v>
      </c>
      <c r="F247" s="317" t="s">
        <v>122</v>
      </c>
      <c r="G247" s="319" t="s">
        <v>122</v>
      </c>
      <c r="H247" s="317" t="s">
        <v>122</v>
      </c>
      <c r="I247" s="320" t="s">
        <v>122</v>
      </c>
      <c r="J247" s="321" t="s">
        <v>122</v>
      </c>
    </row>
    <row r="248" spans="1:10" ht="24" customHeight="1" x14ac:dyDescent="0.3">
      <c r="A248" s="315">
        <v>44075</v>
      </c>
      <c r="B248" s="359"/>
      <c r="C248" s="316" t="s">
        <v>1790</v>
      </c>
      <c r="D248" s="323"/>
      <c r="E248" s="318">
        <v>8225</v>
      </c>
      <c r="F248" s="317" t="s">
        <v>122</v>
      </c>
      <c r="G248" s="319" t="s">
        <v>122</v>
      </c>
      <c r="H248" s="317" t="s">
        <v>122</v>
      </c>
      <c r="I248" s="320" t="s">
        <v>122</v>
      </c>
      <c r="J248" s="321" t="s">
        <v>122</v>
      </c>
    </row>
    <row r="249" spans="1:10" ht="24" customHeight="1" x14ac:dyDescent="0.3">
      <c r="A249" s="315">
        <v>44076</v>
      </c>
      <c r="B249" s="359"/>
      <c r="C249" s="316" t="s">
        <v>1790</v>
      </c>
      <c r="D249" s="323"/>
      <c r="E249" s="318">
        <v>8225</v>
      </c>
      <c r="F249" s="317" t="s">
        <v>122</v>
      </c>
      <c r="G249" s="319" t="s">
        <v>122</v>
      </c>
      <c r="H249" s="317" t="s">
        <v>122</v>
      </c>
      <c r="I249" s="320" t="s">
        <v>122</v>
      </c>
      <c r="J249" s="321" t="s">
        <v>122</v>
      </c>
    </row>
    <row r="250" spans="1:10" ht="24" customHeight="1" x14ac:dyDescent="0.3">
      <c r="A250" s="315">
        <v>44077</v>
      </c>
      <c r="B250" s="359"/>
      <c r="C250" s="316" t="s">
        <v>1790</v>
      </c>
      <c r="D250" s="323"/>
      <c r="E250" s="318">
        <v>8225</v>
      </c>
      <c r="F250" s="317" t="s">
        <v>122</v>
      </c>
      <c r="G250" s="319" t="s">
        <v>122</v>
      </c>
      <c r="H250" s="317" t="s">
        <v>122</v>
      </c>
      <c r="I250" s="320" t="s">
        <v>122</v>
      </c>
      <c r="J250" s="321" t="s">
        <v>122</v>
      </c>
    </row>
    <row r="251" spans="1:10" ht="24" customHeight="1" x14ac:dyDescent="0.3">
      <c r="A251" s="315">
        <v>44078</v>
      </c>
      <c r="B251" s="359"/>
      <c r="C251" s="316" t="s">
        <v>1790</v>
      </c>
      <c r="D251" s="323"/>
      <c r="E251" s="318">
        <v>8225</v>
      </c>
      <c r="F251" s="317" t="s">
        <v>122</v>
      </c>
      <c r="G251" s="319" t="s">
        <v>122</v>
      </c>
      <c r="H251" s="317" t="s">
        <v>122</v>
      </c>
      <c r="I251" s="320" t="s">
        <v>122</v>
      </c>
      <c r="J251" s="321" t="s">
        <v>122</v>
      </c>
    </row>
    <row r="252" spans="1:10" ht="24" customHeight="1" x14ac:dyDescent="0.3">
      <c r="A252" s="315">
        <v>44079</v>
      </c>
      <c r="B252" s="359"/>
      <c r="C252" s="316" t="s">
        <v>1790</v>
      </c>
      <c r="D252" s="323"/>
      <c r="E252" s="318">
        <v>8225</v>
      </c>
      <c r="F252" s="317" t="s">
        <v>122</v>
      </c>
      <c r="G252" s="319" t="s">
        <v>122</v>
      </c>
      <c r="H252" s="317" t="s">
        <v>122</v>
      </c>
      <c r="I252" s="320" t="s">
        <v>122</v>
      </c>
      <c r="J252" s="321" t="s">
        <v>122</v>
      </c>
    </row>
    <row r="253" spans="1:10" ht="24" customHeight="1" x14ac:dyDescent="0.3">
      <c r="A253" s="315">
        <v>44080</v>
      </c>
      <c r="B253" s="359"/>
      <c r="C253" s="316" t="s">
        <v>1764</v>
      </c>
      <c r="D253" s="323"/>
      <c r="E253" s="319">
        <v>8200</v>
      </c>
      <c r="F253" s="317" t="s">
        <v>122</v>
      </c>
      <c r="G253" s="319" t="s">
        <v>122</v>
      </c>
      <c r="H253" s="317" t="s">
        <v>122</v>
      </c>
      <c r="I253" s="320" t="s">
        <v>122</v>
      </c>
      <c r="J253" s="321" t="s">
        <v>122</v>
      </c>
    </row>
    <row r="254" spans="1:10" ht="24" customHeight="1" x14ac:dyDescent="0.3">
      <c r="A254" s="315">
        <v>44081</v>
      </c>
      <c r="B254" s="359"/>
      <c r="C254" s="316" t="s">
        <v>1764</v>
      </c>
      <c r="D254" s="323"/>
      <c r="E254" s="319">
        <v>8200</v>
      </c>
      <c r="F254" s="317" t="s">
        <v>122</v>
      </c>
      <c r="G254" s="319" t="s">
        <v>122</v>
      </c>
      <c r="H254" s="317" t="s">
        <v>122</v>
      </c>
      <c r="I254" s="320" t="s">
        <v>122</v>
      </c>
      <c r="J254" s="321" t="s">
        <v>122</v>
      </c>
    </row>
    <row r="255" spans="1:10" ht="24" customHeight="1" x14ac:dyDescent="0.3">
      <c r="A255" s="315">
        <v>44082</v>
      </c>
      <c r="B255" s="359"/>
      <c r="C255" s="316" t="s">
        <v>1764</v>
      </c>
      <c r="D255" s="323"/>
      <c r="E255" s="319">
        <v>8200</v>
      </c>
      <c r="F255" s="317" t="s">
        <v>122</v>
      </c>
      <c r="G255" s="319" t="s">
        <v>122</v>
      </c>
      <c r="H255" s="317" t="s">
        <v>122</v>
      </c>
      <c r="I255" s="320" t="s">
        <v>122</v>
      </c>
      <c r="J255" s="321" t="s">
        <v>122</v>
      </c>
    </row>
    <row r="256" spans="1:10" ht="24" customHeight="1" x14ac:dyDescent="0.3">
      <c r="A256" s="315">
        <v>44083</v>
      </c>
      <c r="B256" s="359"/>
      <c r="C256" s="316" t="s">
        <v>1764</v>
      </c>
      <c r="D256" s="323"/>
      <c r="E256" s="319">
        <v>8200</v>
      </c>
      <c r="F256" s="317" t="s">
        <v>122</v>
      </c>
      <c r="G256" s="319" t="s">
        <v>122</v>
      </c>
      <c r="H256" s="317" t="s">
        <v>122</v>
      </c>
      <c r="I256" s="320" t="s">
        <v>122</v>
      </c>
      <c r="J256" s="321" t="s">
        <v>122</v>
      </c>
    </row>
    <row r="257" spans="1:10" ht="24" customHeight="1" x14ac:dyDescent="0.3">
      <c r="A257" s="315">
        <v>44084</v>
      </c>
      <c r="B257" s="359"/>
      <c r="C257" s="316" t="s">
        <v>1764</v>
      </c>
      <c r="D257" s="323"/>
      <c r="E257" s="319">
        <v>8200</v>
      </c>
      <c r="F257" s="317" t="s">
        <v>122</v>
      </c>
      <c r="G257" s="319" t="s">
        <v>122</v>
      </c>
      <c r="H257" s="317" t="s">
        <v>122</v>
      </c>
      <c r="I257" s="320" t="s">
        <v>122</v>
      </c>
      <c r="J257" s="321" t="s">
        <v>122</v>
      </c>
    </row>
    <row r="258" spans="1:10" ht="24" customHeight="1" x14ac:dyDescent="0.3">
      <c r="A258" s="315">
        <v>44085</v>
      </c>
      <c r="B258" s="359"/>
      <c r="C258" s="316" t="s">
        <v>1764</v>
      </c>
      <c r="D258" s="323"/>
      <c r="E258" s="319">
        <v>8200</v>
      </c>
      <c r="F258" s="317" t="s">
        <v>122</v>
      </c>
      <c r="G258" s="319" t="s">
        <v>122</v>
      </c>
      <c r="H258" s="317" t="s">
        <v>122</v>
      </c>
      <c r="I258" s="320" t="s">
        <v>122</v>
      </c>
      <c r="J258" s="321" t="s">
        <v>122</v>
      </c>
    </row>
    <row r="259" spans="1:10" ht="24" customHeight="1" x14ac:dyDescent="0.3">
      <c r="A259" s="315">
        <v>44086</v>
      </c>
      <c r="B259" s="359"/>
      <c r="C259" s="316" t="s">
        <v>1764</v>
      </c>
      <c r="D259" s="323"/>
      <c r="E259" s="319">
        <v>8200</v>
      </c>
      <c r="F259" s="317" t="s">
        <v>122</v>
      </c>
      <c r="G259" s="319" t="s">
        <v>122</v>
      </c>
      <c r="H259" s="317" t="s">
        <v>122</v>
      </c>
      <c r="I259" s="320" t="s">
        <v>122</v>
      </c>
      <c r="J259" s="321" t="s">
        <v>122</v>
      </c>
    </row>
    <row r="260" spans="1:10" ht="24" customHeight="1" x14ac:dyDescent="0.3">
      <c r="A260" s="315">
        <v>44087</v>
      </c>
      <c r="B260" s="359"/>
      <c r="C260" s="316" t="s">
        <v>1764</v>
      </c>
      <c r="D260" s="323"/>
      <c r="E260" s="319">
        <v>8200</v>
      </c>
      <c r="F260" s="317" t="s">
        <v>122</v>
      </c>
      <c r="G260" s="319" t="s">
        <v>122</v>
      </c>
      <c r="H260" s="317" t="s">
        <v>122</v>
      </c>
      <c r="I260" s="320" t="s">
        <v>122</v>
      </c>
      <c r="J260" s="321" t="s">
        <v>122</v>
      </c>
    </row>
    <row r="261" spans="1:10" ht="24" customHeight="1" x14ac:dyDescent="0.3">
      <c r="A261" s="315">
        <v>44088</v>
      </c>
      <c r="B261" s="359"/>
      <c r="C261" s="316" t="s">
        <v>1763</v>
      </c>
      <c r="D261" s="323"/>
      <c r="E261" s="319">
        <v>8150</v>
      </c>
      <c r="F261" s="317" t="s">
        <v>122</v>
      </c>
      <c r="G261" s="319" t="s">
        <v>122</v>
      </c>
      <c r="H261" s="317" t="s">
        <v>122</v>
      </c>
      <c r="I261" s="320" t="s">
        <v>122</v>
      </c>
      <c r="J261" s="321" t="s">
        <v>122</v>
      </c>
    </row>
    <row r="262" spans="1:10" ht="24" customHeight="1" x14ac:dyDescent="0.3">
      <c r="A262" s="315">
        <v>44089</v>
      </c>
      <c r="B262" s="359"/>
      <c r="C262" s="316" t="s">
        <v>1763</v>
      </c>
      <c r="D262" s="323"/>
      <c r="E262" s="319">
        <v>8150</v>
      </c>
      <c r="F262" s="317" t="s">
        <v>122</v>
      </c>
      <c r="G262" s="319" t="s">
        <v>122</v>
      </c>
      <c r="H262" s="317" t="s">
        <v>122</v>
      </c>
      <c r="I262" s="320" t="s">
        <v>122</v>
      </c>
      <c r="J262" s="321" t="s">
        <v>122</v>
      </c>
    </row>
    <row r="263" spans="1:10" ht="24" customHeight="1" x14ac:dyDescent="0.3">
      <c r="A263" s="315">
        <v>44090</v>
      </c>
      <c r="B263" s="359"/>
      <c r="C263" s="316" t="s">
        <v>1763</v>
      </c>
      <c r="D263" s="323"/>
      <c r="E263" s="319">
        <v>8150</v>
      </c>
      <c r="F263" s="317" t="s">
        <v>122</v>
      </c>
      <c r="G263" s="319" t="s">
        <v>122</v>
      </c>
      <c r="H263" s="317" t="s">
        <v>122</v>
      </c>
      <c r="I263" s="320" t="s">
        <v>122</v>
      </c>
      <c r="J263" s="321" t="s">
        <v>122</v>
      </c>
    </row>
    <row r="264" spans="1:10" ht="24" customHeight="1" x14ac:dyDescent="0.3">
      <c r="A264" s="315">
        <v>44091</v>
      </c>
      <c r="B264" s="359"/>
      <c r="C264" s="316" t="s">
        <v>1763</v>
      </c>
      <c r="D264" s="323"/>
      <c r="E264" s="319">
        <v>8150</v>
      </c>
      <c r="F264" s="317" t="s">
        <v>122</v>
      </c>
      <c r="G264" s="319" t="s">
        <v>122</v>
      </c>
      <c r="H264" s="317" t="s">
        <v>122</v>
      </c>
      <c r="I264" s="320" t="s">
        <v>122</v>
      </c>
      <c r="J264" s="321" t="s">
        <v>122</v>
      </c>
    </row>
    <row r="265" spans="1:10" ht="24" customHeight="1" x14ac:dyDescent="0.3">
      <c r="A265" s="315">
        <v>44092</v>
      </c>
      <c r="B265" s="359"/>
      <c r="C265" s="316" t="s">
        <v>1763</v>
      </c>
      <c r="D265" s="323"/>
      <c r="E265" s="319">
        <v>8150</v>
      </c>
      <c r="F265" s="317" t="s">
        <v>122</v>
      </c>
      <c r="G265" s="319" t="s">
        <v>122</v>
      </c>
      <c r="H265" s="317" t="s">
        <v>122</v>
      </c>
      <c r="I265" s="320" t="s">
        <v>122</v>
      </c>
      <c r="J265" s="321" t="s">
        <v>122</v>
      </c>
    </row>
    <row r="266" spans="1:10" ht="24" customHeight="1" x14ac:dyDescent="0.3">
      <c r="A266" s="315">
        <v>44093</v>
      </c>
      <c r="B266" s="359"/>
      <c r="C266" s="316" t="s">
        <v>1762</v>
      </c>
      <c r="D266" s="323"/>
      <c r="E266" s="319">
        <v>8100</v>
      </c>
      <c r="F266" s="317" t="s">
        <v>122</v>
      </c>
      <c r="G266" s="319" t="s">
        <v>122</v>
      </c>
      <c r="H266" s="317" t="s">
        <v>122</v>
      </c>
      <c r="I266" s="320" t="s">
        <v>122</v>
      </c>
      <c r="J266" s="321" t="s">
        <v>122</v>
      </c>
    </row>
    <row r="267" spans="1:10" ht="24" customHeight="1" x14ac:dyDescent="0.3">
      <c r="A267" s="315">
        <v>44094</v>
      </c>
      <c r="B267" s="359"/>
      <c r="C267" s="316" t="s">
        <v>1762</v>
      </c>
      <c r="D267" s="323"/>
      <c r="E267" s="319">
        <v>8100</v>
      </c>
      <c r="F267" s="317" t="s">
        <v>122</v>
      </c>
      <c r="G267" s="319" t="s">
        <v>122</v>
      </c>
      <c r="H267" s="317" t="s">
        <v>122</v>
      </c>
      <c r="I267" s="320" t="s">
        <v>122</v>
      </c>
      <c r="J267" s="321" t="s">
        <v>122</v>
      </c>
    </row>
    <row r="268" spans="1:10" ht="24" customHeight="1" x14ac:dyDescent="0.3">
      <c r="A268" s="315">
        <v>44095</v>
      </c>
      <c r="B268" s="359"/>
      <c r="C268" s="316" t="s">
        <v>1762</v>
      </c>
      <c r="D268" s="323"/>
      <c r="E268" s="319">
        <v>8100</v>
      </c>
      <c r="F268" s="317" t="s">
        <v>122</v>
      </c>
      <c r="G268" s="319" t="s">
        <v>122</v>
      </c>
      <c r="H268" s="317" t="s">
        <v>122</v>
      </c>
      <c r="I268" s="320" t="s">
        <v>122</v>
      </c>
      <c r="J268" s="321" t="s">
        <v>122</v>
      </c>
    </row>
    <row r="269" spans="1:10" ht="24" customHeight="1" x14ac:dyDescent="0.3">
      <c r="A269" s="315">
        <v>44096</v>
      </c>
      <c r="B269" s="359"/>
      <c r="C269" s="316" t="s">
        <v>2404</v>
      </c>
      <c r="D269" s="323"/>
      <c r="E269" s="319">
        <v>8000</v>
      </c>
      <c r="F269" s="317" t="s">
        <v>122</v>
      </c>
      <c r="G269" s="319" t="s">
        <v>122</v>
      </c>
      <c r="H269" s="317" t="s">
        <v>122</v>
      </c>
      <c r="I269" s="320" t="s">
        <v>122</v>
      </c>
      <c r="J269" s="321" t="s">
        <v>122</v>
      </c>
    </row>
    <row r="270" spans="1:10" ht="24" customHeight="1" x14ac:dyDescent="0.3">
      <c r="A270" s="315">
        <v>44097</v>
      </c>
      <c r="B270" s="359"/>
      <c r="C270" s="316" t="s">
        <v>2404</v>
      </c>
      <c r="D270" s="323"/>
      <c r="E270" s="319">
        <v>8000</v>
      </c>
      <c r="F270" s="317" t="s">
        <v>122</v>
      </c>
      <c r="G270" s="319" t="s">
        <v>122</v>
      </c>
      <c r="H270" s="317" t="s">
        <v>122</v>
      </c>
      <c r="I270" s="320" t="s">
        <v>122</v>
      </c>
      <c r="J270" s="321" t="s">
        <v>122</v>
      </c>
    </row>
    <row r="271" spans="1:10" ht="24" customHeight="1" x14ac:dyDescent="0.3">
      <c r="A271" s="315">
        <v>44098</v>
      </c>
      <c r="B271" s="359"/>
      <c r="C271" s="316" t="s">
        <v>2404</v>
      </c>
      <c r="D271" s="323"/>
      <c r="E271" s="319">
        <v>8000</v>
      </c>
      <c r="F271" s="317" t="s">
        <v>122</v>
      </c>
      <c r="G271" s="319" t="s">
        <v>122</v>
      </c>
      <c r="H271" s="317" t="s">
        <v>122</v>
      </c>
      <c r="I271" s="320" t="s">
        <v>122</v>
      </c>
      <c r="J271" s="321" t="s">
        <v>122</v>
      </c>
    </row>
    <row r="272" spans="1:10" ht="24" customHeight="1" x14ac:dyDescent="0.3">
      <c r="A272" s="315">
        <v>44099</v>
      </c>
      <c r="B272" s="359"/>
      <c r="C272" s="316" t="s">
        <v>2404</v>
      </c>
      <c r="D272" s="323"/>
      <c r="E272" s="319">
        <v>8000</v>
      </c>
      <c r="F272" s="317" t="s">
        <v>122</v>
      </c>
      <c r="G272" s="319" t="s">
        <v>122</v>
      </c>
      <c r="H272" s="317" t="s">
        <v>122</v>
      </c>
      <c r="I272" s="320" t="s">
        <v>122</v>
      </c>
      <c r="J272" s="321" t="s">
        <v>122</v>
      </c>
    </row>
    <row r="273" spans="1:10" ht="24" customHeight="1" x14ac:dyDescent="0.3">
      <c r="A273" s="315">
        <v>44100</v>
      </c>
      <c r="B273" s="359"/>
      <c r="C273" s="316" t="s">
        <v>2404</v>
      </c>
      <c r="D273" s="323"/>
      <c r="E273" s="319">
        <v>8000</v>
      </c>
      <c r="F273" s="317" t="s">
        <v>122</v>
      </c>
      <c r="G273" s="319" t="s">
        <v>122</v>
      </c>
      <c r="H273" s="317" t="s">
        <v>122</v>
      </c>
      <c r="I273" s="320" t="s">
        <v>122</v>
      </c>
      <c r="J273" s="321" t="s">
        <v>122</v>
      </c>
    </row>
    <row r="274" spans="1:10" ht="24" customHeight="1" x14ac:dyDescent="0.3">
      <c r="A274" s="315">
        <v>44101</v>
      </c>
      <c r="B274" s="359"/>
      <c r="C274" s="316" t="s">
        <v>2405</v>
      </c>
      <c r="D274" s="323"/>
      <c r="E274" s="319">
        <v>7900</v>
      </c>
      <c r="F274" s="317" t="s">
        <v>122</v>
      </c>
      <c r="G274" s="319" t="s">
        <v>122</v>
      </c>
      <c r="H274" s="317" t="s">
        <v>122</v>
      </c>
      <c r="I274" s="320" t="s">
        <v>122</v>
      </c>
      <c r="J274" s="321" t="s">
        <v>122</v>
      </c>
    </row>
    <row r="275" spans="1:10" ht="24" customHeight="1" x14ac:dyDescent="0.3">
      <c r="A275" s="315">
        <v>44102</v>
      </c>
      <c r="B275" s="359"/>
      <c r="C275" s="316" t="s">
        <v>2406</v>
      </c>
      <c r="D275" s="323"/>
      <c r="E275" s="319">
        <v>7850</v>
      </c>
      <c r="F275" s="317" t="s">
        <v>122</v>
      </c>
      <c r="G275" s="319" t="s">
        <v>122</v>
      </c>
      <c r="H275" s="317" t="s">
        <v>122</v>
      </c>
      <c r="I275" s="320" t="s">
        <v>122</v>
      </c>
      <c r="J275" s="321" t="s">
        <v>122</v>
      </c>
    </row>
    <row r="276" spans="1:10" ht="24" customHeight="1" x14ac:dyDescent="0.3">
      <c r="A276" s="315">
        <v>44103</v>
      </c>
      <c r="B276" s="359"/>
      <c r="C276" s="316" t="s">
        <v>2406</v>
      </c>
      <c r="D276" s="323"/>
      <c r="E276" s="319">
        <v>7850</v>
      </c>
      <c r="F276" s="317" t="s">
        <v>122</v>
      </c>
      <c r="G276" s="319" t="s">
        <v>122</v>
      </c>
      <c r="H276" s="317" t="s">
        <v>122</v>
      </c>
      <c r="I276" s="320" t="s">
        <v>122</v>
      </c>
      <c r="J276" s="321" t="s">
        <v>122</v>
      </c>
    </row>
    <row r="277" spans="1:10" ht="24" customHeight="1" x14ac:dyDescent="0.3">
      <c r="A277" s="315">
        <v>44104</v>
      </c>
      <c r="B277" s="359"/>
      <c r="C277" s="316" t="s">
        <v>1981</v>
      </c>
      <c r="D277" s="323"/>
      <c r="E277" s="319">
        <v>7750</v>
      </c>
      <c r="F277" s="317" t="s">
        <v>122</v>
      </c>
      <c r="G277" s="319" t="s">
        <v>122</v>
      </c>
      <c r="H277" s="317" t="s">
        <v>122</v>
      </c>
      <c r="I277" s="320" t="s">
        <v>122</v>
      </c>
      <c r="J277" s="321" t="s">
        <v>122</v>
      </c>
    </row>
    <row r="278" spans="1:10" ht="24" customHeight="1" x14ac:dyDescent="0.3">
      <c r="A278" s="315">
        <v>44166</v>
      </c>
      <c r="B278" s="359"/>
      <c r="C278" s="316" t="s">
        <v>1807</v>
      </c>
      <c r="D278" s="323"/>
      <c r="E278" s="318">
        <v>7800</v>
      </c>
      <c r="F278" s="317" t="s">
        <v>122</v>
      </c>
      <c r="G278" s="319" t="s">
        <v>122</v>
      </c>
      <c r="H278" s="317" t="s">
        <v>122</v>
      </c>
      <c r="I278" s="320" t="s">
        <v>122</v>
      </c>
      <c r="J278" s="321" t="s">
        <v>122</v>
      </c>
    </row>
    <row r="279" spans="1:10" ht="24" customHeight="1" x14ac:dyDescent="0.3">
      <c r="A279" s="315">
        <v>44167</v>
      </c>
      <c r="B279" s="359"/>
      <c r="C279" s="316" t="s">
        <v>1807</v>
      </c>
      <c r="D279" s="323"/>
      <c r="E279" s="318">
        <v>7800</v>
      </c>
      <c r="F279" s="317" t="s">
        <v>122</v>
      </c>
      <c r="G279" s="319" t="s">
        <v>122</v>
      </c>
      <c r="H279" s="317" t="s">
        <v>122</v>
      </c>
      <c r="I279" s="320" t="s">
        <v>122</v>
      </c>
      <c r="J279" s="321" t="s">
        <v>122</v>
      </c>
    </row>
    <row r="280" spans="1:10" ht="24" customHeight="1" x14ac:dyDescent="0.3">
      <c r="A280" s="315">
        <v>44168</v>
      </c>
      <c r="B280" s="359"/>
      <c r="C280" s="316" t="s">
        <v>1767</v>
      </c>
      <c r="D280" s="323"/>
      <c r="E280" s="318">
        <v>8400</v>
      </c>
      <c r="F280" s="317" t="s">
        <v>122</v>
      </c>
      <c r="G280" s="319" t="s">
        <v>122</v>
      </c>
      <c r="H280" s="317" t="s">
        <v>122</v>
      </c>
      <c r="I280" s="320" t="s">
        <v>122</v>
      </c>
      <c r="J280" s="321" t="s">
        <v>122</v>
      </c>
    </row>
    <row r="281" spans="1:10" ht="24" customHeight="1" x14ac:dyDescent="0.3">
      <c r="A281" s="315">
        <v>44169</v>
      </c>
      <c r="B281" s="359"/>
      <c r="C281" s="316" t="s">
        <v>1784</v>
      </c>
      <c r="D281" s="323"/>
      <c r="E281" s="318">
        <v>9000</v>
      </c>
      <c r="F281" s="317" t="s">
        <v>122</v>
      </c>
      <c r="G281" s="319" t="s">
        <v>122</v>
      </c>
      <c r="H281" s="317" t="s">
        <v>122</v>
      </c>
      <c r="I281" s="320" t="s">
        <v>122</v>
      </c>
      <c r="J281" s="321" t="s">
        <v>122</v>
      </c>
    </row>
    <row r="282" spans="1:10" ht="24" customHeight="1" x14ac:dyDescent="0.3">
      <c r="A282" s="315">
        <v>44170</v>
      </c>
      <c r="B282" s="359"/>
      <c r="C282" s="316" t="s">
        <v>1802</v>
      </c>
      <c r="D282" s="323"/>
      <c r="E282" s="318">
        <v>9150</v>
      </c>
      <c r="F282" s="317" t="s">
        <v>122</v>
      </c>
      <c r="G282" s="319" t="s">
        <v>122</v>
      </c>
      <c r="H282" s="317" t="s">
        <v>122</v>
      </c>
      <c r="I282" s="320" t="s">
        <v>122</v>
      </c>
      <c r="J282" s="321" t="s">
        <v>122</v>
      </c>
    </row>
    <row r="283" spans="1:10" ht="24" customHeight="1" x14ac:dyDescent="0.3">
      <c r="A283" s="315">
        <v>44171</v>
      </c>
      <c r="B283" s="359"/>
      <c r="C283" s="316" t="s">
        <v>1800</v>
      </c>
      <c r="D283" s="323"/>
      <c r="E283" s="319">
        <v>9350</v>
      </c>
      <c r="F283" s="317" t="s">
        <v>122</v>
      </c>
      <c r="G283" s="319" t="s">
        <v>122</v>
      </c>
      <c r="H283" s="317" t="s">
        <v>122</v>
      </c>
      <c r="I283" s="320" t="s">
        <v>122</v>
      </c>
      <c r="J283" s="321" t="s">
        <v>122</v>
      </c>
    </row>
    <row r="284" spans="1:10" ht="24" customHeight="1" x14ac:dyDescent="0.3">
      <c r="A284" s="315">
        <v>44172</v>
      </c>
      <c r="B284" s="359"/>
      <c r="C284" s="316" t="s">
        <v>1795</v>
      </c>
      <c r="D284" s="323"/>
      <c r="E284" s="319">
        <v>9600</v>
      </c>
      <c r="F284" s="317" t="s">
        <v>122</v>
      </c>
      <c r="G284" s="319" t="s">
        <v>122</v>
      </c>
      <c r="H284" s="317" t="s">
        <v>122</v>
      </c>
      <c r="I284" s="320" t="s">
        <v>122</v>
      </c>
      <c r="J284" s="321" t="s">
        <v>122</v>
      </c>
    </row>
    <row r="285" spans="1:10" ht="24" customHeight="1" x14ac:dyDescent="0.3">
      <c r="A285" s="315">
        <v>44173</v>
      </c>
      <c r="B285" s="359"/>
      <c r="C285" s="316" t="s">
        <v>2407</v>
      </c>
      <c r="D285" s="323"/>
      <c r="E285" s="319">
        <v>9750</v>
      </c>
      <c r="F285" s="317" t="s">
        <v>122</v>
      </c>
      <c r="G285" s="319" t="s">
        <v>122</v>
      </c>
      <c r="H285" s="317" t="s">
        <v>122</v>
      </c>
      <c r="I285" s="320" t="s">
        <v>122</v>
      </c>
      <c r="J285" s="321" t="s">
        <v>122</v>
      </c>
    </row>
    <row r="286" spans="1:10" ht="24" customHeight="1" x14ac:dyDescent="0.3">
      <c r="A286" s="315">
        <v>44174</v>
      </c>
      <c r="B286" s="359"/>
      <c r="C286" s="316" t="s">
        <v>1770</v>
      </c>
      <c r="D286" s="323"/>
      <c r="E286" s="319">
        <v>9900</v>
      </c>
      <c r="F286" s="317" t="s">
        <v>122</v>
      </c>
      <c r="G286" s="319" t="s">
        <v>122</v>
      </c>
      <c r="H286" s="317" t="s">
        <v>122</v>
      </c>
      <c r="I286" s="320" t="s">
        <v>122</v>
      </c>
      <c r="J286" s="321" t="s">
        <v>122</v>
      </c>
    </row>
    <row r="287" spans="1:10" ht="24" customHeight="1" x14ac:dyDescent="0.3">
      <c r="A287" s="315">
        <v>44175</v>
      </c>
      <c r="B287" s="359"/>
      <c r="C287" s="316" t="s">
        <v>1772</v>
      </c>
      <c r="D287" s="323"/>
      <c r="E287" s="319">
        <v>9950</v>
      </c>
      <c r="F287" s="317" t="s">
        <v>122</v>
      </c>
      <c r="G287" s="319" t="s">
        <v>122</v>
      </c>
      <c r="H287" s="317" t="s">
        <v>122</v>
      </c>
      <c r="I287" s="320" t="s">
        <v>122</v>
      </c>
      <c r="J287" s="321" t="s">
        <v>122</v>
      </c>
    </row>
    <row r="288" spans="1:10" ht="24" customHeight="1" x14ac:dyDescent="0.3">
      <c r="A288" s="315">
        <v>44176</v>
      </c>
      <c r="B288" s="359"/>
      <c r="C288" s="316" t="s">
        <v>1772</v>
      </c>
      <c r="D288" s="323"/>
      <c r="E288" s="319">
        <v>9950</v>
      </c>
      <c r="F288" s="317" t="s">
        <v>122</v>
      </c>
      <c r="G288" s="319" t="s">
        <v>122</v>
      </c>
      <c r="H288" s="317" t="s">
        <v>122</v>
      </c>
      <c r="I288" s="320" t="s">
        <v>122</v>
      </c>
      <c r="J288" s="321" t="s">
        <v>122</v>
      </c>
    </row>
    <row r="289" spans="1:10" ht="24" customHeight="1" x14ac:dyDescent="0.3">
      <c r="A289" s="315">
        <v>44177</v>
      </c>
      <c r="B289" s="359"/>
      <c r="C289" s="316" t="s">
        <v>1772</v>
      </c>
      <c r="D289" s="323"/>
      <c r="E289" s="319">
        <v>9950</v>
      </c>
      <c r="F289" s="317" t="s">
        <v>122</v>
      </c>
      <c r="G289" s="319" t="s">
        <v>122</v>
      </c>
      <c r="H289" s="317" t="s">
        <v>122</v>
      </c>
      <c r="I289" s="320" t="s">
        <v>122</v>
      </c>
      <c r="J289" s="321" t="s">
        <v>122</v>
      </c>
    </row>
    <row r="290" spans="1:10" ht="24" customHeight="1" x14ac:dyDescent="0.3">
      <c r="A290" s="315">
        <v>44178</v>
      </c>
      <c r="B290" s="359"/>
      <c r="C290" s="316" t="s">
        <v>1772</v>
      </c>
      <c r="D290" s="323"/>
      <c r="E290" s="319">
        <v>9950</v>
      </c>
      <c r="F290" s="317" t="s">
        <v>122</v>
      </c>
      <c r="G290" s="319" t="s">
        <v>122</v>
      </c>
      <c r="H290" s="317" t="s">
        <v>122</v>
      </c>
      <c r="I290" s="320" t="s">
        <v>122</v>
      </c>
      <c r="J290" s="321" t="s">
        <v>122</v>
      </c>
    </row>
    <row r="291" spans="1:10" ht="24" customHeight="1" x14ac:dyDescent="0.3">
      <c r="A291" s="315">
        <v>44179</v>
      </c>
      <c r="B291" s="359"/>
      <c r="C291" s="316" t="s">
        <v>1772</v>
      </c>
      <c r="D291" s="323"/>
      <c r="E291" s="319">
        <v>9950</v>
      </c>
      <c r="F291" s="317" t="s">
        <v>122</v>
      </c>
      <c r="G291" s="319" t="s">
        <v>122</v>
      </c>
      <c r="H291" s="317" t="s">
        <v>122</v>
      </c>
      <c r="I291" s="320" t="s">
        <v>122</v>
      </c>
      <c r="J291" s="321" t="s">
        <v>122</v>
      </c>
    </row>
    <row r="292" spans="1:10" ht="24" customHeight="1" x14ac:dyDescent="0.3">
      <c r="A292" s="315">
        <v>44180</v>
      </c>
      <c r="B292" s="359"/>
      <c r="C292" s="316" t="s">
        <v>1772</v>
      </c>
      <c r="D292" s="323"/>
      <c r="E292" s="319">
        <v>9950</v>
      </c>
      <c r="F292" s="317" t="s">
        <v>122</v>
      </c>
      <c r="G292" s="319" t="s">
        <v>122</v>
      </c>
      <c r="H292" s="317" t="s">
        <v>122</v>
      </c>
      <c r="I292" s="320" t="s">
        <v>122</v>
      </c>
      <c r="J292" s="321" t="s">
        <v>122</v>
      </c>
    </row>
    <row r="293" spans="1:10" ht="24" customHeight="1" x14ac:dyDescent="0.3">
      <c r="A293" s="315">
        <v>44181</v>
      </c>
      <c r="B293" s="359"/>
      <c r="C293" s="316" t="s">
        <v>1772</v>
      </c>
      <c r="D293" s="323"/>
      <c r="E293" s="319">
        <v>9950</v>
      </c>
      <c r="F293" s="317" t="s">
        <v>122</v>
      </c>
      <c r="G293" s="319" t="s">
        <v>122</v>
      </c>
      <c r="H293" s="317" t="s">
        <v>122</v>
      </c>
      <c r="I293" s="320" t="s">
        <v>122</v>
      </c>
      <c r="J293" s="321" t="s">
        <v>122</v>
      </c>
    </row>
    <row r="294" spans="1:10" ht="24" customHeight="1" x14ac:dyDescent="0.3">
      <c r="A294" s="315">
        <v>44182</v>
      </c>
      <c r="B294" s="359"/>
      <c r="C294" s="316" t="s">
        <v>1772</v>
      </c>
      <c r="D294" s="323"/>
      <c r="E294" s="319">
        <v>9950</v>
      </c>
      <c r="F294" s="317" t="s">
        <v>122</v>
      </c>
      <c r="G294" s="319" t="s">
        <v>122</v>
      </c>
      <c r="H294" s="317" t="s">
        <v>122</v>
      </c>
      <c r="I294" s="320" t="s">
        <v>122</v>
      </c>
      <c r="J294" s="321" t="s">
        <v>122</v>
      </c>
    </row>
    <row r="295" spans="1:10" ht="24" customHeight="1" x14ac:dyDescent="0.3">
      <c r="A295" s="315">
        <v>44183</v>
      </c>
      <c r="B295" s="359"/>
      <c r="C295" s="316" t="s">
        <v>1772</v>
      </c>
      <c r="D295" s="323"/>
      <c r="E295" s="319">
        <v>9950</v>
      </c>
      <c r="F295" s="317" t="s">
        <v>122</v>
      </c>
      <c r="G295" s="319" t="s">
        <v>122</v>
      </c>
      <c r="H295" s="317" t="s">
        <v>122</v>
      </c>
      <c r="I295" s="320" t="s">
        <v>122</v>
      </c>
      <c r="J295" s="321" t="s">
        <v>122</v>
      </c>
    </row>
    <row r="296" spans="1:10" ht="24" customHeight="1" x14ac:dyDescent="0.3">
      <c r="A296" s="315">
        <v>44184</v>
      </c>
      <c r="B296" s="359"/>
      <c r="C296" s="316" t="s">
        <v>1771</v>
      </c>
      <c r="D296" s="323"/>
      <c r="E296" s="319">
        <v>10000</v>
      </c>
      <c r="F296" s="317" t="s">
        <v>122</v>
      </c>
      <c r="G296" s="319" t="s">
        <v>122</v>
      </c>
      <c r="H296" s="317" t="s">
        <v>122</v>
      </c>
      <c r="I296" s="320" t="s">
        <v>122</v>
      </c>
      <c r="J296" s="321" t="s">
        <v>122</v>
      </c>
    </row>
    <row r="297" spans="1:10" ht="24" customHeight="1" x14ac:dyDescent="0.3">
      <c r="A297" s="315">
        <v>44185</v>
      </c>
      <c r="B297" s="359"/>
      <c r="C297" s="316" t="s">
        <v>2408</v>
      </c>
      <c r="D297" s="323"/>
      <c r="E297" s="319">
        <v>10050</v>
      </c>
      <c r="F297" s="317" t="s">
        <v>122</v>
      </c>
      <c r="G297" s="319" t="s">
        <v>122</v>
      </c>
      <c r="H297" s="317" t="s">
        <v>122</v>
      </c>
      <c r="I297" s="320" t="s">
        <v>122</v>
      </c>
      <c r="J297" s="321" t="s">
        <v>122</v>
      </c>
    </row>
    <row r="298" spans="1:10" ht="24" customHeight="1" x14ac:dyDescent="0.3">
      <c r="A298" s="315">
        <v>44186</v>
      </c>
      <c r="B298" s="359"/>
      <c r="C298" s="316" t="s">
        <v>2408</v>
      </c>
      <c r="D298" s="323"/>
      <c r="E298" s="319">
        <v>10050</v>
      </c>
      <c r="F298" s="317" t="s">
        <v>122</v>
      </c>
      <c r="G298" s="319" t="s">
        <v>122</v>
      </c>
      <c r="H298" s="317" t="s">
        <v>122</v>
      </c>
      <c r="I298" s="320" t="s">
        <v>122</v>
      </c>
      <c r="J298" s="321" t="s">
        <v>122</v>
      </c>
    </row>
    <row r="299" spans="1:10" ht="24" customHeight="1" x14ac:dyDescent="0.3">
      <c r="A299" s="315">
        <v>44187</v>
      </c>
      <c r="B299" s="359"/>
      <c r="C299" s="316" t="s">
        <v>2409</v>
      </c>
      <c r="D299" s="323"/>
      <c r="E299" s="319">
        <v>10350</v>
      </c>
      <c r="F299" s="317" t="s">
        <v>122</v>
      </c>
      <c r="G299" s="319" t="s">
        <v>122</v>
      </c>
      <c r="H299" s="317" t="s">
        <v>122</v>
      </c>
      <c r="I299" s="320" t="s">
        <v>122</v>
      </c>
      <c r="J299" s="321" t="s">
        <v>122</v>
      </c>
    </row>
    <row r="300" spans="1:10" ht="24" customHeight="1" x14ac:dyDescent="0.3">
      <c r="A300" s="315">
        <v>44188</v>
      </c>
      <c r="B300" s="359"/>
      <c r="C300" s="316" t="s">
        <v>1841</v>
      </c>
      <c r="D300" s="323"/>
      <c r="E300" s="319">
        <v>11600</v>
      </c>
      <c r="F300" s="317" t="s">
        <v>122</v>
      </c>
      <c r="G300" s="319" t="s">
        <v>122</v>
      </c>
      <c r="H300" s="317" t="s">
        <v>122</v>
      </c>
      <c r="I300" s="320" t="s">
        <v>122</v>
      </c>
      <c r="J300" s="321" t="s">
        <v>122</v>
      </c>
    </row>
    <row r="301" spans="1:10" ht="24" customHeight="1" x14ac:dyDescent="0.3">
      <c r="A301" s="315">
        <v>44189</v>
      </c>
      <c r="B301" s="359"/>
      <c r="C301" s="316" t="s">
        <v>2410</v>
      </c>
      <c r="D301" s="323"/>
      <c r="E301" s="319">
        <v>12250</v>
      </c>
      <c r="F301" s="317" t="s">
        <v>122</v>
      </c>
      <c r="G301" s="319" t="s">
        <v>122</v>
      </c>
      <c r="H301" s="317" t="s">
        <v>122</v>
      </c>
      <c r="I301" s="320" t="s">
        <v>122</v>
      </c>
      <c r="J301" s="321" t="s">
        <v>122</v>
      </c>
    </row>
    <row r="302" spans="1:10" ht="24" customHeight="1" x14ac:dyDescent="0.3">
      <c r="A302" s="315">
        <v>44190</v>
      </c>
      <c r="B302" s="359"/>
      <c r="C302" s="316" t="s">
        <v>2379</v>
      </c>
      <c r="D302" s="323"/>
      <c r="E302" s="319">
        <v>12500</v>
      </c>
      <c r="F302" s="317" t="s">
        <v>122</v>
      </c>
      <c r="G302" s="319" t="s">
        <v>122</v>
      </c>
      <c r="H302" s="317" t="s">
        <v>122</v>
      </c>
      <c r="I302" s="320" t="s">
        <v>122</v>
      </c>
      <c r="J302" s="321" t="s">
        <v>122</v>
      </c>
    </row>
    <row r="303" spans="1:10" ht="24" customHeight="1" x14ac:dyDescent="0.3">
      <c r="A303" s="315">
        <v>44191</v>
      </c>
      <c r="B303" s="359"/>
      <c r="C303" s="316" t="s">
        <v>2411</v>
      </c>
      <c r="D303" s="323"/>
      <c r="E303" s="319">
        <v>12550</v>
      </c>
      <c r="F303" s="317" t="s">
        <v>122</v>
      </c>
      <c r="G303" s="319" t="s">
        <v>122</v>
      </c>
      <c r="H303" s="317" t="s">
        <v>122</v>
      </c>
      <c r="I303" s="320" t="s">
        <v>122</v>
      </c>
      <c r="J303" s="321" t="s">
        <v>122</v>
      </c>
    </row>
    <row r="304" spans="1:10" ht="24" customHeight="1" x14ac:dyDescent="0.3">
      <c r="A304" s="315">
        <v>44192</v>
      </c>
      <c r="B304" s="359"/>
      <c r="C304" s="316" t="s">
        <v>2411</v>
      </c>
      <c r="D304" s="323"/>
      <c r="E304" s="319">
        <v>12550</v>
      </c>
      <c r="F304" s="317" t="s">
        <v>122</v>
      </c>
      <c r="G304" s="319" t="s">
        <v>122</v>
      </c>
      <c r="H304" s="317" t="s">
        <v>122</v>
      </c>
      <c r="I304" s="320" t="s">
        <v>122</v>
      </c>
      <c r="J304" s="321" t="s">
        <v>122</v>
      </c>
    </row>
    <row r="305" spans="1:10" ht="24" customHeight="1" x14ac:dyDescent="0.3">
      <c r="A305" s="315">
        <v>44193</v>
      </c>
      <c r="B305" s="359"/>
      <c r="C305" s="316" t="s">
        <v>2412</v>
      </c>
      <c r="D305" s="323"/>
      <c r="E305" s="319">
        <v>13375</v>
      </c>
      <c r="F305" s="317" t="s">
        <v>122</v>
      </c>
      <c r="G305" s="319" t="s">
        <v>122</v>
      </c>
      <c r="H305" s="317" t="s">
        <v>122</v>
      </c>
      <c r="I305" s="320" t="s">
        <v>122</v>
      </c>
      <c r="J305" s="321" t="s">
        <v>122</v>
      </c>
    </row>
    <row r="306" spans="1:10" ht="24" customHeight="1" x14ac:dyDescent="0.3">
      <c r="A306" s="315">
        <v>44194</v>
      </c>
      <c r="B306" s="359"/>
      <c r="C306" s="316" t="s">
        <v>2413</v>
      </c>
      <c r="D306" s="323"/>
      <c r="E306" s="319">
        <v>14650</v>
      </c>
      <c r="F306" s="317" t="s">
        <v>122</v>
      </c>
      <c r="G306" s="319" t="s">
        <v>122</v>
      </c>
      <c r="H306" s="317" t="s">
        <v>122</v>
      </c>
      <c r="I306" s="320" t="s">
        <v>122</v>
      </c>
      <c r="J306" s="321" t="s">
        <v>122</v>
      </c>
    </row>
    <row r="307" spans="1:10" ht="24" customHeight="1" x14ac:dyDescent="0.3">
      <c r="A307" s="315">
        <v>44195</v>
      </c>
      <c r="B307" s="359"/>
      <c r="C307" s="316" t="s">
        <v>2368</v>
      </c>
      <c r="D307" s="323"/>
      <c r="E307" s="319">
        <v>15200</v>
      </c>
      <c r="F307" s="317" t="s">
        <v>122</v>
      </c>
      <c r="G307" s="319" t="s">
        <v>122</v>
      </c>
      <c r="H307" s="317" t="s">
        <v>122</v>
      </c>
      <c r="I307" s="320" t="s">
        <v>122</v>
      </c>
      <c r="J307" s="321" t="s">
        <v>122</v>
      </c>
    </row>
    <row r="308" spans="1:10" ht="24" customHeight="1" thickBot="1" x14ac:dyDescent="0.35">
      <c r="A308" s="327">
        <v>44196</v>
      </c>
      <c r="B308" s="360"/>
      <c r="C308" s="328" t="s">
        <v>2414</v>
      </c>
      <c r="D308" s="329"/>
      <c r="E308" s="330">
        <v>15400</v>
      </c>
      <c r="F308" s="331"/>
      <c r="G308" s="332"/>
      <c r="H308" s="331"/>
      <c r="I308" s="329"/>
      <c r="J308" s="333" t="s">
        <v>122</v>
      </c>
    </row>
    <row r="309" spans="1:10" ht="21.95" customHeight="1" x14ac:dyDescent="0.25"/>
    <row r="310" spans="1:10" ht="21.95" customHeight="1" x14ac:dyDescent="0.25"/>
    <row r="311" spans="1:10" ht="21.95" customHeight="1" x14ac:dyDescent="0.25"/>
    <row r="312" spans="1:10" ht="21.95" customHeight="1" x14ac:dyDescent="0.25"/>
    <row r="313" spans="1:10" ht="21.95" customHeight="1" x14ac:dyDescent="0.25"/>
    <row r="314" spans="1:10" ht="21.95" customHeight="1" x14ac:dyDescent="0.25"/>
    <row r="315" spans="1:10" ht="21.95" customHeight="1" x14ac:dyDescent="0.25"/>
    <row r="316" spans="1:10" ht="21.95" customHeight="1" x14ac:dyDescent="0.25"/>
    <row r="317" spans="1:10" ht="21.95" customHeight="1" x14ac:dyDescent="0.25"/>
    <row r="318" spans="1:10" ht="21.95" customHeight="1" x14ac:dyDescent="0.25"/>
    <row r="319" spans="1:10" ht="21.95" customHeight="1" x14ac:dyDescent="0.25"/>
    <row r="320" spans="1:10" ht="21.95" customHeight="1" x14ac:dyDescent="0.25"/>
    <row r="321" ht="21.95" customHeight="1" x14ac:dyDescent="0.25"/>
    <row r="322" ht="21.95" customHeight="1" x14ac:dyDescent="0.25"/>
    <row r="323" ht="21.95" customHeight="1" x14ac:dyDescent="0.25"/>
    <row r="324" ht="21.95" customHeight="1" x14ac:dyDescent="0.25"/>
    <row r="325" ht="21.95" customHeight="1" x14ac:dyDescent="0.25"/>
    <row r="326" ht="21.95" customHeight="1" x14ac:dyDescent="0.25"/>
    <row r="327" ht="21.95" customHeight="1" x14ac:dyDescent="0.25"/>
    <row r="328" ht="21.95" customHeight="1" x14ac:dyDescent="0.25"/>
    <row r="329" ht="21.95" customHeight="1" x14ac:dyDescent="0.25"/>
    <row r="330" ht="21.95" customHeight="1" x14ac:dyDescent="0.25"/>
    <row r="331" ht="21.95" customHeight="1" x14ac:dyDescent="0.25"/>
    <row r="332" ht="21.95" customHeight="1" x14ac:dyDescent="0.25"/>
    <row r="333" ht="21.95" customHeight="1" x14ac:dyDescent="0.25"/>
    <row r="334" ht="21.95" customHeight="1" x14ac:dyDescent="0.25"/>
    <row r="335" ht="21.95" customHeight="1" x14ac:dyDescent="0.25"/>
    <row r="336" ht="21.95" customHeight="1" x14ac:dyDescent="0.25"/>
    <row r="337" ht="21.95" customHeight="1" x14ac:dyDescent="0.25"/>
    <row r="338" ht="21.95" customHeight="1" x14ac:dyDescent="0.25"/>
    <row r="339" ht="21.95" customHeight="1" x14ac:dyDescent="0.25"/>
    <row r="340" ht="21.95" customHeight="1" x14ac:dyDescent="0.25"/>
    <row r="341" ht="21.95" customHeight="1" x14ac:dyDescent="0.25"/>
    <row r="342" ht="21.95" customHeight="1" x14ac:dyDescent="0.25"/>
    <row r="343" ht="21.95" customHeight="1" x14ac:dyDescent="0.25"/>
    <row r="344" ht="21.95" customHeight="1" x14ac:dyDescent="0.25"/>
    <row r="345" ht="21.95" customHeight="1" x14ac:dyDescent="0.25"/>
    <row r="346" ht="21.95" customHeight="1" x14ac:dyDescent="0.25"/>
    <row r="347" ht="21.95" customHeight="1" x14ac:dyDescent="0.25"/>
    <row r="348" ht="21.95" customHeight="1" x14ac:dyDescent="0.25"/>
    <row r="349" ht="21.95" customHeight="1" x14ac:dyDescent="0.25"/>
    <row r="350" ht="21.95" customHeight="1" x14ac:dyDescent="0.25"/>
    <row r="351" ht="21.95" customHeight="1" x14ac:dyDescent="0.25"/>
    <row r="352" ht="21.95" customHeight="1" x14ac:dyDescent="0.25"/>
    <row r="353" ht="21.95" customHeight="1" x14ac:dyDescent="0.25"/>
    <row r="354" ht="21.95" customHeight="1" x14ac:dyDescent="0.25"/>
    <row r="355" ht="21.95" customHeight="1" x14ac:dyDescent="0.25"/>
    <row r="356" ht="21.95" customHeight="1" x14ac:dyDescent="0.25"/>
    <row r="357" ht="21.95" customHeight="1" x14ac:dyDescent="0.25"/>
    <row r="358" ht="21.95" customHeight="1" x14ac:dyDescent="0.25"/>
    <row r="359" ht="21.95" customHeight="1" x14ac:dyDescent="0.25"/>
    <row r="360" ht="21.95" customHeight="1" x14ac:dyDescent="0.25"/>
    <row r="361" ht="21.95" customHeight="1" x14ac:dyDescent="0.25"/>
    <row r="362" ht="21.95" customHeight="1" x14ac:dyDescent="0.25"/>
    <row r="363" ht="21.95" customHeight="1" x14ac:dyDescent="0.25"/>
    <row r="364" ht="21.95" customHeight="1" x14ac:dyDescent="0.25"/>
    <row r="365" ht="21.95" customHeight="1" x14ac:dyDescent="0.25"/>
    <row r="366" ht="21.95" customHeight="1" x14ac:dyDescent="0.25"/>
    <row r="367" ht="21.95" customHeight="1" x14ac:dyDescent="0.25"/>
    <row r="368" ht="21.95" customHeight="1" x14ac:dyDescent="0.25"/>
    <row r="369" ht="21.95" customHeight="1" x14ac:dyDescent="0.25"/>
    <row r="370" ht="21.95" customHeight="1" x14ac:dyDescent="0.25"/>
    <row r="371" ht="21.95" customHeight="1" x14ac:dyDescent="0.25"/>
    <row r="372" ht="21.95" customHeight="1" x14ac:dyDescent="0.25"/>
    <row r="373" ht="21.95" customHeight="1" x14ac:dyDescent="0.25"/>
    <row r="374" ht="21.95" customHeight="1" x14ac:dyDescent="0.25"/>
    <row r="375" ht="21.95" customHeight="1" x14ac:dyDescent="0.25"/>
    <row r="376" ht="21.95" customHeight="1" x14ac:dyDescent="0.25"/>
    <row r="377" ht="21.95" customHeight="1" x14ac:dyDescent="0.25"/>
    <row r="378" ht="21.95" customHeight="1" x14ac:dyDescent="0.25"/>
    <row r="379" ht="21.95" customHeight="1" x14ac:dyDescent="0.25"/>
    <row r="380" ht="21.95" customHeight="1" x14ac:dyDescent="0.25"/>
    <row r="381" ht="21.95" customHeight="1" x14ac:dyDescent="0.25"/>
    <row r="382" ht="21.95" customHeight="1" x14ac:dyDescent="0.25"/>
    <row r="383" ht="21.95" customHeight="1" x14ac:dyDescent="0.25"/>
    <row r="384" ht="21.95" customHeight="1" x14ac:dyDescent="0.25"/>
    <row r="385" ht="21.95" customHeight="1" x14ac:dyDescent="0.25"/>
    <row r="386" ht="21.95" customHeight="1" x14ac:dyDescent="0.25"/>
    <row r="387" ht="21.95" customHeight="1" x14ac:dyDescent="0.25"/>
    <row r="388" ht="21.95" customHeight="1" x14ac:dyDescent="0.25"/>
    <row r="389" ht="21.95" customHeight="1" x14ac:dyDescent="0.25"/>
    <row r="390" ht="21.95" customHeight="1" x14ac:dyDescent="0.25"/>
    <row r="391" ht="21.95" customHeight="1" x14ac:dyDescent="0.25"/>
    <row r="392" ht="21.95" customHeight="1" x14ac:dyDescent="0.25"/>
    <row r="393" ht="21.95" customHeight="1" x14ac:dyDescent="0.25"/>
    <row r="394" ht="21.95" customHeight="1" x14ac:dyDescent="0.25"/>
    <row r="395" ht="21.95" customHeight="1" x14ac:dyDescent="0.25"/>
  </sheetData>
  <mergeCells count="7">
    <mergeCell ref="A1:J1"/>
    <mergeCell ref="J2:J3"/>
    <mergeCell ref="A2:A3"/>
    <mergeCell ref="C2:C3"/>
    <mergeCell ref="D2:E3"/>
    <mergeCell ref="F2:I2"/>
    <mergeCell ref="B2:B3"/>
  </mergeCells>
  <printOptions horizontalCentered="1"/>
  <pageMargins left="1.2"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68"/>
  <sheetViews>
    <sheetView topLeftCell="A22" workbookViewId="0">
      <selection activeCell="G142" sqref="G142"/>
    </sheetView>
  </sheetViews>
  <sheetFormatPr defaultRowHeight="15" x14ac:dyDescent="0.25"/>
  <cols>
    <col min="1" max="2" width="10.5703125" customWidth="1"/>
    <col min="3" max="3" width="11.140625" customWidth="1"/>
    <col min="4" max="4" width="6.7109375" customWidth="1"/>
    <col min="6" max="6" width="6.85546875" customWidth="1"/>
    <col min="7" max="7" width="7.85546875" customWidth="1"/>
    <col min="8" max="8" width="10.85546875" customWidth="1"/>
  </cols>
  <sheetData>
    <row r="1" spans="1:12" ht="29.25" customHeight="1" thickBot="1" x14ac:dyDescent="0.45">
      <c r="A1" s="498" t="s">
        <v>2709</v>
      </c>
      <c r="B1" s="498"/>
      <c r="C1" s="498"/>
      <c r="D1" s="498"/>
      <c r="E1" s="498"/>
      <c r="F1" s="498"/>
      <c r="G1" s="498"/>
      <c r="H1" s="498"/>
      <c r="I1" s="81"/>
      <c r="J1" s="81"/>
    </row>
    <row r="2" spans="1:12" ht="19.5" customHeight="1" x14ac:dyDescent="0.25">
      <c r="A2" s="485" t="s">
        <v>1761</v>
      </c>
      <c r="B2" s="476" t="s">
        <v>2671</v>
      </c>
      <c r="C2" s="476" t="s">
        <v>2674</v>
      </c>
      <c r="D2" s="508" t="s">
        <v>2294</v>
      </c>
      <c r="E2" s="508"/>
      <c r="F2" s="508"/>
      <c r="G2" s="508"/>
      <c r="H2" s="457" t="s">
        <v>2670</v>
      </c>
      <c r="I2" s="82"/>
      <c r="J2" s="82"/>
      <c r="K2" s="82"/>
      <c r="L2" s="82"/>
    </row>
    <row r="3" spans="1:12" ht="35.25" customHeight="1" thickBot="1" x14ac:dyDescent="0.3">
      <c r="A3" s="486"/>
      <c r="B3" s="477"/>
      <c r="C3" s="477"/>
      <c r="D3" s="279" t="s">
        <v>1774</v>
      </c>
      <c r="E3" s="158" t="s">
        <v>735</v>
      </c>
      <c r="F3" s="281" t="s">
        <v>1775</v>
      </c>
      <c r="G3" s="158" t="s">
        <v>735</v>
      </c>
      <c r="H3" s="458"/>
      <c r="I3" s="82"/>
      <c r="J3" s="82"/>
      <c r="K3" s="82"/>
      <c r="L3" s="82"/>
    </row>
    <row r="4" spans="1:12" ht="21.75" customHeight="1" x14ac:dyDescent="0.3">
      <c r="A4" s="334">
        <v>44197</v>
      </c>
      <c r="B4" s="335" t="s">
        <v>2415</v>
      </c>
      <c r="C4" s="336">
        <v>15500</v>
      </c>
      <c r="D4" s="337"/>
      <c r="E4" s="338" t="s">
        <v>122</v>
      </c>
      <c r="F4" s="337"/>
      <c r="G4" s="339" t="s">
        <v>122</v>
      </c>
      <c r="H4" s="340" t="s">
        <v>122</v>
      </c>
      <c r="I4" s="304"/>
      <c r="J4" s="305"/>
      <c r="K4" s="304"/>
      <c r="L4" s="305"/>
    </row>
    <row r="5" spans="1:12" ht="21.75" customHeight="1" x14ac:dyDescent="0.3">
      <c r="A5" s="341">
        <v>44198</v>
      </c>
      <c r="B5" s="342" t="s">
        <v>2416</v>
      </c>
      <c r="C5" s="343">
        <v>15675</v>
      </c>
      <c r="D5" s="323"/>
      <c r="E5" s="323" t="s">
        <v>122</v>
      </c>
      <c r="F5" s="323"/>
      <c r="G5" s="323" t="s">
        <v>122</v>
      </c>
      <c r="H5" s="344" t="s">
        <v>122</v>
      </c>
    </row>
    <row r="6" spans="1:12" ht="21.75" customHeight="1" x14ac:dyDescent="0.3">
      <c r="A6" s="341">
        <v>44199</v>
      </c>
      <c r="B6" s="342" t="s">
        <v>2417</v>
      </c>
      <c r="C6" s="343">
        <v>15750</v>
      </c>
      <c r="D6" s="323"/>
      <c r="E6" s="323" t="s">
        <v>122</v>
      </c>
      <c r="F6" s="323"/>
      <c r="G6" s="323" t="s">
        <v>122</v>
      </c>
      <c r="H6" s="344" t="s">
        <v>122</v>
      </c>
    </row>
    <row r="7" spans="1:12" ht="21.75" customHeight="1" x14ac:dyDescent="0.3">
      <c r="A7" s="341">
        <v>44200</v>
      </c>
      <c r="B7" s="342" t="s">
        <v>2418</v>
      </c>
      <c r="C7" s="343">
        <v>15875</v>
      </c>
      <c r="D7" s="323"/>
      <c r="E7" s="323" t="s">
        <v>122</v>
      </c>
      <c r="F7" s="323"/>
      <c r="G7" s="323" t="s">
        <v>122</v>
      </c>
      <c r="H7" s="344" t="s">
        <v>122</v>
      </c>
    </row>
    <row r="8" spans="1:12" ht="21.75" customHeight="1" x14ac:dyDescent="0.3">
      <c r="A8" s="341">
        <v>44201</v>
      </c>
      <c r="B8" s="342" t="s">
        <v>2419</v>
      </c>
      <c r="C8" s="343">
        <v>16450</v>
      </c>
      <c r="D8" s="323"/>
      <c r="E8" s="323" t="s">
        <v>122</v>
      </c>
      <c r="F8" s="323"/>
      <c r="G8" s="323" t="s">
        <v>122</v>
      </c>
      <c r="H8" s="344" t="s">
        <v>122</v>
      </c>
    </row>
    <row r="9" spans="1:12" ht="21.75" customHeight="1" x14ac:dyDescent="0.3">
      <c r="A9" s="341">
        <v>44202</v>
      </c>
      <c r="B9" s="342" t="s">
        <v>2420</v>
      </c>
      <c r="C9" s="319">
        <v>16750</v>
      </c>
      <c r="D9" s="323"/>
      <c r="E9" s="323" t="s">
        <v>122</v>
      </c>
      <c r="F9" s="323"/>
      <c r="G9" s="323" t="s">
        <v>122</v>
      </c>
      <c r="H9" s="344" t="s">
        <v>122</v>
      </c>
    </row>
    <row r="10" spans="1:12" ht="21.75" customHeight="1" x14ac:dyDescent="0.3">
      <c r="A10" s="341">
        <v>44203</v>
      </c>
      <c r="B10" s="342" t="s">
        <v>2421</v>
      </c>
      <c r="C10" s="319">
        <v>17700</v>
      </c>
      <c r="D10" s="323"/>
      <c r="E10" s="323" t="s">
        <v>122</v>
      </c>
      <c r="F10" s="323"/>
      <c r="G10" s="323" t="s">
        <v>122</v>
      </c>
      <c r="H10" s="344" t="s">
        <v>122</v>
      </c>
    </row>
    <row r="11" spans="1:12" ht="21.75" customHeight="1" x14ac:dyDescent="0.3">
      <c r="A11" s="341">
        <v>44204</v>
      </c>
      <c r="B11" s="342" t="s">
        <v>2422</v>
      </c>
      <c r="C11" s="319">
        <v>19500</v>
      </c>
      <c r="D11" s="323"/>
      <c r="E11" s="323" t="s">
        <v>122</v>
      </c>
      <c r="F11" s="323"/>
      <c r="G11" s="323" t="s">
        <v>122</v>
      </c>
      <c r="H11" s="344" t="s">
        <v>122</v>
      </c>
    </row>
    <row r="12" spans="1:12" ht="21.75" customHeight="1" x14ac:dyDescent="0.3">
      <c r="A12" s="341">
        <v>44205</v>
      </c>
      <c r="B12" s="342" t="s">
        <v>2423</v>
      </c>
      <c r="C12" s="319">
        <v>20550</v>
      </c>
      <c r="D12" s="323"/>
      <c r="E12" s="323" t="s">
        <v>122</v>
      </c>
      <c r="F12" s="323"/>
      <c r="G12" s="323" t="s">
        <v>122</v>
      </c>
      <c r="H12" s="344" t="s">
        <v>122</v>
      </c>
    </row>
    <row r="13" spans="1:12" ht="21.75" customHeight="1" x14ac:dyDescent="0.3">
      <c r="A13" s="341">
        <v>44206</v>
      </c>
      <c r="B13" s="342" t="s">
        <v>2424</v>
      </c>
      <c r="C13" s="319">
        <v>21450</v>
      </c>
      <c r="D13" s="323"/>
      <c r="E13" s="323" t="s">
        <v>122</v>
      </c>
      <c r="F13" s="323"/>
      <c r="G13" s="323" t="s">
        <v>122</v>
      </c>
      <c r="H13" s="344" t="s">
        <v>122</v>
      </c>
    </row>
    <row r="14" spans="1:12" ht="21.75" customHeight="1" x14ac:dyDescent="0.3">
      <c r="A14" s="341">
        <v>44207</v>
      </c>
      <c r="B14" s="342" t="s">
        <v>2425</v>
      </c>
      <c r="C14" s="319">
        <v>22312.5</v>
      </c>
      <c r="D14" s="323"/>
      <c r="E14" s="323" t="s">
        <v>122</v>
      </c>
      <c r="F14" s="323"/>
      <c r="G14" s="323" t="s">
        <v>122</v>
      </c>
      <c r="H14" s="344" t="s">
        <v>122</v>
      </c>
    </row>
    <row r="15" spans="1:12" ht="21.75" customHeight="1" x14ac:dyDescent="0.3">
      <c r="A15" s="341">
        <v>44208</v>
      </c>
      <c r="B15" s="342" t="s">
        <v>2308</v>
      </c>
      <c r="C15" s="319">
        <v>28000</v>
      </c>
      <c r="D15" s="323"/>
      <c r="E15" s="323" t="s">
        <v>122</v>
      </c>
      <c r="F15" s="323"/>
      <c r="G15" s="323" t="s">
        <v>122</v>
      </c>
      <c r="H15" s="344" t="s">
        <v>122</v>
      </c>
    </row>
    <row r="16" spans="1:12" ht="21.75" customHeight="1" x14ac:dyDescent="0.3">
      <c r="A16" s="341">
        <v>44209</v>
      </c>
      <c r="B16" s="342" t="s">
        <v>2426</v>
      </c>
      <c r="C16" s="319">
        <v>33000</v>
      </c>
      <c r="D16" s="323"/>
      <c r="E16" s="323" t="s">
        <v>122</v>
      </c>
      <c r="F16" s="323"/>
      <c r="G16" s="323" t="s">
        <v>122</v>
      </c>
      <c r="H16" s="344" t="s">
        <v>122</v>
      </c>
    </row>
    <row r="17" spans="1:8" ht="21.75" customHeight="1" x14ac:dyDescent="0.3">
      <c r="A17" s="341">
        <v>44210</v>
      </c>
      <c r="B17" s="345" t="s">
        <v>2427</v>
      </c>
      <c r="C17" s="346" t="s">
        <v>2435</v>
      </c>
      <c r="D17" s="323"/>
      <c r="E17" s="323" t="s">
        <v>122</v>
      </c>
      <c r="F17" s="323"/>
      <c r="G17" s="323" t="s">
        <v>122</v>
      </c>
      <c r="H17" s="344">
        <v>369.66</v>
      </c>
    </row>
    <row r="18" spans="1:8" ht="21.75" customHeight="1" x14ac:dyDescent="0.3">
      <c r="A18" s="341">
        <v>44211</v>
      </c>
      <c r="B18" s="345" t="s">
        <v>2428</v>
      </c>
      <c r="C18" s="346" t="s">
        <v>2436</v>
      </c>
      <c r="D18" s="323"/>
      <c r="E18" s="323" t="s">
        <v>122</v>
      </c>
      <c r="F18" s="323"/>
      <c r="G18" s="323" t="s">
        <v>122</v>
      </c>
      <c r="H18" s="344">
        <v>1057.01</v>
      </c>
    </row>
    <row r="19" spans="1:8" ht="21.75" customHeight="1" x14ac:dyDescent="0.3">
      <c r="A19" s="341">
        <v>44212</v>
      </c>
      <c r="B19" s="345" t="s">
        <v>2429</v>
      </c>
      <c r="C19" s="346" t="s">
        <v>2437</v>
      </c>
      <c r="D19" s="323"/>
      <c r="E19" s="323" t="s">
        <v>122</v>
      </c>
      <c r="F19" s="323"/>
      <c r="G19" s="323" t="s">
        <v>122</v>
      </c>
      <c r="H19" s="344">
        <v>1330.35</v>
      </c>
    </row>
    <row r="20" spans="1:8" ht="21.75" customHeight="1" x14ac:dyDescent="0.3">
      <c r="A20" s="341">
        <v>44213</v>
      </c>
      <c r="B20" s="345" t="s">
        <v>2430</v>
      </c>
      <c r="C20" s="346" t="s">
        <v>2435</v>
      </c>
      <c r="D20" s="323"/>
      <c r="E20" s="323" t="s">
        <v>122</v>
      </c>
      <c r="F20" s="323"/>
      <c r="G20" s="323" t="s">
        <v>122</v>
      </c>
      <c r="H20" s="344">
        <v>1008.08</v>
      </c>
    </row>
    <row r="21" spans="1:8" ht="21.75" customHeight="1" x14ac:dyDescent="0.3">
      <c r="A21" s="341">
        <v>44214</v>
      </c>
      <c r="B21" s="345" t="s">
        <v>2431</v>
      </c>
      <c r="C21" s="346" t="s">
        <v>2438</v>
      </c>
      <c r="D21" s="323"/>
      <c r="E21" s="323" t="s">
        <v>122</v>
      </c>
      <c r="F21" s="323"/>
      <c r="G21" s="323" t="s">
        <v>122</v>
      </c>
      <c r="H21" s="344">
        <v>776.64</v>
      </c>
    </row>
    <row r="22" spans="1:8" ht="21.75" customHeight="1" x14ac:dyDescent="0.3">
      <c r="A22" s="341">
        <v>44215</v>
      </c>
      <c r="B22" s="345" t="s">
        <v>2432</v>
      </c>
      <c r="C22" s="346" t="s">
        <v>2439</v>
      </c>
      <c r="D22" s="323"/>
      <c r="E22" s="323" t="s">
        <v>122</v>
      </c>
      <c r="F22" s="323"/>
      <c r="G22" s="323" t="s">
        <v>122</v>
      </c>
      <c r="H22" s="344">
        <v>654.97</v>
      </c>
    </row>
    <row r="23" spans="1:8" ht="21.75" customHeight="1" x14ac:dyDescent="0.3">
      <c r="A23" s="341">
        <v>44216</v>
      </c>
      <c r="B23" s="345" t="s">
        <v>2433</v>
      </c>
      <c r="C23" s="346" t="s">
        <v>2440</v>
      </c>
      <c r="D23" s="323"/>
      <c r="E23" s="323" t="s">
        <v>122</v>
      </c>
      <c r="F23" s="323"/>
      <c r="G23" s="323" t="s">
        <v>122</v>
      </c>
      <c r="H23" s="344">
        <v>49.5</v>
      </c>
    </row>
    <row r="24" spans="1:8" ht="21.75" customHeight="1" x14ac:dyDescent="0.3">
      <c r="A24" s="341">
        <v>44217</v>
      </c>
      <c r="B24" s="345" t="s">
        <v>2433</v>
      </c>
      <c r="C24" s="346" t="s">
        <v>2440</v>
      </c>
      <c r="D24" s="323"/>
      <c r="E24" s="323" t="s">
        <v>122</v>
      </c>
      <c r="F24" s="323"/>
      <c r="G24" s="323" t="s">
        <v>122</v>
      </c>
      <c r="H24" s="344">
        <v>49.5</v>
      </c>
    </row>
    <row r="25" spans="1:8" ht="21.75" customHeight="1" x14ac:dyDescent="0.3">
      <c r="A25" s="341">
        <v>44218</v>
      </c>
      <c r="B25" s="345" t="s">
        <v>2433</v>
      </c>
      <c r="C25" s="346" t="s">
        <v>2440</v>
      </c>
      <c r="D25" s="323"/>
      <c r="E25" s="323" t="s">
        <v>122</v>
      </c>
      <c r="F25" s="323"/>
      <c r="G25" s="323" t="s">
        <v>122</v>
      </c>
      <c r="H25" s="344">
        <v>49.5</v>
      </c>
    </row>
    <row r="26" spans="1:8" ht="21.75" customHeight="1" x14ac:dyDescent="0.3">
      <c r="A26" s="341">
        <v>44219</v>
      </c>
      <c r="B26" s="345" t="s">
        <v>2434</v>
      </c>
      <c r="C26" s="346" t="s">
        <v>2441</v>
      </c>
      <c r="D26" s="323"/>
      <c r="E26" s="323" t="s">
        <v>122</v>
      </c>
      <c r="F26" s="323"/>
      <c r="G26" s="323" t="s">
        <v>122</v>
      </c>
      <c r="H26" s="344">
        <v>95.52</v>
      </c>
    </row>
    <row r="27" spans="1:8" ht="21.75" customHeight="1" x14ac:dyDescent="0.3">
      <c r="A27" s="341">
        <v>44220</v>
      </c>
      <c r="B27" s="345" t="s">
        <v>2434</v>
      </c>
      <c r="C27" s="346" t="s">
        <v>2441</v>
      </c>
      <c r="D27" s="323"/>
      <c r="E27" s="323" t="s">
        <v>122</v>
      </c>
      <c r="F27" s="323"/>
      <c r="G27" s="323" t="s">
        <v>122</v>
      </c>
      <c r="H27" s="344">
        <v>95.52</v>
      </c>
    </row>
    <row r="28" spans="1:8" ht="21.75" customHeight="1" x14ac:dyDescent="0.3">
      <c r="A28" s="341">
        <v>44221</v>
      </c>
      <c r="B28" s="345" t="s">
        <v>2433</v>
      </c>
      <c r="C28" s="346" t="s">
        <v>2440</v>
      </c>
      <c r="D28" s="323"/>
      <c r="E28" s="323" t="s">
        <v>122</v>
      </c>
      <c r="F28" s="323"/>
      <c r="G28" s="323" t="s">
        <v>122</v>
      </c>
      <c r="H28" s="344">
        <v>49.5</v>
      </c>
    </row>
    <row r="29" spans="1:8" ht="21.75" customHeight="1" x14ac:dyDescent="0.3">
      <c r="A29" s="341">
        <v>44222</v>
      </c>
      <c r="B29" s="345" t="s">
        <v>2433</v>
      </c>
      <c r="C29" s="346" t="s">
        <v>2440</v>
      </c>
      <c r="D29" s="323"/>
      <c r="E29" s="323" t="s">
        <v>122</v>
      </c>
      <c r="F29" s="323"/>
      <c r="G29" s="323" t="s">
        <v>122</v>
      </c>
      <c r="H29" s="344">
        <v>49.5</v>
      </c>
    </row>
    <row r="30" spans="1:8" ht="21.75" customHeight="1" x14ac:dyDescent="0.3">
      <c r="A30" s="341">
        <v>44223</v>
      </c>
      <c r="B30" s="345" t="s">
        <v>2433</v>
      </c>
      <c r="C30" s="346" t="s">
        <v>2440</v>
      </c>
      <c r="D30" s="323"/>
      <c r="E30" s="323" t="s">
        <v>122</v>
      </c>
      <c r="F30" s="323"/>
      <c r="G30" s="323" t="s">
        <v>122</v>
      </c>
      <c r="H30" s="344">
        <v>49.5</v>
      </c>
    </row>
    <row r="31" spans="1:8" ht="21.75" customHeight="1" x14ac:dyDescent="0.3">
      <c r="A31" s="341">
        <v>44224</v>
      </c>
      <c r="B31" s="345" t="s">
        <v>2433</v>
      </c>
      <c r="C31" s="346" t="s">
        <v>2440</v>
      </c>
      <c r="D31" s="323"/>
      <c r="E31" s="323" t="s">
        <v>122</v>
      </c>
      <c r="F31" s="323"/>
      <c r="G31" s="323" t="s">
        <v>122</v>
      </c>
      <c r="H31" s="344">
        <v>49.5</v>
      </c>
    </row>
    <row r="32" spans="1:8" ht="21.75" customHeight="1" x14ac:dyDescent="0.3">
      <c r="A32" s="341">
        <v>44225</v>
      </c>
      <c r="B32" s="345" t="s">
        <v>2433</v>
      </c>
      <c r="C32" s="346" t="s">
        <v>2440</v>
      </c>
      <c r="D32" s="323"/>
      <c r="E32" s="323" t="s">
        <v>122</v>
      </c>
      <c r="F32" s="323"/>
      <c r="G32" s="323" t="s">
        <v>122</v>
      </c>
      <c r="H32" s="344">
        <v>49.5</v>
      </c>
    </row>
    <row r="33" spans="1:8" ht="21.75" customHeight="1" x14ac:dyDescent="0.3">
      <c r="A33" s="341">
        <v>44226</v>
      </c>
      <c r="B33" s="345" t="s">
        <v>2433</v>
      </c>
      <c r="C33" s="346" t="s">
        <v>2440</v>
      </c>
      <c r="D33" s="323"/>
      <c r="E33" s="323" t="s">
        <v>122</v>
      </c>
      <c r="F33" s="323"/>
      <c r="G33" s="323" t="s">
        <v>122</v>
      </c>
      <c r="H33" s="344">
        <v>51.48</v>
      </c>
    </row>
    <row r="34" spans="1:8" ht="21.75" customHeight="1" x14ac:dyDescent="0.3">
      <c r="A34" s="341">
        <v>44227</v>
      </c>
      <c r="B34" s="345" t="s">
        <v>2433</v>
      </c>
      <c r="C34" s="346" t="s">
        <v>2440</v>
      </c>
      <c r="D34" s="323"/>
      <c r="E34" s="323" t="s">
        <v>122</v>
      </c>
      <c r="F34" s="323"/>
      <c r="G34" s="323" t="s">
        <v>122</v>
      </c>
      <c r="H34" s="344">
        <v>53.46</v>
      </c>
    </row>
    <row r="35" spans="1:8" ht="21.75" customHeight="1" x14ac:dyDescent="0.3">
      <c r="A35" s="341">
        <v>44228</v>
      </c>
      <c r="B35" s="345" t="s">
        <v>2522</v>
      </c>
      <c r="C35" s="351" t="s">
        <v>2534</v>
      </c>
      <c r="D35" s="347"/>
      <c r="E35" s="347"/>
      <c r="F35" s="347"/>
      <c r="G35" s="323"/>
      <c r="H35" s="344">
        <v>42.95</v>
      </c>
    </row>
    <row r="36" spans="1:8" ht="21.75" customHeight="1" x14ac:dyDescent="0.3">
      <c r="A36" s="341">
        <v>44229</v>
      </c>
      <c r="B36" s="345" t="s">
        <v>2542</v>
      </c>
      <c r="C36" s="351" t="s">
        <v>1854</v>
      </c>
      <c r="D36" s="347">
        <v>4</v>
      </c>
      <c r="E36" s="347">
        <v>24.27</v>
      </c>
      <c r="F36" s="347">
        <v>6</v>
      </c>
      <c r="G36" s="323">
        <v>37.549999999999997</v>
      </c>
      <c r="H36" s="344">
        <v>359.84</v>
      </c>
    </row>
    <row r="37" spans="1:8" ht="21.75" customHeight="1" x14ac:dyDescent="0.3">
      <c r="A37" s="341">
        <v>44230</v>
      </c>
      <c r="B37" s="345" t="s">
        <v>2542</v>
      </c>
      <c r="C37" s="351" t="s">
        <v>1854</v>
      </c>
      <c r="D37" s="347">
        <v>6</v>
      </c>
      <c r="E37" s="347">
        <v>36.24</v>
      </c>
      <c r="F37" s="347">
        <v>6</v>
      </c>
      <c r="G37" s="323">
        <v>37.549999999999997</v>
      </c>
      <c r="H37" s="344">
        <v>359.84</v>
      </c>
    </row>
    <row r="38" spans="1:8" ht="21.75" customHeight="1" x14ac:dyDescent="0.3">
      <c r="A38" s="341">
        <v>44231</v>
      </c>
      <c r="B38" s="345" t="s">
        <v>2542</v>
      </c>
      <c r="C38" s="351" t="s">
        <v>1854</v>
      </c>
      <c r="D38" s="347">
        <v>6</v>
      </c>
      <c r="E38" s="347">
        <v>36.24</v>
      </c>
      <c r="F38" s="347">
        <v>6</v>
      </c>
      <c r="G38" s="323">
        <v>37.549999999999997</v>
      </c>
      <c r="H38" s="344">
        <v>359.84</v>
      </c>
    </row>
    <row r="39" spans="1:8" ht="21.75" customHeight="1" x14ac:dyDescent="0.3">
      <c r="A39" s="341">
        <v>44232</v>
      </c>
      <c r="B39" s="345" t="s">
        <v>2659</v>
      </c>
      <c r="C39" s="351" t="s">
        <v>2672</v>
      </c>
      <c r="D39" s="347">
        <v>6</v>
      </c>
      <c r="E39" s="347">
        <v>36.24</v>
      </c>
      <c r="F39" s="347">
        <v>6</v>
      </c>
      <c r="G39" s="323">
        <v>37.549999999999997</v>
      </c>
      <c r="H39" s="344">
        <v>296.44</v>
      </c>
    </row>
    <row r="40" spans="1:8" ht="21.75" customHeight="1" x14ac:dyDescent="0.3">
      <c r="A40" s="341">
        <v>44233</v>
      </c>
      <c r="B40" s="345" t="s">
        <v>2659</v>
      </c>
      <c r="C40" s="351" t="s">
        <v>2672</v>
      </c>
      <c r="D40" s="347">
        <v>6</v>
      </c>
      <c r="E40" s="347">
        <v>36.24</v>
      </c>
      <c r="F40" s="347">
        <v>6</v>
      </c>
      <c r="G40" s="323">
        <v>37.549999999999997</v>
      </c>
      <c r="H40" s="344">
        <v>296.44</v>
      </c>
    </row>
    <row r="41" spans="1:8" ht="21.75" customHeight="1" x14ac:dyDescent="0.3">
      <c r="A41" s="341">
        <v>44234</v>
      </c>
      <c r="B41" s="345" t="s">
        <v>2609</v>
      </c>
      <c r="C41" s="351" t="s">
        <v>2673</v>
      </c>
      <c r="D41" s="347">
        <v>6</v>
      </c>
      <c r="E41" s="347">
        <v>36.24</v>
      </c>
      <c r="F41" s="347">
        <v>6</v>
      </c>
      <c r="G41" s="323">
        <v>37.549999999999997</v>
      </c>
      <c r="H41" s="344">
        <v>296.44</v>
      </c>
    </row>
    <row r="42" spans="1:8" ht="21.75" customHeight="1" x14ac:dyDescent="0.3">
      <c r="A42" s="341">
        <v>44235</v>
      </c>
      <c r="B42" s="345" t="s">
        <v>2539</v>
      </c>
      <c r="C42" s="351" t="s">
        <v>1855</v>
      </c>
      <c r="D42" s="347">
        <v>6</v>
      </c>
      <c r="E42" s="347">
        <v>36.24</v>
      </c>
      <c r="F42" s="347">
        <v>6</v>
      </c>
      <c r="G42" s="323">
        <v>37.549999999999997</v>
      </c>
      <c r="H42" s="344">
        <v>133.05000000000001</v>
      </c>
    </row>
    <row r="43" spans="1:8" ht="21.75" customHeight="1" x14ac:dyDescent="0.3">
      <c r="A43" s="341">
        <v>44236</v>
      </c>
      <c r="B43" s="345" t="s">
        <v>2539</v>
      </c>
      <c r="C43" s="351" t="s">
        <v>1855</v>
      </c>
      <c r="D43" s="347" t="s">
        <v>122</v>
      </c>
      <c r="E43" s="347" t="s">
        <v>122</v>
      </c>
      <c r="F43" s="347" t="s">
        <v>122</v>
      </c>
      <c r="G43" s="323" t="s">
        <v>122</v>
      </c>
      <c r="H43" s="344">
        <v>133.05000000000001</v>
      </c>
    </row>
    <row r="44" spans="1:8" ht="21.75" customHeight="1" x14ac:dyDescent="0.3">
      <c r="A44" s="341">
        <v>44237</v>
      </c>
      <c r="B44" s="345" t="s">
        <v>2539</v>
      </c>
      <c r="C44" s="351" t="s">
        <v>1855</v>
      </c>
      <c r="D44" s="347" t="s">
        <v>122</v>
      </c>
      <c r="E44" s="347" t="s">
        <v>122</v>
      </c>
      <c r="F44" s="347" t="s">
        <v>122</v>
      </c>
      <c r="G44" s="347" t="s">
        <v>122</v>
      </c>
      <c r="H44" s="344">
        <v>133.05000000000001</v>
      </c>
    </row>
    <row r="45" spans="1:8" ht="21.75" customHeight="1" x14ac:dyDescent="0.3">
      <c r="A45" s="341">
        <v>44238</v>
      </c>
      <c r="B45" s="345" t="s">
        <v>2539</v>
      </c>
      <c r="C45" s="351" t="s">
        <v>1855</v>
      </c>
      <c r="D45" s="347" t="s">
        <v>122</v>
      </c>
      <c r="E45" s="347" t="s">
        <v>122</v>
      </c>
      <c r="F45" s="347" t="s">
        <v>122</v>
      </c>
      <c r="G45" s="347" t="s">
        <v>122</v>
      </c>
      <c r="H45" s="344">
        <v>133.05000000000001</v>
      </c>
    </row>
    <row r="46" spans="1:8" ht="21.75" customHeight="1" x14ac:dyDescent="0.3">
      <c r="A46" s="341">
        <v>44239</v>
      </c>
      <c r="B46" s="345" t="s">
        <v>2539</v>
      </c>
      <c r="C46" s="351" t="s">
        <v>1855</v>
      </c>
      <c r="D46" s="347" t="s">
        <v>122</v>
      </c>
      <c r="E46" s="347" t="s">
        <v>122</v>
      </c>
      <c r="F46" s="347" t="s">
        <v>122</v>
      </c>
      <c r="G46" s="347" t="s">
        <v>122</v>
      </c>
      <c r="H46" s="344">
        <v>133.05000000000001</v>
      </c>
    </row>
    <row r="47" spans="1:8" ht="21.75" customHeight="1" x14ac:dyDescent="0.3">
      <c r="A47" s="341">
        <v>44240</v>
      </c>
      <c r="B47" s="345" t="s">
        <v>2539</v>
      </c>
      <c r="C47" s="351" t="s">
        <v>1855</v>
      </c>
      <c r="D47" s="347" t="s">
        <v>122</v>
      </c>
      <c r="E47" s="347" t="s">
        <v>122</v>
      </c>
      <c r="F47" s="347" t="s">
        <v>122</v>
      </c>
      <c r="G47" s="347" t="s">
        <v>122</v>
      </c>
      <c r="H47" s="344">
        <v>133.05000000000001</v>
      </c>
    </row>
    <row r="48" spans="1:8" ht="21.75" customHeight="1" x14ac:dyDescent="0.3">
      <c r="A48" s="341">
        <v>44241</v>
      </c>
      <c r="B48" s="345" t="s">
        <v>1867</v>
      </c>
      <c r="C48" s="351" t="s">
        <v>2546</v>
      </c>
      <c r="D48" s="347" t="s">
        <v>122</v>
      </c>
      <c r="E48" s="347" t="s">
        <v>122</v>
      </c>
      <c r="F48" s="347" t="s">
        <v>122</v>
      </c>
      <c r="G48" s="347" t="s">
        <v>122</v>
      </c>
      <c r="H48" s="344">
        <v>88.97</v>
      </c>
    </row>
    <row r="49" spans="1:8" ht="21.75" customHeight="1" x14ac:dyDescent="0.3">
      <c r="A49" s="341">
        <v>44242</v>
      </c>
      <c r="B49" s="345" t="s">
        <v>1867</v>
      </c>
      <c r="C49" s="351" t="s">
        <v>2546</v>
      </c>
      <c r="D49" s="347" t="s">
        <v>122</v>
      </c>
      <c r="E49" s="347" t="s">
        <v>122</v>
      </c>
      <c r="F49" s="347" t="s">
        <v>122</v>
      </c>
      <c r="G49" s="347" t="s">
        <v>122</v>
      </c>
      <c r="H49" s="344">
        <v>88.97</v>
      </c>
    </row>
    <row r="50" spans="1:8" ht="21.75" customHeight="1" x14ac:dyDescent="0.3">
      <c r="A50" s="341">
        <v>44243</v>
      </c>
      <c r="B50" s="345" t="s">
        <v>1867</v>
      </c>
      <c r="C50" s="351" t="s">
        <v>2546</v>
      </c>
      <c r="D50" s="347" t="s">
        <v>122</v>
      </c>
      <c r="E50" s="347" t="s">
        <v>122</v>
      </c>
      <c r="F50" s="347" t="s">
        <v>122</v>
      </c>
      <c r="G50" s="347" t="s">
        <v>122</v>
      </c>
      <c r="H50" s="344">
        <v>88.97</v>
      </c>
    </row>
    <row r="51" spans="1:8" ht="21.75" customHeight="1" x14ac:dyDescent="0.3">
      <c r="A51" s="341">
        <v>44244</v>
      </c>
      <c r="B51" s="345" t="s">
        <v>1867</v>
      </c>
      <c r="C51" s="351" t="s">
        <v>2546</v>
      </c>
      <c r="D51" s="347" t="s">
        <v>122</v>
      </c>
      <c r="E51" s="347" t="s">
        <v>122</v>
      </c>
      <c r="F51" s="347" t="s">
        <v>122</v>
      </c>
      <c r="G51" s="347" t="s">
        <v>122</v>
      </c>
      <c r="H51" s="344">
        <v>88.97</v>
      </c>
    </row>
    <row r="52" spans="1:8" ht="21.75" customHeight="1" x14ac:dyDescent="0.3">
      <c r="A52" s="341">
        <v>44245</v>
      </c>
      <c r="B52" s="345" t="s">
        <v>1867</v>
      </c>
      <c r="C52" s="351" t="s">
        <v>2546</v>
      </c>
      <c r="D52" s="347" t="s">
        <v>122</v>
      </c>
      <c r="E52" s="347" t="s">
        <v>122</v>
      </c>
      <c r="F52" s="347" t="s">
        <v>122</v>
      </c>
      <c r="G52" s="347" t="s">
        <v>122</v>
      </c>
      <c r="H52" s="344">
        <v>88.97</v>
      </c>
    </row>
    <row r="53" spans="1:8" ht="21.75" customHeight="1" x14ac:dyDescent="0.3">
      <c r="A53" s="341">
        <v>44246</v>
      </c>
      <c r="B53" s="345" t="s">
        <v>1867</v>
      </c>
      <c r="C53" s="351" t="s">
        <v>2546</v>
      </c>
      <c r="D53" s="347" t="s">
        <v>122</v>
      </c>
      <c r="E53" s="347" t="s">
        <v>122</v>
      </c>
      <c r="F53" s="347" t="s">
        <v>122</v>
      </c>
      <c r="G53" s="347" t="s">
        <v>122</v>
      </c>
      <c r="H53" s="344">
        <v>88.97</v>
      </c>
    </row>
    <row r="54" spans="1:8" ht="21.75" customHeight="1" x14ac:dyDescent="0.3">
      <c r="A54" s="341">
        <v>44247</v>
      </c>
      <c r="B54" s="345" t="s">
        <v>1867</v>
      </c>
      <c r="C54" s="351" t="s">
        <v>2546</v>
      </c>
      <c r="D54" s="347">
        <v>6</v>
      </c>
      <c r="E54" s="347">
        <v>36.24</v>
      </c>
      <c r="F54" s="347">
        <v>5</v>
      </c>
      <c r="G54" s="323">
        <v>31.58</v>
      </c>
      <c r="H54" s="344">
        <v>88.97</v>
      </c>
    </row>
    <row r="55" spans="1:8" ht="21.75" customHeight="1" x14ac:dyDescent="0.3">
      <c r="A55" s="341">
        <v>44248</v>
      </c>
      <c r="B55" s="345" t="s">
        <v>2538</v>
      </c>
      <c r="C55" s="351" t="s">
        <v>2535</v>
      </c>
      <c r="D55" s="347">
        <v>6</v>
      </c>
      <c r="E55" s="347">
        <v>36.24</v>
      </c>
      <c r="F55" s="347">
        <v>4</v>
      </c>
      <c r="G55" s="323">
        <v>24.89</v>
      </c>
      <c r="H55" s="344">
        <v>15.19</v>
      </c>
    </row>
    <row r="56" spans="1:8" ht="21.75" customHeight="1" x14ac:dyDescent="0.3">
      <c r="A56" s="341">
        <v>44249</v>
      </c>
      <c r="B56" s="342" t="s">
        <v>1868</v>
      </c>
      <c r="C56" s="343">
        <v>36250</v>
      </c>
      <c r="D56" s="347">
        <v>4</v>
      </c>
      <c r="E56" s="347">
        <v>24.27</v>
      </c>
      <c r="F56" s="347"/>
      <c r="G56" s="323"/>
      <c r="H56" s="344" t="s">
        <v>122</v>
      </c>
    </row>
    <row r="57" spans="1:8" ht="21.75" customHeight="1" x14ac:dyDescent="0.3">
      <c r="A57" s="341">
        <v>44250</v>
      </c>
      <c r="B57" s="342" t="s">
        <v>1868</v>
      </c>
      <c r="C57" s="343">
        <v>36250</v>
      </c>
      <c r="D57" s="347" t="s">
        <v>122</v>
      </c>
      <c r="E57" s="347"/>
      <c r="F57" s="347"/>
      <c r="G57" s="323"/>
      <c r="H57" s="344" t="s">
        <v>122</v>
      </c>
    </row>
    <row r="58" spans="1:8" ht="21.75" customHeight="1" x14ac:dyDescent="0.3">
      <c r="A58" s="341">
        <v>44251</v>
      </c>
      <c r="B58" s="342" t="s">
        <v>1868</v>
      </c>
      <c r="C58" s="343">
        <v>36250</v>
      </c>
      <c r="D58" s="347" t="s">
        <v>122</v>
      </c>
      <c r="E58" s="347"/>
      <c r="F58" s="347"/>
      <c r="G58" s="323"/>
      <c r="H58" s="344" t="s">
        <v>122</v>
      </c>
    </row>
    <row r="59" spans="1:8" ht="21.75" customHeight="1" x14ac:dyDescent="0.3">
      <c r="A59" s="341">
        <v>44252</v>
      </c>
      <c r="B59" s="342" t="s">
        <v>1868</v>
      </c>
      <c r="C59" s="343">
        <v>36250</v>
      </c>
      <c r="D59" s="347" t="s">
        <v>122</v>
      </c>
      <c r="E59" s="347"/>
      <c r="F59" s="347"/>
      <c r="G59" s="323"/>
      <c r="H59" s="344" t="s">
        <v>122</v>
      </c>
    </row>
    <row r="60" spans="1:8" ht="21.75" customHeight="1" x14ac:dyDescent="0.3">
      <c r="A60" s="341">
        <v>44253</v>
      </c>
      <c r="B60" s="342" t="s">
        <v>1868</v>
      </c>
      <c r="C60" s="343">
        <v>36250</v>
      </c>
      <c r="D60" s="347" t="s">
        <v>122</v>
      </c>
      <c r="E60" s="347"/>
      <c r="F60" s="347"/>
      <c r="G60" s="323"/>
      <c r="H60" s="344" t="s">
        <v>122</v>
      </c>
    </row>
    <row r="61" spans="1:8" ht="21.75" customHeight="1" x14ac:dyDescent="0.3">
      <c r="A61" s="341">
        <v>44254</v>
      </c>
      <c r="B61" s="342" t="s">
        <v>1868</v>
      </c>
      <c r="C61" s="343">
        <v>36250</v>
      </c>
      <c r="D61" s="347" t="s">
        <v>122</v>
      </c>
      <c r="E61" s="347"/>
      <c r="F61" s="347"/>
      <c r="G61" s="323"/>
      <c r="H61" s="344" t="s">
        <v>122</v>
      </c>
    </row>
    <row r="62" spans="1:8" ht="21.75" customHeight="1" x14ac:dyDescent="0.3">
      <c r="A62" s="341">
        <v>44255</v>
      </c>
      <c r="B62" s="342" t="s">
        <v>1868</v>
      </c>
      <c r="C62" s="343">
        <v>36250</v>
      </c>
      <c r="D62" s="347" t="s">
        <v>122</v>
      </c>
      <c r="E62" s="347"/>
      <c r="F62" s="347"/>
      <c r="G62" s="323"/>
      <c r="H62" s="344" t="s">
        <v>122</v>
      </c>
    </row>
    <row r="63" spans="1:8" ht="21.75" customHeight="1" x14ac:dyDescent="0.3">
      <c r="A63" s="341">
        <v>44256</v>
      </c>
      <c r="B63" s="342" t="s">
        <v>2442</v>
      </c>
      <c r="C63" s="323">
        <v>36000</v>
      </c>
      <c r="D63" s="347"/>
      <c r="E63" s="346" t="s">
        <v>122</v>
      </c>
      <c r="F63" s="347"/>
      <c r="G63" s="348" t="s">
        <v>122</v>
      </c>
      <c r="H63" s="344" t="s">
        <v>122</v>
      </c>
    </row>
    <row r="64" spans="1:8" ht="21.75" customHeight="1" x14ac:dyDescent="0.3">
      <c r="A64" s="341">
        <v>44257</v>
      </c>
      <c r="B64" s="342" t="s">
        <v>2442</v>
      </c>
      <c r="C64" s="323">
        <v>36000</v>
      </c>
      <c r="D64" s="347"/>
      <c r="E64" s="346" t="s">
        <v>122</v>
      </c>
      <c r="F64" s="347"/>
      <c r="G64" s="348" t="s">
        <v>122</v>
      </c>
      <c r="H64" s="344" t="s">
        <v>122</v>
      </c>
    </row>
    <row r="65" spans="1:8" ht="21.75" customHeight="1" x14ac:dyDescent="0.3">
      <c r="A65" s="341">
        <v>44258</v>
      </c>
      <c r="B65" s="342" t="s">
        <v>2443</v>
      </c>
      <c r="C65" s="323">
        <v>35750</v>
      </c>
      <c r="D65" s="347"/>
      <c r="E65" s="346" t="s">
        <v>122</v>
      </c>
      <c r="F65" s="347"/>
      <c r="G65" s="348" t="s">
        <v>122</v>
      </c>
      <c r="H65" s="344" t="s">
        <v>122</v>
      </c>
    </row>
    <row r="66" spans="1:8" ht="21.75" customHeight="1" x14ac:dyDescent="0.3">
      <c r="A66" s="341">
        <v>44259</v>
      </c>
      <c r="B66" s="342" t="s">
        <v>2443</v>
      </c>
      <c r="C66" s="323">
        <v>35750</v>
      </c>
      <c r="D66" s="347"/>
      <c r="E66" s="346" t="s">
        <v>122</v>
      </c>
      <c r="F66" s="347"/>
      <c r="G66" s="348" t="s">
        <v>122</v>
      </c>
      <c r="H66" s="344" t="s">
        <v>122</v>
      </c>
    </row>
    <row r="67" spans="1:8" ht="21.75" customHeight="1" x14ac:dyDescent="0.3">
      <c r="A67" s="341">
        <v>44260</v>
      </c>
      <c r="B67" s="342" t="s">
        <v>2444</v>
      </c>
      <c r="C67" s="323">
        <v>35500</v>
      </c>
      <c r="D67" s="347"/>
      <c r="E67" s="346" t="s">
        <v>122</v>
      </c>
      <c r="F67" s="347"/>
      <c r="G67" s="348" t="s">
        <v>122</v>
      </c>
      <c r="H67" s="344" t="s">
        <v>122</v>
      </c>
    </row>
    <row r="68" spans="1:8" ht="21.75" customHeight="1" x14ac:dyDescent="0.3">
      <c r="A68" s="341">
        <v>44261</v>
      </c>
      <c r="B68" s="342" t="s">
        <v>2444</v>
      </c>
      <c r="C68" s="323">
        <v>35500</v>
      </c>
      <c r="D68" s="347"/>
      <c r="E68" s="346" t="s">
        <v>122</v>
      </c>
      <c r="F68" s="347"/>
      <c r="G68" s="348" t="s">
        <v>122</v>
      </c>
      <c r="H68" s="344" t="s">
        <v>122</v>
      </c>
    </row>
    <row r="69" spans="1:8" ht="21.75" customHeight="1" x14ac:dyDescent="0.3">
      <c r="A69" s="341">
        <v>44262</v>
      </c>
      <c r="B69" s="342" t="s">
        <v>2444</v>
      </c>
      <c r="C69" s="323">
        <v>35500</v>
      </c>
      <c r="D69" s="347"/>
      <c r="E69" s="346" t="s">
        <v>122</v>
      </c>
      <c r="F69" s="347"/>
      <c r="G69" s="348" t="s">
        <v>122</v>
      </c>
      <c r="H69" s="344" t="s">
        <v>122</v>
      </c>
    </row>
    <row r="70" spans="1:8" ht="21.75" customHeight="1" x14ac:dyDescent="0.3">
      <c r="A70" s="341">
        <v>44263</v>
      </c>
      <c r="B70" s="342" t="s">
        <v>2444</v>
      </c>
      <c r="C70" s="323">
        <v>35500</v>
      </c>
      <c r="D70" s="347"/>
      <c r="E70" s="346" t="s">
        <v>122</v>
      </c>
      <c r="F70" s="347"/>
      <c r="G70" s="348" t="s">
        <v>122</v>
      </c>
      <c r="H70" s="344" t="s">
        <v>122</v>
      </c>
    </row>
    <row r="71" spans="1:8" ht="21.75" customHeight="1" x14ac:dyDescent="0.3">
      <c r="A71" s="341">
        <v>44264</v>
      </c>
      <c r="B71" s="342" t="s">
        <v>2444</v>
      </c>
      <c r="C71" s="323">
        <v>35500</v>
      </c>
      <c r="D71" s="347"/>
      <c r="E71" s="346" t="s">
        <v>122</v>
      </c>
      <c r="F71" s="347"/>
      <c r="G71" s="348" t="s">
        <v>122</v>
      </c>
      <c r="H71" s="344" t="s">
        <v>122</v>
      </c>
    </row>
    <row r="72" spans="1:8" ht="21.75" customHeight="1" x14ac:dyDescent="0.3">
      <c r="A72" s="341">
        <v>44265</v>
      </c>
      <c r="B72" s="342" t="s">
        <v>1871</v>
      </c>
      <c r="C72" s="323">
        <v>35250</v>
      </c>
      <c r="D72" s="347"/>
      <c r="E72" s="346" t="s">
        <v>122</v>
      </c>
      <c r="F72" s="347"/>
      <c r="G72" s="348" t="s">
        <v>122</v>
      </c>
      <c r="H72" s="344" t="s">
        <v>122</v>
      </c>
    </row>
    <row r="73" spans="1:8" ht="21.75" customHeight="1" x14ac:dyDescent="0.3">
      <c r="A73" s="341">
        <v>44266</v>
      </c>
      <c r="B73" s="342" t="s">
        <v>1871</v>
      </c>
      <c r="C73" s="323">
        <v>35250</v>
      </c>
      <c r="D73" s="347"/>
      <c r="E73" s="346" t="s">
        <v>122</v>
      </c>
      <c r="F73" s="347"/>
      <c r="G73" s="348" t="s">
        <v>122</v>
      </c>
      <c r="H73" s="344" t="s">
        <v>122</v>
      </c>
    </row>
    <row r="74" spans="1:8" ht="21.75" customHeight="1" x14ac:dyDescent="0.3">
      <c r="A74" s="341">
        <v>44267</v>
      </c>
      <c r="B74" s="342" t="s">
        <v>1871</v>
      </c>
      <c r="C74" s="323">
        <v>35250</v>
      </c>
      <c r="D74" s="347"/>
      <c r="E74" s="346" t="s">
        <v>122</v>
      </c>
      <c r="F74" s="347"/>
      <c r="G74" s="348" t="s">
        <v>122</v>
      </c>
      <c r="H74" s="344" t="s">
        <v>122</v>
      </c>
    </row>
    <row r="75" spans="1:8" ht="21.75" customHeight="1" x14ac:dyDescent="0.3">
      <c r="A75" s="341">
        <v>44268</v>
      </c>
      <c r="B75" s="342" t="s">
        <v>2295</v>
      </c>
      <c r="C75" s="323">
        <v>34750</v>
      </c>
      <c r="D75" s="347">
        <v>8</v>
      </c>
      <c r="E75" s="346">
        <v>47.78</v>
      </c>
      <c r="F75" s="347">
        <v>9</v>
      </c>
      <c r="G75" s="348">
        <v>55.54</v>
      </c>
      <c r="H75" s="344" t="s">
        <v>122</v>
      </c>
    </row>
    <row r="76" spans="1:8" ht="21.75" customHeight="1" x14ac:dyDescent="0.3">
      <c r="A76" s="341">
        <v>44269</v>
      </c>
      <c r="B76" s="342" t="s">
        <v>2445</v>
      </c>
      <c r="C76" s="323">
        <v>34075</v>
      </c>
      <c r="D76" s="347">
        <v>6</v>
      </c>
      <c r="E76" s="346">
        <v>35.869999999999997</v>
      </c>
      <c r="F76" s="347">
        <v>9</v>
      </c>
      <c r="G76" s="348">
        <v>55.42</v>
      </c>
      <c r="H76" s="344" t="s">
        <v>122</v>
      </c>
    </row>
    <row r="77" spans="1:8" ht="21.75" customHeight="1" x14ac:dyDescent="0.3">
      <c r="A77" s="341">
        <v>44270</v>
      </c>
      <c r="B77" s="342" t="s">
        <v>2296</v>
      </c>
      <c r="C77" s="323">
        <v>33900</v>
      </c>
      <c r="D77" s="347">
        <v>8</v>
      </c>
      <c r="E77" s="346">
        <v>47.55</v>
      </c>
      <c r="F77" s="347">
        <v>7</v>
      </c>
      <c r="G77" s="348">
        <v>42.96</v>
      </c>
      <c r="H77" s="344" t="s">
        <v>122</v>
      </c>
    </row>
    <row r="78" spans="1:8" ht="21.75" customHeight="1" x14ac:dyDescent="0.3">
      <c r="A78" s="341">
        <v>44271</v>
      </c>
      <c r="B78" s="342" t="s">
        <v>1864</v>
      </c>
      <c r="C78" s="323">
        <v>33800</v>
      </c>
      <c r="D78" s="347">
        <v>10</v>
      </c>
      <c r="E78" s="346">
        <v>59.03</v>
      </c>
      <c r="F78" s="347">
        <v>11</v>
      </c>
      <c r="G78" s="348">
        <v>66.52</v>
      </c>
      <c r="H78" s="344" t="s">
        <v>122</v>
      </c>
    </row>
    <row r="79" spans="1:8" ht="21.75" customHeight="1" x14ac:dyDescent="0.3">
      <c r="A79" s="341">
        <v>44272</v>
      </c>
      <c r="B79" s="342" t="s">
        <v>1866</v>
      </c>
      <c r="C79" s="323">
        <v>33500</v>
      </c>
      <c r="D79" s="347">
        <v>10</v>
      </c>
      <c r="E79" s="346">
        <v>58.89</v>
      </c>
      <c r="F79" s="347">
        <v>11</v>
      </c>
      <c r="G79" s="348">
        <v>66.37</v>
      </c>
      <c r="H79" s="344" t="s">
        <v>122</v>
      </c>
    </row>
    <row r="80" spans="1:8" ht="21.75" customHeight="1" x14ac:dyDescent="0.3">
      <c r="A80" s="341">
        <v>44273</v>
      </c>
      <c r="B80" s="342" t="s">
        <v>1863</v>
      </c>
      <c r="C80" s="323">
        <v>32900</v>
      </c>
      <c r="D80" s="347">
        <v>11</v>
      </c>
      <c r="E80" s="346">
        <v>64.39</v>
      </c>
      <c r="F80" s="347">
        <v>11</v>
      </c>
      <c r="G80" s="348">
        <v>66.22</v>
      </c>
      <c r="H80" s="344" t="s">
        <v>122</v>
      </c>
    </row>
    <row r="81" spans="1:8" ht="21.75" customHeight="1" x14ac:dyDescent="0.3">
      <c r="A81" s="341">
        <v>44274</v>
      </c>
      <c r="B81" s="342" t="s">
        <v>1853</v>
      </c>
      <c r="C81" s="323">
        <v>32600</v>
      </c>
      <c r="D81" s="347">
        <v>16</v>
      </c>
      <c r="E81" s="346">
        <v>92.18</v>
      </c>
      <c r="F81" s="347">
        <v>14</v>
      </c>
      <c r="G81" s="348">
        <v>83.41</v>
      </c>
      <c r="H81" s="344" t="s">
        <v>122</v>
      </c>
    </row>
    <row r="82" spans="1:8" ht="21.75" customHeight="1" x14ac:dyDescent="0.3">
      <c r="A82" s="341">
        <v>44275</v>
      </c>
      <c r="B82" s="342" t="s">
        <v>1862</v>
      </c>
      <c r="C82" s="323">
        <v>32400</v>
      </c>
      <c r="D82" s="347">
        <v>16</v>
      </c>
      <c r="E82" s="346">
        <v>91.96</v>
      </c>
      <c r="F82" s="347">
        <v>14</v>
      </c>
      <c r="G82" s="348">
        <v>83.22</v>
      </c>
      <c r="H82" s="344" t="s">
        <v>122</v>
      </c>
    </row>
    <row r="83" spans="1:8" ht="21.75" customHeight="1" x14ac:dyDescent="0.3">
      <c r="A83" s="341">
        <v>44276</v>
      </c>
      <c r="B83" s="342" t="s">
        <v>1851</v>
      </c>
      <c r="C83" s="323">
        <v>32100</v>
      </c>
      <c r="D83" s="347">
        <v>16</v>
      </c>
      <c r="E83" s="346">
        <v>91.73</v>
      </c>
      <c r="F83" s="347">
        <v>14</v>
      </c>
      <c r="G83" s="348">
        <v>83.02</v>
      </c>
      <c r="H83" s="344" t="s">
        <v>122</v>
      </c>
    </row>
    <row r="84" spans="1:8" ht="21.75" customHeight="1" x14ac:dyDescent="0.3">
      <c r="A84" s="341">
        <v>44277</v>
      </c>
      <c r="B84" s="342" t="s">
        <v>1857</v>
      </c>
      <c r="C84" s="323">
        <v>31500</v>
      </c>
      <c r="D84" s="347">
        <v>16</v>
      </c>
      <c r="E84" s="346">
        <v>91.02</v>
      </c>
      <c r="F84" s="347">
        <v>14</v>
      </c>
      <c r="G84" s="348">
        <v>82.64</v>
      </c>
      <c r="H84" s="344" t="s">
        <v>122</v>
      </c>
    </row>
    <row r="85" spans="1:8" ht="21.75" customHeight="1" x14ac:dyDescent="0.3">
      <c r="A85" s="341">
        <v>44278</v>
      </c>
      <c r="B85" s="342" t="s">
        <v>2446</v>
      </c>
      <c r="C85" s="323">
        <v>30750</v>
      </c>
      <c r="D85" s="347">
        <v>16</v>
      </c>
      <c r="E85" s="346">
        <v>90.8</v>
      </c>
      <c r="F85" s="347">
        <v>14</v>
      </c>
      <c r="G85" s="348">
        <v>82.24</v>
      </c>
      <c r="H85" s="344" t="s">
        <v>122</v>
      </c>
    </row>
    <row r="86" spans="1:8" ht="21.75" customHeight="1" x14ac:dyDescent="0.3">
      <c r="A86" s="341">
        <v>44279</v>
      </c>
      <c r="B86" s="342" t="s">
        <v>2447</v>
      </c>
      <c r="C86" s="323">
        <v>30400</v>
      </c>
      <c r="D86" s="347">
        <v>16</v>
      </c>
      <c r="E86" s="346">
        <v>90.46</v>
      </c>
      <c r="F86" s="347">
        <v>14</v>
      </c>
      <c r="G86" s="348">
        <v>81.95</v>
      </c>
      <c r="H86" s="344" t="s">
        <v>122</v>
      </c>
    </row>
    <row r="87" spans="1:8" ht="21.75" customHeight="1" x14ac:dyDescent="0.3">
      <c r="A87" s="341">
        <v>44280</v>
      </c>
      <c r="B87" s="342" t="s">
        <v>2301</v>
      </c>
      <c r="C87" s="323">
        <v>30200</v>
      </c>
      <c r="D87" s="347">
        <v>15</v>
      </c>
      <c r="E87" s="346">
        <v>84.7</v>
      </c>
      <c r="F87" s="347">
        <v>13</v>
      </c>
      <c r="G87" s="348">
        <v>76.010000000000005</v>
      </c>
      <c r="H87" s="344" t="s">
        <v>122</v>
      </c>
    </row>
    <row r="88" spans="1:8" ht="21.75" customHeight="1" x14ac:dyDescent="0.3">
      <c r="A88" s="341">
        <v>44281</v>
      </c>
      <c r="B88" s="342" t="s">
        <v>2448</v>
      </c>
      <c r="C88" s="323">
        <v>30000</v>
      </c>
      <c r="D88" s="347">
        <v>15</v>
      </c>
      <c r="E88" s="346">
        <v>84.48</v>
      </c>
      <c r="F88" s="347">
        <v>13</v>
      </c>
      <c r="G88" s="348">
        <v>75.819999999999993</v>
      </c>
      <c r="H88" s="344" t="s">
        <v>122</v>
      </c>
    </row>
    <row r="89" spans="1:8" ht="21.75" customHeight="1" x14ac:dyDescent="0.3">
      <c r="A89" s="341">
        <v>44282</v>
      </c>
      <c r="B89" s="342" t="s">
        <v>2449</v>
      </c>
      <c r="C89" s="323">
        <v>28800</v>
      </c>
      <c r="D89" s="347">
        <v>15</v>
      </c>
      <c r="E89" s="346">
        <v>84.15</v>
      </c>
      <c r="F89" s="347">
        <v>13</v>
      </c>
      <c r="G89" s="348">
        <v>75.55</v>
      </c>
      <c r="H89" s="344" t="s">
        <v>122</v>
      </c>
    </row>
    <row r="90" spans="1:8" ht="21.75" customHeight="1" x14ac:dyDescent="0.3">
      <c r="A90" s="341">
        <v>44283</v>
      </c>
      <c r="B90" s="342" t="s">
        <v>2450</v>
      </c>
      <c r="C90" s="323">
        <v>28675</v>
      </c>
      <c r="D90" s="347">
        <v>15</v>
      </c>
      <c r="E90" s="346">
        <v>83.93</v>
      </c>
      <c r="F90" s="347">
        <v>13</v>
      </c>
      <c r="G90" s="348">
        <v>75.36</v>
      </c>
      <c r="H90" s="344" t="s">
        <v>122</v>
      </c>
    </row>
    <row r="91" spans="1:8" ht="21.75" customHeight="1" x14ac:dyDescent="0.3">
      <c r="A91" s="341">
        <v>44284</v>
      </c>
      <c r="B91" s="342" t="s">
        <v>2451</v>
      </c>
      <c r="C91" s="323">
        <v>28400</v>
      </c>
      <c r="D91" s="347">
        <v>15</v>
      </c>
      <c r="E91" s="346">
        <v>83.38</v>
      </c>
      <c r="F91" s="347">
        <v>13</v>
      </c>
      <c r="G91" s="348">
        <v>74.900000000000006</v>
      </c>
      <c r="H91" s="344" t="s">
        <v>122</v>
      </c>
    </row>
    <row r="92" spans="1:8" ht="21.75" customHeight="1" x14ac:dyDescent="0.3">
      <c r="A92" s="341">
        <v>44285</v>
      </c>
      <c r="B92" s="342" t="s">
        <v>2452</v>
      </c>
      <c r="C92" s="323">
        <v>28300</v>
      </c>
      <c r="D92" s="347">
        <v>12</v>
      </c>
      <c r="E92" s="346">
        <v>67.14</v>
      </c>
      <c r="F92" s="347">
        <v>13</v>
      </c>
      <c r="G92" s="348">
        <v>74.81</v>
      </c>
      <c r="H92" s="344" t="s">
        <v>122</v>
      </c>
    </row>
    <row r="93" spans="1:8" ht="21.75" customHeight="1" x14ac:dyDescent="0.3">
      <c r="A93" s="341">
        <v>44286</v>
      </c>
      <c r="B93" s="342" t="s">
        <v>2453</v>
      </c>
      <c r="C93" s="323">
        <v>28200</v>
      </c>
      <c r="D93" s="347">
        <v>8</v>
      </c>
      <c r="E93" s="346">
        <v>45.17</v>
      </c>
      <c r="F93" s="347">
        <v>12</v>
      </c>
      <c r="G93" s="348">
        <v>69.14</v>
      </c>
      <c r="H93" s="344" t="s">
        <v>122</v>
      </c>
    </row>
    <row r="94" spans="1:8" ht="21.75" customHeight="1" x14ac:dyDescent="0.3">
      <c r="A94" s="341">
        <v>44287</v>
      </c>
      <c r="B94" s="342" t="s">
        <v>2454</v>
      </c>
      <c r="C94" s="343">
        <v>28000</v>
      </c>
      <c r="D94" s="347">
        <v>8</v>
      </c>
      <c r="E94" s="346">
        <v>45.06</v>
      </c>
      <c r="F94" s="347">
        <v>12</v>
      </c>
      <c r="G94" s="348">
        <v>68.97</v>
      </c>
      <c r="H94" s="344" t="s">
        <v>122</v>
      </c>
    </row>
    <row r="95" spans="1:8" ht="21.75" customHeight="1" x14ac:dyDescent="0.3">
      <c r="A95" s="341">
        <v>44288</v>
      </c>
      <c r="B95" s="342" t="s">
        <v>2455</v>
      </c>
      <c r="C95" s="343">
        <v>27500</v>
      </c>
      <c r="D95" s="347">
        <v>13</v>
      </c>
      <c r="E95" s="346">
        <v>71.88</v>
      </c>
      <c r="F95" s="347">
        <v>12</v>
      </c>
      <c r="G95" s="348">
        <v>68.62</v>
      </c>
      <c r="H95" s="344" t="s">
        <v>122</v>
      </c>
    </row>
    <row r="96" spans="1:8" ht="21.75" customHeight="1" x14ac:dyDescent="0.3">
      <c r="A96" s="341">
        <v>44289</v>
      </c>
      <c r="B96" s="342" t="s">
        <v>2456</v>
      </c>
      <c r="C96" s="343">
        <v>26875</v>
      </c>
      <c r="D96" s="347">
        <v>13</v>
      </c>
      <c r="E96" s="346">
        <v>71.58</v>
      </c>
      <c r="F96" s="347">
        <v>12</v>
      </c>
      <c r="G96" s="348">
        <v>68.37</v>
      </c>
      <c r="H96" s="344" t="s">
        <v>122</v>
      </c>
    </row>
    <row r="97" spans="1:8" ht="21.75" customHeight="1" x14ac:dyDescent="0.3">
      <c r="A97" s="341">
        <v>44290</v>
      </c>
      <c r="B97" s="342" t="s">
        <v>2457</v>
      </c>
      <c r="C97" s="343">
        <v>26625</v>
      </c>
      <c r="D97" s="347">
        <v>15</v>
      </c>
      <c r="E97" s="346">
        <v>81.92</v>
      </c>
      <c r="F97" s="347">
        <v>12</v>
      </c>
      <c r="G97" s="348">
        <v>68.2</v>
      </c>
      <c r="H97" s="344" t="s">
        <v>122</v>
      </c>
    </row>
    <row r="98" spans="1:8" ht="21.75" customHeight="1" x14ac:dyDescent="0.3">
      <c r="A98" s="341">
        <v>44291</v>
      </c>
      <c r="B98" s="342" t="s">
        <v>2458</v>
      </c>
      <c r="C98" s="343">
        <v>26000</v>
      </c>
      <c r="D98" s="347">
        <v>15</v>
      </c>
      <c r="E98" s="346">
        <v>81.58</v>
      </c>
      <c r="F98" s="347">
        <v>12</v>
      </c>
      <c r="G98" s="348">
        <v>67.930000000000007</v>
      </c>
      <c r="H98" s="344" t="s">
        <v>122</v>
      </c>
    </row>
    <row r="99" spans="1:8" ht="21.75" customHeight="1" x14ac:dyDescent="0.3">
      <c r="A99" s="341">
        <v>44292</v>
      </c>
      <c r="B99" s="342" t="s">
        <v>2459</v>
      </c>
      <c r="C99" s="343">
        <v>25775</v>
      </c>
      <c r="D99" s="347">
        <v>13</v>
      </c>
      <c r="E99" s="346">
        <v>70.8</v>
      </c>
      <c r="F99" s="347">
        <v>9</v>
      </c>
      <c r="G99" s="348">
        <v>51.15</v>
      </c>
      <c r="H99" s="344" t="s">
        <v>122</v>
      </c>
    </row>
    <row r="100" spans="1:8" ht="21.75" customHeight="1" x14ac:dyDescent="0.3">
      <c r="A100" s="341">
        <v>44293</v>
      </c>
      <c r="B100" s="342" t="s">
        <v>2460</v>
      </c>
      <c r="C100" s="343">
        <v>25500</v>
      </c>
      <c r="D100" s="347">
        <v>11</v>
      </c>
      <c r="E100" s="346">
        <v>60</v>
      </c>
      <c r="F100" s="347">
        <v>9</v>
      </c>
      <c r="G100" s="348">
        <v>50.95</v>
      </c>
      <c r="H100" s="344" t="s">
        <v>122</v>
      </c>
    </row>
    <row r="101" spans="1:8" ht="21.75" customHeight="1" x14ac:dyDescent="0.3">
      <c r="A101" s="341">
        <v>44294</v>
      </c>
      <c r="B101" s="342" t="s">
        <v>2461</v>
      </c>
      <c r="C101" s="343">
        <v>25300</v>
      </c>
      <c r="D101" s="347">
        <v>11</v>
      </c>
      <c r="E101" s="346">
        <v>59.74</v>
      </c>
      <c r="F101" s="347">
        <v>9</v>
      </c>
      <c r="G101" s="348">
        <v>50.75</v>
      </c>
      <c r="H101" s="344" t="s">
        <v>122</v>
      </c>
    </row>
    <row r="102" spans="1:8" ht="21.75" customHeight="1" x14ac:dyDescent="0.3">
      <c r="A102" s="341">
        <v>44295</v>
      </c>
      <c r="B102" s="342" t="s">
        <v>2462</v>
      </c>
      <c r="C102" s="343">
        <v>25000</v>
      </c>
      <c r="D102" s="347">
        <v>9</v>
      </c>
      <c r="E102" s="346">
        <v>48.95</v>
      </c>
      <c r="F102" s="347">
        <v>9</v>
      </c>
      <c r="G102" s="348">
        <v>50.56</v>
      </c>
      <c r="H102" s="344" t="s">
        <v>122</v>
      </c>
    </row>
    <row r="103" spans="1:8" ht="21.75" customHeight="1" x14ac:dyDescent="0.3">
      <c r="A103" s="341">
        <v>44296</v>
      </c>
      <c r="B103" s="342" t="s">
        <v>2463</v>
      </c>
      <c r="C103" s="343">
        <v>25000</v>
      </c>
      <c r="D103" s="347">
        <v>9</v>
      </c>
      <c r="E103" s="346">
        <v>48.82</v>
      </c>
      <c r="F103" s="347">
        <v>9</v>
      </c>
      <c r="G103" s="348">
        <v>50.43</v>
      </c>
      <c r="H103" s="344" t="s">
        <v>122</v>
      </c>
    </row>
    <row r="104" spans="1:8" ht="21.75" customHeight="1" x14ac:dyDescent="0.3">
      <c r="A104" s="341">
        <v>44297</v>
      </c>
      <c r="B104" s="342" t="s">
        <v>2463</v>
      </c>
      <c r="C104" s="343">
        <v>24500</v>
      </c>
      <c r="D104" s="347">
        <v>5</v>
      </c>
      <c r="E104" s="346">
        <v>27.42</v>
      </c>
      <c r="F104" s="347">
        <v>4</v>
      </c>
      <c r="G104" s="348">
        <v>22.7</v>
      </c>
      <c r="H104" s="344" t="s">
        <v>122</v>
      </c>
    </row>
    <row r="105" spans="1:8" ht="21.75" customHeight="1" x14ac:dyDescent="0.3">
      <c r="A105" s="341">
        <v>44298</v>
      </c>
      <c r="B105" s="342" t="s">
        <v>2463</v>
      </c>
      <c r="C105" s="343">
        <v>24500</v>
      </c>
      <c r="D105" s="347">
        <v>5</v>
      </c>
      <c r="E105" s="346">
        <v>27.42</v>
      </c>
      <c r="F105" s="347">
        <v>6</v>
      </c>
      <c r="G105" s="348">
        <v>33.880000000000003</v>
      </c>
      <c r="H105" s="344" t="s">
        <v>122</v>
      </c>
    </row>
    <row r="106" spans="1:8" ht="21.75" customHeight="1" x14ac:dyDescent="0.3">
      <c r="A106" s="341">
        <v>44299</v>
      </c>
      <c r="B106" s="342" t="s">
        <v>2464</v>
      </c>
      <c r="C106" s="343">
        <v>24500</v>
      </c>
      <c r="D106" s="347">
        <v>5</v>
      </c>
      <c r="E106" s="346">
        <v>27.35</v>
      </c>
      <c r="F106" s="347">
        <v>9</v>
      </c>
      <c r="G106" s="348">
        <v>50.3</v>
      </c>
      <c r="H106" s="344" t="s">
        <v>122</v>
      </c>
    </row>
    <row r="107" spans="1:8" ht="21.75" customHeight="1" x14ac:dyDescent="0.3">
      <c r="A107" s="341">
        <v>44300</v>
      </c>
      <c r="B107" s="342" t="s">
        <v>2465</v>
      </c>
      <c r="C107" s="343">
        <v>24250</v>
      </c>
      <c r="D107" s="347">
        <v>5</v>
      </c>
      <c r="E107" s="346">
        <v>27.65</v>
      </c>
      <c r="F107" s="347">
        <v>9</v>
      </c>
      <c r="G107" s="348">
        <v>50.82</v>
      </c>
      <c r="H107" s="344" t="s">
        <v>122</v>
      </c>
    </row>
    <row r="108" spans="1:8" ht="21.75" customHeight="1" x14ac:dyDescent="0.3">
      <c r="A108" s="341">
        <v>44301</v>
      </c>
      <c r="B108" s="342" t="s">
        <v>2466</v>
      </c>
      <c r="C108" s="343">
        <v>25400</v>
      </c>
      <c r="D108" s="347"/>
      <c r="E108" s="346" t="s">
        <v>122</v>
      </c>
      <c r="F108" s="347"/>
      <c r="G108" s="348" t="s">
        <v>122</v>
      </c>
      <c r="H108" s="344" t="s">
        <v>122</v>
      </c>
    </row>
    <row r="109" spans="1:8" ht="21.75" customHeight="1" x14ac:dyDescent="0.3">
      <c r="A109" s="341">
        <v>44302</v>
      </c>
      <c r="B109" s="342" t="s">
        <v>2467</v>
      </c>
      <c r="C109" s="343">
        <v>25600</v>
      </c>
      <c r="D109" s="347"/>
      <c r="E109" s="346" t="s">
        <v>122</v>
      </c>
      <c r="F109" s="347"/>
      <c r="G109" s="348" t="s">
        <v>122</v>
      </c>
      <c r="H109" s="344" t="s">
        <v>122</v>
      </c>
    </row>
    <row r="110" spans="1:8" ht="21.75" customHeight="1" x14ac:dyDescent="0.3">
      <c r="A110" s="341">
        <v>44303</v>
      </c>
      <c r="B110" s="342" t="s">
        <v>2468</v>
      </c>
      <c r="C110" s="343">
        <v>25700</v>
      </c>
      <c r="D110" s="347"/>
      <c r="E110" s="346" t="s">
        <v>122</v>
      </c>
      <c r="F110" s="347"/>
      <c r="G110" s="348" t="s">
        <v>122</v>
      </c>
      <c r="H110" s="344" t="s">
        <v>122</v>
      </c>
    </row>
    <row r="111" spans="1:8" ht="21.75" customHeight="1" x14ac:dyDescent="0.3">
      <c r="A111" s="341">
        <v>44304</v>
      </c>
      <c r="B111" s="342" t="s">
        <v>2468</v>
      </c>
      <c r="C111" s="343">
        <v>25850</v>
      </c>
      <c r="D111" s="347"/>
      <c r="E111" s="346" t="s">
        <v>122</v>
      </c>
      <c r="F111" s="347"/>
      <c r="G111" s="348" t="s">
        <v>122</v>
      </c>
      <c r="H111" s="344" t="s">
        <v>122</v>
      </c>
    </row>
    <row r="112" spans="1:8" ht="21.75" customHeight="1" x14ac:dyDescent="0.3">
      <c r="A112" s="341">
        <v>44305</v>
      </c>
      <c r="B112" s="342" t="s">
        <v>2459</v>
      </c>
      <c r="C112" s="343">
        <v>25850</v>
      </c>
      <c r="D112" s="347">
        <v>10</v>
      </c>
      <c r="E112" s="346">
        <v>54.92</v>
      </c>
      <c r="F112" s="347">
        <v>9</v>
      </c>
      <c r="G112" s="348">
        <v>51.15</v>
      </c>
      <c r="H112" s="344" t="s">
        <v>122</v>
      </c>
    </row>
    <row r="113" spans="1:8" ht="21.75" customHeight="1" x14ac:dyDescent="0.3">
      <c r="A113" s="341">
        <v>44306</v>
      </c>
      <c r="B113" s="342" t="s">
        <v>2460</v>
      </c>
      <c r="C113" s="343">
        <v>25775</v>
      </c>
      <c r="D113" s="347">
        <v>14</v>
      </c>
      <c r="E113" s="346">
        <v>75.72</v>
      </c>
      <c r="F113" s="347">
        <v>12</v>
      </c>
      <c r="G113" s="348">
        <v>67.41</v>
      </c>
      <c r="H113" s="344" t="s">
        <v>122</v>
      </c>
    </row>
    <row r="114" spans="1:8" ht="21.75" customHeight="1" x14ac:dyDescent="0.3">
      <c r="A114" s="341">
        <v>44307</v>
      </c>
      <c r="B114" s="342" t="s">
        <v>2465</v>
      </c>
      <c r="C114" s="343">
        <v>25500</v>
      </c>
      <c r="D114" s="347">
        <v>16</v>
      </c>
      <c r="E114" s="346">
        <v>85.8</v>
      </c>
      <c r="F114" s="347">
        <v>15</v>
      </c>
      <c r="G114" s="348">
        <v>83.38</v>
      </c>
      <c r="H114" s="344" t="s">
        <v>122</v>
      </c>
    </row>
    <row r="115" spans="1:8" ht="21.75" customHeight="1" x14ac:dyDescent="0.3">
      <c r="A115" s="341">
        <v>44308</v>
      </c>
      <c r="B115" s="342" t="s">
        <v>2462</v>
      </c>
      <c r="C115" s="343">
        <v>25400</v>
      </c>
      <c r="D115" s="347">
        <v>16</v>
      </c>
      <c r="E115" s="346">
        <v>85.31</v>
      </c>
      <c r="F115" s="347">
        <v>15</v>
      </c>
      <c r="G115" s="348">
        <v>82.93</v>
      </c>
      <c r="H115" s="344" t="s">
        <v>122</v>
      </c>
    </row>
    <row r="116" spans="1:8" ht="21.75" customHeight="1" x14ac:dyDescent="0.3">
      <c r="A116" s="341">
        <v>44309</v>
      </c>
      <c r="B116" s="342" t="s">
        <v>2464</v>
      </c>
      <c r="C116" s="343">
        <v>25000</v>
      </c>
      <c r="D116" s="347">
        <v>16</v>
      </c>
      <c r="E116" s="346">
        <v>84.81</v>
      </c>
      <c r="F116" s="347">
        <v>15</v>
      </c>
      <c r="G116" s="348">
        <v>82.48</v>
      </c>
      <c r="H116" s="344" t="s">
        <v>122</v>
      </c>
    </row>
    <row r="117" spans="1:8" ht="21.75" customHeight="1" x14ac:dyDescent="0.3">
      <c r="A117" s="341">
        <v>44310</v>
      </c>
      <c r="B117" s="342" t="s">
        <v>2469</v>
      </c>
      <c r="C117" s="343">
        <v>24000</v>
      </c>
      <c r="D117" s="347">
        <v>14</v>
      </c>
      <c r="E117" s="346">
        <v>74.430000000000007</v>
      </c>
      <c r="F117" s="347">
        <v>12</v>
      </c>
      <c r="G117" s="348">
        <v>66.349999999999994</v>
      </c>
      <c r="H117" s="344" t="s">
        <v>122</v>
      </c>
    </row>
    <row r="118" spans="1:8" ht="21.75" customHeight="1" x14ac:dyDescent="0.3">
      <c r="A118" s="341">
        <v>44311</v>
      </c>
      <c r="B118" s="342" t="s">
        <v>1848</v>
      </c>
      <c r="C118" s="343">
        <v>23500</v>
      </c>
      <c r="D118" s="347">
        <v>12</v>
      </c>
      <c r="E118" s="346">
        <v>63.98</v>
      </c>
      <c r="F118" s="347">
        <v>9</v>
      </c>
      <c r="G118" s="348">
        <v>50.03</v>
      </c>
      <c r="H118" s="344" t="s">
        <v>122</v>
      </c>
    </row>
    <row r="119" spans="1:8" ht="21.75" customHeight="1" x14ac:dyDescent="0.3">
      <c r="A119" s="341">
        <v>44312</v>
      </c>
      <c r="B119" s="342" t="s">
        <v>1848</v>
      </c>
      <c r="C119" s="343">
        <v>22450</v>
      </c>
      <c r="D119" s="347"/>
      <c r="E119" s="346" t="s">
        <v>122</v>
      </c>
      <c r="F119" s="347"/>
      <c r="G119" s="348" t="s">
        <v>122</v>
      </c>
      <c r="H119" s="344" t="s">
        <v>122</v>
      </c>
    </row>
    <row r="120" spans="1:8" ht="21.75" customHeight="1" x14ac:dyDescent="0.3">
      <c r="A120" s="341">
        <v>44313</v>
      </c>
      <c r="B120" s="342" t="s">
        <v>1848</v>
      </c>
      <c r="C120" s="343">
        <v>22450</v>
      </c>
      <c r="D120" s="347"/>
      <c r="E120" s="346" t="s">
        <v>122</v>
      </c>
      <c r="F120" s="347"/>
      <c r="G120" s="348" t="s">
        <v>122</v>
      </c>
      <c r="H120" s="344" t="s">
        <v>122</v>
      </c>
    </row>
    <row r="121" spans="1:8" ht="21.75" customHeight="1" x14ac:dyDescent="0.3">
      <c r="A121" s="341">
        <v>44314</v>
      </c>
      <c r="B121" s="342" t="s">
        <v>1848</v>
      </c>
      <c r="C121" s="343">
        <v>22450</v>
      </c>
      <c r="D121" s="347"/>
      <c r="E121" s="346" t="s">
        <v>122</v>
      </c>
      <c r="F121" s="347"/>
      <c r="G121" s="348" t="s">
        <v>122</v>
      </c>
      <c r="H121" s="344" t="s">
        <v>122</v>
      </c>
    </row>
    <row r="122" spans="1:8" ht="21.75" customHeight="1" x14ac:dyDescent="0.3">
      <c r="A122" s="341">
        <v>44315</v>
      </c>
      <c r="B122" s="342" t="s">
        <v>1848</v>
      </c>
      <c r="C122" s="343">
        <v>22450</v>
      </c>
      <c r="D122" s="347"/>
      <c r="E122" s="346" t="s">
        <v>122</v>
      </c>
      <c r="F122" s="347"/>
      <c r="G122" s="348" t="s">
        <v>122</v>
      </c>
      <c r="H122" s="344" t="s">
        <v>122</v>
      </c>
    </row>
    <row r="123" spans="1:8" ht="21.75" customHeight="1" x14ac:dyDescent="0.3">
      <c r="A123" s="341">
        <v>44316</v>
      </c>
      <c r="B123" s="342" t="s">
        <v>1848</v>
      </c>
      <c r="C123" s="343">
        <v>22450</v>
      </c>
      <c r="D123" s="347"/>
      <c r="E123" s="346" t="s">
        <v>122</v>
      </c>
      <c r="F123" s="347"/>
      <c r="G123" s="348" t="s">
        <v>122</v>
      </c>
      <c r="H123" s="344" t="s">
        <v>122</v>
      </c>
    </row>
    <row r="124" spans="1:8" ht="21.75" customHeight="1" x14ac:dyDescent="0.3">
      <c r="A124" s="341">
        <v>44317</v>
      </c>
      <c r="B124" s="342" t="s">
        <v>2470</v>
      </c>
      <c r="C124" s="349">
        <v>22425</v>
      </c>
      <c r="D124" s="347">
        <v>12</v>
      </c>
      <c r="E124" s="346">
        <v>63.89</v>
      </c>
      <c r="F124" s="347">
        <v>10</v>
      </c>
      <c r="G124" s="348">
        <v>55.37</v>
      </c>
      <c r="H124" s="344" t="s">
        <v>122</v>
      </c>
    </row>
    <row r="125" spans="1:8" ht="21.75" customHeight="1" x14ac:dyDescent="0.3">
      <c r="A125" s="341">
        <v>44318</v>
      </c>
      <c r="B125" s="342" t="s">
        <v>2471</v>
      </c>
      <c r="C125" s="349">
        <v>22375</v>
      </c>
      <c r="D125" s="347">
        <v>14</v>
      </c>
      <c r="E125" s="346">
        <v>73.67</v>
      </c>
      <c r="F125" s="347">
        <v>10</v>
      </c>
      <c r="G125" s="348">
        <v>55.07</v>
      </c>
      <c r="H125" s="344" t="s">
        <v>122</v>
      </c>
    </row>
    <row r="126" spans="1:8" ht="21.75" customHeight="1" x14ac:dyDescent="0.3">
      <c r="A126" s="341">
        <v>44319</v>
      </c>
      <c r="B126" s="342" t="s">
        <v>2472</v>
      </c>
      <c r="C126" s="349">
        <v>22375.5</v>
      </c>
      <c r="D126" s="347">
        <v>16</v>
      </c>
      <c r="E126" s="346">
        <v>83.95</v>
      </c>
      <c r="F126" s="347">
        <v>14</v>
      </c>
      <c r="G126" s="348">
        <v>76.459999999999994</v>
      </c>
      <c r="H126" s="344" t="s">
        <v>122</v>
      </c>
    </row>
    <row r="127" spans="1:8" ht="21.75" customHeight="1" x14ac:dyDescent="0.3">
      <c r="A127" s="341">
        <v>44320</v>
      </c>
      <c r="B127" s="342" t="s">
        <v>2473</v>
      </c>
      <c r="C127" s="349" t="s">
        <v>2255</v>
      </c>
      <c r="D127" s="347">
        <v>9</v>
      </c>
      <c r="E127" s="346">
        <v>48.13</v>
      </c>
      <c r="F127" s="347">
        <v>7</v>
      </c>
      <c r="G127" s="348">
        <v>38.909999999999997</v>
      </c>
      <c r="H127" s="344" t="s">
        <v>122</v>
      </c>
    </row>
    <row r="128" spans="1:8" ht="21.75" customHeight="1" x14ac:dyDescent="0.3">
      <c r="A128" s="341">
        <v>44321</v>
      </c>
      <c r="B128" s="342" t="s">
        <v>2473</v>
      </c>
      <c r="C128" s="349" t="s">
        <v>2255</v>
      </c>
      <c r="D128" s="347">
        <v>9</v>
      </c>
      <c r="E128" s="346">
        <v>48.13</v>
      </c>
      <c r="F128" s="347">
        <v>7</v>
      </c>
      <c r="G128" s="348">
        <v>38.909999999999997</v>
      </c>
      <c r="H128" s="344" t="s">
        <v>122</v>
      </c>
    </row>
    <row r="129" spans="1:8" ht="21.75" customHeight="1" x14ac:dyDescent="0.3">
      <c r="A129" s="341">
        <v>44322</v>
      </c>
      <c r="B129" s="342" t="s">
        <v>2474</v>
      </c>
      <c r="C129" s="349" t="s">
        <v>1956</v>
      </c>
      <c r="D129" s="347">
        <v>7</v>
      </c>
      <c r="E129" s="346">
        <v>37.54</v>
      </c>
      <c r="F129" s="347">
        <v>7</v>
      </c>
      <c r="G129" s="348">
        <v>38.81</v>
      </c>
      <c r="H129" s="344" t="s">
        <v>122</v>
      </c>
    </row>
    <row r="130" spans="1:8" ht="21.75" customHeight="1" x14ac:dyDescent="0.3">
      <c r="A130" s="341">
        <v>44323</v>
      </c>
      <c r="B130" s="342" t="s">
        <v>2474</v>
      </c>
      <c r="C130" s="349" t="s">
        <v>1956</v>
      </c>
      <c r="D130" s="347" t="s">
        <v>122</v>
      </c>
      <c r="E130" s="346"/>
      <c r="F130" s="347" t="s">
        <v>122</v>
      </c>
      <c r="G130" s="348" t="s">
        <v>122</v>
      </c>
      <c r="H130" s="344" t="s">
        <v>122</v>
      </c>
    </row>
    <row r="131" spans="1:8" ht="21.75" customHeight="1" x14ac:dyDescent="0.3">
      <c r="A131" s="341">
        <v>44324</v>
      </c>
      <c r="B131" s="342" t="s">
        <v>2474</v>
      </c>
      <c r="C131" s="349" t="s">
        <v>1956</v>
      </c>
      <c r="D131" s="347" t="s">
        <v>122</v>
      </c>
      <c r="E131" s="346"/>
      <c r="F131" s="347" t="s">
        <v>122</v>
      </c>
      <c r="G131" s="348" t="s">
        <v>122</v>
      </c>
      <c r="H131" s="344" t="s">
        <v>122</v>
      </c>
    </row>
    <row r="132" spans="1:8" ht="21.75" customHeight="1" x14ac:dyDescent="0.3">
      <c r="A132" s="341">
        <v>44325</v>
      </c>
      <c r="B132" s="342" t="s">
        <v>2474</v>
      </c>
      <c r="C132" s="349" t="s">
        <v>1956</v>
      </c>
      <c r="D132" s="347" t="s">
        <v>122</v>
      </c>
      <c r="E132" s="346"/>
      <c r="F132" s="347" t="s">
        <v>122</v>
      </c>
      <c r="G132" s="348" t="s">
        <v>122</v>
      </c>
      <c r="H132" s="344" t="s">
        <v>122</v>
      </c>
    </row>
    <row r="133" spans="1:8" ht="21.75" customHeight="1" x14ac:dyDescent="0.3">
      <c r="A133" s="341">
        <v>44326</v>
      </c>
      <c r="B133" s="342" t="s">
        <v>2473</v>
      </c>
      <c r="C133" s="349" t="s">
        <v>2255</v>
      </c>
      <c r="D133" s="347" t="s">
        <v>122</v>
      </c>
      <c r="E133" s="346"/>
      <c r="F133" s="347" t="s">
        <v>122</v>
      </c>
      <c r="G133" s="348" t="s">
        <v>122</v>
      </c>
      <c r="H133" s="344" t="s">
        <v>122</v>
      </c>
    </row>
    <row r="134" spans="1:8" ht="21.75" customHeight="1" x14ac:dyDescent="0.3">
      <c r="A134" s="341">
        <v>44327</v>
      </c>
      <c r="B134" s="342" t="s">
        <v>2473</v>
      </c>
      <c r="C134" s="349" t="s">
        <v>2255</v>
      </c>
      <c r="D134" s="347" t="s">
        <v>122</v>
      </c>
      <c r="E134" s="346"/>
      <c r="F134" s="347" t="s">
        <v>122</v>
      </c>
      <c r="G134" s="348" t="s">
        <v>122</v>
      </c>
      <c r="H134" s="344" t="s">
        <v>122</v>
      </c>
    </row>
    <row r="135" spans="1:8" ht="21.75" customHeight="1" x14ac:dyDescent="0.3">
      <c r="A135" s="341">
        <v>44328</v>
      </c>
      <c r="B135" s="342" t="s">
        <v>2473</v>
      </c>
      <c r="C135" s="349" t="s">
        <v>2255</v>
      </c>
      <c r="D135" s="347" t="s">
        <v>122</v>
      </c>
      <c r="E135" s="346"/>
      <c r="F135" s="347" t="s">
        <v>122</v>
      </c>
      <c r="G135" s="348" t="s">
        <v>122</v>
      </c>
      <c r="H135" s="344" t="s">
        <v>122</v>
      </c>
    </row>
    <row r="136" spans="1:8" ht="21.75" customHeight="1" x14ac:dyDescent="0.3">
      <c r="A136" s="341">
        <v>44329</v>
      </c>
      <c r="B136" s="342" t="s">
        <v>2473</v>
      </c>
      <c r="C136" s="349" t="s">
        <v>2255</v>
      </c>
      <c r="D136" s="347">
        <v>12</v>
      </c>
      <c r="E136" s="346">
        <v>63.61</v>
      </c>
      <c r="F136" s="347">
        <v>9</v>
      </c>
      <c r="G136" s="348">
        <v>49.76</v>
      </c>
      <c r="H136" s="344" t="s">
        <v>122</v>
      </c>
    </row>
    <row r="137" spans="1:8" ht="21.75" customHeight="1" x14ac:dyDescent="0.3">
      <c r="A137" s="341">
        <v>44330</v>
      </c>
      <c r="B137" s="342" t="s">
        <v>2475</v>
      </c>
      <c r="C137" s="349" t="s">
        <v>2253</v>
      </c>
      <c r="D137" s="347">
        <v>12</v>
      </c>
      <c r="E137" s="346">
        <v>63.8</v>
      </c>
      <c r="F137" s="347">
        <v>9</v>
      </c>
      <c r="G137" s="348">
        <v>49.9</v>
      </c>
      <c r="H137" s="344" t="s">
        <v>122</v>
      </c>
    </row>
    <row r="138" spans="1:8" ht="21.75" customHeight="1" x14ac:dyDescent="0.3">
      <c r="A138" s="341">
        <v>44331</v>
      </c>
      <c r="B138" s="342" t="s">
        <v>2476</v>
      </c>
      <c r="C138" s="349" t="s">
        <v>1952</v>
      </c>
      <c r="D138" s="347">
        <v>12</v>
      </c>
      <c r="E138" s="346">
        <v>79.52</v>
      </c>
      <c r="F138" s="347">
        <v>12</v>
      </c>
      <c r="G138" s="348">
        <v>66.17</v>
      </c>
      <c r="H138" s="344" t="s">
        <v>122</v>
      </c>
    </row>
    <row r="139" spans="1:8" ht="21.75" customHeight="1" x14ac:dyDescent="0.3">
      <c r="A139" s="341">
        <v>44332</v>
      </c>
      <c r="B139" s="342" t="s">
        <v>2469</v>
      </c>
      <c r="C139" s="349" t="s">
        <v>2251</v>
      </c>
      <c r="D139" s="347">
        <v>15</v>
      </c>
      <c r="E139" s="346">
        <v>79.52</v>
      </c>
      <c r="F139" s="347">
        <v>12</v>
      </c>
      <c r="G139" s="348">
        <v>66.349999999999994</v>
      </c>
      <c r="H139" s="344" t="s">
        <v>122</v>
      </c>
    </row>
    <row r="140" spans="1:8" ht="21.75" customHeight="1" x14ac:dyDescent="0.3">
      <c r="A140" s="341">
        <v>44333</v>
      </c>
      <c r="B140" s="342" t="s">
        <v>2477</v>
      </c>
      <c r="C140" s="349" t="s">
        <v>2481</v>
      </c>
      <c r="D140" s="347">
        <v>15</v>
      </c>
      <c r="E140" s="346">
        <v>79.400000000000006</v>
      </c>
      <c r="F140" s="347">
        <v>12</v>
      </c>
      <c r="G140" s="348">
        <v>66.25</v>
      </c>
      <c r="H140" s="344" t="s">
        <v>122</v>
      </c>
    </row>
    <row r="141" spans="1:8" ht="21.75" customHeight="1" x14ac:dyDescent="0.3">
      <c r="A141" s="341">
        <v>44334</v>
      </c>
      <c r="B141" s="342" t="s">
        <v>2470</v>
      </c>
      <c r="C141" s="349" t="s">
        <v>2482</v>
      </c>
      <c r="D141" s="347">
        <v>15</v>
      </c>
      <c r="E141" s="346">
        <v>79.16</v>
      </c>
      <c r="F141" s="347">
        <v>14</v>
      </c>
      <c r="G141" s="348">
        <v>76.67</v>
      </c>
      <c r="H141" s="344" t="s">
        <v>122</v>
      </c>
    </row>
    <row r="142" spans="1:8" ht="21.75" customHeight="1" x14ac:dyDescent="0.3">
      <c r="A142" s="341">
        <v>44335</v>
      </c>
      <c r="B142" s="342" t="s">
        <v>2472</v>
      </c>
      <c r="C142" s="349" t="s">
        <v>1954</v>
      </c>
      <c r="D142" s="347" t="s">
        <v>122</v>
      </c>
      <c r="E142" s="346"/>
      <c r="F142" s="347">
        <v>12</v>
      </c>
      <c r="G142" s="347">
        <v>65.900000000000006</v>
      </c>
      <c r="H142" s="344" t="s">
        <v>122</v>
      </c>
    </row>
    <row r="143" spans="1:8" ht="21.75" customHeight="1" x14ac:dyDescent="0.3">
      <c r="A143" s="341">
        <v>44336</v>
      </c>
      <c r="B143" s="342" t="s">
        <v>2322</v>
      </c>
      <c r="C143" s="349" t="s">
        <v>2255</v>
      </c>
      <c r="D143" s="347" t="s">
        <v>122</v>
      </c>
      <c r="E143" s="346"/>
      <c r="F143" s="347" t="s">
        <v>122</v>
      </c>
      <c r="G143" s="348" t="s">
        <v>122</v>
      </c>
      <c r="H143" s="344" t="s">
        <v>122</v>
      </c>
    </row>
    <row r="144" spans="1:8" ht="21.75" customHeight="1" x14ac:dyDescent="0.3">
      <c r="A144" s="341">
        <v>44337</v>
      </c>
      <c r="B144" s="342" t="s">
        <v>2322</v>
      </c>
      <c r="C144" s="349" t="s">
        <v>2255</v>
      </c>
      <c r="D144" s="347" t="s">
        <v>122</v>
      </c>
      <c r="E144" s="346"/>
      <c r="F144" s="347" t="s">
        <v>122</v>
      </c>
      <c r="G144" s="348" t="s">
        <v>122</v>
      </c>
      <c r="H144" s="344" t="s">
        <v>122</v>
      </c>
    </row>
    <row r="145" spans="1:8" ht="21.75" customHeight="1" x14ac:dyDescent="0.3">
      <c r="A145" s="341">
        <v>44338</v>
      </c>
      <c r="B145" s="342" t="s">
        <v>2322</v>
      </c>
      <c r="C145" s="349" t="s">
        <v>2255</v>
      </c>
      <c r="D145" s="347" t="s">
        <v>122</v>
      </c>
      <c r="E145" s="346"/>
      <c r="F145" s="347" t="s">
        <v>122</v>
      </c>
      <c r="G145" s="348" t="s">
        <v>122</v>
      </c>
      <c r="H145" s="344" t="s">
        <v>122</v>
      </c>
    </row>
    <row r="146" spans="1:8" ht="21.75" customHeight="1" x14ac:dyDescent="0.3">
      <c r="A146" s="341">
        <v>44339</v>
      </c>
      <c r="B146" s="342" t="s">
        <v>2322</v>
      </c>
      <c r="C146" s="349" t="s">
        <v>2255</v>
      </c>
      <c r="D146" s="347" t="s">
        <v>122</v>
      </c>
      <c r="E146" s="346"/>
      <c r="F146" s="347" t="s">
        <v>122</v>
      </c>
      <c r="G146" s="348" t="s">
        <v>122</v>
      </c>
      <c r="H146" s="344" t="s">
        <v>122</v>
      </c>
    </row>
    <row r="147" spans="1:8" ht="21.75" customHeight="1" x14ac:dyDescent="0.3">
      <c r="A147" s="341">
        <v>44340</v>
      </c>
      <c r="B147" s="342" t="s">
        <v>2322</v>
      </c>
      <c r="C147" s="349" t="s">
        <v>2255</v>
      </c>
      <c r="D147" s="347" t="s">
        <v>122</v>
      </c>
      <c r="E147" s="346"/>
      <c r="F147" s="347" t="s">
        <v>122</v>
      </c>
      <c r="G147" s="348" t="s">
        <v>122</v>
      </c>
      <c r="H147" s="344" t="s">
        <v>122</v>
      </c>
    </row>
    <row r="148" spans="1:8" ht="21.75" customHeight="1" x14ac:dyDescent="0.3">
      <c r="A148" s="341">
        <v>44341</v>
      </c>
      <c r="B148" s="342" t="s">
        <v>2322</v>
      </c>
      <c r="C148" s="349" t="s">
        <v>2255</v>
      </c>
      <c r="D148" s="347">
        <v>12</v>
      </c>
      <c r="E148" s="346">
        <v>63.61</v>
      </c>
      <c r="F148" s="347">
        <v>10</v>
      </c>
      <c r="G148" s="348">
        <v>55.14</v>
      </c>
      <c r="H148" s="344" t="s">
        <v>122</v>
      </c>
    </row>
    <row r="149" spans="1:8" ht="21.75" customHeight="1" x14ac:dyDescent="0.3">
      <c r="A149" s="341">
        <v>44342</v>
      </c>
      <c r="B149" s="342" t="s">
        <v>2474</v>
      </c>
      <c r="C149" s="349" t="s">
        <v>1956</v>
      </c>
      <c r="D149" s="347">
        <v>15</v>
      </c>
      <c r="E149" s="346">
        <v>78.58</v>
      </c>
      <c r="F149" s="347">
        <v>10</v>
      </c>
      <c r="G149" s="348">
        <v>54.99</v>
      </c>
      <c r="H149" s="344" t="s">
        <v>122</v>
      </c>
    </row>
    <row r="150" spans="1:8" ht="21.75" customHeight="1" x14ac:dyDescent="0.3">
      <c r="A150" s="341">
        <v>44343</v>
      </c>
      <c r="B150" s="342" t="s">
        <v>2478</v>
      </c>
      <c r="C150" s="349" t="s">
        <v>1958</v>
      </c>
      <c r="D150" s="347">
        <v>16</v>
      </c>
      <c r="E150" s="346">
        <v>83.19</v>
      </c>
      <c r="F150" s="347">
        <v>14</v>
      </c>
      <c r="G150" s="348">
        <v>75.83</v>
      </c>
      <c r="H150" s="344" t="s">
        <v>122</v>
      </c>
    </row>
    <row r="151" spans="1:8" ht="21.75" customHeight="1" x14ac:dyDescent="0.3">
      <c r="A151" s="341">
        <v>44344</v>
      </c>
      <c r="B151" s="342" t="s">
        <v>2479</v>
      </c>
      <c r="C151" s="349" t="s">
        <v>1405</v>
      </c>
      <c r="D151" s="347">
        <v>16</v>
      </c>
      <c r="E151" s="346">
        <v>82.81</v>
      </c>
      <c r="F151" s="347">
        <v>14</v>
      </c>
      <c r="G151" s="348">
        <v>75.510000000000005</v>
      </c>
      <c r="H151" s="344" t="s">
        <v>122</v>
      </c>
    </row>
    <row r="152" spans="1:8" ht="21.75" customHeight="1" x14ac:dyDescent="0.3">
      <c r="A152" s="341">
        <v>44345</v>
      </c>
      <c r="B152" s="342" t="s">
        <v>2480</v>
      </c>
      <c r="C152" s="349" t="s">
        <v>1961</v>
      </c>
      <c r="D152" s="347">
        <v>16</v>
      </c>
      <c r="E152" s="346">
        <v>82.43</v>
      </c>
      <c r="F152" s="347">
        <v>14</v>
      </c>
      <c r="G152" s="348">
        <v>75.19</v>
      </c>
      <c r="H152" s="344" t="s">
        <v>122</v>
      </c>
    </row>
    <row r="153" spans="1:8" ht="21.75" customHeight="1" x14ac:dyDescent="0.3">
      <c r="A153" s="341">
        <v>44346</v>
      </c>
      <c r="B153" s="342" t="s">
        <v>2327</v>
      </c>
      <c r="C153" s="349" t="s">
        <v>1234</v>
      </c>
      <c r="D153" s="347">
        <v>16</v>
      </c>
      <c r="E153" s="346">
        <v>81.78</v>
      </c>
      <c r="F153" s="347">
        <v>18</v>
      </c>
      <c r="G153" s="348">
        <v>94.85</v>
      </c>
      <c r="H153" s="344" t="s">
        <v>122</v>
      </c>
    </row>
    <row r="154" spans="1:8" ht="21.75" customHeight="1" x14ac:dyDescent="0.3">
      <c r="A154" s="341">
        <v>44347</v>
      </c>
      <c r="B154" s="342" t="s">
        <v>2328</v>
      </c>
      <c r="C154" s="349" t="s">
        <v>1233</v>
      </c>
      <c r="D154" s="347">
        <v>10</v>
      </c>
      <c r="E154" s="346">
        <v>51.76</v>
      </c>
      <c r="F154" s="347">
        <v>18</v>
      </c>
      <c r="G154" s="348">
        <v>94.29</v>
      </c>
      <c r="H154" s="344" t="s">
        <v>122</v>
      </c>
    </row>
    <row r="155" spans="1:8" ht="21.75" customHeight="1" x14ac:dyDescent="0.3">
      <c r="A155" s="341">
        <v>44348</v>
      </c>
      <c r="B155" s="342" t="s">
        <v>2346</v>
      </c>
      <c r="C155" s="343">
        <v>20450</v>
      </c>
      <c r="D155" s="347" t="s">
        <v>122</v>
      </c>
      <c r="E155" s="346" t="s">
        <v>122</v>
      </c>
      <c r="F155" s="347"/>
      <c r="G155" s="348" t="s">
        <v>122</v>
      </c>
      <c r="H155" s="344" t="s">
        <v>122</v>
      </c>
    </row>
    <row r="156" spans="1:8" ht="21.75" customHeight="1" x14ac:dyDescent="0.3">
      <c r="A156" s="341">
        <v>44349</v>
      </c>
      <c r="B156" s="342" t="s">
        <v>2346</v>
      </c>
      <c r="C156" s="343">
        <v>20450</v>
      </c>
      <c r="D156" s="347" t="s">
        <v>122</v>
      </c>
      <c r="E156" s="346" t="s">
        <v>122</v>
      </c>
      <c r="F156" s="347"/>
      <c r="G156" s="348" t="s">
        <v>122</v>
      </c>
      <c r="H156" s="344" t="s">
        <v>122</v>
      </c>
    </row>
    <row r="157" spans="1:8" ht="21.75" customHeight="1" x14ac:dyDescent="0.3">
      <c r="A157" s="341">
        <v>44350</v>
      </c>
      <c r="B157" s="342" t="s">
        <v>2346</v>
      </c>
      <c r="C157" s="343">
        <v>20450</v>
      </c>
      <c r="D157" s="347">
        <v>14</v>
      </c>
      <c r="E157" s="346">
        <v>71.34</v>
      </c>
      <c r="F157" s="347">
        <v>14</v>
      </c>
      <c r="G157" s="348">
        <v>74</v>
      </c>
      <c r="H157" s="344" t="s">
        <v>122</v>
      </c>
    </row>
    <row r="158" spans="1:8" ht="21.75" customHeight="1" x14ac:dyDescent="0.3">
      <c r="A158" s="341">
        <v>44351</v>
      </c>
      <c r="B158" s="342" t="s">
        <v>2483</v>
      </c>
      <c r="C158" s="343">
        <v>19925</v>
      </c>
      <c r="D158" s="347">
        <v>16</v>
      </c>
      <c r="E158" s="346">
        <v>80.62</v>
      </c>
      <c r="F158" s="347">
        <v>14</v>
      </c>
      <c r="G158" s="348">
        <v>73.67</v>
      </c>
      <c r="H158" s="344" t="s">
        <v>122</v>
      </c>
    </row>
    <row r="159" spans="1:8" ht="21.75" customHeight="1" x14ac:dyDescent="0.3">
      <c r="A159" s="341">
        <v>44352</v>
      </c>
      <c r="B159" s="342" t="s">
        <v>2331</v>
      </c>
      <c r="C159" s="343">
        <v>19500</v>
      </c>
      <c r="D159" s="347">
        <v>16</v>
      </c>
      <c r="E159" s="346">
        <v>79.959999999999994</v>
      </c>
      <c r="F159" s="347">
        <v>16</v>
      </c>
      <c r="G159" s="348">
        <v>83.06</v>
      </c>
      <c r="H159" s="344" t="s">
        <v>122</v>
      </c>
    </row>
    <row r="160" spans="1:8" ht="21.75" customHeight="1" x14ac:dyDescent="0.3">
      <c r="A160" s="341">
        <v>44353</v>
      </c>
      <c r="B160" s="342" t="s">
        <v>2484</v>
      </c>
      <c r="C160" s="343">
        <v>19250</v>
      </c>
      <c r="D160" s="347">
        <v>18</v>
      </c>
      <c r="E160" s="346">
        <v>88.91</v>
      </c>
      <c r="F160" s="347">
        <v>16</v>
      </c>
      <c r="G160" s="348">
        <v>82.68</v>
      </c>
      <c r="H160" s="344" t="s">
        <v>122</v>
      </c>
    </row>
    <row r="161" spans="1:8" ht="21.75" customHeight="1" x14ac:dyDescent="0.3">
      <c r="A161" s="341">
        <v>44354</v>
      </c>
      <c r="B161" s="342" t="s">
        <v>2344</v>
      </c>
      <c r="C161" s="343">
        <v>18800</v>
      </c>
      <c r="D161" s="347">
        <v>18</v>
      </c>
      <c r="E161" s="346">
        <v>88.31</v>
      </c>
      <c r="F161" s="347">
        <v>16</v>
      </c>
      <c r="G161" s="348">
        <v>82.17</v>
      </c>
      <c r="H161" s="344" t="s">
        <v>122</v>
      </c>
    </row>
    <row r="162" spans="1:8" ht="21.75" customHeight="1" x14ac:dyDescent="0.3">
      <c r="A162" s="341">
        <v>44355</v>
      </c>
      <c r="B162" s="342" t="s">
        <v>2485</v>
      </c>
      <c r="C162" s="343">
        <v>18125</v>
      </c>
      <c r="D162" s="347">
        <v>18</v>
      </c>
      <c r="E162" s="346">
        <v>87.71</v>
      </c>
      <c r="F162" s="347">
        <v>16</v>
      </c>
      <c r="G162" s="348">
        <v>81.66</v>
      </c>
      <c r="H162" s="344" t="s">
        <v>122</v>
      </c>
    </row>
    <row r="163" spans="1:8" ht="21.75" customHeight="1" x14ac:dyDescent="0.3">
      <c r="A163" s="341">
        <v>44356</v>
      </c>
      <c r="B163" s="342" t="s">
        <v>2354</v>
      </c>
      <c r="C163" s="343">
        <v>17600</v>
      </c>
      <c r="D163" s="347" t="s">
        <v>122</v>
      </c>
      <c r="E163" s="346"/>
      <c r="F163" s="347" t="s">
        <v>122</v>
      </c>
      <c r="G163" s="348" t="s">
        <v>122</v>
      </c>
      <c r="H163" s="344" t="s">
        <v>122</v>
      </c>
    </row>
    <row r="164" spans="1:8" ht="21.75" customHeight="1" x14ac:dyDescent="0.3">
      <c r="A164" s="341">
        <v>44357</v>
      </c>
      <c r="B164" s="342" t="s">
        <v>2354</v>
      </c>
      <c r="C164" s="343">
        <v>17600</v>
      </c>
      <c r="D164" s="347" t="s">
        <v>122</v>
      </c>
      <c r="E164" s="346"/>
      <c r="F164" s="347" t="s">
        <v>122</v>
      </c>
      <c r="G164" s="348" t="s">
        <v>122</v>
      </c>
      <c r="H164" s="344" t="s">
        <v>122</v>
      </c>
    </row>
    <row r="165" spans="1:8" ht="21.75" customHeight="1" x14ac:dyDescent="0.3">
      <c r="A165" s="341">
        <v>44358</v>
      </c>
      <c r="B165" s="342" t="s">
        <v>2354</v>
      </c>
      <c r="C165" s="343">
        <v>17600</v>
      </c>
      <c r="D165" s="347" t="s">
        <v>122</v>
      </c>
      <c r="E165" s="346"/>
      <c r="F165" s="347" t="s">
        <v>122</v>
      </c>
      <c r="G165" s="348" t="s">
        <v>122</v>
      </c>
      <c r="H165" s="344" t="s">
        <v>122</v>
      </c>
    </row>
    <row r="166" spans="1:8" ht="21.75" customHeight="1" x14ac:dyDescent="0.3">
      <c r="A166" s="341">
        <v>44359</v>
      </c>
      <c r="B166" s="342" t="s">
        <v>2354</v>
      </c>
      <c r="C166" s="343">
        <v>17600</v>
      </c>
      <c r="D166" s="347" t="s">
        <v>122</v>
      </c>
      <c r="E166" s="346"/>
      <c r="F166" s="347" t="s">
        <v>122</v>
      </c>
      <c r="G166" s="348" t="s">
        <v>122</v>
      </c>
      <c r="H166" s="344" t="s">
        <v>122</v>
      </c>
    </row>
    <row r="167" spans="1:8" ht="21.75" customHeight="1" x14ac:dyDescent="0.3">
      <c r="A167" s="341">
        <v>44360</v>
      </c>
      <c r="B167" s="342" t="s">
        <v>2486</v>
      </c>
      <c r="C167" s="343">
        <v>17550</v>
      </c>
      <c r="D167" s="347">
        <v>14</v>
      </c>
      <c r="E167" s="346">
        <v>68.459999999999994</v>
      </c>
      <c r="F167" s="347">
        <v>14</v>
      </c>
      <c r="G167" s="348">
        <v>71.23</v>
      </c>
      <c r="H167" s="344" t="s">
        <v>122</v>
      </c>
    </row>
    <row r="168" spans="1:8" ht="21.75" customHeight="1" x14ac:dyDescent="0.3">
      <c r="A168" s="341">
        <v>44361</v>
      </c>
      <c r="B168" s="342" t="s">
        <v>2356</v>
      </c>
      <c r="C168" s="343">
        <v>17325</v>
      </c>
      <c r="D168" s="347">
        <v>18</v>
      </c>
      <c r="E168" s="346">
        <v>86.18</v>
      </c>
      <c r="F168" s="347">
        <v>16</v>
      </c>
      <c r="G168" s="348">
        <v>80.36</v>
      </c>
      <c r="H168" s="344" t="s">
        <v>122</v>
      </c>
    </row>
    <row r="169" spans="1:8" ht="21.75" customHeight="1" x14ac:dyDescent="0.3">
      <c r="A169" s="341">
        <v>44362</v>
      </c>
      <c r="B169" s="342" t="s">
        <v>2339</v>
      </c>
      <c r="C169" s="343">
        <v>17000</v>
      </c>
      <c r="D169" s="347">
        <v>18</v>
      </c>
      <c r="E169" s="346">
        <v>85.71</v>
      </c>
      <c r="F169" s="347">
        <v>16</v>
      </c>
      <c r="G169" s="348">
        <v>79.959999999999994</v>
      </c>
      <c r="H169" s="344" t="s">
        <v>122</v>
      </c>
    </row>
    <row r="170" spans="1:8" ht="21.75" customHeight="1" x14ac:dyDescent="0.3">
      <c r="A170" s="341">
        <v>44363</v>
      </c>
      <c r="B170" s="342" t="s">
        <v>2342</v>
      </c>
      <c r="C170" s="343">
        <v>16800</v>
      </c>
      <c r="D170" s="347">
        <v>19</v>
      </c>
      <c r="E170" s="346">
        <v>89.48</v>
      </c>
      <c r="F170" s="347">
        <v>16</v>
      </c>
      <c r="G170" s="348">
        <v>79.430000000000007</v>
      </c>
      <c r="H170" s="344" t="s">
        <v>122</v>
      </c>
    </row>
    <row r="171" spans="1:8" ht="21.75" customHeight="1" x14ac:dyDescent="0.3">
      <c r="A171" s="341">
        <v>44364</v>
      </c>
      <c r="B171" s="342" t="s">
        <v>2487</v>
      </c>
      <c r="C171" s="343">
        <v>16500</v>
      </c>
      <c r="D171" s="347">
        <v>19</v>
      </c>
      <c r="E171" s="346">
        <v>88.31</v>
      </c>
      <c r="F171" s="347">
        <v>19</v>
      </c>
      <c r="G171" s="348">
        <v>92.42</v>
      </c>
      <c r="H171" s="344" t="s">
        <v>122</v>
      </c>
    </row>
    <row r="172" spans="1:8" ht="21.75" customHeight="1" x14ac:dyDescent="0.3">
      <c r="A172" s="341">
        <v>44365</v>
      </c>
      <c r="B172" s="342" t="s">
        <v>2364</v>
      </c>
      <c r="C172" s="343">
        <v>16100</v>
      </c>
      <c r="D172" s="347">
        <v>20</v>
      </c>
      <c r="E172" s="346">
        <v>91.71</v>
      </c>
      <c r="F172" s="347">
        <v>20</v>
      </c>
      <c r="G172" s="348">
        <v>6.09</v>
      </c>
      <c r="H172" s="344" t="s">
        <v>122</v>
      </c>
    </row>
    <row r="173" spans="1:8" ht="21.75" customHeight="1" x14ac:dyDescent="0.3">
      <c r="A173" s="341">
        <v>44366</v>
      </c>
      <c r="B173" s="342" t="s">
        <v>2365</v>
      </c>
      <c r="C173" s="343">
        <v>15675</v>
      </c>
      <c r="D173" s="347">
        <v>18</v>
      </c>
      <c r="E173" s="346">
        <v>82.54</v>
      </c>
      <c r="F173" s="347">
        <v>20</v>
      </c>
      <c r="G173" s="348">
        <v>95.4</v>
      </c>
      <c r="H173" s="344" t="s">
        <v>122</v>
      </c>
    </row>
    <row r="174" spans="1:8" ht="21.75" customHeight="1" x14ac:dyDescent="0.3">
      <c r="A174" s="341">
        <v>44367</v>
      </c>
      <c r="B174" s="342" t="s">
        <v>2365</v>
      </c>
      <c r="C174" s="343">
        <v>15450</v>
      </c>
      <c r="D174" s="347" t="s">
        <v>122</v>
      </c>
      <c r="E174" s="346"/>
      <c r="F174" s="347" t="s">
        <v>122</v>
      </c>
      <c r="G174" s="348" t="s">
        <v>122</v>
      </c>
      <c r="H174" s="344" t="s">
        <v>122</v>
      </c>
    </row>
    <row r="175" spans="1:8" ht="21.75" customHeight="1" x14ac:dyDescent="0.3">
      <c r="A175" s="341">
        <v>44368</v>
      </c>
      <c r="B175" s="342" t="s">
        <v>2365</v>
      </c>
      <c r="C175" s="343">
        <v>15450</v>
      </c>
      <c r="D175" s="347" t="s">
        <v>122</v>
      </c>
      <c r="E175" s="346"/>
      <c r="F175" s="347" t="s">
        <v>122</v>
      </c>
      <c r="G175" s="348" t="s">
        <v>122</v>
      </c>
      <c r="H175" s="344" t="s">
        <v>122</v>
      </c>
    </row>
    <row r="176" spans="1:8" ht="21.75" customHeight="1" x14ac:dyDescent="0.3">
      <c r="A176" s="341">
        <v>44369</v>
      </c>
      <c r="B176" s="342" t="s">
        <v>2365</v>
      </c>
      <c r="C176" s="343">
        <v>15450</v>
      </c>
      <c r="D176" s="347">
        <v>16</v>
      </c>
      <c r="E176" s="346">
        <v>73.95</v>
      </c>
      <c r="F176" s="347">
        <v>15</v>
      </c>
      <c r="G176" s="348">
        <v>72.84</v>
      </c>
      <c r="H176" s="344" t="s">
        <v>122</v>
      </c>
    </row>
    <row r="177" spans="1:8" ht="21.75" customHeight="1" x14ac:dyDescent="0.3">
      <c r="A177" s="341">
        <v>44370</v>
      </c>
      <c r="B177" s="342" t="s">
        <v>2368</v>
      </c>
      <c r="C177" s="343">
        <v>15200</v>
      </c>
      <c r="D177" s="347">
        <v>18</v>
      </c>
      <c r="E177" s="346">
        <v>81.569999999999993</v>
      </c>
      <c r="F177" s="347">
        <v>15</v>
      </c>
      <c r="G177" s="348">
        <v>71.95</v>
      </c>
      <c r="H177" s="344" t="s">
        <v>122</v>
      </c>
    </row>
    <row r="178" spans="1:8" ht="21.75" customHeight="1" x14ac:dyDescent="0.3">
      <c r="A178" s="341">
        <v>44371</v>
      </c>
      <c r="B178" s="342" t="s">
        <v>1845</v>
      </c>
      <c r="C178" s="343">
        <v>14900</v>
      </c>
      <c r="D178" s="347">
        <v>20</v>
      </c>
      <c r="E178" s="346">
        <v>89.16</v>
      </c>
      <c r="F178" s="347">
        <v>20</v>
      </c>
      <c r="G178" s="348">
        <v>93.49</v>
      </c>
      <c r="H178" s="344" t="s">
        <v>122</v>
      </c>
    </row>
    <row r="179" spans="1:8" ht="21.75" customHeight="1" x14ac:dyDescent="0.3">
      <c r="A179" s="341">
        <v>44372</v>
      </c>
      <c r="B179" s="342" t="s">
        <v>2488</v>
      </c>
      <c r="C179" s="343">
        <v>14400</v>
      </c>
      <c r="D179" s="347">
        <v>22</v>
      </c>
      <c r="E179" s="346">
        <v>96.02</v>
      </c>
      <c r="F179" s="347">
        <v>20</v>
      </c>
      <c r="G179" s="348">
        <v>92.42</v>
      </c>
      <c r="H179" s="344" t="s">
        <v>122</v>
      </c>
    </row>
    <row r="180" spans="1:8" ht="21.75" customHeight="1" x14ac:dyDescent="0.3">
      <c r="A180" s="341">
        <v>44373</v>
      </c>
      <c r="B180" s="342" t="s">
        <v>2372</v>
      </c>
      <c r="C180" s="343">
        <v>13900</v>
      </c>
      <c r="D180" s="347">
        <v>20</v>
      </c>
      <c r="E180" s="346">
        <v>86.92</v>
      </c>
      <c r="F180" s="347">
        <v>20</v>
      </c>
      <c r="G180" s="348">
        <v>91.35</v>
      </c>
      <c r="H180" s="344" t="s">
        <v>122</v>
      </c>
    </row>
    <row r="181" spans="1:8" ht="21.75" customHeight="1" x14ac:dyDescent="0.3">
      <c r="A181" s="341">
        <v>44374</v>
      </c>
      <c r="B181" s="342" t="s">
        <v>2489</v>
      </c>
      <c r="C181" s="343">
        <v>13600</v>
      </c>
      <c r="D181" s="347">
        <v>20</v>
      </c>
      <c r="E181" s="346">
        <v>86.16</v>
      </c>
      <c r="F181" s="347">
        <v>20</v>
      </c>
      <c r="G181" s="348">
        <v>90.63</v>
      </c>
      <c r="H181" s="344" t="s">
        <v>122</v>
      </c>
    </row>
    <row r="182" spans="1:8" ht="21.75" customHeight="1" x14ac:dyDescent="0.3">
      <c r="A182" s="341">
        <v>44375</v>
      </c>
      <c r="B182" s="342" t="s">
        <v>2490</v>
      </c>
      <c r="C182" s="343">
        <v>13250</v>
      </c>
      <c r="D182" s="347" t="s">
        <v>122</v>
      </c>
      <c r="E182" s="346"/>
      <c r="F182" s="347" t="s">
        <v>122</v>
      </c>
      <c r="G182" s="348" t="s">
        <v>122</v>
      </c>
      <c r="H182" s="344" t="s">
        <v>122</v>
      </c>
    </row>
    <row r="183" spans="1:8" ht="21.75" customHeight="1" x14ac:dyDescent="0.3">
      <c r="A183" s="341">
        <v>44376</v>
      </c>
      <c r="B183" s="342" t="s">
        <v>2490</v>
      </c>
      <c r="C183" s="343">
        <v>13250</v>
      </c>
      <c r="D183" s="347" t="s">
        <v>122</v>
      </c>
      <c r="E183" s="346"/>
      <c r="F183" s="347" t="s">
        <v>122</v>
      </c>
      <c r="G183" s="348" t="s">
        <v>122</v>
      </c>
      <c r="H183" s="344" t="s">
        <v>122</v>
      </c>
    </row>
    <row r="184" spans="1:8" ht="21.75" customHeight="1" x14ac:dyDescent="0.3">
      <c r="A184" s="341">
        <v>44377</v>
      </c>
      <c r="B184" s="342" t="s">
        <v>2490</v>
      </c>
      <c r="C184" s="343">
        <v>13250</v>
      </c>
      <c r="D184" s="347" t="s">
        <v>122</v>
      </c>
      <c r="E184" s="346"/>
      <c r="F184" s="347" t="s">
        <v>122</v>
      </c>
      <c r="G184" s="348" t="s">
        <v>122</v>
      </c>
      <c r="H184" s="344" t="s">
        <v>122</v>
      </c>
    </row>
    <row r="185" spans="1:8" ht="21.75" customHeight="1" x14ac:dyDescent="0.3">
      <c r="A185" s="341">
        <v>44378</v>
      </c>
      <c r="B185" s="342" t="s">
        <v>2491</v>
      </c>
      <c r="C185" s="343">
        <v>13125</v>
      </c>
      <c r="D185" s="347" t="s">
        <v>122</v>
      </c>
      <c r="E185" s="346" t="s">
        <v>122</v>
      </c>
      <c r="F185" s="347" t="s">
        <v>122</v>
      </c>
      <c r="G185" s="348" t="s">
        <v>122</v>
      </c>
      <c r="H185" s="344" t="s">
        <v>122</v>
      </c>
    </row>
    <row r="186" spans="1:8" ht="21.75" customHeight="1" x14ac:dyDescent="0.3">
      <c r="A186" s="341">
        <v>44379</v>
      </c>
      <c r="B186" s="342" t="s">
        <v>2491</v>
      </c>
      <c r="C186" s="343">
        <v>13125</v>
      </c>
      <c r="D186" s="347">
        <v>16</v>
      </c>
      <c r="E186" s="346">
        <v>69.239999999999995</v>
      </c>
      <c r="F186" s="347">
        <v>15</v>
      </c>
      <c r="G186" s="348">
        <v>68.66</v>
      </c>
      <c r="H186" s="344" t="s">
        <v>122</v>
      </c>
    </row>
    <row r="187" spans="1:8" ht="21.75" customHeight="1" x14ac:dyDescent="0.3">
      <c r="A187" s="341">
        <v>44380</v>
      </c>
      <c r="B187" s="342" t="s">
        <v>2377</v>
      </c>
      <c r="C187" s="343">
        <v>12800</v>
      </c>
      <c r="D187" s="347">
        <v>16</v>
      </c>
      <c r="E187" s="346">
        <v>68.63</v>
      </c>
      <c r="F187" s="347">
        <v>15</v>
      </c>
      <c r="G187" s="348">
        <v>67.84</v>
      </c>
      <c r="H187" s="344" t="s">
        <v>122</v>
      </c>
    </row>
    <row r="188" spans="1:8" ht="21.75" customHeight="1" x14ac:dyDescent="0.3">
      <c r="A188" s="341">
        <v>44381</v>
      </c>
      <c r="B188" s="342" t="s">
        <v>2379</v>
      </c>
      <c r="C188" s="343">
        <v>12500</v>
      </c>
      <c r="D188" s="347">
        <v>16</v>
      </c>
      <c r="E188" s="346">
        <v>68.02</v>
      </c>
      <c r="F188" s="347">
        <v>15</v>
      </c>
      <c r="G188" s="348">
        <v>67.290000000000006</v>
      </c>
      <c r="H188" s="344" t="s">
        <v>122</v>
      </c>
    </row>
    <row r="189" spans="1:8" ht="21.75" customHeight="1" x14ac:dyDescent="0.3">
      <c r="A189" s="341">
        <v>44382</v>
      </c>
      <c r="B189" s="342" t="s">
        <v>2492</v>
      </c>
      <c r="C189" s="343">
        <v>12300</v>
      </c>
      <c r="D189" s="347">
        <v>16</v>
      </c>
      <c r="E189" s="346">
        <v>67.39</v>
      </c>
      <c r="F189" s="347">
        <v>15</v>
      </c>
      <c r="G189" s="348">
        <v>66.739999999999995</v>
      </c>
      <c r="H189" s="344" t="s">
        <v>122</v>
      </c>
    </row>
    <row r="190" spans="1:8" ht="21.75" customHeight="1" x14ac:dyDescent="0.3">
      <c r="A190" s="341">
        <v>44383</v>
      </c>
      <c r="B190" s="342" t="s">
        <v>2492</v>
      </c>
      <c r="C190" s="343">
        <v>12300</v>
      </c>
      <c r="D190" s="347" t="s">
        <v>122</v>
      </c>
      <c r="E190" s="346" t="s">
        <v>122</v>
      </c>
      <c r="F190" s="347" t="s">
        <v>122</v>
      </c>
      <c r="G190" s="348" t="s">
        <v>122</v>
      </c>
      <c r="H190" s="344" t="s">
        <v>122</v>
      </c>
    </row>
    <row r="191" spans="1:8" ht="21.75" customHeight="1" x14ac:dyDescent="0.3">
      <c r="A191" s="341">
        <v>44384</v>
      </c>
      <c r="B191" s="342" t="s">
        <v>2492</v>
      </c>
      <c r="C191" s="343">
        <v>12300</v>
      </c>
      <c r="D191" s="347" t="s">
        <v>122</v>
      </c>
      <c r="E191" s="346" t="s">
        <v>122</v>
      </c>
      <c r="F191" s="347" t="s">
        <v>122</v>
      </c>
      <c r="G191" s="348" t="s">
        <v>122</v>
      </c>
      <c r="H191" s="344" t="s">
        <v>122</v>
      </c>
    </row>
    <row r="192" spans="1:8" ht="21.75" customHeight="1" x14ac:dyDescent="0.3">
      <c r="A192" s="341">
        <v>44385</v>
      </c>
      <c r="B192" s="342" t="s">
        <v>2492</v>
      </c>
      <c r="C192" s="343">
        <v>12300</v>
      </c>
      <c r="D192" s="347" t="s">
        <v>122</v>
      </c>
      <c r="E192" s="346" t="s">
        <v>122</v>
      </c>
      <c r="F192" s="347" t="s">
        <v>122</v>
      </c>
      <c r="G192" s="348" t="s">
        <v>122</v>
      </c>
      <c r="H192" s="344" t="s">
        <v>122</v>
      </c>
    </row>
    <row r="193" spans="1:8" ht="21.75" customHeight="1" x14ac:dyDescent="0.3">
      <c r="A193" s="341">
        <v>44386</v>
      </c>
      <c r="B193" s="342" t="s">
        <v>2492</v>
      </c>
      <c r="C193" s="343">
        <v>12300</v>
      </c>
      <c r="D193" s="347" t="s">
        <v>122</v>
      </c>
      <c r="E193" s="346" t="s">
        <v>122</v>
      </c>
      <c r="F193" s="347" t="s">
        <v>122</v>
      </c>
      <c r="G193" s="348" t="s">
        <v>122</v>
      </c>
      <c r="H193" s="344" t="s">
        <v>122</v>
      </c>
    </row>
    <row r="194" spans="1:8" ht="21.75" customHeight="1" x14ac:dyDescent="0.3">
      <c r="A194" s="341">
        <v>44387</v>
      </c>
      <c r="B194" s="342" t="s">
        <v>2492</v>
      </c>
      <c r="C194" s="343">
        <v>12300</v>
      </c>
      <c r="D194" s="347" t="s">
        <v>122</v>
      </c>
      <c r="E194" s="346" t="s">
        <v>122</v>
      </c>
      <c r="F194" s="347" t="s">
        <v>122</v>
      </c>
      <c r="G194" s="348" t="s">
        <v>122</v>
      </c>
      <c r="H194" s="344" t="s">
        <v>122</v>
      </c>
    </row>
    <row r="195" spans="1:8" ht="21.75" customHeight="1" x14ac:dyDescent="0.3">
      <c r="A195" s="341">
        <v>44388</v>
      </c>
      <c r="B195" s="342" t="s">
        <v>2492</v>
      </c>
      <c r="C195" s="343">
        <v>12300</v>
      </c>
      <c r="D195" s="347" t="s">
        <v>122</v>
      </c>
      <c r="E195" s="346" t="s">
        <v>122</v>
      </c>
      <c r="F195" s="347" t="s">
        <v>122</v>
      </c>
      <c r="G195" s="348" t="s">
        <v>122</v>
      </c>
      <c r="H195" s="344" t="s">
        <v>122</v>
      </c>
    </row>
    <row r="196" spans="1:8" ht="21.75" customHeight="1" x14ac:dyDescent="0.3">
      <c r="A196" s="341">
        <v>44389</v>
      </c>
      <c r="B196" s="342" t="s">
        <v>2493</v>
      </c>
      <c r="C196" s="343">
        <v>12100</v>
      </c>
      <c r="D196" s="347" t="s">
        <v>122</v>
      </c>
      <c r="E196" s="346" t="s">
        <v>122</v>
      </c>
      <c r="F196" s="347" t="s">
        <v>122</v>
      </c>
      <c r="G196" s="348" t="s">
        <v>122</v>
      </c>
      <c r="H196" s="344" t="s">
        <v>122</v>
      </c>
    </row>
    <row r="197" spans="1:8" ht="21.75" customHeight="1" x14ac:dyDescent="0.3">
      <c r="A197" s="341">
        <v>44390</v>
      </c>
      <c r="B197" s="342" t="s">
        <v>2493</v>
      </c>
      <c r="C197" s="343">
        <v>12100</v>
      </c>
      <c r="D197" s="347" t="s">
        <v>122</v>
      </c>
      <c r="E197" s="346" t="s">
        <v>122</v>
      </c>
      <c r="F197" s="347" t="s">
        <v>122</v>
      </c>
      <c r="G197" s="348" t="s">
        <v>122</v>
      </c>
      <c r="H197" s="344" t="s">
        <v>122</v>
      </c>
    </row>
    <row r="198" spans="1:8" ht="21.75" customHeight="1" x14ac:dyDescent="0.3">
      <c r="A198" s="341">
        <v>44391</v>
      </c>
      <c r="B198" s="342" t="s">
        <v>2493</v>
      </c>
      <c r="C198" s="343">
        <v>12100</v>
      </c>
      <c r="D198" s="347" t="s">
        <v>122</v>
      </c>
      <c r="E198" s="346" t="s">
        <v>122</v>
      </c>
      <c r="F198" s="347" t="s">
        <v>122</v>
      </c>
      <c r="G198" s="348" t="s">
        <v>122</v>
      </c>
      <c r="H198" s="344" t="s">
        <v>122</v>
      </c>
    </row>
    <row r="199" spans="1:8" ht="21.75" customHeight="1" x14ac:dyDescent="0.3">
      <c r="A199" s="341">
        <v>44392</v>
      </c>
      <c r="B199" s="342" t="s">
        <v>2493</v>
      </c>
      <c r="C199" s="343">
        <v>12100</v>
      </c>
      <c r="D199" s="347" t="s">
        <v>122</v>
      </c>
      <c r="E199" s="346" t="s">
        <v>122</v>
      </c>
      <c r="F199" s="347" t="s">
        <v>122</v>
      </c>
      <c r="G199" s="348" t="s">
        <v>122</v>
      </c>
      <c r="H199" s="344" t="s">
        <v>122</v>
      </c>
    </row>
    <row r="200" spans="1:8" ht="21.75" customHeight="1" x14ac:dyDescent="0.3">
      <c r="A200" s="341">
        <v>44393</v>
      </c>
      <c r="B200" s="342" t="s">
        <v>2494</v>
      </c>
      <c r="C200" s="343">
        <v>12000</v>
      </c>
      <c r="D200" s="347" t="s">
        <v>122</v>
      </c>
      <c r="E200" s="346" t="s">
        <v>122</v>
      </c>
      <c r="F200" s="347" t="s">
        <v>122</v>
      </c>
      <c r="G200" s="348" t="s">
        <v>122</v>
      </c>
      <c r="H200" s="344" t="s">
        <v>122</v>
      </c>
    </row>
    <row r="201" spans="1:8" ht="21.75" customHeight="1" x14ac:dyDescent="0.3">
      <c r="A201" s="341">
        <v>44394</v>
      </c>
      <c r="B201" s="342" t="s">
        <v>2494</v>
      </c>
      <c r="C201" s="343">
        <v>12000</v>
      </c>
      <c r="D201" s="347" t="s">
        <v>122</v>
      </c>
      <c r="E201" s="346" t="s">
        <v>122</v>
      </c>
      <c r="F201" s="347" t="s">
        <v>122</v>
      </c>
      <c r="G201" s="348" t="s">
        <v>122</v>
      </c>
      <c r="H201" s="344" t="s">
        <v>122</v>
      </c>
    </row>
    <row r="202" spans="1:8" ht="21.75" customHeight="1" x14ac:dyDescent="0.3">
      <c r="A202" s="341">
        <v>44395</v>
      </c>
      <c r="B202" s="342" t="s">
        <v>2494</v>
      </c>
      <c r="C202" s="343">
        <v>12000</v>
      </c>
      <c r="D202" s="347" t="s">
        <v>122</v>
      </c>
      <c r="E202" s="346" t="s">
        <v>122</v>
      </c>
      <c r="F202" s="347" t="s">
        <v>122</v>
      </c>
      <c r="G202" s="348" t="s">
        <v>122</v>
      </c>
      <c r="H202" s="344" t="s">
        <v>122</v>
      </c>
    </row>
    <row r="203" spans="1:8" ht="21.75" customHeight="1" x14ac:dyDescent="0.3">
      <c r="A203" s="341">
        <v>44396</v>
      </c>
      <c r="B203" s="342" t="s">
        <v>2494</v>
      </c>
      <c r="C203" s="343">
        <v>12000</v>
      </c>
      <c r="D203" s="347" t="s">
        <v>122</v>
      </c>
      <c r="E203" s="346" t="s">
        <v>122</v>
      </c>
      <c r="F203" s="347" t="s">
        <v>122</v>
      </c>
      <c r="G203" s="348" t="s">
        <v>122</v>
      </c>
      <c r="H203" s="344" t="s">
        <v>122</v>
      </c>
    </row>
    <row r="204" spans="1:8" ht="21.75" customHeight="1" x14ac:dyDescent="0.3">
      <c r="A204" s="341">
        <v>44397</v>
      </c>
      <c r="B204" s="342" t="s">
        <v>2495</v>
      </c>
      <c r="C204" s="343">
        <v>11900</v>
      </c>
      <c r="D204" s="347" t="s">
        <v>122</v>
      </c>
      <c r="E204" s="346" t="s">
        <v>122</v>
      </c>
      <c r="F204" s="347" t="s">
        <v>122</v>
      </c>
      <c r="G204" s="348" t="s">
        <v>122</v>
      </c>
      <c r="H204" s="344" t="s">
        <v>122</v>
      </c>
    </row>
    <row r="205" spans="1:8" ht="21.75" customHeight="1" x14ac:dyDescent="0.3">
      <c r="A205" s="341">
        <v>44398</v>
      </c>
      <c r="B205" s="342" t="s">
        <v>2495</v>
      </c>
      <c r="C205" s="343">
        <v>11900</v>
      </c>
      <c r="D205" s="347" t="s">
        <v>122</v>
      </c>
      <c r="E205" s="346" t="s">
        <v>122</v>
      </c>
      <c r="F205" s="347" t="s">
        <v>122</v>
      </c>
      <c r="G205" s="348" t="s">
        <v>122</v>
      </c>
      <c r="H205" s="344" t="s">
        <v>122</v>
      </c>
    </row>
    <row r="206" spans="1:8" ht="21.75" customHeight="1" x14ac:dyDescent="0.3">
      <c r="A206" s="341">
        <v>44399</v>
      </c>
      <c r="B206" s="342" t="s">
        <v>2496</v>
      </c>
      <c r="C206" s="343">
        <v>11800</v>
      </c>
      <c r="D206" s="347" t="s">
        <v>122</v>
      </c>
      <c r="E206" s="346" t="s">
        <v>122</v>
      </c>
      <c r="F206" s="347" t="s">
        <v>122</v>
      </c>
      <c r="G206" s="348" t="s">
        <v>122</v>
      </c>
      <c r="H206" s="344" t="s">
        <v>122</v>
      </c>
    </row>
    <row r="207" spans="1:8" ht="21.75" customHeight="1" x14ac:dyDescent="0.3">
      <c r="A207" s="341">
        <v>44400</v>
      </c>
      <c r="B207" s="342" t="s">
        <v>2496</v>
      </c>
      <c r="C207" s="343">
        <v>11800</v>
      </c>
      <c r="D207" s="347" t="s">
        <v>122</v>
      </c>
      <c r="E207" s="346" t="s">
        <v>122</v>
      </c>
      <c r="F207" s="347" t="s">
        <v>122</v>
      </c>
      <c r="G207" s="348" t="s">
        <v>122</v>
      </c>
      <c r="H207" s="344" t="s">
        <v>122</v>
      </c>
    </row>
    <row r="208" spans="1:8" ht="21.75" customHeight="1" x14ac:dyDescent="0.3">
      <c r="A208" s="341">
        <v>44401</v>
      </c>
      <c r="B208" s="342" t="s">
        <v>2497</v>
      </c>
      <c r="C208" s="343">
        <v>11700</v>
      </c>
      <c r="D208" s="347" t="s">
        <v>122</v>
      </c>
      <c r="E208" s="346" t="s">
        <v>122</v>
      </c>
      <c r="F208" s="347" t="s">
        <v>122</v>
      </c>
      <c r="G208" s="348" t="s">
        <v>122</v>
      </c>
      <c r="H208" s="344" t="s">
        <v>122</v>
      </c>
    </row>
    <row r="209" spans="1:8" ht="21.75" customHeight="1" x14ac:dyDescent="0.3">
      <c r="A209" s="341">
        <v>44402</v>
      </c>
      <c r="B209" s="342" t="s">
        <v>2497</v>
      </c>
      <c r="C209" s="343">
        <v>11700</v>
      </c>
      <c r="D209" s="347" t="s">
        <v>122</v>
      </c>
      <c r="E209" s="346" t="s">
        <v>122</v>
      </c>
      <c r="F209" s="347" t="s">
        <v>122</v>
      </c>
      <c r="G209" s="348" t="s">
        <v>122</v>
      </c>
      <c r="H209" s="344" t="s">
        <v>122</v>
      </c>
    </row>
    <row r="210" spans="1:8" ht="21.75" customHeight="1" x14ac:dyDescent="0.3">
      <c r="A210" s="341">
        <v>44403</v>
      </c>
      <c r="B210" s="342" t="s">
        <v>2498</v>
      </c>
      <c r="C210" s="343">
        <v>11550</v>
      </c>
      <c r="D210" s="347" t="s">
        <v>122</v>
      </c>
      <c r="E210" s="346" t="s">
        <v>122</v>
      </c>
      <c r="F210" s="347" t="s">
        <v>122</v>
      </c>
      <c r="G210" s="348" t="s">
        <v>122</v>
      </c>
      <c r="H210" s="344" t="s">
        <v>122</v>
      </c>
    </row>
    <row r="211" spans="1:8" ht="21.75" customHeight="1" x14ac:dyDescent="0.3">
      <c r="A211" s="341">
        <v>44404</v>
      </c>
      <c r="B211" s="342" t="s">
        <v>1840</v>
      </c>
      <c r="C211" s="343">
        <v>11500</v>
      </c>
      <c r="D211" s="347" t="s">
        <v>122</v>
      </c>
      <c r="E211" s="346" t="s">
        <v>122</v>
      </c>
      <c r="F211" s="347" t="s">
        <v>122</v>
      </c>
      <c r="G211" s="348" t="s">
        <v>122</v>
      </c>
      <c r="H211" s="344" t="s">
        <v>122</v>
      </c>
    </row>
    <row r="212" spans="1:8" ht="21.75" customHeight="1" x14ac:dyDescent="0.3">
      <c r="A212" s="341">
        <v>44405</v>
      </c>
      <c r="B212" s="342" t="s">
        <v>1840</v>
      </c>
      <c r="C212" s="343">
        <v>11500</v>
      </c>
      <c r="D212" s="347"/>
      <c r="E212" s="346" t="s">
        <v>122</v>
      </c>
      <c r="F212" s="347" t="s">
        <v>122</v>
      </c>
      <c r="G212" s="348" t="s">
        <v>122</v>
      </c>
      <c r="H212" s="344" t="s">
        <v>122</v>
      </c>
    </row>
    <row r="213" spans="1:8" ht="21.75" customHeight="1" x14ac:dyDescent="0.3">
      <c r="A213" s="341">
        <v>44406</v>
      </c>
      <c r="B213" s="342" t="s">
        <v>1840</v>
      </c>
      <c r="C213" s="343">
        <v>11500</v>
      </c>
      <c r="D213" s="347"/>
      <c r="E213" s="346" t="s">
        <v>122</v>
      </c>
      <c r="F213" s="347" t="s">
        <v>122</v>
      </c>
      <c r="G213" s="348" t="s">
        <v>122</v>
      </c>
      <c r="H213" s="344" t="s">
        <v>122</v>
      </c>
    </row>
    <row r="214" spans="1:8" ht="21.75" customHeight="1" x14ac:dyDescent="0.3">
      <c r="A214" s="341">
        <v>44407</v>
      </c>
      <c r="B214" s="342" t="s">
        <v>1839</v>
      </c>
      <c r="C214" s="343">
        <v>11400</v>
      </c>
      <c r="D214" s="347"/>
      <c r="E214" s="346" t="s">
        <v>122</v>
      </c>
      <c r="F214" s="347"/>
      <c r="G214" s="348" t="s">
        <v>122</v>
      </c>
      <c r="H214" s="344" t="s">
        <v>122</v>
      </c>
    </row>
    <row r="215" spans="1:8" ht="21.75" customHeight="1" x14ac:dyDescent="0.3">
      <c r="A215" s="341">
        <v>44408</v>
      </c>
      <c r="B215" s="342" t="s">
        <v>1838</v>
      </c>
      <c r="C215" s="343">
        <v>11300</v>
      </c>
      <c r="D215" s="347"/>
      <c r="E215" s="346" t="s">
        <v>122</v>
      </c>
      <c r="F215" s="347"/>
      <c r="G215" s="348" t="s">
        <v>122</v>
      </c>
      <c r="H215" s="344" t="s">
        <v>122</v>
      </c>
    </row>
    <row r="216" spans="1:8" ht="21.75" customHeight="1" x14ac:dyDescent="0.3">
      <c r="A216" s="341">
        <v>44409</v>
      </c>
      <c r="B216" s="342" t="s">
        <v>1838</v>
      </c>
      <c r="C216" s="343">
        <v>11300</v>
      </c>
      <c r="D216" s="347" t="s">
        <v>2507</v>
      </c>
      <c r="E216" s="346">
        <v>25.63</v>
      </c>
      <c r="F216" s="347" t="s">
        <v>2510</v>
      </c>
      <c r="G216" s="348">
        <v>68.94</v>
      </c>
      <c r="H216" s="344" t="s">
        <v>122</v>
      </c>
    </row>
    <row r="217" spans="1:8" ht="21.75" customHeight="1" x14ac:dyDescent="0.3">
      <c r="A217" s="341">
        <v>44410</v>
      </c>
      <c r="B217" s="342" t="s">
        <v>2499</v>
      </c>
      <c r="C217" s="343">
        <v>11200</v>
      </c>
      <c r="D217" s="347" t="s">
        <v>2152</v>
      </c>
      <c r="E217" s="346">
        <v>25.51</v>
      </c>
      <c r="F217" s="347" t="s">
        <v>2510</v>
      </c>
      <c r="G217" s="348">
        <v>68.63</v>
      </c>
      <c r="H217" s="344" t="s">
        <v>122</v>
      </c>
    </row>
    <row r="218" spans="1:8" ht="21.75" customHeight="1" x14ac:dyDescent="0.3">
      <c r="A218" s="341">
        <v>44411</v>
      </c>
      <c r="B218" s="342" t="s">
        <v>2500</v>
      </c>
      <c r="C218" s="343">
        <v>10950</v>
      </c>
      <c r="D218" s="347" t="s">
        <v>2508</v>
      </c>
      <c r="E218" s="346">
        <v>17.010000000000002</v>
      </c>
      <c r="F218" s="347" t="s">
        <v>2510</v>
      </c>
      <c r="G218" s="348">
        <v>68.02</v>
      </c>
      <c r="H218" s="344" t="s">
        <v>122</v>
      </c>
    </row>
    <row r="219" spans="1:8" ht="21.75" customHeight="1" x14ac:dyDescent="0.3">
      <c r="A219" s="341">
        <v>44412</v>
      </c>
      <c r="B219" s="342" t="s">
        <v>2501</v>
      </c>
      <c r="C219" s="343">
        <v>10700</v>
      </c>
      <c r="D219" s="347" t="s">
        <v>2508</v>
      </c>
      <c r="E219" s="346">
        <v>16.93</v>
      </c>
      <c r="F219" s="347" t="s">
        <v>2177</v>
      </c>
      <c r="G219" s="348">
        <v>51.71</v>
      </c>
      <c r="H219" s="344" t="s">
        <v>122</v>
      </c>
    </row>
    <row r="220" spans="1:8" ht="21.75" customHeight="1" x14ac:dyDescent="0.3">
      <c r="A220" s="341">
        <v>44413</v>
      </c>
      <c r="B220" s="342" t="s">
        <v>2502</v>
      </c>
      <c r="C220" s="343">
        <v>10550</v>
      </c>
      <c r="D220" s="347" t="s">
        <v>2509</v>
      </c>
      <c r="E220" s="346">
        <v>8.4700000000000006</v>
      </c>
      <c r="F220" s="347"/>
      <c r="G220" s="348" t="s">
        <v>122</v>
      </c>
      <c r="H220" s="344" t="s">
        <v>122</v>
      </c>
    </row>
    <row r="221" spans="1:8" ht="21.75" customHeight="1" x14ac:dyDescent="0.3">
      <c r="A221" s="341">
        <v>44414</v>
      </c>
      <c r="B221" s="342" t="s">
        <v>2502</v>
      </c>
      <c r="C221" s="343">
        <v>10550</v>
      </c>
      <c r="D221" s="347"/>
      <c r="E221" s="346" t="s">
        <v>122</v>
      </c>
      <c r="F221" s="347"/>
      <c r="G221" s="348" t="s">
        <v>122</v>
      </c>
      <c r="H221" s="344" t="s">
        <v>122</v>
      </c>
    </row>
    <row r="222" spans="1:8" ht="21.75" customHeight="1" x14ac:dyDescent="0.3">
      <c r="A222" s="341">
        <v>44415</v>
      </c>
      <c r="B222" s="342" t="s">
        <v>2502</v>
      </c>
      <c r="C222" s="343">
        <v>10550</v>
      </c>
      <c r="D222" s="347"/>
      <c r="E222" s="346" t="s">
        <v>122</v>
      </c>
      <c r="F222" s="347"/>
      <c r="G222" s="348" t="s">
        <v>122</v>
      </c>
      <c r="H222" s="344" t="s">
        <v>122</v>
      </c>
    </row>
    <row r="223" spans="1:8" ht="21.75" customHeight="1" x14ac:dyDescent="0.3">
      <c r="A223" s="341">
        <v>44416</v>
      </c>
      <c r="B223" s="342" t="s">
        <v>2502</v>
      </c>
      <c r="C223" s="343">
        <v>10550</v>
      </c>
      <c r="D223" s="347"/>
      <c r="E223" s="346" t="s">
        <v>122</v>
      </c>
      <c r="F223" s="347"/>
      <c r="G223" s="348" t="s">
        <v>122</v>
      </c>
      <c r="H223" s="344" t="s">
        <v>122</v>
      </c>
    </row>
    <row r="224" spans="1:8" ht="21.75" customHeight="1" x14ac:dyDescent="0.3">
      <c r="A224" s="341">
        <v>44417</v>
      </c>
      <c r="B224" s="342" t="s">
        <v>2503</v>
      </c>
      <c r="C224" s="343">
        <v>10450</v>
      </c>
      <c r="D224" s="347"/>
      <c r="E224" s="346" t="s">
        <v>122</v>
      </c>
      <c r="F224" s="347"/>
      <c r="G224" s="348" t="s">
        <v>122</v>
      </c>
      <c r="H224" s="344" t="s">
        <v>122</v>
      </c>
    </row>
    <row r="225" spans="1:8" ht="21.75" customHeight="1" x14ac:dyDescent="0.3">
      <c r="A225" s="341">
        <v>44418</v>
      </c>
      <c r="B225" s="342" t="s">
        <v>2503</v>
      </c>
      <c r="C225" s="343">
        <v>10450</v>
      </c>
      <c r="D225" s="347"/>
      <c r="E225" s="346" t="s">
        <v>122</v>
      </c>
      <c r="F225" s="347"/>
      <c r="G225" s="348" t="s">
        <v>122</v>
      </c>
      <c r="H225" s="344" t="s">
        <v>122</v>
      </c>
    </row>
    <row r="226" spans="1:8" ht="21.75" customHeight="1" x14ac:dyDescent="0.3">
      <c r="A226" s="341">
        <v>44419</v>
      </c>
      <c r="B226" s="342" t="s">
        <v>2503</v>
      </c>
      <c r="C226" s="343">
        <v>10450</v>
      </c>
      <c r="D226" s="347"/>
      <c r="E226" s="346" t="s">
        <v>122</v>
      </c>
      <c r="F226" s="347"/>
      <c r="G226" s="348" t="s">
        <v>122</v>
      </c>
      <c r="H226" s="344" t="s">
        <v>122</v>
      </c>
    </row>
    <row r="227" spans="1:8" ht="21.75" customHeight="1" x14ac:dyDescent="0.3">
      <c r="A227" s="341">
        <v>44420</v>
      </c>
      <c r="B227" s="342" t="s">
        <v>2504</v>
      </c>
      <c r="C227" s="343">
        <v>10400</v>
      </c>
      <c r="D227" s="347"/>
      <c r="E227" s="346" t="s">
        <v>122</v>
      </c>
      <c r="F227" s="347"/>
      <c r="G227" s="348" t="s">
        <v>122</v>
      </c>
      <c r="H227" s="344" t="s">
        <v>122</v>
      </c>
    </row>
    <row r="228" spans="1:8" ht="21.75" customHeight="1" x14ac:dyDescent="0.3">
      <c r="A228" s="341">
        <v>44421</v>
      </c>
      <c r="B228" s="342" t="s">
        <v>2504</v>
      </c>
      <c r="C228" s="343">
        <v>10400</v>
      </c>
      <c r="D228" s="347"/>
      <c r="E228" s="346" t="s">
        <v>122</v>
      </c>
      <c r="F228" s="347"/>
      <c r="G228" s="348" t="s">
        <v>122</v>
      </c>
      <c r="H228" s="344" t="s">
        <v>122</v>
      </c>
    </row>
    <row r="229" spans="1:8" ht="21.75" customHeight="1" x14ac:dyDescent="0.3">
      <c r="A229" s="341">
        <v>44422</v>
      </c>
      <c r="B229" s="342" t="s">
        <v>2504</v>
      </c>
      <c r="C229" s="343">
        <v>10400</v>
      </c>
      <c r="D229" s="347"/>
      <c r="E229" s="346" t="s">
        <v>122</v>
      </c>
      <c r="F229" s="347"/>
      <c r="G229" s="348" t="s">
        <v>122</v>
      </c>
      <c r="H229" s="344" t="s">
        <v>122</v>
      </c>
    </row>
    <row r="230" spans="1:8" ht="21.75" customHeight="1" x14ac:dyDescent="0.3">
      <c r="A230" s="341">
        <v>44423</v>
      </c>
      <c r="B230" s="342" t="s">
        <v>2409</v>
      </c>
      <c r="C230" s="343">
        <v>10350</v>
      </c>
      <c r="D230" s="347" t="s">
        <v>2152</v>
      </c>
      <c r="E230" s="346">
        <v>24.69</v>
      </c>
      <c r="F230" s="347" t="s">
        <v>2174</v>
      </c>
      <c r="G230" s="348">
        <v>42.71</v>
      </c>
      <c r="H230" s="344" t="s">
        <v>122</v>
      </c>
    </row>
    <row r="231" spans="1:8" ht="21.75" customHeight="1" x14ac:dyDescent="0.3">
      <c r="A231" s="341">
        <v>44424</v>
      </c>
      <c r="B231" s="342" t="s">
        <v>1797</v>
      </c>
      <c r="C231" s="343">
        <v>10200</v>
      </c>
      <c r="D231" s="347" t="s">
        <v>2152</v>
      </c>
      <c r="E231" s="346">
        <v>24.57</v>
      </c>
      <c r="F231" s="347" t="s">
        <v>2177</v>
      </c>
      <c r="G231" s="348">
        <v>50.55</v>
      </c>
      <c r="H231" s="344" t="s">
        <v>122</v>
      </c>
    </row>
    <row r="232" spans="1:8" ht="21.75" customHeight="1" x14ac:dyDescent="0.3">
      <c r="A232" s="341">
        <v>44425</v>
      </c>
      <c r="B232" s="342" t="s">
        <v>2505</v>
      </c>
      <c r="C232" s="343">
        <v>10150</v>
      </c>
      <c r="D232" s="347" t="s">
        <v>2152</v>
      </c>
      <c r="E232" s="346">
        <v>24.44</v>
      </c>
      <c r="F232" s="347" t="s">
        <v>2177</v>
      </c>
      <c r="G232" s="348">
        <v>50.32</v>
      </c>
      <c r="H232" s="344" t="s">
        <v>122</v>
      </c>
    </row>
    <row r="233" spans="1:8" ht="21.75" customHeight="1" x14ac:dyDescent="0.3">
      <c r="A233" s="341">
        <v>44426</v>
      </c>
      <c r="B233" s="342" t="s">
        <v>1796</v>
      </c>
      <c r="C233" s="343">
        <v>10100</v>
      </c>
      <c r="D233" s="347"/>
      <c r="E233" s="346" t="s">
        <v>122</v>
      </c>
      <c r="F233" s="347"/>
      <c r="G233" s="348" t="s">
        <v>122</v>
      </c>
      <c r="H233" s="344" t="s">
        <v>122</v>
      </c>
    </row>
    <row r="234" spans="1:8" ht="21.75" customHeight="1" x14ac:dyDescent="0.3">
      <c r="A234" s="341">
        <v>44427</v>
      </c>
      <c r="B234" s="342" t="s">
        <v>1796</v>
      </c>
      <c r="C234" s="343">
        <v>10100</v>
      </c>
      <c r="D234" s="347"/>
      <c r="E234" s="346" t="s">
        <v>122</v>
      </c>
      <c r="F234" s="347"/>
      <c r="G234" s="348" t="s">
        <v>122</v>
      </c>
      <c r="H234" s="344" t="s">
        <v>122</v>
      </c>
    </row>
    <row r="235" spans="1:8" ht="21.75" customHeight="1" x14ac:dyDescent="0.3">
      <c r="A235" s="341">
        <v>44428</v>
      </c>
      <c r="B235" s="342" t="s">
        <v>2408</v>
      </c>
      <c r="C235" s="343">
        <v>10050</v>
      </c>
      <c r="D235" s="347"/>
      <c r="E235" s="346" t="s">
        <v>122</v>
      </c>
      <c r="F235" s="347"/>
      <c r="G235" s="348" t="s">
        <v>122</v>
      </c>
      <c r="H235" s="344" t="s">
        <v>122</v>
      </c>
    </row>
    <row r="236" spans="1:8" ht="21.75" customHeight="1" x14ac:dyDescent="0.3">
      <c r="A236" s="341">
        <v>44429</v>
      </c>
      <c r="B236" s="342" t="s">
        <v>2408</v>
      </c>
      <c r="C236" s="343">
        <v>10050</v>
      </c>
      <c r="D236" s="347"/>
      <c r="E236" s="346" t="s">
        <v>122</v>
      </c>
      <c r="F236" s="347"/>
      <c r="G236" s="348" t="s">
        <v>122</v>
      </c>
      <c r="H236" s="344" t="s">
        <v>122</v>
      </c>
    </row>
    <row r="237" spans="1:8" ht="21.75" customHeight="1" x14ac:dyDescent="0.3">
      <c r="A237" s="341">
        <v>44430</v>
      </c>
      <c r="B237" s="342" t="s">
        <v>2408</v>
      </c>
      <c r="C237" s="343">
        <v>10050</v>
      </c>
      <c r="D237" s="347"/>
      <c r="E237" s="346" t="s">
        <v>122</v>
      </c>
      <c r="F237" s="347"/>
      <c r="G237" s="348" t="s">
        <v>122</v>
      </c>
      <c r="H237" s="344" t="s">
        <v>122</v>
      </c>
    </row>
    <row r="238" spans="1:8" ht="21.75" customHeight="1" x14ac:dyDescent="0.3">
      <c r="A238" s="341">
        <v>44431</v>
      </c>
      <c r="B238" s="342" t="s">
        <v>2506</v>
      </c>
      <c r="C238" s="343">
        <v>10300</v>
      </c>
      <c r="D238" s="347"/>
      <c r="E238" s="346" t="s">
        <v>122</v>
      </c>
      <c r="F238" s="347"/>
      <c r="G238" s="348" t="s">
        <v>122</v>
      </c>
      <c r="H238" s="344" t="s">
        <v>122</v>
      </c>
    </row>
    <row r="239" spans="1:8" ht="21.75" customHeight="1" x14ac:dyDescent="0.3">
      <c r="A239" s="341">
        <v>44432</v>
      </c>
      <c r="B239" s="342" t="s">
        <v>2506</v>
      </c>
      <c r="C239" s="343">
        <v>10300</v>
      </c>
      <c r="D239" s="347"/>
      <c r="E239" s="346" t="s">
        <v>122</v>
      </c>
      <c r="F239" s="347"/>
      <c r="G239" s="348" t="s">
        <v>122</v>
      </c>
      <c r="H239" s="344" t="s">
        <v>122</v>
      </c>
    </row>
    <row r="240" spans="1:8" ht="21.75" customHeight="1" x14ac:dyDescent="0.3">
      <c r="A240" s="341">
        <v>44433</v>
      </c>
      <c r="B240" s="342" t="s">
        <v>2506</v>
      </c>
      <c r="C240" s="343">
        <v>10300</v>
      </c>
      <c r="D240" s="347"/>
      <c r="E240" s="346" t="s">
        <v>122</v>
      </c>
      <c r="F240" s="347"/>
      <c r="G240" s="348" t="s">
        <v>122</v>
      </c>
      <c r="H240" s="344" t="s">
        <v>122</v>
      </c>
    </row>
    <row r="241" spans="1:8" ht="21.75" customHeight="1" x14ac:dyDescent="0.3">
      <c r="A241" s="341">
        <v>44434</v>
      </c>
      <c r="B241" s="342" t="s">
        <v>2506</v>
      </c>
      <c r="C241" s="343">
        <v>10300</v>
      </c>
      <c r="D241" s="347"/>
      <c r="E241" s="346" t="s">
        <v>122</v>
      </c>
      <c r="F241" s="347"/>
      <c r="G241" s="348" t="s">
        <v>122</v>
      </c>
      <c r="H241" s="344" t="s">
        <v>122</v>
      </c>
    </row>
    <row r="242" spans="1:8" ht="21.75" customHeight="1" x14ac:dyDescent="0.3">
      <c r="A242" s="341">
        <v>44435</v>
      </c>
      <c r="B242" s="342" t="s">
        <v>2506</v>
      </c>
      <c r="C242" s="343">
        <v>10300</v>
      </c>
      <c r="D242" s="347"/>
      <c r="E242" s="346" t="s">
        <v>122</v>
      </c>
      <c r="F242" s="347"/>
      <c r="G242" s="348" t="s">
        <v>122</v>
      </c>
      <c r="H242" s="344" t="s">
        <v>122</v>
      </c>
    </row>
    <row r="243" spans="1:8" ht="21.75" customHeight="1" x14ac:dyDescent="0.3">
      <c r="A243" s="341">
        <v>44436</v>
      </c>
      <c r="B243" s="342" t="s">
        <v>1798</v>
      </c>
      <c r="C243" s="343">
        <v>10250</v>
      </c>
      <c r="D243" s="347"/>
      <c r="E243" s="346" t="s">
        <v>122</v>
      </c>
      <c r="F243" s="347"/>
      <c r="G243" s="348" t="s">
        <v>122</v>
      </c>
      <c r="H243" s="344" t="s">
        <v>122</v>
      </c>
    </row>
    <row r="244" spans="1:8" ht="21.75" customHeight="1" x14ac:dyDescent="0.3">
      <c r="A244" s="341">
        <v>44437</v>
      </c>
      <c r="B244" s="342" t="s">
        <v>1798</v>
      </c>
      <c r="C244" s="343">
        <v>10250</v>
      </c>
      <c r="D244" s="347"/>
      <c r="E244" s="346" t="s">
        <v>122</v>
      </c>
      <c r="F244" s="347"/>
      <c r="G244" s="348" t="s">
        <v>122</v>
      </c>
      <c r="H244" s="344" t="s">
        <v>122</v>
      </c>
    </row>
    <row r="245" spans="1:8" ht="21.75" customHeight="1" x14ac:dyDescent="0.3">
      <c r="A245" s="341">
        <v>44438</v>
      </c>
      <c r="B245" s="342" t="s">
        <v>1798</v>
      </c>
      <c r="C245" s="343">
        <v>10250</v>
      </c>
      <c r="D245" s="347"/>
      <c r="E245" s="346" t="s">
        <v>122</v>
      </c>
      <c r="F245" s="347"/>
      <c r="G245" s="348" t="s">
        <v>122</v>
      </c>
      <c r="H245" s="344" t="s">
        <v>122</v>
      </c>
    </row>
    <row r="246" spans="1:8" ht="21.75" customHeight="1" x14ac:dyDescent="0.3">
      <c r="A246" s="341">
        <v>44439</v>
      </c>
      <c r="B246" s="342" t="s">
        <v>1797</v>
      </c>
      <c r="C246" s="343">
        <v>10200</v>
      </c>
      <c r="D246" s="347"/>
      <c r="E246" s="346" t="s">
        <v>122</v>
      </c>
      <c r="F246" s="347"/>
      <c r="G246" s="348" t="s">
        <v>122</v>
      </c>
      <c r="H246" s="344" t="s">
        <v>122</v>
      </c>
    </row>
    <row r="247" spans="1:8" ht="21.75" customHeight="1" x14ac:dyDescent="0.3">
      <c r="A247" s="341">
        <v>44440</v>
      </c>
      <c r="B247" s="342" t="s">
        <v>1797</v>
      </c>
      <c r="C247" s="343">
        <v>10200</v>
      </c>
      <c r="D247" s="347"/>
      <c r="E247" s="346" t="s">
        <v>122</v>
      </c>
      <c r="F247" s="323"/>
      <c r="G247" s="323"/>
      <c r="H247" s="344" t="s">
        <v>122</v>
      </c>
    </row>
    <row r="248" spans="1:8" ht="21.75" customHeight="1" x14ac:dyDescent="0.3">
      <c r="A248" s="341">
        <v>44441</v>
      </c>
      <c r="B248" s="342" t="s">
        <v>1797</v>
      </c>
      <c r="C248" s="343">
        <v>10200</v>
      </c>
      <c r="D248" s="347" t="s">
        <v>2186</v>
      </c>
      <c r="E248" s="346">
        <v>32.43</v>
      </c>
      <c r="F248" s="323"/>
      <c r="G248" s="323"/>
      <c r="H248" s="344" t="s">
        <v>122</v>
      </c>
    </row>
    <row r="249" spans="1:8" ht="21.75" customHeight="1" x14ac:dyDescent="0.3">
      <c r="A249" s="341">
        <v>44442</v>
      </c>
      <c r="B249" s="342" t="s">
        <v>1797</v>
      </c>
      <c r="C249" s="343">
        <v>10200</v>
      </c>
      <c r="D249" s="347"/>
      <c r="E249" s="346" t="s">
        <v>122</v>
      </c>
      <c r="F249" s="323"/>
      <c r="G249" s="323"/>
      <c r="H249" s="344" t="s">
        <v>122</v>
      </c>
    </row>
    <row r="250" spans="1:8" ht="21.75" customHeight="1" x14ac:dyDescent="0.3">
      <c r="A250" s="341">
        <v>44443</v>
      </c>
      <c r="B250" s="342" t="s">
        <v>1797</v>
      </c>
      <c r="C250" s="343">
        <v>10200</v>
      </c>
      <c r="D250" s="347"/>
      <c r="E250" s="346" t="s">
        <v>122</v>
      </c>
      <c r="F250" s="323"/>
      <c r="G250" s="323"/>
      <c r="H250" s="344" t="s">
        <v>122</v>
      </c>
    </row>
    <row r="251" spans="1:8" ht="21.75" customHeight="1" x14ac:dyDescent="0.3">
      <c r="A251" s="341">
        <v>44444</v>
      </c>
      <c r="B251" s="342" t="s">
        <v>1797</v>
      </c>
      <c r="C251" s="343">
        <v>10200</v>
      </c>
      <c r="D251" s="347"/>
      <c r="E251" s="346" t="s">
        <v>122</v>
      </c>
      <c r="F251" s="323"/>
      <c r="G251" s="323"/>
      <c r="H251" s="344" t="s">
        <v>122</v>
      </c>
    </row>
    <row r="252" spans="1:8" ht="21.75" customHeight="1" x14ac:dyDescent="0.3">
      <c r="A252" s="341">
        <v>44445</v>
      </c>
      <c r="B252" s="342" t="s">
        <v>1797</v>
      </c>
      <c r="C252" s="343">
        <v>10200</v>
      </c>
      <c r="D252" s="347"/>
      <c r="E252" s="346" t="s">
        <v>122</v>
      </c>
      <c r="F252" s="323"/>
      <c r="G252" s="323"/>
      <c r="H252" s="344" t="s">
        <v>122</v>
      </c>
    </row>
    <row r="253" spans="1:8" ht="21.75" customHeight="1" x14ac:dyDescent="0.3">
      <c r="A253" s="341">
        <v>44446</v>
      </c>
      <c r="B253" s="342" t="s">
        <v>1797</v>
      </c>
      <c r="C253" s="343">
        <v>10200</v>
      </c>
      <c r="D253" s="347" t="s">
        <v>2186</v>
      </c>
      <c r="E253" s="346">
        <v>31.94</v>
      </c>
      <c r="F253" s="323"/>
      <c r="G253" s="323"/>
      <c r="H253" s="344" t="s">
        <v>122</v>
      </c>
    </row>
    <row r="254" spans="1:8" ht="21.75" customHeight="1" x14ac:dyDescent="0.3">
      <c r="A254" s="341">
        <v>44447</v>
      </c>
      <c r="B254" s="342" t="s">
        <v>2505</v>
      </c>
      <c r="C254" s="343">
        <v>10150</v>
      </c>
      <c r="D254" s="347" t="s">
        <v>2152</v>
      </c>
      <c r="E254" s="346">
        <v>24.08</v>
      </c>
      <c r="F254" s="323"/>
      <c r="G254" s="323"/>
      <c r="H254" s="344" t="s">
        <v>122</v>
      </c>
    </row>
    <row r="255" spans="1:8" ht="21.75" customHeight="1" x14ac:dyDescent="0.3">
      <c r="A255" s="341">
        <v>44448</v>
      </c>
      <c r="B255" s="342" t="s">
        <v>2505</v>
      </c>
      <c r="C255" s="343">
        <v>10150</v>
      </c>
      <c r="D255" s="347"/>
      <c r="E255" s="346" t="s">
        <v>122</v>
      </c>
      <c r="F255" s="323"/>
      <c r="G255" s="323"/>
      <c r="H255" s="344" t="s">
        <v>122</v>
      </c>
    </row>
    <row r="256" spans="1:8" ht="21.75" customHeight="1" x14ac:dyDescent="0.3">
      <c r="A256" s="341">
        <v>44449</v>
      </c>
      <c r="B256" s="342" t="s">
        <v>2505</v>
      </c>
      <c r="C256" s="343">
        <v>10150</v>
      </c>
      <c r="D256" s="347"/>
      <c r="E256" s="346" t="s">
        <v>122</v>
      </c>
      <c r="F256" s="323"/>
      <c r="G256" s="323"/>
      <c r="H256" s="344" t="s">
        <v>122</v>
      </c>
    </row>
    <row r="257" spans="1:8" ht="21.75" customHeight="1" x14ac:dyDescent="0.3">
      <c r="A257" s="341">
        <v>44450</v>
      </c>
      <c r="B257" s="342" t="s">
        <v>2505</v>
      </c>
      <c r="C257" s="343">
        <v>10150</v>
      </c>
      <c r="D257" s="347"/>
      <c r="E257" s="346" t="s">
        <v>122</v>
      </c>
      <c r="F257" s="323"/>
      <c r="G257" s="323"/>
      <c r="H257" s="344" t="s">
        <v>122</v>
      </c>
    </row>
    <row r="258" spans="1:8" ht="21.75" customHeight="1" x14ac:dyDescent="0.3">
      <c r="A258" s="341">
        <v>44451</v>
      </c>
      <c r="B258" s="342" t="s">
        <v>2408</v>
      </c>
      <c r="C258" s="343">
        <v>10050</v>
      </c>
      <c r="D258" s="347"/>
      <c r="E258" s="346" t="s">
        <v>122</v>
      </c>
      <c r="F258" s="323"/>
      <c r="G258" s="323"/>
      <c r="H258" s="344" t="s">
        <v>122</v>
      </c>
    </row>
    <row r="259" spans="1:8" ht="21.75" customHeight="1" x14ac:dyDescent="0.3">
      <c r="A259" s="341">
        <v>44452</v>
      </c>
      <c r="B259" s="342" t="s">
        <v>1770</v>
      </c>
      <c r="C259" s="343">
        <v>9900</v>
      </c>
      <c r="D259" s="347"/>
      <c r="E259" s="346" t="s">
        <v>122</v>
      </c>
      <c r="F259" s="323"/>
      <c r="G259" s="323"/>
      <c r="H259" s="344" t="s">
        <v>122</v>
      </c>
    </row>
    <row r="260" spans="1:8" ht="21.75" customHeight="1" x14ac:dyDescent="0.3">
      <c r="A260" s="341">
        <v>44453</v>
      </c>
      <c r="B260" s="342" t="s">
        <v>1769</v>
      </c>
      <c r="C260" s="343">
        <v>9800</v>
      </c>
      <c r="D260" s="347"/>
      <c r="E260" s="346" t="s">
        <v>122</v>
      </c>
      <c r="F260" s="323"/>
      <c r="G260" s="323"/>
      <c r="H260" s="344" t="s">
        <v>122</v>
      </c>
    </row>
    <row r="261" spans="1:8" ht="21.75" customHeight="1" x14ac:dyDescent="0.3">
      <c r="A261" s="341">
        <v>44454</v>
      </c>
      <c r="B261" s="342" t="s">
        <v>1795</v>
      </c>
      <c r="C261" s="343">
        <v>9600</v>
      </c>
      <c r="D261" s="347"/>
      <c r="E261" s="346" t="s">
        <v>122</v>
      </c>
      <c r="F261" s="323"/>
      <c r="G261" s="323"/>
      <c r="H261" s="344" t="s">
        <v>122</v>
      </c>
    </row>
    <row r="262" spans="1:8" ht="21.75" customHeight="1" x14ac:dyDescent="0.3">
      <c r="A262" s="341">
        <v>44455</v>
      </c>
      <c r="B262" s="342" t="s">
        <v>1795</v>
      </c>
      <c r="C262" s="343">
        <v>9600</v>
      </c>
      <c r="D262" s="347"/>
      <c r="E262" s="346" t="s">
        <v>122</v>
      </c>
      <c r="F262" s="323"/>
      <c r="G262" s="323"/>
      <c r="H262" s="344" t="s">
        <v>122</v>
      </c>
    </row>
    <row r="263" spans="1:8" ht="21.75" customHeight="1" x14ac:dyDescent="0.3">
      <c r="A263" s="341">
        <v>44456</v>
      </c>
      <c r="B263" s="342" t="s">
        <v>1795</v>
      </c>
      <c r="C263" s="343">
        <v>9600</v>
      </c>
      <c r="D263" s="347"/>
      <c r="E263" s="346" t="s">
        <v>122</v>
      </c>
      <c r="F263" s="323"/>
      <c r="G263" s="323"/>
      <c r="H263" s="344" t="s">
        <v>122</v>
      </c>
    </row>
    <row r="264" spans="1:8" ht="21.75" customHeight="1" x14ac:dyDescent="0.3">
      <c r="A264" s="341">
        <v>44457</v>
      </c>
      <c r="B264" s="342" t="s">
        <v>1799</v>
      </c>
      <c r="C264" s="343">
        <v>9500</v>
      </c>
      <c r="D264" s="347"/>
      <c r="E264" s="346" t="s">
        <v>122</v>
      </c>
      <c r="F264" s="323"/>
      <c r="G264" s="323"/>
      <c r="H264" s="344" t="s">
        <v>122</v>
      </c>
    </row>
    <row r="265" spans="1:8" ht="21.75" customHeight="1" x14ac:dyDescent="0.3">
      <c r="A265" s="341">
        <v>44458</v>
      </c>
      <c r="B265" s="342" t="s">
        <v>1799</v>
      </c>
      <c r="C265" s="343">
        <v>9500</v>
      </c>
      <c r="D265" s="347"/>
      <c r="E265" s="346" t="s">
        <v>122</v>
      </c>
      <c r="F265" s="323"/>
      <c r="G265" s="323"/>
      <c r="H265" s="344" t="s">
        <v>122</v>
      </c>
    </row>
    <row r="266" spans="1:8" ht="21.75" customHeight="1" x14ac:dyDescent="0.3">
      <c r="A266" s="341">
        <v>44459</v>
      </c>
      <c r="B266" s="342" t="s">
        <v>1799</v>
      </c>
      <c r="C266" s="343">
        <v>9500</v>
      </c>
      <c r="D266" s="347"/>
      <c r="E266" s="346" t="s">
        <v>122</v>
      </c>
      <c r="F266" s="323"/>
      <c r="G266" s="323"/>
      <c r="H266" s="344" t="s">
        <v>122</v>
      </c>
    </row>
    <row r="267" spans="1:8" ht="21.75" customHeight="1" x14ac:dyDescent="0.3">
      <c r="A267" s="341">
        <v>44460</v>
      </c>
      <c r="B267" s="342" t="s">
        <v>1799</v>
      </c>
      <c r="C267" s="343">
        <v>9500</v>
      </c>
      <c r="D267" s="347"/>
      <c r="E267" s="346" t="s">
        <v>122</v>
      </c>
      <c r="F267" s="323"/>
      <c r="G267" s="323"/>
      <c r="H267" s="344" t="s">
        <v>122</v>
      </c>
    </row>
    <row r="268" spans="1:8" ht="21.75" customHeight="1" x14ac:dyDescent="0.3">
      <c r="A268" s="341">
        <v>44461</v>
      </c>
      <c r="B268" s="342" t="s">
        <v>1799</v>
      </c>
      <c r="C268" s="343">
        <v>9500</v>
      </c>
      <c r="D268" s="347"/>
      <c r="E268" s="346" t="s">
        <v>122</v>
      </c>
      <c r="F268" s="323"/>
      <c r="G268" s="323"/>
      <c r="H268" s="344" t="s">
        <v>122</v>
      </c>
    </row>
    <row r="269" spans="1:8" ht="21.75" customHeight="1" x14ac:dyDescent="0.3">
      <c r="A269" s="341">
        <v>44462</v>
      </c>
      <c r="B269" s="342" t="s">
        <v>1799</v>
      </c>
      <c r="C269" s="343">
        <v>9500</v>
      </c>
      <c r="D269" s="347"/>
      <c r="E269" s="346" t="s">
        <v>122</v>
      </c>
      <c r="F269" s="323"/>
      <c r="G269" s="323"/>
      <c r="H269" s="344" t="s">
        <v>122</v>
      </c>
    </row>
    <row r="270" spans="1:8" ht="21.75" customHeight="1" x14ac:dyDescent="0.3">
      <c r="A270" s="341">
        <v>44463</v>
      </c>
      <c r="B270" s="342" t="s">
        <v>1799</v>
      </c>
      <c r="C270" s="343">
        <v>9500</v>
      </c>
      <c r="D270" s="347"/>
      <c r="E270" s="346" t="s">
        <v>122</v>
      </c>
      <c r="F270" s="323"/>
      <c r="G270" s="323"/>
      <c r="H270" s="344" t="s">
        <v>122</v>
      </c>
    </row>
    <row r="271" spans="1:8" ht="21.75" customHeight="1" x14ac:dyDescent="0.3">
      <c r="A271" s="341">
        <v>44464</v>
      </c>
      <c r="B271" s="342" t="s">
        <v>1795</v>
      </c>
      <c r="C271" s="343">
        <v>9600</v>
      </c>
      <c r="D271" s="347"/>
      <c r="E271" s="346" t="s">
        <v>122</v>
      </c>
      <c r="F271" s="323"/>
      <c r="G271" s="323"/>
      <c r="H271" s="344" t="s">
        <v>122</v>
      </c>
    </row>
    <row r="272" spans="1:8" ht="21.75" customHeight="1" x14ac:dyDescent="0.3">
      <c r="A272" s="341">
        <v>44465</v>
      </c>
      <c r="B272" s="342" t="s">
        <v>1795</v>
      </c>
      <c r="C272" s="343">
        <v>9600</v>
      </c>
      <c r="D272" s="347"/>
      <c r="E272" s="346" t="s">
        <v>122</v>
      </c>
      <c r="F272" s="323"/>
      <c r="G272" s="323"/>
      <c r="H272" s="344" t="s">
        <v>122</v>
      </c>
    </row>
    <row r="273" spans="1:8" ht="21.75" customHeight="1" x14ac:dyDescent="0.3">
      <c r="A273" s="341">
        <v>44466</v>
      </c>
      <c r="B273" s="342" t="s">
        <v>1795</v>
      </c>
      <c r="C273" s="343">
        <v>9600</v>
      </c>
      <c r="D273" s="347"/>
      <c r="E273" s="346" t="s">
        <v>122</v>
      </c>
      <c r="F273" s="323"/>
      <c r="G273" s="323"/>
      <c r="H273" s="344" t="s">
        <v>122</v>
      </c>
    </row>
    <row r="274" spans="1:8" ht="21.75" customHeight="1" x14ac:dyDescent="0.3">
      <c r="A274" s="341">
        <v>44467</v>
      </c>
      <c r="B274" s="342" t="s">
        <v>1795</v>
      </c>
      <c r="C274" s="343">
        <v>9600</v>
      </c>
      <c r="D274" s="347"/>
      <c r="E274" s="346" t="s">
        <v>122</v>
      </c>
      <c r="F274" s="323"/>
      <c r="G274" s="323"/>
      <c r="H274" s="344" t="s">
        <v>122</v>
      </c>
    </row>
    <row r="275" spans="1:8" ht="21.75" customHeight="1" x14ac:dyDescent="0.3">
      <c r="A275" s="341">
        <v>44468</v>
      </c>
      <c r="B275" s="342" t="s">
        <v>1795</v>
      </c>
      <c r="C275" s="343">
        <v>9600</v>
      </c>
      <c r="D275" s="347"/>
      <c r="E275" s="346" t="s">
        <v>122</v>
      </c>
      <c r="F275" s="323"/>
      <c r="G275" s="323"/>
      <c r="H275" s="344" t="s">
        <v>122</v>
      </c>
    </row>
    <row r="276" spans="1:8" ht="21.75" customHeight="1" x14ac:dyDescent="0.3">
      <c r="A276" s="341">
        <v>44469</v>
      </c>
      <c r="B276" s="342" t="s">
        <v>1795</v>
      </c>
      <c r="C276" s="343">
        <v>9600</v>
      </c>
      <c r="D276" s="347"/>
      <c r="E276" s="346" t="s">
        <v>122</v>
      </c>
      <c r="F276" s="323"/>
      <c r="G276" s="323"/>
      <c r="H276" s="344" t="s">
        <v>122</v>
      </c>
    </row>
    <row r="277" spans="1:8" ht="21.75" customHeight="1" x14ac:dyDescent="0.3">
      <c r="A277" s="341">
        <v>44470</v>
      </c>
      <c r="B277" s="342" t="s">
        <v>1795</v>
      </c>
      <c r="C277" s="343">
        <v>9600</v>
      </c>
      <c r="D277" s="347"/>
      <c r="E277" s="346" t="s">
        <v>122</v>
      </c>
      <c r="F277" s="347"/>
      <c r="G277" s="348" t="s">
        <v>122</v>
      </c>
      <c r="H277" s="344" t="s">
        <v>122</v>
      </c>
    </row>
    <row r="278" spans="1:8" ht="21.75" customHeight="1" x14ac:dyDescent="0.3">
      <c r="A278" s="341">
        <v>44471</v>
      </c>
      <c r="B278" s="342" t="s">
        <v>1795</v>
      </c>
      <c r="C278" s="343">
        <v>9600</v>
      </c>
      <c r="D278" s="347"/>
      <c r="E278" s="346" t="s">
        <v>122</v>
      </c>
      <c r="F278" s="347"/>
      <c r="G278" s="348" t="s">
        <v>122</v>
      </c>
      <c r="H278" s="344" t="s">
        <v>122</v>
      </c>
    </row>
    <row r="279" spans="1:8" ht="21.75" customHeight="1" x14ac:dyDescent="0.3">
      <c r="A279" s="341">
        <v>44472</v>
      </c>
      <c r="B279" s="342" t="s">
        <v>1795</v>
      </c>
      <c r="C279" s="343">
        <v>9600</v>
      </c>
      <c r="D279" s="347"/>
      <c r="E279" s="346" t="s">
        <v>122</v>
      </c>
      <c r="F279" s="347"/>
      <c r="G279" s="348" t="s">
        <v>122</v>
      </c>
      <c r="H279" s="344" t="s">
        <v>122</v>
      </c>
    </row>
    <row r="280" spans="1:8" ht="21.75" customHeight="1" x14ac:dyDescent="0.3">
      <c r="A280" s="341">
        <v>44473</v>
      </c>
      <c r="B280" s="342" t="s">
        <v>1795</v>
      </c>
      <c r="C280" s="343">
        <v>9600</v>
      </c>
      <c r="D280" s="347"/>
      <c r="E280" s="346" t="s">
        <v>122</v>
      </c>
      <c r="F280" s="347"/>
      <c r="G280" s="348" t="s">
        <v>122</v>
      </c>
      <c r="H280" s="344" t="s">
        <v>122</v>
      </c>
    </row>
    <row r="281" spans="1:8" ht="21.75" customHeight="1" x14ac:dyDescent="0.3">
      <c r="A281" s="341">
        <v>44474</v>
      </c>
      <c r="B281" s="342" t="s">
        <v>1778</v>
      </c>
      <c r="C281" s="343">
        <v>9700</v>
      </c>
      <c r="D281" s="347"/>
      <c r="E281" s="346" t="s">
        <v>122</v>
      </c>
      <c r="F281" s="347"/>
      <c r="G281" s="348" t="s">
        <v>122</v>
      </c>
      <c r="H281" s="344" t="s">
        <v>122</v>
      </c>
    </row>
    <row r="282" spans="1:8" ht="21.75" customHeight="1" x14ac:dyDescent="0.3">
      <c r="A282" s="341">
        <v>44475</v>
      </c>
      <c r="B282" s="342" t="s">
        <v>1835</v>
      </c>
      <c r="C282" s="343">
        <v>10500</v>
      </c>
      <c r="D282" s="347"/>
      <c r="E282" s="346" t="s">
        <v>122</v>
      </c>
      <c r="F282" s="347"/>
      <c r="G282" s="348" t="s">
        <v>122</v>
      </c>
      <c r="H282" s="344" t="s">
        <v>122</v>
      </c>
    </row>
    <row r="283" spans="1:8" ht="21.75" customHeight="1" x14ac:dyDescent="0.3">
      <c r="A283" s="341">
        <v>44476</v>
      </c>
      <c r="B283" s="342" t="s">
        <v>1835</v>
      </c>
      <c r="C283" s="343">
        <v>10500</v>
      </c>
      <c r="D283" s="347"/>
      <c r="E283" s="346" t="s">
        <v>122</v>
      </c>
      <c r="F283" s="347"/>
      <c r="G283" s="348" t="s">
        <v>122</v>
      </c>
      <c r="H283" s="344" t="s">
        <v>122</v>
      </c>
    </row>
    <row r="284" spans="1:8" ht="21.75" customHeight="1" x14ac:dyDescent="0.3">
      <c r="A284" s="341">
        <v>44477</v>
      </c>
      <c r="B284" s="342" t="s">
        <v>1835</v>
      </c>
      <c r="C284" s="343">
        <v>10500</v>
      </c>
      <c r="D284" s="347"/>
      <c r="E284" s="346" t="s">
        <v>122</v>
      </c>
      <c r="F284" s="347"/>
      <c r="G284" s="348" t="s">
        <v>122</v>
      </c>
      <c r="H284" s="344" t="s">
        <v>122</v>
      </c>
    </row>
    <row r="285" spans="1:8" ht="21.75" customHeight="1" x14ac:dyDescent="0.3">
      <c r="A285" s="341">
        <v>44478</v>
      </c>
      <c r="B285" s="342" t="s">
        <v>1835</v>
      </c>
      <c r="C285" s="343">
        <v>10500</v>
      </c>
      <c r="D285" s="347"/>
      <c r="E285" s="346" t="s">
        <v>122</v>
      </c>
      <c r="F285" s="347"/>
      <c r="G285" s="348" t="s">
        <v>122</v>
      </c>
      <c r="H285" s="344" t="s">
        <v>122</v>
      </c>
    </row>
    <row r="286" spans="1:8" ht="21.75" customHeight="1" x14ac:dyDescent="0.3">
      <c r="A286" s="341">
        <v>44479</v>
      </c>
      <c r="B286" s="342" t="s">
        <v>1835</v>
      </c>
      <c r="C286" s="343">
        <v>10500</v>
      </c>
      <c r="D286" s="347"/>
      <c r="E286" s="346" t="s">
        <v>122</v>
      </c>
      <c r="F286" s="347"/>
      <c r="G286" s="348" t="s">
        <v>122</v>
      </c>
      <c r="H286" s="344" t="s">
        <v>122</v>
      </c>
    </row>
    <row r="287" spans="1:8" ht="21.75" customHeight="1" x14ac:dyDescent="0.3">
      <c r="A287" s="341">
        <v>44480</v>
      </c>
      <c r="B287" s="342" t="s">
        <v>1835</v>
      </c>
      <c r="C287" s="343">
        <v>10500</v>
      </c>
      <c r="D287" s="347"/>
      <c r="E287" s="346" t="s">
        <v>122</v>
      </c>
      <c r="F287" s="347"/>
      <c r="G287" s="348" t="s">
        <v>122</v>
      </c>
      <c r="H287" s="344" t="s">
        <v>122</v>
      </c>
    </row>
    <row r="288" spans="1:8" ht="21.75" customHeight="1" x14ac:dyDescent="0.3">
      <c r="A288" s="341">
        <v>44481</v>
      </c>
      <c r="B288" s="342" t="s">
        <v>2511</v>
      </c>
      <c r="C288" s="343">
        <v>10750</v>
      </c>
      <c r="D288" s="347"/>
      <c r="E288" s="346" t="s">
        <v>122</v>
      </c>
      <c r="F288" s="347"/>
      <c r="G288" s="348" t="s">
        <v>122</v>
      </c>
      <c r="H288" s="344" t="s">
        <v>122</v>
      </c>
    </row>
    <row r="289" spans="1:8" ht="21.75" customHeight="1" x14ac:dyDescent="0.3">
      <c r="A289" s="341">
        <v>44482</v>
      </c>
      <c r="B289" s="342" t="s">
        <v>2511</v>
      </c>
      <c r="C289" s="343">
        <v>10750</v>
      </c>
      <c r="D289" s="347"/>
      <c r="E289" s="346" t="s">
        <v>122</v>
      </c>
      <c r="F289" s="347"/>
      <c r="G289" s="348" t="s">
        <v>122</v>
      </c>
      <c r="H289" s="344" t="s">
        <v>122</v>
      </c>
    </row>
    <row r="290" spans="1:8" ht="21.75" customHeight="1" x14ac:dyDescent="0.3">
      <c r="A290" s="341">
        <v>44483</v>
      </c>
      <c r="B290" s="342" t="s">
        <v>2511</v>
      </c>
      <c r="C290" s="343">
        <v>10750</v>
      </c>
      <c r="D290" s="347"/>
      <c r="E290" s="346" t="s">
        <v>122</v>
      </c>
      <c r="F290" s="347"/>
      <c r="G290" s="348" t="s">
        <v>122</v>
      </c>
      <c r="H290" s="344" t="s">
        <v>122</v>
      </c>
    </row>
    <row r="291" spans="1:8" ht="21.75" customHeight="1" x14ac:dyDescent="0.3">
      <c r="A291" s="341">
        <v>44484</v>
      </c>
      <c r="B291" s="342" t="s">
        <v>2512</v>
      </c>
      <c r="C291" s="343">
        <v>10700</v>
      </c>
      <c r="D291" s="347"/>
      <c r="E291" s="346" t="s">
        <v>122</v>
      </c>
      <c r="F291" s="347"/>
      <c r="G291" s="348" t="s">
        <v>122</v>
      </c>
      <c r="H291" s="344" t="s">
        <v>122</v>
      </c>
    </row>
    <row r="292" spans="1:8" ht="21.75" customHeight="1" x14ac:dyDescent="0.3">
      <c r="A292" s="341">
        <v>44485</v>
      </c>
      <c r="B292" s="342" t="s">
        <v>2512</v>
      </c>
      <c r="C292" s="343">
        <v>10700</v>
      </c>
      <c r="D292" s="347"/>
      <c r="E292" s="346" t="s">
        <v>122</v>
      </c>
      <c r="F292" s="347"/>
      <c r="G292" s="348" t="s">
        <v>122</v>
      </c>
      <c r="H292" s="344" t="s">
        <v>122</v>
      </c>
    </row>
    <row r="293" spans="1:8" ht="21.75" customHeight="1" x14ac:dyDescent="0.3">
      <c r="A293" s="341">
        <v>44486</v>
      </c>
      <c r="B293" s="342" t="s">
        <v>2512</v>
      </c>
      <c r="C293" s="343">
        <v>10700</v>
      </c>
      <c r="D293" s="347"/>
      <c r="E293" s="346" t="s">
        <v>122</v>
      </c>
      <c r="F293" s="347"/>
      <c r="G293" s="348" t="s">
        <v>122</v>
      </c>
      <c r="H293" s="344" t="s">
        <v>122</v>
      </c>
    </row>
    <row r="294" spans="1:8" ht="21.75" customHeight="1" x14ac:dyDescent="0.3">
      <c r="A294" s="341">
        <v>44487</v>
      </c>
      <c r="B294" s="342" t="s">
        <v>2512</v>
      </c>
      <c r="C294" s="343">
        <v>10700</v>
      </c>
      <c r="D294" s="347"/>
      <c r="E294" s="346" t="s">
        <v>122</v>
      </c>
      <c r="F294" s="347"/>
      <c r="G294" s="348" t="s">
        <v>122</v>
      </c>
      <c r="H294" s="344" t="s">
        <v>122</v>
      </c>
    </row>
    <row r="295" spans="1:8" ht="21.75" customHeight="1" x14ac:dyDescent="0.3">
      <c r="A295" s="341">
        <v>44488</v>
      </c>
      <c r="B295" s="342" t="s">
        <v>2512</v>
      </c>
      <c r="C295" s="343">
        <v>10700</v>
      </c>
      <c r="D295" s="347"/>
      <c r="E295" s="346" t="s">
        <v>122</v>
      </c>
      <c r="F295" s="347"/>
      <c r="G295" s="348" t="s">
        <v>122</v>
      </c>
      <c r="H295" s="344" t="s">
        <v>122</v>
      </c>
    </row>
    <row r="296" spans="1:8" ht="21.75" customHeight="1" x14ac:dyDescent="0.3">
      <c r="A296" s="341">
        <v>44489</v>
      </c>
      <c r="B296" s="342" t="s">
        <v>2512</v>
      </c>
      <c r="C296" s="343">
        <v>10700</v>
      </c>
      <c r="D296" s="347"/>
      <c r="E296" s="346" t="s">
        <v>122</v>
      </c>
      <c r="F296" s="347"/>
      <c r="G296" s="348" t="s">
        <v>122</v>
      </c>
      <c r="H296" s="344" t="s">
        <v>122</v>
      </c>
    </row>
    <row r="297" spans="1:8" ht="21.75" customHeight="1" x14ac:dyDescent="0.3">
      <c r="A297" s="341">
        <v>44490</v>
      </c>
      <c r="B297" s="342" t="s">
        <v>2511</v>
      </c>
      <c r="C297" s="343">
        <v>10750</v>
      </c>
      <c r="D297" s="347"/>
      <c r="E297" s="346" t="s">
        <v>122</v>
      </c>
      <c r="F297" s="347"/>
      <c r="G297" s="348" t="s">
        <v>122</v>
      </c>
      <c r="H297" s="344" t="s">
        <v>122</v>
      </c>
    </row>
    <row r="298" spans="1:8" ht="21.75" customHeight="1" x14ac:dyDescent="0.3">
      <c r="A298" s="341">
        <v>44491</v>
      </c>
      <c r="B298" s="342" t="s">
        <v>2511</v>
      </c>
      <c r="C298" s="343">
        <v>10750</v>
      </c>
      <c r="D298" s="347"/>
      <c r="E298" s="346" t="s">
        <v>122</v>
      </c>
      <c r="F298" s="347"/>
      <c r="G298" s="348" t="s">
        <v>122</v>
      </c>
      <c r="H298" s="344" t="s">
        <v>122</v>
      </c>
    </row>
    <row r="299" spans="1:8" ht="21.75" customHeight="1" x14ac:dyDescent="0.3">
      <c r="A299" s="341">
        <v>44492</v>
      </c>
      <c r="B299" s="342" t="s">
        <v>1841</v>
      </c>
      <c r="C299" s="343">
        <v>11600</v>
      </c>
      <c r="D299" s="347"/>
      <c r="E299" s="346" t="s">
        <v>122</v>
      </c>
      <c r="F299" s="347"/>
      <c r="G299" s="348" t="s">
        <v>122</v>
      </c>
      <c r="H299" s="344" t="s">
        <v>122</v>
      </c>
    </row>
    <row r="300" spans="1:8" ht="21.75" customHeight="1" x14ac:dyDescent="0.3">
      <c r="A300" s="341">
        <v>44493</v>
      </c>
      <c r="B300" s="342" t="s">
        <v>2513</v>
      </c>
      <c r="C300" s="343">
        <v>12200</v>
      </c>
      <c r="D300" s="347"/>
      <c r="E300" s="346" t="s">
        <v>122</v>
      </c>
      <c r="F300" s="347"/>
      <c r="G300" s="348" t="s">
        <v>122</v>
      </c>
      <c r="H300" s="344" t="s">
        <v>122</v>
      </c>
    </row>
    <row r="301" spans="1:8" ht="21.75" customHeight="1" x14ac:dyDescent="0.3">
      <c r="A301" s="341">
        <v>44494</v>
      </c>
      <c r="B301" s="342" t="s">
        <v>2513</v>
      </c>
      <c r="C301" s="343">
        <v>12200</v>
      </c>
      <c r="D301" s="347"/>
      <c r="E301" s="346" t="s">
        <v>122</v>
      </c>
      <c r="F301" s="347"/>
      <c r="G301" s="348" t="s">
        <v>122</v>
      </c>
      <c r="H301" s="344" t="s">
        <v>122</v>
      </c>
    </row>
    <row r="302" spans="1:8" ht="21.75" customHeight="1" x14ac:dyDescent="0.3">
      <c r="A302" s="341">
        <v>44495</v>
      </c>
      <c r="B302" s="342" t="s">
        <v>2513</v>
      </c>
      <c r="C302" s="343">
        <v>12200</v>
      </c>
      <c r="D302" s="347"/>
      <c r="E302" s="346" t="s">
        <v>122</v>
      </c>
      <c r="F302" s="347"/>
      <c r="G302" s="348" t="s">
        <v>122</v>
      </c>
      <c r="H302" s="344" t="s">
        <v>122</v>
      </c>
    </row>
    <row r="303" spans="1:8" ht="21.75" customHeight="1" x14ac:dyDescent="0.3">
      <c r="A303" s="341">
        <v>44496</v>
      </c>
      <c r="B303" s="342" t="s">
        <v>2379</v>
      </c>
      <c r="C303" s="343">
        <v>12500</v>
      </c>
      <c r="D303" s="347" t="s">
        <v>2174</v>
      </c>
      <c r="E303" s="346">
        <v>43.66</v>
      </c>
      <c r="F303" s="347" t="s">
        <v>2174</v>
      </c>
      <c r="G303" s="348">
        <v>45.86</v>
      </c>
      <c r="H303" s="344" t="s">
        <v>122</v>
      </c>
    </row>
    <row r="304" spans="1:8" ht="21.75" customHeight="1" x14ac:dyDescent="0.3">
      <c r="A304" s="341">
        <v>44497</v>
      </c>
      <c r="B304" s="342" t="s">
        <v>1843</v>
      </c>
      <c r="C304" s="343">
        <v>12600</v>
      </c>
      <c r="D304" s="347" t="s">
        <v>2174</v>
      </c>
      <c r="E304" s="346">
        <v>43.85</v>
      </c>
      <c r="F304" s="347" t="s">
        <v>2174</v>
      </c>
      <c r="G304" s="348">
        <v>46.04</v>
      </c>
      <c r="H304" s="344" t="s">
        <v>122</v>
      </c>
    </row>
    <row r="305" spans="1:8" ht="21.75" customHeight="1" x14ac:dyDescent="0.3">
      <c r="A305" s="341">
        <v>44498</v>
      </c>
      <c r="B305" s="342" t="s">
        <v>1843</v>
      </c>
      <c r="C305" s="343">
        <v>12600</v>
      </c>
      <c r="D305" s="347" t="s">
        <v>2174</v>
      </c>
      <c r="E305" s="346">
        <v>43.85</v>
      </c>
      <c r="F305" s="347" t="s">
        <v>2174</v>
      </c>
      <c r="G305" s="348">
        <v>46.04</v>
      </c>
      <c r="H305" s="344" t="s">
        <v>122</v>
      </c>
    </row>
    <row r="306" spans="1:8" ht="21.75" customHeight="1" x14ac:dyDescent="0.3">
      <c r="A306" s="341">
        <v>44499</v>
      </c>
      <c r="B306" s="342" t="s">
        <v>2514</v>
      </c>
      <c r="C306" s="343">
        <v>12850</v>
      </c>
      <c r="D306" s="347" t="s">
        <v>2174</v>
      </c>
      <c r="E306" s="346">
        <v>44.04</v>
      </c>
      <c r="F306" s="347" t="s">
        <v>2152</v>
      </c>
      <c r="G306" s="348">
        <v>28.16</v>
      </c>
      <c r="H306" s="344" t="s">
        <v>122</v>
      </c>
    </row>
    <row r="307" spans="1:8" ht="21.75" customHeight="1" x14ac:dyDescent="0.3">
      <c r="A307" s="341">
        <v>44500</v>
      </c>
      <c r="B307" s="342" t="s">
        <v>2373</v>
      </c>
      <c r="C307" s="343">
        <v>12380</v>
      </c>
      <c r="D307" s="347" t="s">
        <v>2515</v>
      </c>
      <c r="E307" s="346">
        <v>23.07</v>
      </c>
      <c r="F307" s="347"/>
      <c r="G307" s="348" t="s">
        <v>122</v>
      </c>
      <c r="H307" s="344" t="s">
        <v>122</v>
      </c>
    </row>
    <row r="308" spans="1:8" ht="21.75" customHeight="1" x14ac:dyDescent="0.3">
      <c r="A308" s="341">
        <v>44501</v>
      </c>
      <c r="B308" s="342" t="s">
        <v>1845</v>
      </c>
      <c r="C308" s="343">
        <v>14900</v>
      </c>
      <c r="D308" s="347" t="s">
        <v>2509</v>
      </c>
      <c r="E308" s="346">
        <v>9.56</v>
      </c>
      <c r="F308" s="347"/>
      <c r="G308" s="348" t="s">
        <v>122</v>
      </c>
      <c r="H308" s="344" t="s">
        <v>122</v>
      </c>
    </row>
    <row r="309" spans="1:8" ht="21.75" customHeight="1" x14ac:dyDescent="0.3">
      <c r="A309" s="341">
        <v>44502</v>
      </c>
      <c r="B309" s="342" t="s">
        <v>2516</v>
      </c>
      <c r="C309" s="343">
        <v>15000</v>
      </c>
      <c r="D309" s="347" t="s">
        <v>2509</v>
      </c>
      <c r="E309" s="346">
        <v>9.59</v>
      </c>
      <c r="F309" s="347"/>
      <c r="G309" s="348" t="s">
        <v>122</v>
      </c>
      <c r="H309" s="344" t="s">
        <v>122</v>
      </c>
    </row>
    <row r="310" spans="1:8" ht="21.75" customHeight="1" x14ac:dyDescent="0.3">
      <c r="A310" s="341">
        <v>44503</v>
      </c>
      <c r="B310" s="342" t="s">
        <v>2414</v>
      </c>
      <c r="C310" s="343">
        <v>15400</v>
      </c>
      <c r="D310" s="347" t="s">
        <v>2509</v>
      </c>
      <c r="E310" s="346">
        <v>9.66</v>
      </c>
      <c r="F310" s="347" t="s">
        <v>2152</v>
      </c>
      <c r="G310" s="348">
        <v>29.79</v>
      </c>
      <c r="H310" s="344" t="s">
        <v>122</v>
      </c>
    </row>
    <row r="311" spans="1:8" ht="21.75" customHeight="1" x14ac:dyDescent="0.3">
      <c r="A311" s="341">
        <v>44504</v>
      </c>
      <c r="B311" s="342" t="s">
        <v>2414</v>
      </c>
      <c r="C311" s="343">
        <v>15400</v>
      </c>
      <c r="D311" s="347" t="s">
        <v>2530</v>
      </c>
      <c r="E311" s="346">
        <v>33.15</v>
      </c>
      <c r="F311" s="347" t="s">
        <v>2530</v>
      </c>
      <c r="G311" s="348">
        <v>34.64</v>
      </c>
      <c r="H311" s="344" t="s">
        <v>122</v>
      </c>
    </row>
    <row r="312" spans="1:8" ht="21.75" customHeight="1" x14ac:dyDescent="0.3">
      <c r="A312" s="341">
        <v>44505</v>
      </c>
      <c r="B312" s="342" t="s">
        <v>2517</v>
      </c>
      <c r="C312" s="343">
        <v>15750</v>
      </c>
      <c r="D312" s="347" t="s">
        <v>2530</v>
      </c>
      <c r="E312" s="346">
        <v>33.520000000000003</v>
      </c>
      <c r="F312" s="347" t="s">
        <v>2530</v>
      </c>
      <c r="G312" s="348">
        <v>34.99</v>
      </c>
      <c r="H312" s="344" t="s">
        <v>122</v>
      </c>
    </row>
    <row r="313" spans="1:8" ht="21.75" customHeight="1" x14ac:dyDescent="0.3">
      <c r="A313" s="341">
        <v>44506</v>
      </c>
      <c r="B313" s="342" t="s">
        <v>2518</v>
      </c>
      <c r="C313" s="343">
        <v>16000</v>
      </c>
      <c r="D313" s="347" t="s">
        <v>2530</v>
      </c>
      <c r="E313" s="346">
        <v>33.700000000000003</v>
      </c>
      <c r="F313" s="347" t="s">
        <v>2179</v>
      </c>
      <c r="G313" s="348">
        <v>68.569999999999993</v>
      </c>
      <c r="H313" s="344" t="s">
        <v>122</v>
      </c>
    </row>
    <row r="314" spans="1:8" ht="21.75" customHeight="1" x14ac:dyDescent="0.3">
      <c r="A314" s="341">
        <v>44507</v>
      </c>
      <c r="B314" s="342" t="s">
        <v>2519</v>
      </c>
      <c r="C314" s="343">
        <v>16400</v>
      </c>
      <c r="D314" s="347" t="s">
        <v>2530</v>
      </c>
      <c r="E314" s="346">
        <v>33.94</v>
      </c>
      <c r="F314" s="347" t="s">
        <v>2152</v>
      </c>
      <c r="G314" s="348">
        <v>30.38</v>
      </c>
      <c r="H314" s="344" t="s">
        <v>122</v>
      </c>
    </row>
    <row r="315" spans="1:8" ht="21.75" customHeight="1" x14ac:dyDescent="0.3">
      <c r="A315" s="341">
        <v>44508</v>
      </c>
      <c r="B315" s="342" t="s">
        <v>2341</v>
      </c>
      <c r="C315" s="343">
        <v>16700</v>
      </c>
      <c r="D315" s="347" t="s">
        <v>2530</v>
      </c>
      <c r="E315" s="346">
        <v>34.29</v>
      </c>
      <c r="F315" s="347"/>
      <c r="G315" s="348" t="s">
        <v>122</v>
      </c>
      <c r="H315" s="344" t="s">
        <v>122</v>
      </c>
    </row>
    <row r="316" spans="1:8" ht="21.75" customHeight="1" x14ac:dyDescent="0.3">
      <c r="A316" s="341">
        <v>44509</v>
      </c>
      <c r="B316" s="342" t="s">
        <v>2460</v>
      </c>
      <c r="C316" s="343">
        <v>25000</v>
      </c>
      <c r="D316" s="347"/>
      <c r="E316" s="346" t="s">
        <v>122</v>
      </c>
      <c r="F316" s="347"/>
      <c r="G316" s="348" t="s">
        <v>122</v>
      </c>
      <c r="H316" s="344" t="s">
        <v>122</v>
      </c>
    </row>
    <row r="317" spans="1:8" ht="21.75" customHeight="1" x14ac:dyDescent="0.3">
      <c r="A317" s="341">
        <v>44510</v>
      </c>
      <c r="B317" s="342" t="s">
        <v>1864</v>
      </c>
      <c r="C317" s="343">
        <v>33800</v>
      </c>
      <c r="D317" s="347"/>
      <c r="E317" s="346" t="s">
        <v>122</v>
      </c>
      <c r="F317" s="347"/>
      <c r="G317" s="348" t="s">
        <v>122</v>
      </c>
      <c r="H317" s="344" t="s">
        <v>122</v>
      </c>
    </row>
    <row r="318" spans="1:8" ht="21.75" customHeight="1" x14ac:dyDescent="0.3">
      <c r="A318" s="341">
        <v>44511</v>
      </c>
      <c r="B318" s="345" t="s">
        <v>2520</v>
      </c>
      <c r="C318" s="343" t="s">
        <v>2531</v>
      </c>
      <c r="D318" s="347" t="s">
        <v>2508</v>
      </c>
      <c r="E318" s="346">
        <v>24.27</v>
      </c>
      <c r="F318" s="347" t="s">
        <v>2508</v>
      </c>
      <c r="G318" s="348">
        <v>24.89</v>
      </c>
      <c r="H318" s="344">
        <v>808.07</v>
      </c>
    </row>
    <row r="319" spans="1:8" ht="21.75" customHeight="1" x14ac:dyDescent="0.3">
      <c r="A319" s="341">
        <v>44512</v>
      </c>
      <c r="B319" s="345" t="s">
        <v>1869</v>
      </c>
      <c r="C319" s="343" t="s">
        <v>2532</v>
      </c>
      <c r="D319" s="347" t="s">
        <v>2508</v>
      </c>
      <c r="E319" s="346">
        <v>24.27</v>
      </c>
      <c r="F319" s="347" t="s">
        <v>2152</v>
      </c>
      <c r="G319" s="348">
        <v>37.549999999999997</v>
      </c>
      <c r="H319" s="344">
        <v>2610.65</v>
      </c>
    </row>
    <row r="320" spans="1:8" ht="21.75" customHeight="1" x14ac:dyDescent="0.3">
      <c r="A320" s="341">
        <v>44513</v>
      </c>
      <c r="B320" s="345" t="s">
        <v>2521</v>
      </c>
      <c r="C320" s="343" t="s">
        <v>2533</v>
      </c>
      <c r="D320" s="347" t="s">
        <v>2186</v>
      </c>
      <c r="E320" s="346">
        <v>48.1</v>
      </c>
      <c r="F320" s="347" t="s">
        <v>2152</v>
      </c>
      <c r="G320" s="348">
        <v>37.549999999999997</v>
      </c>
      <c r="H320" s="344">
        <v>1129.56</v>
      </c>
    </row>
    <row r="321" spans="1:8" ht="21.75" customHeight="1" x14ac:dyDescent="0.3">
      <c r="A321" s="341">
        <v>44514</v>
      </c>
      <c r="B321" s="345" t="s">
        <v>2521</v>
      </c>
      <c r="C321" s="343" t="s">
        <v>2533</v>
      </c>
      <c r="D321" s="347" t="s">
        <v>2186</v>
      </c>
      <c r="E321" s="346">
        <v>48.1</v>
      </c>
      <c r="F321" s="347" t="s">
        <v>2152</v>
      </c>
      <c r="G321" s="348">
        <v>37.549999999999997</v>
      </c>
      <c r="H321" s="344">
        <v>1129.56</v>
      </c>
    </row>
    <row r="322" spans="1:8" ht="21.75" customHeight="1" x14ac:dyDescent="0.3">
      <c r="A322" s="341">
        <v>44515</v>
      </c>
      <c r="B322" s="345" t="s">
        <v>2522</v>
      </c>
      <c r="C322" s="343" t="s">
        <v>2534</v>
      </c>
      <c r="D322" s="347" t="s">
        <v>2174</v>
      </c>
      <c r="E322" s="346">
        <v>59.86</v>
      </c>
      <c r="F322" s="347" t="s">
        <v>2186</v>
      </c>
      <c r="G322" s="348">
        <v>50.11</v>
      </c>
      <c r="H322" s="344">
        <v>465.31</v>
      </c>
    </row>
    <row r="323" spans="1:8" ht="21.75" customHeight="1" x14ac:dyDescent="0.3">
      <c r="A323" s="341">
        <v>44516</v>
      </c>
      <c r="B323" s="342" t="s">
        <v>1868</v>
      </c>
      <c r="C323" s="343">
        <v>36250</v>
      </c>
      <c r="D323" s="347" t="s">
        <v>2177</v>
      </c>
      <c r="E323" s="346">
        <v>71.5</v>
      </c>
      <c r="F323" s="347" t="s">
        <v>2186</v>
      </c>
      <c r="G323" s="348">
        <v>50.11</v>
      </c>
      <c r="H323" s="344">
        <v>317.87</v>
      </c>
    </row>
    <row r="324" spans="1:8" ht="21.75" customHeight="1" x14ac:dyDescent="0.3">
      <c r="A324" s="341">
        <v>44517</v>
      </c>
      <c r="B324" s="342" t="s">
        <v>2443</v>
      </c>
      <c r="C324" s="343">
        <v>35750</v>
      </c>
      <c r="D324" s="347" t="s">
        <v>2177</v>
      </c>
      <c r="E324" s="346">
        <v>71.33</v>
      </c>
      <c r="F324" s="347" t="s">
        <v>2186</v>
      </c>
      <c r="G324" s="348">
        <v>49.9</v>
      </c>
      <c r="H324" s="344" t="s">
        <v>122</v>
      </c>
    </row>
    <row r="325" spans="1:8" ht="21.75" customHeight="1" x14ac:dyDescent="0.3">
      <c r="A325" s="341">
        <v>44518</v>
      </c>
      <c r="B325" s="345" t="s">
        <v>2523</v>
      </c>
      <c r="C325" s="343" t="s">
        <v>2535</v>
      </c>
      <c r="D325" s="347" t="s">
        <v>2177</v>
      </c>
      <c r="E325" s="350">
        <v>71.5</v>
      </c>
      <c r="F325" s="347" t="s">
        <v>2186</v>
      </c>
      <c r="G325" s="348">
        <v>50.11</v>
      </c>
      <c r="H325" s="344">
        <v>51.58</v>
      </c>
    </row>
    <row r="326" spans="1:8" ht="21.75" customHeight="1" x14ac:dyDescent="0.3">
      <c r="A326" s="341">
        <v>44519</v>
      </c>
      <c r="B326" s="345" t="s">
        <v>2524</v>
      </c>
      <c r="C326" s="343" t="s">
        <v>2533</v>
      </c>
      <c r="D326" s="347" t="s">
        <v>2177</v>
      </c>
      <c r="E326" s="350">
        <v>71.5</v>
      </c>
      <c r="F326" s="347" t="s">
        <v>2186</v>
      </c>
      <c r="G326" s="348">
        <v>50.11</v>
      </c>
      <c r="H326" s="344">
        <v>805.91</v>
      </c>
    </row>
    <row r="327" spans="1:8" ht="21.75" customHeight="1" x14ac:dyDescent="0.3">
      <c r="A327" s="341">
        <v>44520</v>
      </c>
      <c r="B327" s="345" t="s">
        <v>2524</v>
      </c>
      <c r="C327" s="343" t="s">
        <v>2533</v>
      </c>
      <c r="D327" s="347" t="s">
        <v>2177</v>
      </c>
      <c r="E327" s="350">
        <v>71.5</v>
      </c>
      <c r="F327" s="347" t="s">
        <v>2186</v>
      </c>
      <c r="G327" s="348">
        <v>50.11</v>
      </c>
      <c r="H327" s="344">
        <v>805.91</v>
      </c>
    </row>
    <row r="328" spans="1:8" ht="21.75" customHeight="1" x14ac:dyDescent="0.3">
      <c r="A328" s="341">
        <v>44521</v>
      </c>
      <c r="B328" s="345" t="s">
        <v>2524</v>
      </c>
      <c r="C328" s="343" t="s">
        <v>2533</v>
      </c>
      <c r="D328" s="347" t="s">
        <v>2177</v>
      </c>
      <c r="E328" s="350">
        <v>71.5</v>
      </c>
      <c r="F328" s="347" t="s">
        <v>2186</v>
      </c>
      <c r="G328" s="348">
        <v>50.11</v>
      </c>
      <c r="H328" s="344">
        <v>805.91</v>
      </c>
    </row>
    <row r="329" spans="1:8" ht="21.75" customHeight="1" x14ac:dyDescent="0.3">
      <c r="A329" s="341">
        <v>44522</v>
      </c>
      <c r="B329" s="345" t="s">
        <v>2525</v>
      </c>
      <c r="C329" s="343" t="s">
        <v>1855</v>
      </c>
      <c r="D329" s="347" t="s">
        <v>2174</v>
      </c>
      <c r="E329" s="346">
        <v>59.86</v>
      </c>
      <c r="F329" s="347" t="s">
        <v>2186</v>
      </c>
      <c r="G329" s="348">
        <v>50.11</v>
      </c>
      <c r="H329" s="344">
        <v>451.91</v>
      </c>
    </row>
    <row r="330" spans="1:8" ht="21.75" customHeight="1" x14ac:dyDescent="0.3">
      <c r="A330" s="341">
        <v>44523</v>
      </c>
      <c r="B330" s="345" t="s">
        <v>2525</v>
      </c>
      <c r="C330" s="343" t="s">
        <v>1855</v>
      </c>
      <c r="D330" s="347" t="s">
        <v>2174</v>
      </c>
      <c r="E330" s="346">
        <v>59.86</v>
      </c>
      <c r="F330" s="347" t="s">
        <v>2186</v>
      </c>
      <c r="G330" s="348">
        <v>50.11</v>
      </c>
      <c r="H330" s="344">
        <v>451.91</v>
      </c>
    </row>
    <row r="331" spans="1:8" ht="21.75" customHeight="1" x14ac:dyDescent="0.3">
      <c r="A331" s="341">
        <v>44524</v>
      </c>
      <c r="B331" s="345" t="s">
        <v>2526</v>
      </c>
      <c r="C331" s="343" t="s">
        <v>2534</v>
      </c>
      <c r="D331" s="347" t="s">
        <v>2152</v>
      </c>
      <c r="E331" s="346">
        <v>36.24</v>
      </c>
      <c r="F331" s="347" t="s">
        <v>2186</v>
      </c>
      <c r="G331" s="348">
        <v>50.11</v>
      </c>
      <c r="H331" s="344">
        <v>145.88999999999999</v>
      </c>
    </row>
    <row r="332" spans="1:8" ht="21.75" customHeight="1" x14ac:dyDescent="0.3">
      <c r="A332" s="341">
        <v>44525</v>
      </c>
      <c r="B332" s="345" t="s">
        <v>2524</v>
      </c>
      <c r="C332" s="343" t="s">
        <v>2533</v>
      </c>
      <c r="D332" s="347"/>
      <c r="E332" s="346" t="s">
        <v>122</v>
      </c>
      <c r="F332" s="347" t="s">
        <v>2186</v>
      </c>
      <c r="G332" s="348">
        <v>50.11</v>
      </c>
      <c r="H332" s="344">
        <v>805.91</v>
      </c>
    </row>
    <row r="333" spans="1:8" ht="21.75" customHeight="1" x14ac:dyDescent="0.3">
      <c r="A333" s="341">
        <v>44526</v>
      </c>
      <c r="B333" s="345" t="s">
        <v>2527</v>
      </c>
      <c r="C333" s="343" t="s">
        <v>2536</v>
      </c>
      <c r="D333" s="347"/>
      <c r="E333" s="346" t="s">
        <v>122</v>
      </c>
      <c r="F333" s="347" t="s">
        <v>2186</v>
      </c>
      <c r="G333" s="348">
        <v>50.11</v>
      </c>
      <c r="H333" s="344">
        <v>3103.46</v>
      </c>
    </row>
    <row r="334" spans="1:8" ht="21.75" customHeight="1" x14ac:dyDescent="0.3">
      <c r="A334" s="341">
        <v>44527</v>
      </c>
      <c r="B334" s="345" t="s">
        <v>2527</v>
      </c>
      <c r="C334" s="343" t="s">
        <v>2536</v>
      </c>
      <c r="D334" s="347"/>
      <c r="E334" s="346" t="s">
        <v>122</v>
      </c>
      <c r="F334" s="347"/>
      <c r="G334" s="348" t="s">
        <v>122</v>
      </c>
      <c r="H334" s="344">
        <v>3103.46</v>
      </c>
    </row>
    <row r="335" spans="1:8" ht="21.75" customHeight="1" x14ac:dyDescent="0.3">
      <c r="A335" s="341">
        <v>44528</v>
      </c>
      <c r="B335" s="345" t="s">
        <v>2528</v>
      </c>
      <c r="C335" s="343" t="s">
        <v>2537</v>
      </c>
      <c r="D335" s="347"/>
      <c r="E335" s="346" t="s">
        <v>122</v>
      </c>
      <c r="F335" s="347"/>
      <c r="G335" s="348" t="s">
        <v>122</v>
      </c>
      <c r="H335" s="344">
        <v>2297.0700000000002</v>
      </c>
    </row>
    <row r="336" spans="1:8" ht="21.75" customHeight="1" x14ac:dyDescent="0.3">
      <c r="A336" s="341">
        <v>44529</v>
      </c>
      <c r="B336" s="345" t="s">
        <v>2529</v>
      </c>
      <c r="C336" s="343" t="s">
        <v>1854</v>
      </c>
      <c r="D336" s="347" t="s">
        <v>2508</v>
      </c>
      <c r="E336" s="346">
        <v>24.27</v>
      </c>
      <c r="F336" s="347" t="s">
        <v>2508</v>
      </c>
      <c r="G336" s="348">
        <v>24.89</v>
      </c>
      <c r="H336" s="344">
        <v>1762.21</v>
      </c>
    </row>
    <row r="337" spans="1:8" ht="21.75" customHeight="1" x14ac:dyDescent="0.3">
      <c r="A337" s="341">
        <v>44530</v>
      </c>
      <c r="B337" s="345" t="s">
        <v>2529</v>
      </c>
      <c r="C337" s="343" t="s">
        <v>1854</v>
      </c>
      <c r="D337" s="347" t="s">
        <v>2508</v>
      </c>
      <c r="E337" s="346">
        <v>24.27</v>
      </c>
      <c r="F337" s="347" t="s">
        <v>2508</v>
      </c>
      <c r="G337" s="348">
        <v>24.89</v>
      </c>
      <c r="H337" s="344">
        <v>1762.21</v>
      </c>
    </row>
    <row r="338" spans="1:8" ht="21.75" customHeight="1" x14ac:dyDescent="0.3">
      <c r="A338" s="341">
        <v>44531</v>
      </c>
      <c r="B338" s="345" t="s">
        <v>2522</v>
      </c>
      <c r="C338" s="351" t="s">
        <v>2534</v>
      </c>
      <c r="D338" s="347" t="s">
        <v>2152</v>
      </c>
      <c r="E338" s="346">
        <v>36.32</v>
      </c>
      <c r="F338" s="347" t="s">
        <v>2508</v>
      </c>
      <c r="G338" s="348">
        <v>24.95</v>
      </c>
      <c r="H338" s="344">
        <v>146.28</v>
      </c>
    </row>
    <row r="339" spans="1:8" ht="21.75" customHeight="1" x14ac:dyDescent="0.3">
      <c r="A339" s="341">
        <v>44532</v>
      </c>
      <c r="B339" s="345" t="s">
        <v>2538</v>
      </c>
      <c r="C339" s="351" t="s">
        <v>2535</v>
      </c>
      <c r="D339" s="347" t="s">
        <v>2177</v>
      </c>
      <c r="E339" s="346">
        <v>71.58</v>
      </c>
      <c r="F339" s="347" t="s">
        <v>2508</v>
      </c>
      <c r="G339" s="348">
        <v>24.89</v>
      </c>
      <c r="H339" s="344">
        <v>51.72</v>
      </c>
    </row>
    <row r="340" spans="1:8" ht="21.75" customHeight="1" x14ac:dyDescent="0.3">
      <c r="A340" s="341">
        <v>44533</v>
      </c>
      <c r="B340" s="345" t="s">
        <v>2538</v>
      </c>
      <c r="C340" s="351" t="s">
        <v>2535</v>
      </c>
      <c r="D340" s="347" t="s">
        <v>2177</v>
      </c>
      <c r="E340" s="346">
        <v>71.58</v>
      </c>
      <c r="F340" s="347" t="s">
        <v>2508</v>
      </c>
      <c r="G340" s="348">
        <v>24.89</v>
      </c>
      <c r="H340" s="344">
        <v>51.72</v>
      </c>
    </row>
    <row r="341" spans="1:8" ht="21.75" customHeight="1" x14ac:dyDescent="0.3">
      <c r="A341" s="341">
        <v>44534</v>
      </c>
      <c r="B341" s="342" t="s">
        <v>2443</v>
      </c>
      <c r="C341" s="343">
        <v>35750</v>
      </c>
      <c r="D341" s="347" t="s">
        <v>2544</v>
      </c>
      <c r="E341" s="346">
        <v>116.64</v>
      </c>
      <c r="F341" s="347" t="s">
        <v>2186</v>
      </c>
      <c r="G341" s="348">
        <v>49.9</v>
      </c>
      <c r="H341" s="344" t="s">
        <v>122</v>
      </c>
    </row>
    <row r="342" spans="1:8" ht="21.75" customHeight="1" x14ac:dyDescent="0.3">
      <c r="A342" s="341">
        <v>44535</v>
      </c>
      <c r="B342" s="342" t="s">
        <v>1871</v>
      </c>
      <c r="C342" s="343">
        <v>35250</v>
      </c>
      <c r="D342" s="347" t="s">
        <v>2510</v>
      </c>
      <c r="E342" s="346">
        <v>93.99</v>
      </c>
      <c r="F342" s="347" t="s">
        <v>2186</v>
      </c>
      <c r="G342" s="348">
        <v>49.89</v>
      </c>
      <c r="H342" s="344" t="s">
        <v>122</v>
      </c>
    </row>
    <row r="343" spans="1:8" ht="21.75" customHeight="1" x14ac:dyDescent="0.3">
      <c r="A343" s="341">
        <v>44536</v>
      </c>
      <c r="B343" s="342" t="s">
        <v>1868</v>
      </c>
      <c r="C343" s="343">
        <v>36250</v>
      </c>
      <c r="D343" s="347"/>
      <c r="E343" s="346" t="s">
        <v>122</v>
      </c>
      <c r="F343" s="347"/>
      <c r="G343" s="348" t="s">
        <v>122</v>
      </c>
      <c r="H343" s="344" t="s">
        <v>122</v>
      </c>
    </row>
    <row r="344" spans="1:8" ht="21.75" customHeight="1" x14ac:dyDescent="0.3">
      <c r="A344" s="341">
        <v>44537</v>
      </c>
      <c r="B344" s="345" t="s">
        <v>2522</v>
      </c>
      <c r="C344" s="351" t="s">
        <v>2534</v>
      </c>
      <c r="D344" s="347"/>
      <c r="E344" s="346" t="s">
        <v>122</v>
      </c>
      <c r="F344" s="347"/>
      <c r="G344" s="348" t="s">
        <v>122</v>
      </c>
      <c r="H344" s="344">
        <v>146.28</v>
      </c>
    </row>
    <row r="345" spans="1:8" ht="21.75" customHeight="1" x14ac:dyDescent="0.3">
      <c r="A345" s="341">
        <v>44538</v>
      </c>
      <c r="B345" s="345" t="s">
        <v>2539</v>
      </c>
      <c r="C345" s="351" t="s">
        <v>1855</v>
      </c>
      <c r="D345" s="347"/>
      <c r="E345" s="346" t="s">
        <v>122</v>
      </c>
      <c r="F345" s="347" t="s">
        <v>2161</v>
      </c>
      <c r="G345" s="348" t="s">
        <v>122</v>
      </c>
      <c r="H345" s="344">
        <v>453.12</v>
      </c>
    </row>
    <row r="346" spans="1:8" ht="21.75" customHeight="1" x14ac:dyDescent="0.3">
      <c r="A346" s="341">
        <v>44539</v>
      </c>
      <c r="B346" s="345" t="s">
        <v>2539</v>
      </c>
      <c r="C346" s="351" t="s">
        <v>1855</v>
      </c>
      <c r="D346" s="347" t="s">
        <v>2177</v>
      </c>
      <c r="E346" s="346">
        <v>71.83</v>
      </c>
      <c r="F346" s="347" t="s">
        <v>2174</v>
      </c>
      <c r="G346" s="348">
        <v>62.08</v>
      </c>
      <c r="H346" s="344">
        <v>453.12</v>
      </c>
    </row>
    <row r="347" spans="1:8" ht="21.75" customHeight="1" x14ac:dyDescent="0.3">
      <c r="A347" s="341">
        <v>44540</v>
      </c>
      <c r="B347" s="342" t="s">
        <v>1868</v>
      </c>
      <c r="C347" s="343">
        <v>36250</v>
      </c>
      <c r="D347" s="347" t="s">
        <v>2179</v>
      </c>
      <c r="E347" s="346">
        <v>83.02</v>
      </c>
      <c r="F347" s="347" t="s">
        <v>2177</v>
      </c>
      <c r="G347" s="348">
        <v>74.14</v>
      </c>
      <c r="H347" s="344">
        <v>453.12</v>
      </c>
    </row>
    <row r="348" spans="1:8" ht="21.75" customHeight="1" x14ac:dyDescent="0.3">
      <c r="A348" s="341">
        <v>44541</v>
      </c>
      <c r="B348" s="342" t="s">
        <v>1868</v>
      </c>
      <c r="C348" s="343">
        <v>36250</v>
      </c>
      <c r="D348" s="347" t="s">
        <v>2179</v>
      </c>
      <c r="E348" s="346">
        <v>83.02</v>
      </c>
      <c r="F348" s="347" t="s">
        <v>2177</v>
      </c>
      <c r="G348" s="348">
        <v>74.14</v>
      </c>
      <c r="H348" s="344" t="s">
        <v>122</v>
      </c>
    </row>
    <row r="349" spans="1:8" ht="21.75" customHeight="1" x14ac:dyDescent="0.3">
      <c r="A349" s="341">
        <v>44542</v>
      </c>
      <c r="B349" s="342" t="s">
        <v>2443</v>
      </c>
      <c r="C349" s="343">
        <v>35750</v>
      </c>
      <c r="D349" s="347" t="s">
        <v>2177</v>
      </c>
      <c r="E349" s="346">
        <v>71.33</v>
      </c>
      <c r="F349" s="347" t="s">
        <v>2177</v>
      </c>
      <c r="G349" s="348">
        <v>73.98</v>
      </c>
      <c r="H349" s="344" t="s">
        <v>122</v>
      </c>
    </row>
    <row r="350" spans="1:8" ht="21.75" customHeight="1" x14ac:dyDescent="0.3">
      <c r="A350" s="341">
        <v>44543</v>
      </c>
      <c r="B350" s="342" t="s">
        <v>2443</v>
      </c>
      <c r="C350" s="343">
        <v>35750</v>
      </c>
      <c r="D350" s="347" t="s">
        <v>2177</v>
      </c>
      <c r="E350" s="346">
        <v>71.33</v>
      </c>
      <c r="F350" s="347" t="s">
        <v>2177</v>
      </c>
      <c r="G350" s="348">
        <v>73.98</v>
      </c>
      <c r="H350" s="344" t="s">
        <v>122</v>
      </c>
    </row>
    <row r="351" spans="1:8" ht="21.75" customHeight="1" x14ac:dyDescent="0.3">
      <c r="A351" s="341">
        <v>44544</v>
      </c>
      <c r="B351" s="345" t="s">
        <v>2520</v>
      </c>
      <c r="C351" s="351" t="s">
        <v>2533</v>
      </c>
      <c r="D351" s="347"/>
      <c r="E351" s="346" t="s">
        <v>122</v>
      </c>
      <c r="F351" s="347"/>
      <c r="G351" s="348" t="s">
        <v>122</v>
      </c>
      <c r="H351" s="344">
        <v>808.07</v>
      </c>
    </row>
    <row r="352" spans="1:8" ht="21.75" customHeight="1" x14ac:dyDescent="0.3">
      <c r="A352" s="341">
        <v>44545</v>
      </c>
      <c r="B352" s="345" t="s">
        <v>2540</v>
      </c>
      <c r="C352" s="351" t="s">
        <v>2537</v>
      </c>
      <c r="D352" s="347"/>
      <c r="E352" s="346" t="s">
        <v>122</v>
      </c>
      <c r="F352" s="347"/>
      <c r="G352" s="348" t="s">
        <v>122</v>
      </c>
      <c r="H352" s="344">
        <v>1759.59</v>
      </c>
    </row>
    <row r="353" spans="1:8" ht="21.75" customHeight="1" x14ac:dyDescent="0.3">
      <c r="A353" s="341">
        <v>44546</v>
      </c>
      <c r="B353" s="345" t="s">
        <v>2541</v>
      </c>
      <c r="C353" s="351" t="s">
        <v>2545</v>
      </c>
      <c r="D353" s="347"/>
      <c r="E353" s="346" t="s">
        <v>122</v>
      </c>
      <c r="F353" s="347"/>
      <c r="G353" s="348" t="s">
        <v>122</v>
      </c>
      <c r="H353" s="344">
        <v>1514.3</v>
      </c>
    </row>
    <row r="354" spans="1:8" ht="21.75" customHeight="1" x14ac:dyDescent="0.3">
      <c r="A354" s="341">
        <v>44547</v>
      </c>
      <c r="B354" s="345" t="s">
        <v>2541</v>
      </c>
      <c r="C354" s="351" t="s">
        <v>2545</v>
      </c>
      <c r="D354" s="347"/>
      <c r="E354" s="346" t="s">
        <v>122</v>
      </c>
      <c r="F354" s="347"/>
      <c r="G354" s="348" t="s">
        <v>122</v>
      </c>
      <c r="H354" s="344">
        <v>1514.3</v>
      </c>
    </row>
    <row r="355" spans="1:8" ht="21.75" customHeight="1" x14ac:dyDescent="0.3">
      <c r="A355" s="341">
        <v>44548</v>
      </c>
      <c r="B355" s="345" t="s">
        <v>2540</v>
      </c>
      <c r="C355" s="351" t="s">
        <v>2537</v>
      </c>
      <c r="D355" s="347"/>
      <c r="E355" s="346" t="s">
        <v>122</v>
      </c>
      <c r="F355" s="347"/>
      <c r="G355" s="348" t="s">
        <v>122</v>
      </c>
      <c r="H355" s="344">
        <v>1754.89</v>
      </c>
    </row>
    <row r="356" spans="1:8" ht="21.75" customHeight="1" x14ac:dyDescent="0.3">
      <c r="A356" s="341">
        <v>44549</v>
      </c>
      <c r="B356" s="345" t="s">
        <v>1869</v>
      </c>
      <c r="C356" s="351" t="s">
        <v>2532</v>
      </c>
      <c r="D356" s="347" t="s">
        <v>2508</v>
      </c>
      <c r="E356" s="346">
        <v>24.27</v>
      </c>
      <c r="F356" s="347" t="s">
        <v>2508</v>
      </c>
      <c r="G356" s="348">
        <v>24.89</v>
      </c>
      <c r="H356" s="344">
        <v>2279.46</v>
      </c>
    </row>
    <row r="357" spans="1:8" ht="21.75" customHeight="1" x14ac:dyDescent="0.3">
      <c r="A357" s="341">
        <v>44550</v>
      </c>
      <c r="B357" s="345" t="s">
        <v>1869</v>
      </c>
      <c r="C357" s="351" t="s">
        <v>2532</v>
      </c>
      <c r="D357" s="347" t="s">
        <v>2152</v>
      </c>
      <c r="E357" s="346">
        <v>36.24</v>
      </c>
      <c r="F357" s="347" t="s">
        <v>2186</v>
      </c>
      <c r="G357" s="348">
        <v>50.11</v>
      </c>
      <c r="H357" s="344">
        <v>2279.46</v>
      </c>
    </row>
    <row r="358" spans="1:8" ht="21.75" customHeight="1" x14ac:dyDescent="0.3">
      <c r="A358" s="341">
        <v>44551</v>
      </c>
      <c r="B358" s="345" t="s">
        <v>2540</v>
      </c>
      <c r="C358" s="351" t="s">
        <v>2537</v>
      </c>
      <c r="D358" s="347" t="s">
        <v>2152</v>
      </c>
      <c r="E358" s="346">
        <v>36.24</v>
      </c>
      <c r="F358" s="347" t="s">
        <v>2186</v>
      </c>
      <c r="G358" s="348">
        <v>50.11</v>
      </c>
      <c r="H358" s="344">
        <v>1754.89</v>
      </c>
    </row>
    <row r="359" spans="1:8" ht="21.75" customHeight="1" x14ac:dyDescent="0.3">
      <c r="A359" s="341">
        <v>44552</v>
      </c>
      <c r="B359" s="345" t="s">
        <v>2542</v>
      </c>
      <c r="C359" s="351" t="s">
        <v>1854</v>
      </c>
      <c r="D359" s="347" t="s">
        <v>2174</v>
      </c>
      <c r="E359" s="346">
        <v>59.86</v>
      </c>
      <c r="F359" s="347" t="s">
        <v>2186</v>
      </c>
      <c r="G359" s="348">
        <v>50.11</v>
      </c>
      <c r="H359" s="344">
        <v>1222.21</v>
      </c>
    </row>
    <row r="360" spans="1:8" ht="21.75" customHeight="1" x14ac:dyDescent="0.3">
      <c r="A360" s="341">
        <v>44553</v>
      </c>
      <c r="B360" s="345" t="s">
        <v>2520</v>
      </c>
      <c r="C360" s="351" t="s">
        <v>2533</v>
      </c>
      <c r="D360" s="347" t="s">
        <v>2177</v>
      </c>
      <c r="E360" s="346">
        <v>71.5</v>
      </c>
      <c r="F360" s="347" t="s">
        <v>2174</v>
      </c>
      <c r="G360" s="348">
        <v>61.8</v>
      </c>
      <c r="H360" s="344">
        <v>805.91</v>
      </c>
    </row>
    <row r="361" spans="1:8" ht="21.75" customHeight="1" x14ac:dyDescent="0.3">
      <c r="A361" s="341">
        <v>44554</v>
      </c>
      <c r="B361" s="345" t="s">
        <v>2543</v>
      </c>
      <c r="C361" s="351" t="s">
        <v>2546</v>
      </c>
      <c r="D361" s="347" t="s">
        <v>2177</v>
      </c>
      <c r="E361" s="346">
        <v>71.75</v>
      </c>
      <c r="F361" s="347" t="s">
        <v>2174</v>
      </c>
      <c r="G361" s="348">
        <v>61.95</v>
      </c>
      <c r="H361" s="344">
        <v>302.2</v>
      </c>
    </row>
    <row r="362" spans="1:8" ht="21.75" customHeight="1" x14ac:dyDescent="0.3">
      <c r="A362" s="341">
        <v>44555</v>
      </c>
      <c r="B362" s="345" t="s">
        <v>2538</v>
      </c>
      <c r="C362" s="351" t="s">
        <v>2535</v>
      </c>
      <c r="D362" s="347" t="s">
        <v>2177</v>
      </c>
      <c r="E362" s="346">
        <v>71.58</v>
      </c>
      <c r="F362" s="347" t="s">
        <v>2174</v>
      </c>
      <c r="G362" s="348">
        <v>61.8</v>
      </c>
      <c r="H362" s="344">
        <v>51.58</v>
      </c>
    </row>
    <row r="363" spans="1:8" ht="21.75" customHeight="1" x14ac:dyDescent="0.3">
      <c r="A363" s="341">
        <v>44556</v>
      </c>
      <c r="B363" s="342" t="s">
        <v>1868</v>
      </c>
      <c r="C363" s="343">
        <v>36250</v>
      </c>
      <c r="D363" s="347"/>
      <c r="E363" s="346" t="s">
        <v>122</v>
      </c>
      <c r="F363" s="347" t="s">
        <v>2152</v>
      </c>
      <c r="G363" s="348">
        <v>37.549999999999997</v>
      </c>
      <c r="H363" s="344" t="s">
        <v>122</v>
      </c>
    </row>
    <row r="364" spans="1:8" ht="21.75" customHeight="1" x14ac:dyDescent="0.3">
      <c r="A364" s="341">
        <v>44557</v>
      </c>
      <c r="B364" s="342" t="s">
        <v>1868</v>
      </c>
      <c r="C364" s="343">
        <v>36250</v>
      </c>
      <c r="D364" s="347"/>
      <c r="E364" s="346" t="s">
        <v>122</v>
      </c>
      <c r="F364" s="347"/>
      <c r="G364" s="348" t="s">
        <v>122</v>
      </c>
      <c r="H364" s="344" t="s">
        <v>122</v>
      </c>
    </row>
    <row r="365" spans="1:8" ht="21.75" customHeight="1" x14ac:dyDescent="0.3">
      <c r="A365" s="341">
        <v>44558</v>
      </c>
      <c r="B365" s="342" t="s">
        <v>1868</v>
      </c>
      <c r="C365" s="343">
        <v>36250</v>
      </c>
      <c r="D365" s="347"/>
      <c r="E365" s="346" t="s">
        <v>122</v>
      </c>
      <c r="F365" s="347"/>
      <c r="G365" s="348" t="s">
        <v>122</v>
      </c>
      <c r="H365" s="344" t="s">
        <v>122</v>
      </c>
    </row>
    <row r="366" spans="1:8" ht="21.75" customHeight="1" x14ac:dyDescent="0.3">
      <c r="A366" s="341">
        <v>44559</v>
      </c>
      <c r="B366" s="342" t="s">
        <v>1868</v>
      </c>
      <c r="C366" s="343">
        <v>36250</v>
      </c>
      <c r="D366" s="347" t="s">
        <v>2152</v>
      </c>
      <c r="E366" s="346">
        <v>36.24</v>
      </c>
      <c r="F366" s="347"/>
      <c r="G366" s="348" t="s">
        <v>122</v>
      </c>
      <c r="H366" s="344" t="s">
        <v>122</v>
      </c>
    </row>
    <row r="367" spans="1:8" ht="21.75" customHeight="1" x14ac:dyDescent="0.3">
      <c r="A367" s="341">
        <v>44560</v>
      </c>
      <c r="B367" s="342" t="s">
        <v>1868</v>
      </c>
      <c r="C367" s="343">
        <v>36250</v>
      </c>
      <c r="D367" s="347" t="s">
        <v>2186</v>
      </c>
      <c r="E367" s="346">
        <v>48.1</v>
      </c>
      <c r="F367" s="347" t="s">
        <v>2174</v>
      </c>
      <c r="G367" s="348">
        <v>61.8</v>
      </c>
      <c r="H367" s="344" t="s">
        <v>122</v>
      </c>
    </row>
    <row r="368" spans="1:8" ht="21.75" customHeight="1" thickBot="1" x14ac:dyDescent="0.35">
      <c r="A368" s="352">
        <v>44561</v>
      </c>
      <c r="B368" s="353" t="s">
        <v>2443</v>
      </c>
      <c r="C368" s="354">
        <v>35750</v>
      </c>
      <c r="D368" s="355" t="s">
        <v>2177</v>
      </c>
      <c r="E368" s="356">
        <v>71.33</v>
      </c>
      <c r="F368" s="355" t="s">
        <v>2177</v>
      </c>
      <c r="G368" s="357">
        <v>73.98</v>
      </c>
      <c r="H368" s="358" t="s">
        <v>122</v>
      </c>
    </row>
  </sheetData>
  <mergeCells count="6">
    <mergeCell ref="A1:H1"/>
    <mergeCell ref="H2:H3"/>
    <mergeCell ref="A2:A3"/>
    <mergeCell ref="B2:B3"/>
    <mergeCell ref="C2:C3"/>
    <mergeCell ref="D2:G2"/>
  </mergeCells>
  <printOptions horizontalCentered="1"/>
  <pageMargins left="1.2"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69"/>
  <sheetViews>
    <sheetView topLeftCell="A13" workbookViewId="0">
      <selection activeCell="G32" sqref="G32"/>
    </sheetView>
  </sheetViews>
  <sheetFormatPr defaultRowHeight="15" x14ac:dyDescent="0.25"/>
  <cols>
    <col min="1" max="1" width="9.85546875" customWidth="1"/>
    <col min="8" max="8" width="15.140625" customWidth="1"/>
  </cols>
  <sheetData>
    <row r="1" spans="1:12" ht="29.25" customHeight="1" thickBot="1" x14ac:dyDescent="0.45">
      <c r="A1" s="498" t="s">
        <v>2711</v>
      </c>
      <c r="B1" s="498"/>
      <c r="C1" s="498"/>
      <c r="D1" s="498"/>
      <c r="E1" s="498"/>
      <c r="F1" s="498"/>
      <c r="G1" s="498"/>
      <c r="H1" s="498"/>
      <c r="I1" s="81"/>
      <c r="J1" s="81"/>
    </row>
    <row r="2" spans="1:12" ht="19.5" customHeight="1" x14ac:dyDescent="0.25">
      <c r="A2" s="485" t="s">
        <v>1761</v>
      </c>
      <c r="B2" s="476" t="s">
        <v>2671</v>
      </c>
      <c r="C2" s="476" t="s">
        <v>2674</v>
      </c>
      <c r="D2" s="508" t="s">
        <v>2294</v>
      </c>
      <c r="E2" s="508"/>
      <c r="F2" s="508"/>
      <c r="G2" s="508"/>
      <c r="H2" s="457" t="s">
        <v>2670</v>
      </c>
      <c r="I2" s="82"/>
      <c r="J2" s="82"/>
      <c r="K2" s="82"/>
      <c r="L2" s="82"/>
    </row>
    <row r="3" spans="1:12" ht="39" customHeight="1" thickBot="1" x14ac:dyDescent="0.3">
      <c r="A3" s="486"/>
      <c r="B3" s="477"/>
      <c r="C3" s="477"/>
      <c r="D3" s="83" t="s">
        <v>1774</v>
      </c>
      <c r="E3" s="369" t="s">
        <v>735</v>
      </c>
      <c r="F3" s="85" t="s">
        <v>1775</v>
      </c>
      <c r="G3" s="369" t="s">
        <v>735</v>
      </c>
      <c r="H3" s="509"/>
      <c r="I3" s="82"/>
      <c r="J3" s="82"/>
      <c r="K3" s="82"/>
      <c r="L3" s="82"/>
    </row>
    <row r="4" spans="1:12" x14ac:dyDescent="0.25">
      <c r="A4" s="362">
        <v>44562</v>
      </c>
      <c r="B4" s="363" t="s">
        <v>1871</v>
      </c>
      <c r="C4" s="364">
        <v>35250</v>
      </c>
      <c r="D4" s="370" t="s">
        <v>2177</v>
      </c>
      <c r="E4" s="370">
        <v>71.16</v>
      </c>
      <c r="F4" s="370" t="s">
        <v>2177</v>
      </c>
      <c r="G4" s="370">
        <v>73.81</v>
      </c>
      <c r="H4" s="370" t="s">
        <v>122</v>
      </c>
    </row>
    <row r="5" spans="1:12" x14ac:dyDescent="0.25">
      <c r="A5" s="362">
        <v>44563</v>
      </c>
      <c r="B5" s="363" t="s">
        <v>1868</v>
      </c>
      <c r="C5" s="364">
        <v>36250</v>
      </c>
      <c r="D5" s="370" t="s">
        <v>122</v>
      </c>
      <c r="E5" s="370" t="s">
        <v>122</v>
      </c>
      <c r="F5" s="370" t="s">
        <v>2530</v>
      </c>
      <c r="G5" s="370">
        <v>43.43</v>
      </c>
      <c r="H5" s="370" t="s">
        <v>122</v>
      </c>
    </row>
    <row r="6" spans="1:12" x14ac:dyDescent="0.25">
      <c r="A6" s="362">
        <v>44564</v>
      </c>
      <c r="B6" s="365" t="s">
        <v>2538</v>
      </c>
      <c r="C6" s="366" t="s">
        <v>2535</v>
      </c>
      <c r="D6" s="370" t="s">
        <v>122</v>
      </c>
      <c r="E6" s="370" t="s">
        <v>122</v>
      </c>
      <c r="F6" s="370" t="s">
        <v>2530</v>
      </c>
      <c r="G6" s="370">
        <v>43.43</v>
      </c>
      <c r="H6" s="370">
        <v>51.72</v>
      </c>
    </row>
    <row r="7" spans="1:12" x14ac:dyDescent="0.25">
      <c r="A7" s="362">
        <v>44565</v>
      </c>
      <c r="B7" s="365" t="s">
        <v>2712</v>
      </c>
      <c r="C7" s="366" t="s">
        <v>2713</v>
      </c>
      <c r="D7" s="370" t="s">
        <v>122</v>
      </c>
      <c r="E7" s="370" t="s">
        <v>122</v>
      </c>
      <c r="F7" s="370" t="s">
        <v>2530</v>
      </c>
      <c r="G7" s="370">
        <v>43.43</v>
      </c>
      <c r="H7" s="370">
        <v>3545.27</v>
      </c>
    </row>
    <row r="8" spans="1:12" x14ac:dyDescent="0.25">
      <c r="A8" s="362">
        <v>44566</v>
      </c>
      <c r="B8" s="365" t="s">
        <v>2714</v>
      </c>
      <c r="C8" s="366" t="s">
        <v>2715</v>
      </c>
      <c r="D8" s="370" t="s">
        <v>122</v>
      </c>
      <c r="E8" s="370" t="s">
        <v>122</v>
      </c>
      <c r="F8" s="370" t="s">
        <v>2727</v>
      </c>
      <c r="G8" s="370">
        <v>18.8</v>
      </c>
      <c r="H8" s="370">
        <v>2855.48</v>
      </c>
    </row>
    <row r="9" spans="1:12" x14ac:dyDescent="0.25">
      <c r="A9" s="362">
        <v>44567</v>
      </c>
      <c r="B9" s="365" t="s">
        <v>2540</v>
      </c>
      <c r="C9" s="366" t="s">
        <v>2537</v>
      </c>
      <c r="D9" s="370" t="s">
        <v>122</v>
      </c>
      <c r="E9" s="370" t="s">
        <v>122</v>
      </c>
      <c r="F9" s="370" t="s">
        <v>2727</v>
      </c>
      <c r="G9" s="370">
        <v>18.8</v>
      </c>
      <c r="H9" s="370">
        <v>1759.59</v>
      </c>
    </row>
    <row r="10" spans="1:12" x14ac:dyDescent="0.25">
      <c r="A10" s="362">
        <v>44568</v>
      </c>
      <c r="B10" s="365" t="s">
        <v>2520</v>
      </c>
      <c r="C10" s="366" t="s">
        <v>2533</v>
      </c>
      <c r="D10" s="370" t="s">
        <v>2186</v>
      </c>
      <c r="E10" s="370">
        <v>48.1</v>
      </c>
      <c r="F10" s="370" t="s">
        <v>2174</v>
      </c>
      <c r="G10" s="370">
        <v>61.8</v>
      </c>
      <c r="H10" s="370">
        <v>808.07</v>
      </c>
    </row>
    <row r="11" spans="1:12" x14ac:dyDescent="0.25">
      <c r="A11" s="362">
        <v>44569</v>
      </c>
      <c r="B11" s="365" t="s">
        <v>2520</v>
      </c>
      <c r="C11" s="366" t="s">
        <v>2533</v>
      </c>
      <c r="D11" s="370" t="s">
        <v>2186</v>
      </c>
      <c r="E11" s="370">
        <v>48.1</v>
      </c>
      <c r="F11" s="370" t="s">
        <v>2174</v>
      </c>
      <c r="G11" s="370">
        <v>61.8</v>
      </c>
      <c r="H11" s="370">
        <v>808.07</v>
      </c>
    </row>
    <row r="12" spans="1:12" x14ac:dyDescent="0.25">
      <c r="A12" s="362">
        <v>44570</v>
      </c>
      <c r="B12" s="365" t="s">
        <v>2520</v>
      </c>
      <c r="C12" s="366" t="s">
        <v>2533</v>
      </c>
      <c r="D12" s="370" t="s">
        <v>2174</v>
      </c>
      <c r="E12" s="370">
        <v>59.86</v>
      </c>
      <c r="F12" s="370" t="s">
        <v>2174</v>
      </c>
      <c r="G12" s="370">
        <v>61.8</v>
      </c>
      <c r="H12" s="370">
        <v>808.07</v>
      </c>
    </row>
    <row r="13" spans="1:12" x14ac:dyDescent="0.25">
      <c r="A13" s="362">
        <v>44571</v>
      </c>
      <c r="B13" s="365" t="s">
        <v>2520</v>
      </c>
      <c r="C13" s="366" t="s">
        <v>2533</v>
      </c>
      <c r="D13" s="370" t="s">
        <v>2174</v>
      </c>
      <c r="E13" s="370">
        <v>59.86</v>
      </c>
      <c r="F13" s="370" t="s">
        <v>2174</v>
      </c>
      <c r="G13" s="370">
        <v>61.8</v>
      </c>
      <c r="H13" s="370">
        <v>808.07</v>
      </c>
    </row>
    <row r="14" spans="1:12" x14ac:dyDescent="0.25">
      <c r="A14" s="362">
        <v>44572</v>
      </c>
      <c r="B14" s="365" t="s">
        <v>2542</v>
      </c>
      <c r="C14" s="366" t="s">
        <v>1854</v>
      </c>
      <c r="D14" s="370" t="s">
        <v>2177</v>
      </c>
      <c r="E14" s="370">
        <v>71.5</v>
      </c>
      <c r="F14" s="370" t="s">
        <v>2174</v>
      </c>
      <c r="G14" s="370">
        <v>61.8</v>
      </c>
      <c r="H14" s="370">
        <v>1225.48</v>
      </c>
    </row>
    <row r="15" spans="1:12" x14ac:dyDescent="0.25">
      <c r="A15" s="362">
        <v>44573</v>
      </c>
      <c r="B15" s="363" t="s">
        <v>1868</v>
      </c>
      <c r="C15" s="364">
        <v>36250</v>
      </c>
      <c r="D15" s="370" t="s">
        <v>122</v>
      </c>
      <c r="E15" s="370" t="s">
        <v>122</v>
      </c>
      <c r="F15" s="370" t="s">
        <v>122</v>
      </c>
      <c r="G15" s="370" t="s">
        <v>122</v>
      </c>
      <c r="H15" s="370" t="s">
        <v>122</v>
      </c>
    </row>
    <row r="16" spans="1:12" x14ac:dyDescent="0.25">
      <c r="A16" s="362">
        <v>44574</v>
      </c>
      <c r="B16" s="363" t="s">
        <v>1868</v>
      </c>
      <c r="C16" s="364">
        <v>36250</v>
      </c>
      <c r="D16" s="370" t="s">
        <v>122</v>
      </c>
      <c r="E16" s="370" t="s">
        <v>122</v>
      </c>
      <c r="F16" s="370" t="s">
        <v>122</v>
      </c>
      <c r="G16" s="370" t="s">
        <v>122</v>
      </c>
      <c r="H16" s="370" t="s">
        <v>122</v>
      </c>
    </row>
    <row r="17" spans="1:8" x14ac:dyDescent="0.25">
      <c r="A17" s="362">
        <v>44575</v>
      </c>
      <c r="B17" s="363" t="s">
        <v>1868</v>
      </c>
      <c r="C17" s="364">
        <v>36250</v>
      </c>
      <c r="D17" s="370" t="s">
        <v>122</v>
      </c>
      <c r="E17" s="370" t="s">
        <v>122</v>
      </c>
      <c r="F17" s="370" t="s">
        <v>122</v>
      </c>
      <c r="G17" s="370" t="s">
        <v>122</v>
      </c>
      <c r="H17" s="370" t="s">
        <v>122</v>
      </c>
    </row>
    <row r="18" spans="1:8" x14ac:dyDescent="0.25">
      <c r="A18" s="362">
        <v>44576</v>
      </c>
      <c r="B18" s="363" t="s">
        <v>1868</v>
      </c>
      <c r="C18" s="364">
        <v>36250</v>
      </c>
      <c r="D18" s="370" t="s">
        <v>122</v>
      </c>
      <c r="E18" s="370" t="s">
        <v>122</v>
      </c>
      <c r="F18" s="370" t="s">
        <v>122</v>
      </c>
      <c r="G18" s="370" t="s">
        <v>122</v>
      </c>
      <c r="H18" s="370" t="s">
        <v>122</v>
      </c>
    </row>
    <row r="19" spans="1:8" x14ac:dyDescent="0.25">
      <c r="A19" s="362">
        <v>44577</v>
      </c>
      <c r="B19" s="363" t="s">
        <v>1868</v>
      </c>
      <c r="C19" s="364">
        <v>36250</v>
      </c>
      <c r="D19" s="370" t="s">
        <v>2174</v>
      </c>
      <c r="E19" s="370">
        <v>59.86</v>
      </c>
      <c r="F19" s="370" t="s">
        <v>2174</v>
      </c>
      <c r="G19" s="370">
        <v>61.8</v>
      </c>
      <c r="H19" s="370" t="s">
        <v>122</v>
      </c>
    </row>
    <row r="20" spans="1:8" x14ac:dyDescent="0.25">
      <c r="A20" s="362">
        <v>44578</v>
      </c>
      <c r="B20" s="363" t="s">
        <v>1868</v>
      </c>
      <c r="C20" s="364">
        <v>36250</v>
      </c>
      <c r="D20" s="370" t="s">
        <v>2179</v>
      </c>
      <c r="E20" s="370">
        <v>83.02</v>
      </c>
      <c r="F20" s="370" t="s">
        <v>2174</v>
      </c>
      <c r="G20" s="370">
        <v>61.8</v>
      </c>
      <c r="H20" s="370" t="s">
        <v>122</v>
      </c>
    </row>
    <row r="21" spans="1:8" x14ac:dyDescent="0.25">
      <c r="A21" s="362">
        <v>44579</v>
      </c>
      <c r="B21" s="363" t="s">
        <v>1868</v>
      </c>
      <c r="C21" s="364">
        <v>36250</v>
      </c>
      <c r="D21" s="370" t="s">
        <v>2179</v>
      </c>
      <c r="E21" s="370">
        <v>83.02</v>
      </c>
      <c r="F21" s="370" t="s">
        <v>2174</v>
      </c>
      <c r="G21" s="370">
        <v>61.8</v>
      </c>
      <c r="H21" s="370" t="s">
        <v>122</v>
      </c>
    </row>
    <row r="22" spans="1:8" x14ac:dyDescent="0.25">
      <c r="A22" s="362">
        <v>44580</v>
      </c>
      <c r="B22" s="363" t="s">
        <v>1868</v>
      </c>
      <c r="C22" s="364">
        <v>36250</v>
      </c>
      <c r="D22" s="370" t="s">
        <v>2179</v>
      </c>
      <c r="E22" s="370">
        <v>83.02</v>
      </c>
      <c r="F22" s="370" t="s">
        <v>2177</v>
      </c>
      <c r="G22" s="370">
        <v>74.14</v>
      </c>
      <c r="H22" s="370" t="s">
        <v>122</v>
      </c>
    </row>
    <row r="23" spans="1:8" x14ac:dyDescent="0.25">
      <c r="A23" s="362">
        <v>44581</v>
      </c>
      <c r="B23" s="367" t="s">
        <v>2442</v>
      </c>
      <c r="C23" s="364">
        <v>36000</v>
      </c>
      <c r="D23" s="370" t="s">
        <v>2726</v>
      </c>
      <c r="E23" s="370">
        <v>105.62</v>
      </c>
      <c r="F23" s="370" t="s">
        <v>2177</v>
      </c>
      <c r="G23" s="370">
        <v>73.98</v>
      </c>
      <c r="H23" s="370" t="s">
        <v>122</v>
      </c>
    </row>
    <row r="24" spans="1:8" x14ac:dyDescent="0.25">
      <c r="A24" s="362">
        <v>44582</v>
      </c>
      <c r="B24" s="367" t="s">
        <v>2444</v>
      </c>
      <c r="C24" s="364">
        <v>35500</v>
      </c>
      <c r="D24" s="370" t="s">
        <v>2726</v>
      </c>
      <c r="E24" s="370">
        <v>105.37</v>
      </c>
      <c r="F24" s="370" t="s">
        <v>2176</v>
      </c>
      <c r="G24" s="370"/>
      <c r="H24" s="370" t="s">
        <v>122</v>
      </c>
    </row>
    <row r="25" spans="1:8" x14ac:dyDescent="0.25">
      <c r="A25" s="362">
        <v>44583</v>
      </c>
      <c r="B25" s="367" t="s">
        <v>2658</v>
      </c>
      <c r="C25" s="364">
        <v>35000</v>
      </c>
      <c r="D25" s="370" t="s">
        <v>2186</v>
      </c>
      <c r="E25" s="370">
        <v>47.84</v>
      </c>
      <c r="F25" s="370" t="s">
        <v>2174</v>
      </c>
      <c r="G25" s="370">
        <v>61.4</v>
      </c>
      <c r="H25" s="370" t="s">
        <v>122</v>
      </c>
    </row>
    <row r="26" spans="1:8" x14ac:dyDescent="0.25">
      <c r="A26" s="362">
        <v>44584</v>
      </c>
      <c r="B26" s="367" t="s">
        <v>2716</v>
      </c>
      <c r="C26" s="364">
        <v>34500</v>
      </c>
      <c r="D26" s="370" t="s">
        <v>2186</v>
      </c>
      <c r="E26" s="370">
        <v>47.73</v>
      </c>
      <c r="F26" s="370" t="s">
        <v>2174</v>
      </c>
      <c r="G26" s="370">
        <v>61.27</v>
      </c>
      <c r="H26" s="370" t="s">
        <v>122</v>
      </c>
    </row>
    <row r="27" spans="1:8" x14ac:dyDescent="0.25">
      <c r="A27" s="362">
        <v>44585</v>
      </c>
      <c r="B27" s="367" t="s">
        <v>2445</v>
      </c>
      <c r="C27" s="364">
        <v>34075</v>
      </c>
      <c r="D27" s="370" t="s">
        <v>122</v>
      </c>
      <c r="E27" s="370" t="s">
        <v>122</v>
      </c>
      <c r="F27" s="370" t="s">
        <v>2174</v>
      </c>
      <c r="G27" s="370">
        <v>61.14</v>
      </c>
      <c r="H27" s="370" t="s">
        <v>122</v>
      </c>
    </row>
    <row r="28" spans="1:8" x14ac:dyDescent="0.25">
      <c r="A28" s="362">
        <v>44586</v>
      </c>
      <c r="B28" s="367" t="s">
        <v>2296</v>
      </c>
      <c r="C28" s="364">
        <v>33900</v>
      </c>
      <c r="D28" s="370" t="s">
        <v>122</v>
      </c>
      <c r="E28" s="370" t="s">
        <v>122</v>
      </c>
      <c r="F28" s="370" t="s">
        <v>122</v>
      </c>
      <c r="G28" s="370" t="s">
        <v>122</v>
      </c>
      <c r="H28" s="370" t="s">
        <v>122</v>
      </c>
    </row>
    <row r="29" spans="1:8" x14ac:dyDescent="0.25">
      <c r="A29" s="362">
        <v>44587</v>
      </c>
      <c r="B29" s="367" t="s">
        <v>2296</v>
      </c>
      <c r="C29" s="364">
        <v>33900</v>
      </c>
      <c r="D29" s="370" t="s">
        <v>2186</v>
      </c>
      <c r="E29" s="370">
        <v>47.55</v>
      </c>
      <c r="F29" s="370" t="s">
        <v>2174</v>
      </c>
      <c r="G29" s="370">
        <v>61.14</v>
      </c>
      <c r="H29" s="370" t="s">
        <v>122</v>
      </c>
    </row>
    <row r="30" spans="1:8" x14ac:dyDescent="0.25">
      <c r="A30" s="362">
        <v>44588</v>
      </c>
      <c r="B30" s="367" t="s">
        <v>1864</v>
      </c>
      <c r="C30" s="364">
        <v>33800</v>
      </c>
      <c r="D30" s="370" t="s">
        <v>2177</v>
      </c>
      <c r="E30" s="370">
        <v>70.5</v>
      </c>
      <c r="F30" s="370" t="s">
        <v>2177</v>
      </c>
      <c r="G30" s="370">
        <v>72.48</v>
      </c>
      <c r="H30" s="370" t="s">
        <v>122</v>
      </c>
    </row>
    <row r="31" spans="1:8" x14ac:dyDescent="0.25">
      <c r="A31" s="362">
        <v>44589</v>
      </c>
      <c r="B31" s="367" t="s">
        <v>1866</v>
      </c>
      <c r="C31" s="364">
        <v>33500</v>
      </c>
      <c r="D31" s="370" t="s">
        <v>2179</v>
      </c>
      <c r="E31" s="370">
        <v>81.66</v>
      </c>
      <c r="F31" s="370" t="s">
        <v>2179</v>
      </c>
      <c r="G31" s="370">
        <v>83.99</v>
      </c>
      <c r="H31" s="370" t="s">
        <v>122</v>
      </c>
    </row>
    <row r="32" spans="1:8" x14ac:dyDescent="0.25">
      <c r="A32" s="362">
        <v>44590</v>
      </c>
      <c r="B32" s="367" t="s">
        <v>1852</v>
      </c>
      <c r="C32" s="364">
        <v>33000</v>
      </c>
      <c r="D32" s="370" t="s">
        <v>2510</v>
      </c>
      <c r="E32" s="370">
        <v>92.64</v>
      </c>
      <c r="F32" s="370" t="s">
        <v>2179</v>
      </c>
      <c r="G32" s="370">
        <v>83.8</v>
      </c>
      <c r="H32" s="370" t="s">
        <v>122</v>
      </c>
    </row>
    <row r="33" spans="1:8" x14ac:dyDescent="0.25">
      <c r="A33" s="362">
        <v>44591</v>
      </c>
      <c r="B33" s="367" t="s">
        <v>2297</v>
      </c>
      <c r="C33" s="364">
        <v>32800</v>
      </c>
      <c r="D33" s="370" t="s">
        <v>2510</v>
      </c>
      <c r="E33" s="370">
        <v>92.41</v>
      </c>
      <c r="F33" s="370" t="s">
        <v>2179</v>
      </c>
      <c r="G33" s="370">
        <v>83.6</v>
      </c>
      <c r="H33" s="370" t="s">
        <v>122</v>
      </c>
    </row>
    <row r="34" spans="1:8" x14ac:dyDescent="0.25">
      <c r="A34" s="362">
        <v>44592</v>
      </c>
      <c r="B34" s="367" t="s">
        <v>1853</v>
      </c>
      <c r="C34" s="364">
        <v>32600</v>
      </c>
      <c r="D34" s="370" t="s">
        <v>2174</v>
      </c>
      <c r="E34" s="370">
        <v>58.47</v>
      </c>
      <c r="F34" s="370" t="s">
        <v>2179</v>
      </c>
      <c r="G34" s="370">
        <v>83.41</v>
      </c>
      <c r="H34" s="370" t="s">
        <v>122</v>
      </c>
    </row>
    <row r="35" spans="1:8" x14ac:dyDescent="0.25">
      <c r="A35" s="362">
        <v>44593</v>
      </c>
      <c r="B35" s="363" t="s">
        <v>1862</v>
      </c>
      <c r="C35" s="364">
        <v>32400</v>
      </c>
      <c r="D35" s="370" t="s">
        <v>122</v>
      </c>
      <c r="E35" s="370" t="s">
        <v>122</v>
      </c>
      <c r="F35" s="370" t="s">
        <v>122</v>
      </c>
      <c r="G35" s="370" t="s">
        <v>122</v>
      </c>
      <c r="H35" s="370" t="s">
        <v>122</v>
      </c>
    </row>
    <row r="36" spans="1:8" x14ac:dyDescent="0.25">
      <c r="A36" s="362">
        <v>44594</v>
      </c>
      <c r="B36" s="363" t="s">
        <v>1862</v>
      </c>
      <c r="C36" s="364">
        <v>32400</v>
      </c>
      <c r="D36" s="370" t="s">
        <v>122</v>
      </c>
      <c r="E36" s="370" t="s">
        <v>122</v>
      </c>
      <c r="F36" s="370" t="s">
        <v>122</v>
      </c>
      <c r="G36" s="370" t="s">
        <v>122</v>
      </c>
      <c r="H36" s="370" t="s">
        <v>122</v>
      </c>
    </row>
    <row r="37" spans="1:8" x14ac:dyDescent="0.25">
      <c r="A37" s="362">
        <v>44595</v>
      </c>
      <c r="B37" s="363" t="s">
        <v>1862</v>
      </c>
      <c r="C37" s="364">
        <v>32400</v>
      </c>
      <c r="D37" s="370" t="s">
        <v>122</v>
      </c>
      <c r="E37" s="370" t="s">
        <v>122</v>
      </c>
      <c r="F37" s="370" t="s">
        <v>122</v>
      </c>
      <c r="G37" s="370" t="s">
        <v>122</v>
      </c>
      <c r="H37" s="370" t="s">
        <v>122</v>
      </c>
    </row>
    <row r="38" spans="1:8" x14ac:dyDescent="0.25">
      <c r="A38" s="362">
        <v>44596</v>
      </c>
      <c r="B38" s="363" t="s">
        <v>1862</v>
      </c>
      <c r="C38" s="364">
        <v>32400</v>
      </c>
      <c r="D38" s="370" t="s">
        <v>122</v>
      </c>
      <c r="E38" s="370" t="s">
        <v>122</v>
      </c>
      <c r="F38" s="370" t="s">
        <v>122</v>
      </c>
      <c r="G38" s="370" t="s">
        <v>122</v>
      </c>
      <c r="H38" s="370" t="s">
        <v>122</v>
      </c>
    </row>
    <row r="39" spans="1:8" x14ac:dyDescent="0.25">
      <c r="A39" s="362">
        <v>44597</v>
      </c>
      <c r="B39" s="363" t="s">
        <v>1862</v>
      </c>
      <c r="C39" s="364">
        <v>32400</v>
      </c>
      <c r="D39" s="370" t="s">
        <v>122</v>
      </c>
      <c r="E39" s="370" t="s">
        <v>122</v>
      </c>
      <c r="F39" s="370" t="s">
        <v>122</v>
      </c>
      <c r="G39" s="370" t="s">
        <v>122</v>
      </c>
      <c r="H39" s="370" t="s">
        <v>122</v>
      </c>
    </row>
    <row r="40" spans="1:8" x14ac:dyDescent="0.25">
      <c r="A40" s="362">
        <v>44598</v>
      </c>
      <c r="B40" s="363" t="s">
        <v>1851</v>
      </c>
      <c r="C40" s="364">
        <v>32100</v>
      </c>
      <c r="D40" s="370" t="s">
        <v>2177</v>
      </c>
      <c r="E40" s="370">
        <v>69.48</v>
      </c>
      <c r="F40" s="370" t="s">
        <v>2177</v>
      </c>
      <c r="G40" s="370">
        <v>71.5</v>
      </c>
      <c r="H40" s="370" t="s">
        <v>122</v>
      </c>
    </row>
    <row r="41" spans="1:8" x14ac:dyDescent="0.25">
      <c r="A41" s="362">
        <v>44599</v>
      </c>
      <c r="B41" s="363" t="s">
        <v>1857</v>
      </c>
      <c r="C41" s="364">
        <v>31500</v>
      </c>
      <c r="D41" s="370" t="s">
        <v>2179</v>
      </c>
      <c r="E41" s="370">
        <v>80.260000000000005</v>
      </c>
      <c r="F41" s="370" t="s">
        <v>2176</v>
      </c>
      <c r="G41" s="370">
        <v>76.91</v>
      </c>
      <c r="H41" s="370" t="s">
        <v>122</v>
      </c>
    </row>
    <row r="42" spans="1:8" x14ac:dyDescent="0.25">
      <c r="A42" s="362">
        <v>44600</v>
      </c>
      <c r="B42" s="363" t="s">
        <v>1858</v>
      </c>
      <c r="C42" s="364">
        <v>31125</v>
      </c>
      <c r="D42" s="370" t="s">
        <v>2179</v>
      </c>
      <c r="E42" s="370">
        <v>80.06</v>
      </c>
      <c r="F42" s="370" t="s">
        <v>2176</v>
      </c>
      <c r="G42" s="370">
        <v>76.73</v>
      </c>
      <c r="H42" s="370" t="s">
        <v>122</v>
      </c>
    </row>
    <row r="43" spans="1:8" x14ac:dyDescent="0.25">
      <c r="A43" s="362">
        <v>44601</v>
      </c>
      <c r="B43" s="363" t="s">
        <v>1860</v>
      </c>
      <c r="C43" s="364">
        <v>30500</v>
      </c>
      <c r="D43" s="370" t="s">
        <v>2179</v>
      </c>
      <c r="E43" s="370">
        <v>79.66</v>
      </c>
      <c r="F43" s="370" t="s">
        <v>2176</v>
      </c>
      <c r="G43" s="370">
        <v>76.37</v>
      </c>
      <c r="H43" s="370" t="s">
        <v>122</v>
      </c>
    </row>
    <row r="44" spans="1:8" x14ac:dyDescent="0.25">
      <c r="A44" s="362">
        <v>44602</v>
      </c>
      <c r="B44" s="363" t="s">
        <v>2550</v>
      </c>
      <c r="C44" s="364">
        <v>30300</v>
      </c>
      <c r="D44" s="370" t="s">
        <v>2177</v>
      </c>
      <c r="E44" s="370">
        <v>68.45</v>
      </c>
      <c r="F44" s="370" t="s">
        <v>2176</v>
      </c>
      <c r="G44" s="370">
        <v>76.19</v>
      </c>
      <c r="H44" s="370" t="s">
        <v>122</v>
      </c>
    </row>
    <row r="45" spans="1:8" x14ac:dyDescent="0.25">
      <c r="A45" s="362">
        <v>44603</v>
      </c>
      <c r="B45" s="363" t="s">
        <v>2301</v>
      </c>
      <c r="C45" s="364">
        <v>30200</v>
      </c>
      <c r="D45" s="370" t="s">
        <v>122</v>
      </c>
      <c r="E45" s="370" t="s">
        <v>122</v>
      </c>
      <c r="F45" s="370" t="s">
        <v>122</v>
      </c>
      <c r="G45" s="370" t="s">
        <v>122</v>
      </c>
      <c r="H45" s="370" t="s">
        <v>122</v>
      </c>
    </row>
    <row r="46" spans="1:8" x14ac:dyDescent="0.25">
      <c r="A46" s="362">
        <v>44604</v>
      </c>
      <c r="B46" s="363" t="s">
        <v>2301</v>
      </c>
      <c r="C46" s="364">
        <v>30200</v>
      </c>
      <c r="D46" s="370" t="s">
        <v>122</v>
      </c>
      <c r="E46" s="370" t="s">
        <v>122</v>
      </c>
      <c r="F46" s="370" t="s">
        <v>122</v>
      </c>
      <c r="G46" s="370" t="s">
        <v>122</v>
      </c>
      <c r="H46" s="370" t="s">
        <v>122</v>
      </c>
    </row>
    <row r="47" spans="1:8" x14ac:dyDescent="0.25">
      <c r="A47" s="362">
        <v>44605</v>
      </c>
      <c r="B47" s="363" t="s">
        <v>2301</v>
      </c>
      <c r="C47" s="364">
        <v>30200</v>
      </c>
      <c r="D47" s="370" t="s">
        <v>122</v>
      </c>
      <c r="E47" s="370" t="s">
        <v>122</v>
      </c>
      <c r="F47" s="370" t="s">
        <v>122</v>
      </c>
      <c r="G47" s="370" t="s">
        <v>122</v>
      </c>
      <c r="H47" s="370" t="s">
        <v>122</v>
      </c>
    </row>
    <row r="48" spans="1:8" x14ac:dyDescent="0.25">
      <c r="A48" s="362">
        <v>44606</v>
      </c>
      <c r="B48" s="363" t="s">
        <v>1856</v>
      </c>
      <c r="C48" s="364">
        <v>32000</v>
      </c>
      <c r="D48" s="370" t="s">
        <v>122</v>
      </c>
      <c r="E48" s="370" t="s">
        <v>122</v>
      </c>
      <c r="F48" s="370" t="s">
        <v>122</v>
      </c>
      <c r="G48" s="370" t="s">
        <v>122</v>
      </c>
      <c r="H48" s="370" t="s">
        <v>122</v>
      </c>
    </row>
    <row r="49" spans="1:8" x14ac:dyDescent="0.25">
      <c r="A49" s="362">
        <v>44607</v>
      </c>
      <c r="B49" s="363" t="s">
        <v>1851</v>
      </c>
      <c r="C49" s="364">
        <v>32100</v>
      </c>
      <c r="D49" s="370" t="s">
        <v>122</v>
      </c>
      <c r="E49" s="370" t="s">
        <v>122</v>
      </c>
      <c r="F49" s="370" t="s">
        <v>122</v>
      </c>
      <c r="G49" s="370" t="s">
        <v>122</v>
      </c>
      <c r="H49" s="370" t="s">
        <v>122</v>
      </c>
    </row>
    <row r="50" spans="1:8" x14ac:dyDescent="0.25">
      <c r="A50" s="362">
        <v>44608</v>
      </c>
      <c r="B50" s="363" t="s">
        <v>1851</v>
      </c>
      <c r="C50" s="364">
        <v>32100</v>
      </c>
      <c r="D50" s="370" t="s">
        <v>122</v>
      </c>
      <c r="E50" s="370" t="s">
        <v>122</v>
      </c>
      <c r="F50" s="370" t="s">
        <v>122</v>
      </c>
      <c r="G50" s="370" t="s">
        <v>122</v>
      </c>
      <c r="H50" s="370" t="s">
        <v>122</v>
      </c>
    </row>
    <row r="51" spans="1:8" x14ac:dyDescent="0.25">
      <c r="A51" s="362">
        <v>44609</v>
      </c>
      <c r="B51" s="363" t="s">
        <v>1851</v>
      </c>
      <c r="C51" s="364">
        <v>32100</v>
      </c>
      <c r="D51" s="370" t="s">
        <v>122</v>
      </c>
      <c r="E51" s="370" t="s">
        <v>122</v>
      </c>
      <c r="F51" s="370" t="s">
        <v>122</v>
      </c>
      <c r="G51" s="370" t="s">
        <v>122</v>
      </c>
      <c r="H51" s="370" t="s">
        <v>122</v>
      </c>
    </row>
    <row r="52" spans="1:8" x14ac:dyDescent="0.25">
      <c r="A52" s="362">
        <v>44610</v>
      </c>
      <c r="B52" s="363" t="s">
        <v>1851</v>
      </c>
      <c r="C52" s="364">
        <v>32100</v>
      </c>
      <c r="D52" s="370" t="s">
        <v>122</v>
      </c>
      <c r="E52" s="370" t="s">
        <v>122</v>
      </c>
      <c r="F52" s="370" t="s">
        <v>122</v>
      </c>
      <c r="G52" s="370" t="s">
        <v>122</v>
      </c>
      <c r="H52" s="370" t="s">
        <v>122</v>
      </c>
    </row>
    <row r="53" spans="1:8" x14ac:dyDescent="0.25">
      <c r="A53" s="362">
        <v>44611</v>
      </c>
      <c r="B53" s="363" t="s">
        <v>1851</v>
      </c>
      <c r="C53" s="364">
        <v>32100</v>
      </c>
      <c r="D53" s="370" t="s">
        <v>2174</v>
      </c>
      <c r="E53" s="370">
        <v>58.19</v>
      </c>
      <c r="F53" s="370" t="s">
        <v>2174</v>
      </c>
      <c r="G53" s="370">
        <v>59.86</v>
      </c>
      <c r="H53" s="370" t="s">
        <v>122</v>
      </c>
    </row>
    <row r="54" spans="1:8" x14ac:dyDescent="0.25">
      <c r="A54" s="362">
        <v>44612</v>
      </c>
      <c r="B54" s="363" t="s">
        <v>1862</v>
      </c>
      <c r="C54" s="364">
        <v>32400</v>
      </c>
      <c r="D54" s="370" t="s">
        <v>2174</v>
      </c>
      <c r="E54" s="370">
        <v>58.33</v>
      </c>
      <c r="F54" s="370" t="s">
        <v>2174</v>
      </c>
      <c r="G54" s="370">
        <v>59.99</v>
      </c>
      <c r="H54" s="370" t="s">
        <v>122</v>
      </c>
    </row>
    <row r="55" spans="1:8" x14ac:dyDescent="0.25">
      <c r="A55" s="362">
        <v>44613</v>
      </c>
      <c r="B55" s="363" t="s">
        <v>1875</v>
      </c>
      <c r="C55" s="364">
        <v>32500</v>
      </c>
      <c r="D55" s="370" t="s">
        <v>122</v>
      </c>
      <c r="E55" s="370" t="s">
        <v>122</v>
      </c>
      <c r="F55" s="370" t="s">
        <v>122</v>
      </c>
      <c r="G55" s="370" t="s">
        <v>122</v>
      </c>
      <c r="H55" s="370" t="s">
        <v>122</v>
      </c>
    </row>
    <row r="56" spans="1:8" x14ac:dyDescent="0.25">
      <c r="A56" s="362">
        <v>44614</v>
      </c>
      <c r="B56" s="363" t="s">
        <v>1875</v>
      </c>
      <c r="C56" s="364">
        <v>32500</v>
      </c>
      <c r="D56" s="370" t="s">
        <v>122</v>
      </c>
      <c r="E56" s="370" t="s">
        <v>122</v>
      </c>
      <c r="F56" s="370" t="s">
        <v>122</v>
      </c>
      <c r="G56" s="370" t="s">
        <v>122</v>
      </c>
      <c r="H56" s="370" t="s">
        <v>122</v>
      </c>
    </row>
    <row r="57" spans="1:8" x14ac:dyDescent="0.25">
      <c r="A57" s="362">
        <v>44615</v>
      </c>
      <c r="B57" s="363" t="s">
        <v>1875</v>
      </c>
      <c r="C57" s="364">
        <v>32500</v>
      </c>
      <c r="D57" s="370" t="s">
        <v>122</v>
      </c>
      <c r="E57" s="370" t="s">
        <v>122</v>
      </c>
      <c r="F57" s="370" t="s">
        <v>2509</v>
      </c>
      <c r="G57" s="370">
        <v>12.22</v>
      </c>
      <c r="H57" s="370" t="s">
        <v>122</v>
      </c>
    </row>
    <row r="58" spans="1:8" x14ac:dyDescent="0.25">
      <c r="A58" s="362">
        <v>44616</v>
      </c>
      <c r="B58" s="363" t="s">
        <v>1875</v>
      </c>
      <c r="C58" s="364">
        <v>32500</v>
      </c>
      <c r="D58" s="370" t="s">
        <v>122</v>
      </c>
      <c r="E58" s="370" t="s">
        <v>122</v>
      </c>
      <c r="F58" s="370" t="s">
        <v>2161</v>
      </c>
      <c r="G58" s="370">
        <v>5.94</v>
      </c>
      <c r="H58" s="370" t="s">
        <v>122</v>
      </c>
    </row>
    <row r="59" spans="1:8" x14ac:dyDescent="0.25">
      <c r="A59" s="362">
        <v>44617</v>
      </c>
      <c r="B59" s="363" t="s">
        <v>1875</v>
      </c>
      <c r="C59" s="364">
        <v>32500</v>
      </c>
      <c r="D59" s="370" t="s">
        <v>122</v>
      </c>
      <c r="E59" s="370" t="s">
        <v>122</v>
      </c>
      <c r="F59" s="370" t="s">
        <v>2161</v>
      </c>
      <c r="G59" s="370">
        <v>5.94</v>
      </c>
      <c r="H59" s="370" t="s">
        <v>122</v>
      </c>
    </row>
    <row r="60" spans="1:8" x14ac:dyDescent="0.25">
      <c r="A60" s="362">
        <v>44618</v>
      </c>
      <c r="B60" s="363" t="s">
        <v>1875</v>
      </c>
      <c r="C60" s="364">
        <v>32500</v>
      </c>
      <c r="D60" s="370" t="s">
        <v>122</v>
      </c>
      <c r="E60" s="370" t="s">
        <v>122</v>
      </c>
      <c r="F60" s="370" t="s">
        <v>122</v>
      </c>
      <c r="G60" s="370" t="s">
        <v>122</v>
      </c>
      <c r="H60" s="370" t="s">
        <v>122</v>
      </c>
    </row>
    <row r="61" spans="1:8" x14ac:dyDescent="0.25">
      <c r="A61" s="362">
        <v>44619</v>
      </c>
      <c r="B61" s="363" t="s">
        <v>1875</v>
      </c>
      <c r="C61" s="364">
        <v>32500</v>
      </c>
      <c r="D61" s="370" t="s">
        <v>122</v>
      </c>
      <c r="E61" s="370" t="s">
        <v>122</v>
      </c>
      <c r="F61" s="370" t="s">
        <v>122</v>
      </c>
      <c r="G61" s="370" t="s">
        <v>122</v>
      </c>
      <c r="H61" s="370" t="s">
        <v>122</v>
      </c>
    </row>
    <row r="62" spans="1:8" x14ac:dyDescent="0.25">
      <c r="A62" s="362">
        <v>44620</v>
      </c>
      <c r="B62" s="363" t="s">
        <v>1875</v>
      </c>
      <c r="C62" s="364">
        <v>32500</v>
      </c>
      <c r="D62" s="370" t="s">
        <v>122</v>
      </c>
      <c r="E62" s="370" t="s">
        <v>122</v>
      </c>
      <c r="F62" s="370" t="s">
        <v>122</v>
      </c>
      <c r="G62" s="370" t="s">
        <v>122</v>
      </c>
      <c r="H62" s="370" t="s">
        <v>122</v>
      </c>
    </row>
    <row r="63" spans="1:8" x14ac:dyDescent="0.25">
      <c r="A63" s="362">
        <v>44621</v>
      </c>
      <c r="B63" s="363" t="s">
        <v>1862</v>
      </c>
      <c r="C63" s="364">
        <v>32400</v>
      </c>
      <c r="D63" s="370" t="s">
        <v>122</v>
      </c>
      <c r="E63" s="370" t="s">
        <v>122</v>
      </c>
      <c r="F63" s="370" t="s">
        <v>2161</v>
      </c>
      <c r="G63" s="370">
        <v>6.11</v>
      </c>
      <c r="H63" s="370" t="s">
        <v>122</v>
      </c>
    </row>
    <row r="64" spans="1:8" x14ac:dyDescent="0.25">
      <c r="A64" s="362">
        <v>44622</v>
      </c>
      <c r="B64" s="363" t="s">
        <v>1851</v>
      </c>
      <c r="C64" s="364">
        <v>32100</v>
      </c>
      <c r="D64" s="370" t="s">
        <v>2152</v>
      </c>
      <c r="E64" s="370">
        <v>25.97</v>
      </c>
      <c r="F64" s="370" t="s">
        <v>2161</v>
      </c>
      <c r="G64" s="370">
        <v>4.63</v>
      </c>
      <c r="H64" s="370" t="s">
        <v>122</v>
      </c>
    </row>
    <row r="65" spans="1:8" x14ac:dyDescent="0.25">
      <c r="A65" s="362">
        <v>44623</v>
      </c>
      <c r="B65" s="363" t="s">
        <v>1856</v>
      </c>
      <c r="C65" s="364">
        <v>32000</v>
      </c>
      <c r="D65" s="370" t="s">
        <v>2152</v>
      </c>
      <c r="E65" s="370">
        <v>35.17</v>
      </c>
      <c r="F65" s="370" t="s">
        <v>2161</v>
      </c>
      <c r="G65" s="370">
        <v>6.11</v>
      </c>
      <c r="H65" s="370" t="s">
        <v>122</v>
      </c>
    </row>
    <row r="66" spans="1:8" x14ac:dyDescent="0.25">
      <c r="A66" s="362">
        <v>44624</v>
      </c>
      <c r="B66" s="363" t="s">
        <v>1856</v>
      </c>
      <c r="C66" s="364">
        <v>32000</v>
      </c>
      <c r="D66" s="370" t="s">
        <v>122</v>
      </c>
      <c r="E66" s="370" t="s">
        <v>122</v>
      </c>
      <c r="F66" s="370" t="s">
        <v>2161</v>
      </c>
      <c r="G66" s="370">
        <v>6.11</v>
      </c>
      <c r="H66" s="370" t="s">
        <v>122</v>
      </c>
    </row>
    <row r="67" spans="1:8" x14ac:dyDescent="0.25">
      <c r="A67" s="362">
        <v>44625</v>
      </c>
      <c r="B67" s="363" t="s">
        <v>1856</v>
      </c>
      <c r="C67" s="364">
        <v>32000</v>
      </c>
      <c r="D67" s="370" t="s">
        <v>122</v>
      </c>
      <c r="E67" s="370" t="s">
        <v>122</v>
      </c>
      <c r="F67" s="370" t="s">
        <v>2161</v>
      </c>
      <c r="G67" s="370">
        <v>6.11</v>
      </c>
      <c r="H67" s="370" t="s">
        <v>122</v>
      </c>
    </row>
    <row r="68" spans="1:8" x14ac:dyDescent="0.25">
      <c r="A68" s="362">
        <v>44626</v>
      </c>
      <c r="B68" s="363" t="s">
        <v>1856</v>
      </c>
      <c r="C68" s="364">
        <v>32000</v>
      </c>
      <c r="D68" s="370" t="s">
        <v>122</v>
      </c>
      <c r="E68" s="370" t="s">
        <v>122</v>
      </c>
      <c r="F68" s="370" t="s">
        <v>2161</v>
      </c>
      <c r="G68" s="370">
        <v>6.11</v>
      </c>
      <c r="H68" s="370" t="s">
        <v>122</v>
      </c>
    </row>
    <row r="69" spans="1:8" x14ac:dyDescent="0.25">
      <c r="A69" s="362">
        <v>44627</v>
      </c>
      <c r="B69" s="363" t="s">
        <v>1856</v>
      </c>
      <c r="C69" s="364">
        <v>32000</v>
      </c>
      <c r="D69" s="370" t="s">
        <v>122</v>
      </c>
      <c r="E69" s="370" t="s">
        <v>122</v>
      </c>
      <c r="F69" s="370" t="s">
        <v>122</v>
      </c>
      <c r="G69" s="370" t="s">
        <v>122</v>
      </c>
      <c r="H69" s="370" t="s">
        <v>122</v>
      </c>
    </row>
    <row r="70" spans="1:8" x14ac:dyDescent="0.25">
      <c r="A70" s="362">
        <v>44628</v>
      </c>
      <c r="B70" s="363" t="s">
        <v>1856</v>
      </c>
      <c r="C70" s="364">
        <v>32000</v>
      </c>
      <c r="D70" s="370" t="s">
        <v>122</v>
      </c>
      <c r="E70" s="370" t="s">
        <v>122</v>
      </c>
      <c r="F70" s="370" t="s">
        <v>122</v>
      </c>
      <c r="G70" s="370" t="s">
        <v>122</v>
      </c>
      <c r="H70" s="370" t="s">
        <v>122</v>
      </c>
    </row>
    <row r="71" spans="1:8" x14ac:dyDescent="0.25">
      <c r="A71" s="362">
        <v>44629</v>
      </c>
      <c r="B71" s="363" t="s">
        <v>1856</v>
      </c>
      <c r="C71" s="364">
        <v>32000</v>
      </c>
      <c r="D71" s="370" t="s">
        <v>122</v>
      </c>
      <c r="E71" s="370" t="s">
        <v>122</v>
      </c>
      <c r="F71" s="370" t="s">
        <v>122</v>
      </c>
      <c r="G71" s="370" t="s">
        <v>122</v>
      </c>
      <c r="H71" s="370" t="s">
        <v>122</v>
      </c>
    </row>
    <row r="72" spans="1:8" x14ac:dyDescent="0.25">
      <c r="A72" s="362">
        <v>44630</v>
      </c>
      <c r="B72" s="363" t="s">
        <v>1856</v>
      </c>
      <c r="C72" s="364">
        <v>32000</v>
      </c>
      <c r="D72" s="370" t="s">
        <v>122</v>
      </c>
      <c r="E72" s="370" t="s">
        <v>122</v>
      </c>
      <c r="F72" s="370" t="s">
        <v>2161</v>
      </c>
      <c r="G72" s="370">
        <v>6.1</v>
      </c>
      <c r="H72" s="370" t="s">
        <v>122</v>
      </c>
    </row>
    <row r="73" spans="1:8" x14ac:dyDescent="0.25">
      <c r="A73" s="362">
        <v>44631</v>
      </c>
      <c r="B73" s="363" t="s">
        <v>1856</v>
      </c>
      <c r="C73" s="364">
        <v>32000</v>
      </c>
      <c r="D73" s="370" t="s">
        <v>122</v>
      </c>
      <c r="E73" s="370" t="s">
        <v>122</v>
      </c>
      <c r="F73" s="370" t="s">
        <v>2161</v>
      </c>
      <c r="G73" s="370">
        <v>6.1</v>
      </c>
      <c r="H73" s="370" t="s">
        <v>122</v>
      </c>
    </row>
    <row r="74" spans="1:8" x14ac:dyDescent="0.25">
      <c r="A74" s="362">
        <v>44632</v>
      </c>
      <c r="B74" s="363" t="s">
        <v>1856</v>
      </c>
      <c r="C74" s="364">
        <v>32000</v>
      </c>
      <c r="D74" s="370" t="s">
        <v>122</v>
      </c>
      <c r="E74" s="370" t="s">
        <v>122</v>
      </c>
      <c r="F74" s="370" t="s">
        <v>2161</v>
      </c>
      <c r="G74" s="370">
        <v>6.1</v>
      </c>
      <c r="H74" s="370" t="s">
        <v>122</v>
      </c>
    </row>
    <row r="75" spans="1:8" x14ac:dyDescent="0.25">
      <c r="A75" s="362">
        <v>44633</v>
      </c>
      <c r="B75" s="363" t="s">
        <v>1856</v>
      </c>
      <c r="C75" s="364">
        <v>32000</v>
      </c>
      <c r="D75" s="370" t="s">
        <v>122</v>
      </c>
      <c r="E75" s="370" t="s">
        <v>122</v>
      </c>
      <c r="F75" s="370" t="s">
        <v>2161</v>
      </c>
      <c r="G75" s="370">
        <v>6.1</v>
      </c>
      <c r="H75" s="370" t="s">
        <v>122</v>
      </c>
    </row>
    <row r="76" spans="1:8" x14ac:dyDescent="0.25">
      <c r="A76" s="362">
        <v>44634</v>
      </c>
      <c r="B76" s="363" t="s">
        <v>1856</v>
      </c>
      <c r="C76" s="364">
        <v>32000</v>
      </c>
      <c r="D76" s="370" t="s">
        <v>122</v>
      </c>
      <c r="E76" s="370" t="s">
        <v>122</v>
      </c>
      <c r="F76" s="370" t="s">
        <v>2161</v>
      </c>
      <c r="G76" s="370">
        <v>6.1</v>
      </c>
      <c r="H76" s="370" t="s">
        <v>122</v>
      </c>
    </row>
    <row r="77" spans="1:8" x14ac:dyDescent="0.25">
      <c r="A77" s="362">
        <v>44635</v>
      </c>
      <c r="B77" s="363" t="s">
        <v>1856</v>
      </c>
      <c r="C77" s="364">
        <v>32000</v>
      </c>
      <c r="D77" s="370" t="s">
        <v>122</v>
      </c>
      <c r="E77" s="370" t="s">
        <v>122</v>
      </c>
      <c r="F77" s="370" t="s">
        <v>2161</v>
      </c>
      <c r="G77" s="370">
        <v>6.1</v>
      </c>
      <c r="H77" s="370" t="s">
        <v>122</v>
      </c>
    </row>
    <row r="78" spans="1:8" x14ac:dyDescent="0.25">
      <c r="A78" s="362">
        <v>44636</v>
      </c>
      <c r="B78" s="363" t="s">
        <v>1856</v>
      </c>
      <c r="C78" s="364">
        <v>32000</v>
      </c>
      <c r="D78" s="370" t="s">
        <v>122</v>
      </c>
      <c r="E78" s="370" t="s">
        <v>122</v>
      </c>
      <c r="F78" s="370" t="s">
        <v>2161</v>
      </c>
      <c r="G78" s="370">
        <v>6.1</v>
      </c>
      <c r="H78" s="370" t="s">
        <v>122</v>
      </c>
    </row>
    <row r="79" spans="1:8" x14ac:dyDescent="0.25">
      <c r="A79" s="362">
        <v>44637</v>
      </c>
      <c r="B79" s="363" t="s">
        <v>1856</v>
      </c>
      <c r="C79" s="364">
        <v>32000</v>
      </c>
      <c r="D79" s="370" t="s">
        <v>122</v>
      </c>
      <c r="E79" s="370" t="s">
        <v>122</v>
      </c>
      <c r="F79" s="370" t="s">
        <v>2161</v>
      </c>
      <c r="G79" s="370">
        <v>6.1</v>
      </c>
      <c r="H79" s="370" t="s">
        <v>122</v>
      </c>
    </row>
    <row r="80" spans="1:8" x14ac:dyDescent="0.25">
      <c r="A80" s="362">
        <v>44638</v>
      </c>
      <c r="B80" s="363" t="s">
        <v>2298</v>
      </c>
      <c r="C80" s="364">
        <v>32250</v>
      </c>
      <c r="D80" s="370" t="s">
        <v>122</v>
      </c>
      <c r="E80" s="370" t="s">
        <v>122</v>
      </c>
      <c r="F80" s="370" t="s">
        <v>2161</v>
      </c>
      <c r="G80" s="370">
        <v>6.11</v>
      </c>
      <c r="H80" s="370" t="s">
        <v>122</v>
      </c>
    </row>
    <row r="81" spans="1:8" x14ac:dyDescent="0.25">
      <c r="A81" s="362">
        <v>44639</v>
      </c>
      <c r="B81" s="363" t="s">
        <v>1862</v>
      </c>
      <c r="C81" s="364">
        <v>32400</v>
      </c>
      <c r="D81" s="370" t="s">
        <v>122</v>
      </c>
      <c r="E81" s="370" t="s">
        <v>122</v>
      </c>
      <c r="F81" s="370" t="s">
        <v>2161</v>
      </c>
      <c r="G81" s="370">
        <v>6.11</v>
      </c>
      <c r="H81" s="370" t="s">
        <v>122</v>
      </c>
    </row>
    <row r="82" spans="1:8" x14ac:dyDescent="0.25">
      <c r="A82" s="362">
        <v>44640</v>
      </c>
      <c r="B82" s="363" t="s">
        <v>1862</v>
      </c>
      <c r="C82" s="364">
        <v>32400</v>
      </c>
      <c r="D82" s="370" t="s">
        <v>122</v>
      </c>
      <c r="E82" s="370" t="s">
        <v>122</v>
      </c>
      <c r="F82" s="370" t="s">
        <v>122</v>
      </c>
      <c r="G82" s="370" t="s">
        <v>122</v>
      </c>
      <c r="H82" s="370" t="s">
        <v>122</v>
      </c>
    </row>
    <row r="83" spans="1:8" x14ac:dyDescent="0.25">
      <c r="A83" s="362">
        <v>44641</v>
      </c>
      <c r="B83" s="363" t="s">
        <v>1862</v>
      </c>
      <c r="C83" s="364">
        <v>32400</v>
      </c>
      <c r="D83" s="370" t="s">
        <v>122</v>
      </c>
      <c r="E83" s="370" t="s">
        <v>122</v>
      </c>
      <c r="F83" s="370" t="s">
        <v>122</v>
      </c>
      <c r="G83" s="370" t="s">
        <v>122</v>
      </c>
      <c r="H83" s="370" t="s">
        <v>122</v>
      </c>
    </row>
    <row r="84" spans="1:8" x14ac:dyDescent="0.25">
      <c r="A84" s="362">
        <v>44642</v>
      </c>
      <c r="B84" s="363" t="s">
        <v>1862</v>
      </c>
      <c r="C84" s="364">
        <v>32400</v>
      </c>
      <c r="D84" s="370" t="s">
        <v>122</v>
      </c>
      <c r="E84" s="370" t="s">
        <v>122</v>
      </c>
      <c r="F84" s="370" t="s">
        <v>122</v>
      </c>
      <c r="G84" s="370" t="s">
        <v>122</v>
      </c>
      <c r="H84" s="370" t="s">
        <v>122</v>
      </c>
    </row>
    <row r="85" spans="1:8" x14ac:dyDescent="0.25">
      <c r="A85" s="362">
        <v>44643</v>
      </c>
      <c r="B85" s="363" t="s">
        <v>1862</v>
      </c>
      <c r="C85" s="364">
        <v>32400</v>
      </c>
      <c r="D85" s="370" t="s">
        <v>122</v>
      </c>
      <c r="E85" s="370" t="s">
        <v>122</v>
      </c>
      <c r="F85" s="370" t="s">
        <v>122</v>
      </c>
      <c r="G85" s="370" t="s">
        <v>122</v>
      </c>
      <c r="H85" s="370" t="s">
        <v>122</v>
      </c>
    </row>
    <row r="86" spans="1:8" x14ac:dyDescent="0.25">
      <c r="A86" s="362">
        <v>44644</v>
      </c>
      <c r="B86" s="363" t="s">
        <v>1862</v>
      </c>
      <c r="C86" s="364">
        <v>32400</v>
      </c>
      <c r="D86" s="370" t="s">
        <v>122</v>
      </c>
      <c r="E86" s="370" t="s">
        <v>122</v>
      </c>
      <c r="F86" s="370" t="s">
        <v>122</v>
      </c>
      <c r="G86" s="370" t="s">
        <v>122</v>
      </c>
      <c r="H86" s="370" t="s">
        <v>122</v>
      </c>
    </row>
    <row r="87" spans="1:8" x14ac:dyDescent="0.25">
      <c r="A87" s="362">
        <v>44645</v>
      </c>
      <c r="B87" s="363" t="s">
        <v>1862</v>
      </c>
      <c r="C87" s="364">
        <v>32400</v>
      </c>
      <c r="D87" s="370" t="s">
        <v>2515</v>
      </c>
      <c r="E87" s="370">
        <v>29.52</v>
      </c>
      <c r="F87" s="370" t="s">
        <v>2186</v>
      </c>
      <c r="G87" s="370">
        <v>48.21</v>
      </c>
      <c r="H87" s="370" t="s">
        <v>122</v>
      </c>
    </row>
    <row r="88" spans="1:8" x14ac:dyDescent="0.25">
      <c r="A88" s="362">
        <v>44646</v>
      </c>
      <c r="B88" s="363" t="s">
        <v>1862</v>
      </c>
      <c r="C88" s="364">
        <v>32400</v>
      </c>
      <c r="D88" s="370" t="s">
        <v>2515</v>
      </c>
      <c r="E88" s="370">
        <v>29.52</v>
      </c>
      <c r="F88" s="370" t="s">
        <v>2186</v>
      </c>
      <c r="G88" s="370">
        <v>48.21</v>
      </c>
      <c r="H88" s="370" t="s">
        <v>122</v>
      </c>
    </row>
    <row r="89" spans="1:8" x14ac:dyDescent="0.25">
      <c r="A89" s="362">
        <v>44647</v>
      </c>
      <c r="B89" s="363" t="s">
        <v>2298</v>
      </c>
      <c r="C89" s="364">
        <v>32250</v>
      </c>
      <c r="D89" s="370" t="s">
        <v>2177</v>
      </c>
      <c r="E89" s="370">
        <v>69.569999999999993</v>
      </c>
      <c r="F89" s="370" t="s">
        <v>2186</v>
      </c>
      <c r="G89" s="370">
        <v>48.16</v>
      </c>
      <c r="H89" s="370" t="s">
        <v>122</v>
      </c>
    </row>
    <row r="90" spans="1:8" x14ac:dyDescent="0.25">
      <c r="A90" s="362">
        <v>44648</v>
      </c>
      <c r="B90" s="363" t="s">
        <v>2717</v>
      </c>
      <c r="C90" s="364">
        <v>32050</v>
      </c>
      <c r="D90" s="370" t="s">
        <v>2179</v>
      </c>
      <c r="E90" s="370">
        <v>8056</v>
      </c>
      <c r="F90" s="370" t="s">
        <v>2179</v>
      </c>
      <c r="G90" s="370">
        <v>82.93</v>
      </c>
      <c r="H90" s="370" t="s">
        <v>122</v>
      </c>
    </row>
    <row r="91" spans="1:8" x14ac:dyDescent="0.25">
      <c r="A91" s="362">
        <v>44649</v>
      </c>
      <c r="B91" s="363" t="s">
        <v>1857</v>
      </c>
      <c r="C91" s="364">
        <v>31500</v>
      </c>
      <c r="D91" s="370" t="s">
        <v>2179</v>
      </c>
      <c r="E91" s="370">
        <v>80.260000000000005</v>
      </c>
      <c r="F91" s="370" t="s">
        <v>2179</v>
      </c>
      <c r="G91" s="370">
        <v>82.64</v>
      </c>
      <c r="H91" s="370" t="s">
        <v>122</v>
      </c>
    </row>
    <row r="92" spans="1:8" x14ac:dyDescent="0.25">
      <c r="A92" s="362">
        <v>44650</v>
      </c>
      <c r="B92" s="363" t="s">
        <v>2446</v>
      </c>
      <c r="C92" s="364">
        <v>30750</v>
      </c>
      <c r="D92" s="370" t="s">
        <v>2510</v>
      </c>
      <c r="E92" s="370">
        <v>90.8</v>
      </c>
      <c r="F92" s="370" t="s">
        <v>2179</v>
      </c>
      <c r="G92" s="370">
        <v>82.24</v>
      </c>
      <c r="H92" s="370" t="s">
        <v>122</v>
      </c>
    </row>
    <row r="93" spans="1:8" x14ac:dyDescent="0.25">
      <c r="A93" s="362">
        <v>44651</v>
      </c>
      <c r="B93" s="363" t="s">
        <v>2447</v>
      </c>
      <c r="C93" s="364">
        <v>30400</v>
      </c>
      <c r="D93" s="370" t="s">
        <v>2510</v>
      </c>
      <c r="E93" s="370">
        <v>90.46</v>
      </c>
      <c r="F93" s="370" t="s">
        <v>2179</v>
      </c>
      <c r="G93" s="370">
        <v>81.95</v>
      </c>
      <c r="H93" s="370" t="s">
        <v>122</v>
      </c>
    </row>
    <row r="94" spans="1:8" x14ac:dyDescent="0.25">
      <c r="A94" s="362">
        <v>44652</v>
      </c>
      <c r="B94" s="363" t="s">
        <v>2301</v>
      </c>
      <c r="C94" s="364">
        <v>30200</v>
      </c>
      <c r="D94" s="370" t="s">
        <v>2510</v>
      </c>
      <c r="E94" s="370">
        <v>90.11</v>
      </c>
      <c r="F94" s="370" t="s">
        <v>2510</v>
      </c>
      <c r="G94" s="370">
        <v>92.87</v>
      </c>
      <c r="H94" s="370" t="s">
        <v>122</v>
      </c>
    </row>
    <row r="95" spans="1:8" x14ac:dyDescent="0.25">
      <c r="A95" s="362">
        <v>44653</v>
      </c>
      <c r="B95" s="363" t="s">
        <v>2550</v>
      </c>
      <c r="C95" s="364">
        <v>30300</v>
      </c>
      <c r="D95" s="370" t="s">
        <v>2510</v>
      </c>
      <c r="E95" s="370">
        <v>90.34</v>
      </c>
      <c r="F95" s="370" t="s">
        <v>2510</v>
      </c>
      <c r="G95" s="370">
        <v>93.09</v>
      </c>
      <c r="H95" s="370" t="s">
        <v>122</v>
      </c>
    </row>
    <row r="96" spans="1:8" x14ac:dyDescent="0.25">
      <c r="A96" s="362">
        <v>44654</v>
      </c>
      <c r="B96" s="363" t="s">
        <v>2550</v>
      </c>
      <c r="C96" s="364">
        <v>30300</v>
      </c>
      <c r="D96" s="371" t="s">
        <v>2728</v>
      </c>
      <c r="E96" s="370">
        <v>90.34</v>
      </c>
      <c r="F96" s="370" t="s">
        <v>2174</v>
      </c>
      <c r="G96" s="370">
        <v>59.03</v>
      </c>
      <c r="H96" s="370" t="s">
        <v>122</v>
      </c>
    </row>
    <row r="97" spans="1:8" x14ac:dyDescent="0.25">
      <c r="A97" s="362">
        <v>44655</v>
      </c>
      <c r="B97" s="363" t="s">
        <v>2550</v>
      </c>
      <c r="C97" s="364">
        <v>30300</v>
      </c>
      <c r="D97" s="370" t="s">
        <v>2180</v>
      </c>
      <c r="E97" s="370">
        <v>84.91</v>
      </c>
      <c r="F97" s="370" t="s">
        <v>2510</v>
      </c>
      <c r="G97" s="370">
        <v>93.09</v>
      </c>
      <c r="H97" s="370" t="s">
        <v>122</v>
      </c>
    </row>
    <row r="98" spans="1:8" x14ac:dyDescent="0.25">
      <c r="A98" s="362">
        <v>44656</v>
      </c>
      <c r="B98" s="363" t="s">
        <v>2301</v>
      </c>
      <c r="C98" s="364">
        <v>30200</v>
      </c>
      <c r="D98" s="370" t="s">
        <v>2180</v>
      </c>
      <c r="E98" s="370">
        <v>84.7</v>
      </c>
      <c r="F98" s="370" t="s">
        <v>2510</v>
      </c>
      <c r="G98" s="370">
        <v>92.87</v>
      </c>
      <c r="H98" s="370" t="s">
        <v>122</v>
      </c>
    </row>
    <row r="99" spans="1:8" x14ac:dyDescent="0.25">
      <c r="A99" s="362">
        <v>44657</v>
      </c>
      <c r="B99" s="363" t="s">
        <v>1860</v>
      </c>
      <c r="C99" s="364">
        <v>30500</v>
      </c>
      <c r="D99" s="370" t="s">
        <v>2179</v>
      </c>
      <c r="E99" s="370">
        <v>79.66</v>
      </c>
      <c r="F99" s="370" t="s">
        <v>2510</v>
      </c>
      <c r="G99" s="370">
        <v>93.32</v>
      </c>
      <c r="H99" s="370" t="s">
        <v>122</v>
      </c>
    </row>
    <row r="100" spans="1:8" x14ac:dyDescent="0.25">
      <c r="A100" s="362">
        <v>44658</v>
      </c>
      <c r="B100" s="363" t="s">
        <v>1874</v>
      </c>
      <c r="C100" s="364">
        <v>31312.5</v>
      </c>
      <c r="D100" s="370" t="s">
        <v>2179</v>
      </c>
      <c r="E100" s="370">
        <v>80.16</v>
      </c>
      <c r="F100" s="370" t="s">
        <v>2174</v>
      </c>
      <c r="G100" s="370">
        <v>59.51</v>
      </c>
      <c r="H100" s="370" t="s">
        <v>122</v>
      </c>
    </row>
    <row r="101" spans="1:8" x14ac:dyDescent="0.25">
      <c r="A101" s="362">
        <v>44659</v>
      </c>
      <c r="B101" s="363" t="s">
        <v>1874</v>
      </c>
      <c r="C101" s="364">
        <v>31312.5</v>
      </c>
      <c r="D101" s="370" t="s">
        <v>2179</v>
      </c>
      <c r="E101" s="370">
        <v>69.39</v>
      </c>
      <c r="F101" s="370" t="s">
        <v>2510</v>
      </c>
      <c r="G101" s="370">
        <v>93.88</v>
      </c>
      <c r="H101" s="370" t="s">
        <v>122</v>
      </c>
    </row>
    <row r="102" spans="1:8" x14ac:dyDescent="0.25">
      <c r="A102" s="362">
        <v>44660</v>
      </c>
      <c r="B102" s="363" t="s">
        <v>1856</v>
      </c>
      <c r="C102" s="364">
        <v>32000</v>
      </c>
      <c r="D102" s="370" t="s">
        <v>2177</v>
      </c>
      <c r="E102" s="370">
        <v>59.1</v>
      </c>
      <c r="F102" s="370" t="s">
        <v>2174</v>
      </c>
      <c r="G102" s="370">
        <v>59.72</v>
      </c>
      <c r="H102" s="370" t="s">
        <v>122</v>
      </c>
    </row>
    <row r="103" spans="1:8" x14ac:dyDescent="0.25">
      <c r="A103" s="362">
        <v>44661</v>
      </c>
      <c r="B103" s="363" t="s">
        <v>1873</v>
      </c>
      <c r="C103" s="364">
        <v>33850</v>
      </c>
      <c r="D103" s="370" t="s">
        <v>2174</v>
      </c>
      <c r="E103" s="370">
        <v>59.86</v>
      </c>
      <c r="F103" s="370" t="s">
        <v>2729</v>
      </c>
      <c r="G103" s="370">
        <v>60.99</v>
      </c>
      <c r="H103" s="370" t="s">
        <v>122</v>
      </c>
    </row>
    <row r="104" spans="1:8" x14ac:dyDescent="0.25">
      <c r="A104" s="362">
        <v>44662</v>
      </c>
      <c r="B104" s="365" t="s">
        <v>2538</v>
      </c>
      <c r="C104" s="366" t="s">
        <v>2535</v>
      </c>
      <c r="D104" s="370" t="s">
        <v>2174</v>
      </c>
      <c r="E104" s="370">
        <v>59.86</v>
      </c>
      <c r="F104" s="370" t="s">
        <v>2530</v>
      </c>
      <c r="G104" s="370" t="s">
        <v>122</v>
      </c>
      <c r="H104" s="370">
        <v>51.72</v>
      </c>
    </row>
    <row r="105" spans="1:8" x14ac:dyDescent="0.25">
      <c r="A105" s="362">
        <v>44663</v>
      </c>
      <c r="B105" s="365" t="s">
        <v>2542</v>
      </c>
      <c r="C105" s="366" t="s">
        <v>1854</v>
      </c>
      <c r="D105" s="370" t="s">
        <v>2174</v>
      </c>
      <c r="E105" s="370">
        <v>59.86</v>
      </c>
      <c r="F105" s="370" t="s">
        <v>2530</v>
      </c>
      <c r="G105" s="370">
        <v>43.43</v>
      </c>
      <c r="H105" s="370">
        <v>3106.63</v>
      </c>
    </row>
    <row r="106" spans="1:8" x14ac:dyDescent="0.25">
      <c r="A106" s="362">
        <v>44664</v>
      </c>
      <c r="B106" s="365" t="s">
        <v>1870</v>
      </c>
      <c r="C106" s="366" t="s">
        <v>2718</v>
      </c>
      <c r="D106" s="370" t="s">
        <v>2174</v>
      </c>
      <c r="E106" s="370">
        <v>59.86</v>
      </c>
      <c r="F106" s="370" t="s">
        <v>2530</v>
      </c>
      <c r="G106" s="370">
        <v>43.43</v>
      </c>
      <c r="H106" s="370">
        <v>9202.27</v>
      </c>
    </row>
    <row r="107" spans="1:8" x14ac:dyDescent="0.25">
      <c r="A107" s="362">
        <v>44665</v>
      </c>
      <c r="B107" s="365" t="s">
        <v>2712</v>
      </c>
      <c r="C107" s="366" t="s">
        <v>2713</v>
      </c>
      <c r="D107" s="370" t="s">
        <v>2174</v>
      </c>
      <c r="E107" s="370">
        <v>59.86</v>
      </c>
      <c r="F107" s="370" t="s">
        <v>2530</v>
      </c>
      <c r="G107" s="370">
        <v>43.43</v>
      </c>
      <c r="H107" s="370">
        <v>5146.97</v>
      </c>
    </row>
    <row r="108" spans="1:8" x14ac:dyDescent="0.25">
      <c r="A108" s="362">
        <v>44666</v>
      </c>
      <c r="B108" s="365" t="s">
        <v>2540</v>
      </c>
      <c r="C108" s="366" t="s">
        <v>2537</v>
      </c>
      <c r="D108" s="370" t="s">
        <v>2174</v>
      </c>
      <c r="E108" s="370">
        <v>59.86</v>
      </c>
      <c r="F108" s="370" t="s">
        <v>2530</v>
      </c>
      <c r="G108" s="370">
        <v>43.43</v>
      </c>
      <c r="H108" s="370">
        <v>3343.06</v>
      </c>
    </row>
    <row r="109" spans="1:8" x14ac:dyDescent="0.25">
      <c r="A109" s="362">
        <v>44667</v>
      </c>
      <c r="B109" s="365" t="s">
        <v>2542</v>
      </c>
      <c r="C109" s="366" t="s">
        <v>1854</v>
      </c>
      <c r="D109" s="370" t="s">
        <v>2174</v>
      </c>
      <c r="E109" s="370">
        <v>59.86</v>
      </c>
      <c r="F109" s="370" t="s">
        <v>2530</v>
      </c>
      <c r="G109" s="370">
        <v>43.43</v>
      </c>
      <c r="H109" s="370">
        <v>2802.34</v>
      </c>
    </row>
    <row r="110" spans="1:8" x14ac:dyDescent="0.25">
      <c r="A110" s="362">
        <v>44668</v>
      </c>
      <c r="B110" s="365" t="s">
        <v>2539</v>
      </c>
      <c r="C110" s="366" t="s">
        <v>1855</v>
      </c>
      <c r="D110" s="370" t="s">
        <v>2174</v>
      </c>
      <c r="E110" s="370">
        <v>59.86</v>
      </c>
      <c r="F110" s="370" t="s">
        <v>2530</v>
      </c>
      <c r="G110" s="370">
        <v>43.43</v>
      </c>
      <c r="H110" s="370">
        <v>2018.15</v>
      </c>
    </row>
    <row r="111" spans="1:8" x14ac:dyDescent="0.25">
      <c r="A111" s="362">
        <v>44669</v>
      </c>
      <c r="B111" s="365" t="s">
        <v>2522</v>
      </c>
      <c r="C111" s="366" t="s">
        <v>2534</v>
      </c>
      <c r="D111" s="370" t="s">
        <v>2177</v>
      </c>
      <c r="E111" s="370">
        <v>71.5</v>
      </c>
      <c r="F111" s="370" t="s">
        <v>2177</v>
      </c>
      <c r="G111" s="370">
        <v>74.14</v>
      </c>
      <c r="H111" s="370">
        <v>145.88999999999999</v>
      </c>
    </row>
    <row r="112" spans="1:8" x14ac:dyDescent="0.25">
      <c r="A112" s="362">
        <v>44670</v>
      </c>
      <c r="B112" s="363" t="s">
        <v>2719</v>
      </c>
      <c r="C112" s="364">
        <v>36250</v>
      </c>
      <c r="D112" s="370" t="s">
        <v>2510</v>
      </c>
      <c r="E112" s="370">
        <v>94.44</v>
      </c>
      <c r="F112" s="370" t="s">
        <v>2177</v>
      </c>
      <c r="G112" s="370">
        <v>74.14</v>
      </c>
      <c r="H112" s="370">
        <v>4187.63</v>
      </c>
    </row>
    <row r="113" spans="1:8" x14ac:dyDescent="0.25">
      <c r="A113" s="362">
        <v>44671</v>
      </c>
      <c r="B113" s="363" t="s">
        <v>2442</v>
      </c>
      <c r="C113" s="364">
        <v>36000</v>
      </c>
      <c r="D113" s="370" t="s">
        <v>2510</v>
      </c>
      <c r="E113" s="370">
        <v>94.33</v>
      </c>
      <c r="F113" s="370" t="s">
        <v>2177</v>
      </c>
      <c r="G113" s="370">
        <v>73.98</v>
      </c>
      <c r="H113" s="370" t="s">
        <v>122</v>
      </c>
    </row>
    <row r="114" spans="1:8" x14ac:dyDescent="0.25">
      <c r="A114" s="362">
        <v>44672</v>
      </c>
      <c r="B114" s="363" t="s">
        <v>2443</v>
      </c>
      <c r="C114" s="364">
        <v>35750</v>
      </c>
      <c r="D114" s="370" t="s">
        <v>2510</v>
      </c>
      <c r="E114" s="370">
        <v>94.22</v>
      </c>
      <c r="F114" s="370" t="s">
        <v>2177</v>
      </c>
      <c r="G114" s="370">
        <v>73.98</v>
      </c>
      <c r="H114" s="370" t="s">
        <v>122</v>
      </c>
    </row>
    <row r="115" spans="1:8" x14ac:dyDescent="0.25">
      <c r="A115" s="362">
        <v>44673</v>
      </c>
      <c r="B115" s="363" t="s">
        <v>1871</v>
      </c>
      <c r="C115" s="364">
        <v>35250</v>
      </c>
      <c r="D115" s="370" t="s">
        <v>2177</v>
      </c>
      <c r="E115" s="370">
        <v>71.16</v>
      </c>
      <c r="F115" s="370" t="s">
        <v>2177</v>
      </c>
      <c r="G115" s="370">
        <v>73.81</v>
      </c>
      <c r="H115" s="370" t="s">
        <v>122</v>
      </c>
    </row>
    <row r="116" spans="1:8" x14ac:dyDescent="0.25">
      <c r="A116" s="362">
        <v>44674</v>
      </c>
      <c r="B116" s="363" t="s">
        <v>2442</v>
      </c>
      <c r="C116" s="364">
        <v>36000</v>
      </c>
      <c r="D116" s="370" t="s">
        <v>2177</v>
      </c>
      <c r="E116" s="370">
        <v>71.42</v>
      </c>
      <c r="F116" s="370" t="s">
        <v>2177</v>
      </c>
      <c r="G116" s="370">
        <v>73.89</v>
      </c>
      <c r="H116" s="370" t="s">
        <v>122</v>
      </c>
    </row>
    <row r="117" spans="1:8" x14ac:dyDescent="0.25">
      <c r="A117" s="362">
        <v>44675</v>
      </c>
      <c r="B117" s="363" t="s">
        <v>1868</v>
      </c>
      <c r="C117" s="364">
        <v>36250</v>
      </c>
      <c r="D117" s="370" t="s">
        <v>2177</v>
      </c>
      <c r="E117" s="370">
        <v>71.5</v>
      </c>
      <c r="F117" s="370" t="s">
        <v>2177</v>
      </c>
      <c r="G117" s="370">
        <v>74.14</v>
      </c>
      <c r="H117" s="370" t="s">
        <v>122</v>
      </c>
    </row>
    <row r="118" spans="1:8" x14ac:dyDescent="0.25">
      <c r="A118" s="362">
        <v>44676</v>
      </c>
      <c r="B118" s="365" t="s">
        <v>2522</v>
      </c>
      <c r="C118" s="366" t="s">
        <v>2534</v>
      </c>
      <c r="D118" s="370" t="s">
        <v>2186</v>
      </c>
      <c r="E118" s="370">
        <v>48.1</v>
      </c>
      <c r="F118" s="370" t="s">
        <v>122</v>
      </c>
      <c r="G118" s="370" t="s">
        <v>122</v>
      </c>
      <c r="H118" s="370">
        <v>145.88999999999999</v>
      </c>
    </row>
    <row r="119" spans="1:8" x14ac:dyDescent="0.25">
      <c r="A119" s="362">
        <v>44677</v>
      </c>
      <c r="B119" s="365" t="s">
        <v>2539</v>
      </c>
      <c r="C119" s="366" t="s">
        <v>1855</v>
      </c>
      <c r="D119" s="370" t="s">
        <v>2186</v>
      </c>
      <c r="E119" s="370">
        <v>48.1</v>
      </c>
      <c r="F119" s="370" t="s">
        <v>122</v>
      </c>
      <c r="G119" s="370" t="s">
        <v>122</v>
      </c>
      <c r="H119" s="370">
        <v>451.91</v>
      </c>
    </row>
    <row r="120" spans="1:8" x14ac:dyDescent="0.25">
      <c r="A120" s="362">
        <v>44678</v>
      </c>
      <c r="B120" s="365" t="s">
        <v>1867</v>
      </c>
      <c r="C120" s="366" t="s">
        <v>2546</v>
      </c>
      <c r="D120" s="370" t="s">
        <v>2186</v>
      </c>
      <c r="E120" s="370">
        <v>48.1</v>
      </c>
      <c r="F120" s="370" t="s">
        <v>2508</v>
      </c>
      <c r="G120" s="370">
        <v>24.89</v>
      </c>
      <c r="H120" s="370">
        <v>302.2</v>
      </c>
    </row>
    <row r="121" spans="1:8" x14ac:dyDescent="0.25">
      <c r="A121" s="362">
        <v>44679</v>
      </c>
      <c r="B121" s="365" t="s">
        <v>2538</v>
      </c>
      <c r="C121" s="366" t="s">
        <v>2535</v>
      </c>
      <c r="D121" s="370" t="s">
        <v>2186</v>
      </c>
      <c r="E121" s="370">
        <v>48.1</v>
      </c>
      <c r="F121" s="370" t="s">
        <v>2177</v>
      </c>
      <c r="G121" s="370">
        <v>74.143000000000001</v>
      </c>
      <c r="H121" s="370">
        <v>51.58</v>
      </c>
    </row>
    <row r="122" spans="1:8" x14ac:dyDescent="0.25">
      <c r="A122" s="362">
        <v>44680</v>
      </c>
      <c r="B122" s="365" t="s">
        <v>2539</v>
      </c>
      <c r="C122" s="366" t="s">
        <v>1855</v>
      </c>
      <c r="D122" s="370" t="s">
        <v>2186</v>
      </c>
      <c r="E122" s="370">
        <v>48.1</v>
      </c>
      <c r="F122" s="370" t="s">
        <v>2510</v>
      </c>
      <c r="G122" s="370">
        <v>95.79</v>
      </c>
      <c r="H122" s="370">
        <v>451.91</v>
      </c>
    </row>
    <row r="123" spans="1:8" x14ac:dyDescent="0.25">
      <c r="A123" s="362">
        <v>44681</v>
      </c>
      <c r="B123" s="365" t="s">
        <v>2522</v>
      </c>
      <c r="C123" s="366" t="s">
        <v>2534</v>
      </c>
      <c r="D123" s="370" t="s">
        <v>2152</v>
      </c>
      <c r="E123" s="370">
        <v>48.1</v>
      </c>
      <c r="F123" s="370" t="s">
        <v>2177</v>
      </c>
      <c r="G123" s="370">
        <v>74.14</v>
      </c>
      <c r="H123" s="370">
        <v>145.88999999999999</v>
      </c>
    </row>
    <row r="124" spans="1:8" x14ac:dyDescent="0.25">
      <c r="A124" s="362">
        <v>44682</v>
      </c>
      <c r="B124" s="365" t="s">
        <v>2538</v>
      </c>
      <c r="C124" s="366" t="s">
        <v>2535</v>
      </c>
      <c r="D124" s="370" t="s">
        <v>2186</v>
      </c>
      <c r="E124" s="370">
        <v>48.1</v>
      </c>
      <c r="F124" s="370" t="s">
        <v>2177</v>
      </c>
      <c r="G124" s="370">
        <v>74.14</v>
      </c>
      <c r="H124" s="370">
        <v>51.72</v>
      </c>
    </row>
    <row r="125" spans="1:8" x14ac:dyDescent="0.25">
      <c r="A125" s="362">
        <v>44683</v>
      </c>
      <c r="B125" s="363" t="s">
        <v>1868</v>
      </c>
      <c r="C125" s="364">
        <v>36250</v>
      </c>
      <c r="D125" s="370" t="s">
        <v>2152</v>
      </c>
      <c r="E125" s="370">
        <v>36.24</v>
      </c>
      <c r="F125" s="370" t="s">
        <v>2530</v>
      </c>
      <c r="G125" s="370">
        <v>43.43</v>
      </c>
      <c r="H125" s="370" t="s">
        <v>122</v>
      </c>
    </row>
    <row r="126" spans="1:8" x14ac:dyDescent="0.25">
      <c r="A126" s="362">
        <v>44684</v>
      </c>
      <c r="B126" s="363" t="s">
        <v>1868</v>
      </c>
      <c r="C126" s="364">
        <v>36250</v>
      </c>
      <c r="D126" s="370" t="s">
        <v>2176</v>
      </c>
      <c r="E126" s="370">
        <v>77.27</v>
      </c>
      <c r="F126" s="370" t="s">
        <v>2177</v>
      </c>
      <c r="G126" s="370">
        <v>74.14</v>
      </c>
      <c r="H126" s="370" t="s">
        <v>122</v>
      </c>
    </row>
    <row r="127" spans="1:8" x14ac:dyDescent="0.25">
      <c r="A127" s="362">
        <v>44685</v>
      </c>
      <c r="B127" s="363" t="s">
        <v>2442</v>
      </c>
      <c r="C127" s="364">
        <v>36000</v>
      </c>
      <c r="D127" s="370" t="s">
        <v>2176</v>
      </c>
      <c r="E127" s="370">
        <v>77.180000000000007</v>
      </c>
      <c r="F127" s="370" t="s">
        <v>2177</v>
      </c>
      <c r="G127" s="370">
        <v>73.98</v>
      </c>
      <c r="H127" s="370" t="s">
        <v>122</v>
      </c>
    </row>
    <row r="128" spans="1:8" x14ac:dyDescent="0.25">
      <c r="A128" s="362">
        <v>44686</v>
      </c>
      <c r="B128" s="363" t="s">
        <v>1871</v>
      </c>
      <c r="C128" s="364">
        <v>35250</v>
      </c>
      <c r="D128" s="370" t="s">
        <v>2180</v>
      </c>
      <c r="E128" s="370">
        <v>88.33</v>
      </c>
      <c r="F128" s="370" t="s">
        <v>2177</v>
      </c>
      <c r="G128" s="370">
        <v>73.81</v>
      </c>
      <c r="H128" s="370" t="s">
        <v>122</v>
      </c>
    </row>
    <row r="129" spans="1:8" x14ac:dyDescent="0.25">
      <c r="A129" s="362">
        <v>44687</v>
      </c>
      <c r="B129" s="363" t="s">
        <v>2295</v>
      </c>
      <c r="C129" s="364">
        <v>34750</v>
      </c>
      <c r="D129" s="370" t="s">
        <v>2180</v>
      </c>
      <c r="E129" s="370">
        <v>88.12</v>
      </c>
      <c r="F129" s="370" t="s">
        <v>2177</v>
      </c>
      <c r="G129" s="370">
        <v>73.650000000000006</v>
      </c>
      <c r="H129" s="370" t="s">
        <v>122</v>
      </c>
    </row>
    <row r="130" spans="1:8" x14ac:dyDescent="0.25">
      <c r="A130" s="362">
        <v>44688</v>
      </c>
      <c r="B130" s="363" t="s">
        <v>1872</v>
      </c>
      <c r="C130" s="364">
        <v>34250</v>
      </c>
      <c r="D130" s="370" t="s">
        <v>122</v>
      </c>
      <c r="E130" s="370" t="s">
        <v>122</v>
      </c>
      <c r="F130" s="371" t="s">
        <v>122</v>
      </c>
      <c r="G130" s="371" t="s">
        <v>122</v>
      </c>
      <c r="H130" s="370" t="s">
        <v>122</v>
      </c>
    </row>
    <row r="131" spans="1:8" x14ac:dyDescent="0.25">
      <c r="A131" s="362">
        <v>44689</v>
      </c>
      <c r="B131" s="363" t="s">
        <v>1872</v>
      </c>
      <c r="C131" s="364">
        <v>34250</v>
      </c>
      <c r="D131" s="370" t="s">
        <v>122</v>
      </c>
      <c r="E131" s="370" t="s">
        <v>122</v>
      </c>
      <c r="F131" s="370" t="s">
        <v>122</v>
      </c>
      <c r="G131" s="370" t="s">
        <v>122</v>
      </c>
      <c r="H131" s="370" t="s">
        <v>122</v>
      </c>
    </row>
    <row r="132" spans="1:8" x14ac:dyDescent="0.25">
      <c r="A132" s="362">
        <v>44690</v>
      </c>
      <c r="B132" s="363" t="s">
        <v>2296</v>
      </c>
      <c r="C132" s="364">
        <v>33900</v>
      </c>
      <c r="D132" s="370" t="s">
        <v>122</v>
      </c>
      <c r="E132" s="370" t="s">
        <v>122</v>
      </c>
      <c r="F132" s="370" t="s">
        <v>122</v>
      </c>
      <c r="G132" s="370" t="s">
        <v>122</v>
      </c>
      <c r="H132" s="370" t="s">
        <v>122</v>
      </c>
    </row>
    <row r="133" spans="1:8" x14ac:dyDescent="0.25">
      <c r="A133" s="362">
        <v>44691</v>
      </c>
      <c r="B133" s="363" t="s">
        <v>2296</v>
      </c>
      <c r="C133" s="364">
        <v>33900</v>
      </c>
      <c r="D133" s="370" t="s">
        <v>2177</v>
      </c>
      <c r="E133" s="370">
        <v>70.66</v>
      </c>
      <c r="F133" s="370" t="s">
        <v>2179</v>
      </c>
      <c r="G133" s="370">
        <v>84.37</v>
      </c>
      <c r="H133" s="370" t="s">
        <v>122</v>
      </c>
    </row>
    <row r="134" spans="1:8" x14ac:dyDescent="0.25">
      <c r="A134" s="362">
        <v>44692</v>
      </c>
      <c r="B134" s="363" t="s">
        <v>1864</v>
      </c>
      <c r="C134" s="364">
        <v>33800</v>
      </c>
      <c r="D134" s="370" t="s">
        <v>2176</v>
      </c>
      <c r="E134" s="370">
        <v>76.19</v>
      </c>
      <c r="F134" s="370" t="s">
        <v>2179</v>
      </c>
      <c r="G134" s="370">
        <v>84.18</v>
      </c>
      <c r="H134" s="370" t="s">
        <v>122</v>
      </c>
    </row>
    <row r="135" spans="1:8" x14ac:dyDescent="0.25">
      <c r="A135" s="362">
        <v>44693</v>
      </c>
      <c r="B135" s="363" t="s">
        <v>1866</v>
      </c>
      <c r="C135" s="364">
        <v>33500</v>
      </c>
      <c r="D135" s="370" t="s">
        <v>2179</v>
      </c>
      <c r="E135" s="370">
        <v>81.66</v>
      </c>
      <c r="F135" s="370" t="s">
        <v>2510</v>
      </c>
      <c r="G135" s="370">
        <v>95.55</v>
      </c>
      <c r="H135" s="370" t="s">
        <v>122</v>
      </c>
    </row>
    <row r="136" spans="1:8" x14ac:dyDescent="0.25">
      <c r="A136" s="362">
        <v>44694</v>
      </c>
      <c r="B136" s="363" t="s">
        <v>1863</v>
      </c>
      <c r="C136" s="364">
        <v>32700</v>
      </c>
      <c r="D136" s="370" t="s">
        <v>2180</v>
      </c>
      <c r="E136" s="370">
        <v>86.96</v>
      </c>
      <c r="F136" s="370" t="s">
        <v>2510</v>
      </c>
      <c r="G136" s="370">
        <v>95.22</v>
      </c>
      <c r="H136" s="370" t="s">
        <v>122</v>
      </c>
    </row>
    <row r="137" spans="1:8" x14ac:dyDescent="0.25">
      <c r="A137" s="362">
        <v>44695</v>
      </c>
      <c r="B137" s="363" t="s">
        <v>1853</v>
      </c>
      <c r="C137" s="364">
        <v>32600</v>
      </c>
      <c r="D137" s="370" t="s">
        <v>2180</v>
      </c>
      <c r="E137" s="370">
        <v>86.64</v>
      </c>
      <c r="F137" s="370" t="s">
        <v>2510</v>
      </c>
      <c r="G137" s="370">
        <v>94.88</v>
      </c>
      <c r="H137" s="370" t="s">
        <v>122</v>
      </c>
    </row>
    <row r="138" spans="1:8" x14ac:dyDescent="0.25">
      <c r="A138" s="362">
        <v>44696</v>
      </c>
      <c r="B138" s="363" t="s">
        <v>1853</v>
      </c>
      <c r="C138" s="364">
        <v>32100</v>
      </c>
      <c r="D138" s="370" t="s">
        <v>2180</v>
      </c>
      <c r="E138" s="370">
        <v>86.64</v>
      </c>
      <c r="F138" s="370" t="s">
        <v>2510</v>
      </c>
      <c r="G138" s="370">
        <v>94.88</v>
      </c>
      <c r="H138" s="370" t="s">
        <v>122</v>
      </c>
    </row>
    <row r="139" spans="1:8" x14ac:dyDescent="0.25">
      <c r="A139" s="362">
        <v>44697</v>
      </c>
      <c r="B139" s="363" t="s">
        <v>1856</v>
      </c>
      <c r="C139" s="364">
        <v>32000</v>
      </c>
      <c r="D139" s="370" t="s">
        <v>2180</v>
      </c>
      <c r="E139" s="370">
        <v>86</v>
      </c>
      <c r="F139" s="370" t="s">
        <v>2510</v>
      </c>
      <c r="G139" s="370">
        <v>94.22</v>
      </c>
      <c r="H139" s="370" t="s">
        <v>122</v>
      </c>
    </row>
    <row r="140" spans="1:8" x14ac:dyDescent="0.25">
      <c r="A140" s="362">
        <v>44698</v>
      </c>
      <c r="B140" s="363" t="s">
        <v>1858</v>
      </c>
      <c r="C140" s="364">
        <v>31125</v>
      </c>
      <c r="D140" s="370" t="s">
        <v>2179</v>
      </c>
      <c r="E140" s="370">
        <v>80.06</v>
      </c>
      <c r="F140" s="370" t="s">
        <v>2179</v>
      </c>
      <c r="G140" s="370">
        <v>82.44</v>
      </c>
      <c r="H140" s="370" t="s">
        <v>122</v>
      </c>
    </row>
    <row r="141" spans="1:8" x14ac:dyDescent="0.25">
      <c r="A141" s="362">
        <v>44699</v>
      </c>
      <c r="B141" s="363" t="s">
        <v>1858</v>
      </c>
      <c r="C141" s="364">
        <v>31125</v>
      </c>
      <c r="D141" s="370" t="s">
        <v>122</v>
      </c>
      <c r="E141" s="370" t="s">
        <v>122</v>
      </c>
      <c r="F141" s="371" t="s">
        <v>122</v>
      </c>
      <c r="G141" s="370" t="s">
        <v>122</v>
      </c>
      <c r="H141" s="370" t="s">
        <v>122</v>
      </c>
    </row>
    <row r="142" spans="1:8" x14ac:dyDescent="0.25">
      <c r="A142" s="362">
        <v>44700</v>
      </c>
      <c r="B142" s="363" t="s">
        <v>1858</v>
      </c>
      <c r="C142" s="364">
        <v>31125</v>
      </c>
      <c r="D142" s="370" t="s">
        <v>122</v>
      </c>
      <c r="E142" s="370" t="s">
        <v>122</v>
      </c>
      <c r="F142" s="370" t="s">
        <v>122</v>
      </c>
      <c r="G142" s="370" t="s">
        <v>122</v>
      </c>
      <c r="H142" s="370" t="s">
        <v>122</v>
      </c>
    </row>
    <row r="143" spans="1:8" x14ac:dyDescent="0.25">
      <c r="A143" s="362">
        <v>44701</v>
      </c>
      <c r="B143" s="363" t="s">
        <v>2720</v>
      </c>
      <c r="C143" s="368">
        <v>30937.5</v>
      </c>
      <c r="D143" s="370" t="s">
        <v>122</v>
      </c>
      <c r="E143" s="370" t="s">
        <v>122</v>
      </c>
      <c r="F143" s="370" t="s">
        <v>122</v>
      </c>
      <c r="G143" s="370" t="s">
        <v>122</v>
      </c>
      <c r="H143" s="370" t="s">
        <v>122</v>
      </c>
    </row>
    <row r="144" spans="1:8" x14ac:dyDescent="0.25">
      <c r="A144" s="362">
        <v>44702</v>
      </c>
      <c r="B144" s="363" t="s">
        <v>2720</v>
      </c>
      <c r="C144" s="368">
        <v>30937.5</v>
      </c>
      <c r="D144" s="370" t="s">
        <v>2176</v>
      </c>
      <c r="E144" s="370">
        <v>74.44</v>
      </c>
      <c r="F144" s="370" t="s">
        <v>2179</v>
      </c>
      <c r="G144" s="370">
        <v>82.34</v>
      </c>
      <c r="H144" s="370" t="s">
        <v>122</v>
      </c>
    </row>
    <row r="145" spans="1:8" x14ac:dyDescent="0.25">
      <c r="A145" s="362">
        <v>44703</v>
      </c>
      <c r="B145" s="363" t="s">
        <v>1860</v>
      </c>
      <c r="C145" s="364">
        <v>30500</v>
      </c>
      <c r="D145" s="370" t="s">
        <v>2180</v>
      </c>
      <c r="E145" s="370">
        <v>85.13</v>
      </c>
      <c r="F145" s="370" t="s">
        <v>2179</v>
      </c>
      <c r="G145" s="370">
        <v>82.05</v>
      </c>
      <c r="H145" s="370" t="s">
        <v>122</v>
      </c>
    </row>
    <row r="146" spans="1:8" x14ac:dyDescent="0.25">
      <c r="A146" s="362">
        <v>44704</v>
      </c>
      <c r="B146" s="363" t="s">
        <v>2301</v>
      </c>
      <c r="C146" s="364">
        <v>30200</v>
      </c>
      <c r="D146" s="370" t="s">
        <v>2510</v>
      </c>
      <c r="E146" s="370">
        <v>90.11</v>
      </c>
      <c r="F146" s="370" t="s">
        <v>2510</v>
      </c>
      <c r="G146" s="370">
        <v>92.87</v>
      </c>
      <c r="H146" s="370" t="s">
        <v>122</v>
      </c>
    </row>
    <row r="147" spans="1:8" x14ac:dyDescent="0.25">
      <c r="A147" s="362">
        <v>44705</v>
      </c>
      <c r="B147" s="363" t="s">
        <v>2448</v>
      </c>
      <c r="C147" s="364">
        <v>30000</v>
      </c>
      <c r="D147" s="371" t="s">
        <v>2510</v>
      </c>
      <c r="E147" s="370">
        <v>89.87</v>
      </c>
      <c r="F147" s="370" t="s">
        <v>2510</v>
      </c>
      <c r="G147" s="370">
        <v>92.64</v>
      </c>
      <c r="H147" s="370" t="s">
        <v>122</v>
      </c>
    </row>
    <row r="148" spans="1:8" x14ac:dyDescent="0.25">
      <c r="A148" s="362">
        <v>44706</v>
      </c>
      <c r="B148" s="363" t="s">
        <v>2548</v>
      </c>
      <c r="C148" s="364">
        <v>28750</v>
      </c>
      <c r="D148" s="370" t="s">
        <v>2730</v>
      </c>
      <c r="E148" s="370">
        <v>94.74</v>
      </c>
      <c r="F148" s="370" t="s">
        <v>2510</v>
      </c>
      <c r="G148" s="370">
        <v>92.18</v>
      </c>
      <c r="H148" s="370" t="s">
        <v>122</v>
      </c>
    </row>
    <row r="149" spans="1:8" x14ac:dyDescent="0.25">
      <c r="A149" s="362">
        <v>44707</v>
      </c>
      <c r="B149" s="363" t="s">
        <v>2721</v>
      </c>
      <c r="C149" s="364">
        <v>28550</v>
      </c>
      <c r="D149" s="370" t="s">
        <v>2730</v>
      </c>
      <c r="E149" s="370">
        <v>94.61</v>
      </c>
      <c r="F149" s="370" t="s">
        <v>2510</v>
      </c>
      <c r="G149" s="370">
        <v>92.07</v>
      </c>
      <c r="H149" s="370" t="s">
        <v>122</v>
      </c>
    </row>
    <row r="150" spans="1:8" x14ac:dyDescent="0.25">
      <c r="A150" s="362">
        <v>44708</v>
      </c>
      <c r="B150" s="363" t="s">
        <v>2451</v>
      </c>
      <c r="C150" s="364">
        <v>28400</v>
      </c>
      <c r="D150" s="370" t="s">
        <v>2176</v>
      </c>
      <c r="E150" s="370">
        <v>72.650000000000006</v>
      </c>
      <c r="F150" s="370" t="s">
        <v>2510</v>
      </c>
      <c r="G150" s="370">
        <v>91.5</v>
      </c>
      <c r="H150" s="370" t="s">
        <v>122</v>
      </c>
    </row>
    <row r="151" spans="1:8" x14ac:dyDescent="0.25">
      <c r="A151" s="362">
        <v>44709</v>
      </c>
      <c r="B151" s="363" t="s">
        <v>2454</v>
      </c>
      <c r="C151" s="364">
        <v>28000</v>
      </c>
      <c r="D151" s="370" t="s">
        <v>122</v>
      </c>
      <c r="E151" s="370" t="s">
        <v>122</v>
      </c>
      <c r="F151" s="370" t="s">
        <v>122</v>
      </c>
      <c r="G151" s="370" t="s">
        <v>122</v>
      </c>
      <c r="H151" s="370" t="s">
        <v>122</v>
      </c>
    </row>
    <row r="152" spans="1:8" x14ac:dyDescent="0.25">
      <c r="A152" s="362">
        <v>44710</v>
      </c>
      <c r="B152" s="363" t="s">
        <v>2454</v>
      </c>
      <c r="C152" s="364">
        <v>28000</v>
      </c>
      <c r="D152" s="370" t="s">
        <v>122</v>
      </c>
      <c r="E152" s="370" t="s">
        <v>122</v>
      </c>
      <c r="F152" s="370" t="s">
        <v>122</v>
      </c>
      <c r="G152" s="370" t="s">
        <v>122</v>
      </c>
      <c r="H152" s="370" t="s">
        <v>122</v>
      </c>
    </row>
    <row r="153" spans="1:8" x14ac:dyDescent="0.25">
      <c r="A153" s="362">
        <v>44711</v>
      </c>
      <c r="B153" s="363" t="s">
        <v>2454</v>
      </c>
      <c r="C153" s="364">
        <v>28000</v>
      </c>
      <c r="D153" s="370" t="s">
        <v>122</v>
      </c>
      <c r="E153" s="370" t="s">
        <v>122</v>
      </c>
      <c r="F153" s="370" t="s">
        <v>122</v>
      </c>
      <c r="G153" s="370" t="s">
        <v>122</v>
      </c>
      <c r="H153" s="370" t="s">
        <v>122</v>
      </c>
    </row>
    <row r="154" spans="1:8" x14ac:dyDescent="0.25">
      <c r="A154" s="362">
        <v>44712</v>
      </c>
      <c r="B154" s="363" t="s">
        <v>2454</v>
      </c>
      <c r="C154" s="364">
        <v>28000</v>
      </c>
      <c r="D154" s="370" t="s">
        <v>122</v>
      </c>
      <c r="E154" s="370" t="s">
        <v>122</v>
      </c>
      <c r="F154" s="370" t="s">
        <v>122</v>
      </c>
      <c r="G154" s="370" t="s">
        <v>122</v>
      </c>
      <c r="H154" s="370" t="s">
        <v>122</v>
      </c>
    </row>
    <row r="155" spans="1:8" x14ac:dyDescent="0.25">
      <c r="A155" s="362">
        <v>44713</v>
      </c>
      <c r="B155" s="363" t="s">
        <v>2454</v>
      </c>
      <c r="C155" s="364">
        <v>28000</v>
      </c>
      <c r="D155" s="370" t="s">
        <v>2176</v>
      </c>
      <c r="E155" s="370">
        <v>72.260000000000005</v>
      </c>
      <c r="F155" s="370" t="s">
        <v>2179</v>
      </c>
      <c r="G155" s="370">
        <v>80.06</v>
      </c>
      <c r="H155" s="370" t="s">
        <v>122</v>
      </c>
    </row>
    <row r="156" spans="1:8" x14ac:dyDescent="0.25">
      <c r="A156" s="362">
        <v>44714</v>
      </c>
      <c r="B156" s="363" t="s">
        <v>2455</v>
      </c>
      <c r="C156" s="364">
        <v>27500</v>
      </c>
      <c r="D156" s="370" t="s">
        <v>2510</v>
      </c>
      <c r="E156" s="370">
        <v>87.74</v>
      </c>
      <c r="F156" s="370" t="s">
        <v>2179</v>
      </c>
      <c r="G156" s="370">
        <v>79.66</v>
      </c>
      <c r="H156" s="370" t="s">
        <v>122</v>
      </c>
    </row>
    <row r="157" spans="1:8" x14ac:dyDescent="0.25">
      <c r="A157" s="362">
        <v>44715</v>
      </c>
      <c r="B157" s="363" t="s">
        <v>2558</v>
      </c>
      <c r="C157" s="364">
        <v>27000</v>
      </c>
      <c r="D157" s="370" t="s">
        <v>2510</v>
      </c>
      <c r="E157" s="370">
        <v>87.5</v>
      </c>
      <c r="F157" s="370" t="s">
        <v>2179</v>
      </c>
      <c r="G157" s="370">
        <v>79.459999999999994</v>
      </c>
      <c r="H157" s="370" t="s">
        <v>122</v>
      </c>
    </row>
    <row r="158" spans="1:8" x14ac:dyDescent="0.25">
      <c r="A158" s="362">
        <v>44716</v>
      </c>
      <c r="B158" s="363" t="s">
        <v>2458</v>
      </c>
      <c r="C158" s="364">
        <v>26000</v>
      </c>
      <c r="D158" s="370" t="s">
        <v>2180</v>
      </c>
      <c r="E158" s="370">
        <v>81.58</v>
      </c>
      <c r="F158" s="370" t="s">
        <v>2510</v>
      </c>
      <c r="G158" s="370">
        <v>89.64</v>
      </c>
      <c r="H158" s="370" t="s">
        <v>122</v>
      </c>
    </row>
    <row r="159" spans="1:8" x14ac:dyDescent="0.25">
      <c r="A159" s="362">
        <v>44717</v>
      </c>
      <c r="B159" s="363" t="s">
        <v>2467</v>
      </c>
      <c r="C159" s="364">
        <v>25700</v>
      </c>
      <c r="D159" s="370" t="s">
        <v>2730</v>
      </c>
      <c r="E159" s="370">
        <v>91.42</v>
      </c>
      <c r="F159" s="370" t="s">
        <v>2510</v>
      </c>
      <c r="G159" s="370">
        <v>89.17</v>
      </c>
      <c r="H159" s="370" t="s">
        <v>122</v>
      </c>
    </row>
    <row r="160" spans="1:8" x14ac:dyDescent="0.25">
      <c r="A160" s="362">
        <v>44718</v>
      </c>
      <c r="B160" s="363" t="s">
        <v>2465</v>
      </c>
      <c r="C160" s="364">
        <v>25400</v>
      </c>
      <c r="D160" s="370" t="s">
        <v>2730</v>
      </c>
      <c r="E160" s="370">
        <v>90.9</v>
      </c>
      <c r="F160" s="370" t="s">
        <v>2510</v>
      </c>
      <c r="G160" s="370">
        <v>88.69</v>
      </c>
      <c r="H160" s="370" t="s">
        <v>122</v>
      </c>
    </row>
    <row r="161" spans="1:8" x14ac:dyDescent="0.25">
      <c r="A161" s="362">
        <v>44719</v>
      </c>
      <c r="B161" s="363" t="s">
        <v>2462</v>
      </c>
      <c r="C161" s="364">
        <v>25000</v>
      </c>
      <c r="D161" s="370" t="s">
        <v>2176</v>
      </c>
      <c r="E161" s="370">
        <v>69.91</v>
      </c>
      <c r="F161" s="370" t="s">
        <v>2179</v>
      </c>
      <c r="G161" s="370">
        <v>77.61</v>
      </c>
      <c r="H161" s="370" t="s">
        <v>122</v>
      </c>
    </row>
    <row r="162" spans="1:8" x14ac:dyDescent="0.25">
      <c r="A162" s="362">
        <v>44720</v>
      </c>
      <c r="B162" s="363" t="s">
        <v>2463</v>
      </c>
      <c r="C162" s="364">
        <v>24500</v>
      </c>
      <c r="D162" s="370" t="s">
        <v>2176</v>
      </c>
      <c r="E162" s="370">
        <v>69.72</v>
      </c>
      <c r="F162" s="370" t="s">
        <v>2179</v>
      </c>
      <c r="G162" s="370">
        <v>77.400000000000006</v>
      </c>
      <c r="H162" s="370" t="s">
        <v>122</v>
      </c>
    </row>
    <row r="163" spans="1:8" x14ac:dyDescent="0.25">
      <c r="A163" s="362">
        <v>44721</v>
      </c>
      <c r="B163" s="363" t="s">
        <v>2469</v>
      </c>
      <c r="C163" s="364">
        <v>23500</v>
      </c>
      <c r="D163" s="370" t="s">
        <v>2176</v>
      </c>
      <c r="E163" s="370">
        <v>69.319999999999993</v>
      </c>
      <c r="F163" s="370">
        <v>0</v>
      </c>
      <c r="G163" s="370" t="s">
        <v>122</v>
      </c>
      <c r="H163" s="370" t="s">
        <v>122</v>
      </c>
    </row>
    <row r="164" spans="1:8" x14ac:dyDescent="0.25">
      <c r="A164" s="362">
        <v>44722</v>
      </c>
      <c r="B164" s="363" t="s">
        <v>2469</v>
      </c>
      <c r="C164" s="364">
        <v>23500</v>
      </c>
      <c r="D164" s="370">
        <v>0</v>
      </c>
      <c r="E164" s="370" t="s">
        <v>122</v>
      </c>
      <c r="F164" s="370">
        <v>0</v>
      </c>
      <c r="G164" s="370" t="s">
        <v>122</v>
      </c>
      <c r="H164" s="370" t="s">
        <v>122</v>
      </c>
    </row>
    <row r="165" spans="1:8" x14ac:dyDescent="0.25">
      <c r="A165" s="362">
        <v>44723</v>
      </c>
      <c r="B165" s="363" t="s">
        <v>2477</v>
      </c>
      <c r="C165" s="364">
        <v>22475</v>
      </c>
      <c r="D165" s="370" t="s">
        <v>2177</v>
      </c>
      <c r="E165" s="370">
        <v>64.08</v>
      </c>
      <c r="F165" s="370" t="s">
        <v>2179</v>
      </c>
      <c r="G165" s="370">
        <v>76.88</v>
      </c>
      <c r="H165" s="370" t="s">
        <v>122</v>
      </c>
    </row>
    <row r="166" spans="1:8" x14ac:dyDescent="0.25">
      <c r="A166" s="362">
        <v>44724</v>
      </c>
      <c r="B166" s="363" t="s">
        <v>1848</v>
      </c>
      <c r="C166" s="364">
        <v>22450</v>
      </c>
      <c r="D166" s="370" t="s">
        <v>2179</v>
      </c>
      <c r="E166" s="370">
        <v>74.209999999999994</v>
      </c>
      <c r="F166" s="370" t="s">
        <v>2179</v>
      </c>
      <c r="G166" s="370">
        <v>76.77</v>
      </c>
      <c r="H166" s="370" t="s">
        <v>122</v>
      </c>
    </row>
    <row r="167" spans="1:8" x14ac:dyDescent="0.25">
      <c r="A167" s="362">
        <v>44725</v>
      </c>
      <c r="B167" s="363" t="s">
        <v>2475</v>
      </c>
      <c r="C167" s="364">
        <v>22450</v>
      </c>
      <c r="D167" s="370" t="s">
        <v>2730</v>
      </c>
      <c r="E167" s="370">
        <v>89.06</v>
      </c>
      <c r="F167" s="371" t="s">
        <v>2730</v>
      </c>
      <c r="G167" s="370">
        <v>92.2</v>
      </c>
      <c r="H167" s="370" t="s">
        <v>122</v>
      </c>
    </row>
    <row r="168" spans="1:8" x14ac:dyDescent="0.25">
      <c r="A168" s="362">
        <v>44726</v>
      </c>
      <c r="B168" s="363" t="s">
        <v>2474</v>
      </c>
      <c r="C168" s="364">
        <v>22325</v>
      </c>
      <c r="D168" s="370" t="s">
        <v>2730</v>
      </c>
      <c r="E168" s="370">
        <v>88.52</v>
      </c>
      <c r="F168" s="370" t="s">
        <v>2730</v>
      </c>
      <c r="G168" s="370">
        <v>91.68</v>
      </c>
      <c r="H168" s="370" t="s">
        <v>122</v>
      </c>
    </row>
    <row r="169" spans="1:8" x14ac:dyDescent="0.25">
      <c r="A169" s="362">
        <v>44727</v>
      </c>
      <c r="B169" s="363" t="s">
        <v>2324</v>
      </c>
      <c r="C169" s="364">
        <v>22250</v>
      </c>
      <c r="D169" s="370" t="s">
        <v>2730</v>
      </c>
      <c r="E169" s="370">
        <v>87.98</v>
      </c>
      <c r="F169" s="370" t="s">
        <v>2730</v>
      </c>
      <c r="G169" s="370">
        <v>91.16</v>
      </c>
      <c r="H169" s="370" t="s">
        <v>122</v>
      </c>
    </row>
    <row r="170" spans="1:8" x14ac:dyDescent="0.25">
      <c r="A170" s="362">
        <v>44728</v>
      </c>
      <c r="B170" s="363" t="s">
        <v>2325</v>
      </c>
      <c r="C170" s="364">
        <v>21750</v>
      </c>
      <c r="D170" s="370" t="s">
        <v>2726</v>
      </c>
      <c r="E170" s="370">
        <v>92.29</v>
      </c>
      <c r="F170" s="370" t="s">
        <v>2730</v>
      </c>
      <c r="G170" s="370">
        <v>90.64</v>
      </c>
      <c r="H170" s="370" t="s">
        <v>122</v>
      </c>
    </row>
    <row r="171" spans="1:8" x14ac:dyDescent="0.25">
      <c r="A171" s="362">
        <v>44729</v>
      </c>
      <c r="B171" s="363" t="s">
        <v>2326</v>
      </c>
      <c r="C171" s="364">
        <v>21400</v>
      </c>
      <c r="D171" s="370" t="s">
        <v>2177</v>
      </c>
      <c r="E171" s="370">
        <v>62.3</v>
      </c>
      <c r="F171" s="370">
        <v>0</v>
      </c>
      <c r="G171" s="370" t="s">
        <v>122</v>
      </c>
      <c r="H171" s="370" t="s">
        <v>122</v>
      </c>
    </row>
    <row r="172" spans="1:8" x14ac:dyDescent="0.25">
      <c r="A172" s="362">
        <v>44730</v>
      </c>
      <c r="B172" s="363" t="s">
        <v>2326</v>
      </c>
      <c r="C172" s="364">
        <v>21400</v>
      </c>
      <c r="D172" s="370" t="s">
        <v>122</v>
      </c>
      <c r="E172" s="370" t="s">
        <v>122</v>
      </c>
      <c r="F172" s="370">
        <v>0</v>
      </c>
      <c r="G172" s="370" t="s">
        <v>122</v>
      </c>
      <c r="H172" s="370" t="s">
        <v>122</v>
      </c>
    </row>
    <row r="173" spans="1:8" x14ac:dyDescent="0.25">
      <c r="A173" s="362">
        <v>44731</v>
      </c>
      <c r="B173" s="363" t="s">
        <v>2326</v>
      </c>
      <c r="C173" s="364">
        <v>21400</v>
      </c>
      <c r="D173" s="370" t="s">
        <v>122</v>
      </c>
      <c r="E173" s="370" t="s">
        <v>122</v>
      </c>
      <c r="F173" s="370">
        <v>0</v>
      </c>
      <c r="G173" s="370" t="s">
        <v>122</v>
      </c>
      <c r="H173" s="370" t="s">
        <v>122</v>
      </c>
    </row>
    <row r="174" spans="1:8" x14ac:dyDescent="0.25">
      <c r="A174" s="362">
        <v>44732</v>
      </c>
      <c r="B174" s="363" t="s">
        <v>2326</v>
      </c>
      <c r="C174" s="364">
        <v>21400</v>
      </c>
      <c r="D174" s="370" t="s">
        <v>122</v>
      </c>
      <c r="E174" s="370" t="s">
        <v>122</v>
      </c>
      <c r="F174" s="370">
        <v>0</v>
      </c>
      <c r="G174" s="370" t="s">
        <v>122</v>
      </c>
      <c r="H174" s="370" t="s">
        <v>122</v>
      </c>
    </row>
    <row r="175" spans="1:8" x14ac:dyDescent="0.25">
      <c r="A175" s="362">
        <v>44733</v>
      </c>
      <c r="B175" s="363" t="s">
        <v>2327</v>
      </c>
      <c r="C175" s="364">
        <v>21200</v>
      </c>
      <c r="D175" s="370" t="s">
        <v>2180</v>
      </c>
      <c r="E175" s="370">
        <v>76.91</v>
      </c>
      <c r="F175" s="370" t="s">
        <v>2510</v>
      </c>
      <c r="G175" s="370">
        <v>84.81</v>
      </c>
      <c r="H175" s="370" t="s">
        <v>122</v>
      </c>
    </row>
    <row r="176" spans="1:8" x14ac:dyDescent="0.25">
      <c r="A176" s="362">
        <v>44734</v>
      </c>
      <c r="B176" s="363" t="s">
        <v>2347</v>
      </c>
      <c r="C176" s="364">
        <v>20825</v>
      </c>
      <c r="D176" s="370" t="s">
        <v>2510</v>
      </c>
      <c r="E176" s="370">
        <v>81.400000000000006</v>
      </c>
      <c r="F176" s="370" t="s">
        <v>2510</v>
      </c>
      <c r="G176" s="370">
        <v>84.45</v>
      </c>
      <c r="H176" s="370" t="s">
        <v>122</v>
      </c>
    </row>
    <row r="177" spans="1:8" x14ac:dyDescent="0.25">
      <c r="A177" s="362">
        <v>44735</v>
      </c>
      <c r="B177" s="363" t="s">
        <v>2346</v>
      </c>
      <c r="C177" s="364">
        <v>20450</v>
      </c>
      <c r="D177" s="370" t="s">
        <v>2726</v>
      </c>
      <c r="E177" s="370">
        <v>90.54</v>
      </c>
      <c r="F177" s="370" t="s">
        <v>2510</v>
      </c>
      <c r="G177" s="370">
        <v>84.07</v>
      </c>
      <c r="H177" s="370" t="s">
        <v>122</v>
      </c>
    </row>
    <row r="178" spans="1:8" x14ac:dyDescent="0.25">
      <c r="A178" s="362">
        <v>44736</v>
      </c>
      <c r="B178" s="363" t="s">
        <v>2330</v>
      </c>
      <c r="C178" s="364">
        <v>19850</v>
      </c>
      <c r="D178" s="370" t="s">
        <v>2726</v>
      </c>
      <c r="E178" s="370">
        <v>80.489999999999995</v>
      </c>
      <c r="F178" s="370" t="s">
        <v>2510</v>
      </c>
      <c r="G178" s="370">
        <v>83.56</v>
      </c>
      <c r="H178" s="370" t="s">
        <v>122</v>
      </c>
    </row>
    <row r="179" spans="1:8" x14ac:dyDescent="0.25">
      <c r="A179" s="362">
        <v>44737</v>
      </c>
      <c r="B179" s="363" t="s">
        <v>2331</v>
      </c>
      <c r="C179" s="364">
        <v>19500</v>
      </c>
      <c r="D179" s="370" t="s">
        <v>2726</v>
      </c>
      <c r="E179" s="370">
        <v>89.36</v>
      </c>
      <c r="F179" s="370" t="s">
        <v>2510</v>
      </c>
      <c r="G179" s="370">
        <v>83.06</v>
      </c>
      <c r="H179" s="370" t="s">
        <v>122</v>
      </c>
    </row>
    <row r="180" spans="1:8" x14ac:dyDescent="0.25">
      <c r="A180" s="362">
        <v>44738</v>
      </c>
      <c r="B180" s="363" t="s">
        <v>2332</v>
      </c>
      <c r="C180" s="364">
        <v>19200</v>
      </c>
      <c r="D180" s="370" t="s">
        <v>2726</v>
      </c>
      <c r="E180" s="370">
        <v>88.76</v>
      </c>
      <c r="F180" s="370" t="s">
        <v>2730</v>
      </c>
      <c r="G180" s="370">
        <v>87.44</v>
      </c>
      <c r="H180" s="370" t="s">
        <v>122</v>
      </c>
    </row>
    <row r="181" spans="1:8" x14ac:dyDescent="0.25">
      <c r="A181" s="362">
        <v>44739</v>
      </c>
      <c r="B181" s="363" t="s">
        <v>2334</v>
      </c>
      <c r="C181" s="364">
        <v>18250</v>
      </c>
      <c r="D181" s="370" t="s">
        <v>2180</v>
      </c>
      <c r="E181" s="370">
        <v>73.98</v>
      </c>
      <c r="F181" s="370" t="s">
        <v>2730</v>
      </c>
      <c r="G181" s="370">
        <v>86.62</v>
      </c>
      <c r="H181" s="370" t="s">
        <v>122</v>
      </c>
    </row>
    <row r="182" spans="1:8" x14ac:dyDescent="0.25">
      <c r="A182" s="362">
        <v>44740</v>
      </c>
      <c r="B182" s="363" t="s">
        <v>1846</v>
      </c>
      <c r="C182" s="364">
        <v>17800</v>
      </c>
      <c r="D182" s="370" t="s">
        <v>2177</v>
      </c>
      <c r="E182" s="370">
        <v>59.38</v>
      </c>
      <c r="F182" s="370" t="s">
        <v>2180</v>
      </c>
      <c r="G182" s="370">
        <v>76.430000000000007</v>
      </c>
      <c r="H182" s="370" t="s">
        <v>122</v>
      </c>
    </row>
    <row r="183" spans="1:8" x14ac:dyDescent="0.25">
      <c r="A183" s="362">
        <v>44741</v>
      </c>
      <c r="B183" s="363" t="s">
        <v>2354</v>
      </c>
      <c r="C183" s="364">
        <v>17600</v>
      </c>
      <c r="D183" s="370" t="s">
        <v>2152</v>
      </c>
      <c r="E183" s="370">
        <v>30.19</v>
      </c>
      <c r="F183" s="370" t="s">
        <v>122</v>
      </c>
      <c r="G183" s="370" t="s">
        <v>122</v>
      </c>
      <c r="H183" s="370" t="s">
        <v>122</v>
      </c>
    </row>
    <row r="184" spans="1:8" x14ac:dyDescent="0.25">
      <c r="A184" s="362">
        <v>44742</v>
      </c>
      <c r="B184" s="363" t="s">
        <v>2486</v>
      </c>
      <c r="C184" s="364">
        <v>17550</v>
      </c>
      <c r="D184" s="370" t="s">
        <v>2152</v>
      </c>
      <c r="E184" s="370">
        <v>30.14</v>
      </c>
      <c r="F184" s="370" t="s">
        <v>122</v>
      </c>
      <c r="G184" s="370" t="s">
        <v>122</v>
      </c>
      <c r="H184" s="370" t="s">
        <v>122</v>
      </c>
    </row>
    <row r="185" spans="1:8" x14ac:dyDescent="0.25">
      <c r="A185" s="362">
        <v>44743</v>
      </c>
      <c r="B185" s="363" t="s">
        <v>2337</v>
      </c>
      <c r="C185" s="364">
        <v>17400</v>
      </c>
      <c r="D185" s="370" t="s">
        <v>2180</v>
      </c>
      <c r="E185" s="370">
        <v>72.709999999999994</v>
      </c>
      <c r="F185" s="370" t="s">
        <v>2180</v>
      </c>
      <c r="G185" s="370">
        <v>75.7</v>
      </c>
      <c r="H185" s="370" t="s">
        <v>122</v>
      </c>
    </row>
    <row r="186" spans="1:8" x14ac:dyDescent="0.25">
      <c r="A186" s="362">
        <v>44744</v>
      </c>
      <c r="B186" s="363" t="s">
        <v>2338</v>
      </c>
      <c r="C186" s="364">
        <v>17250</v>
      </c>
      <c r="D186" s="370" t="s">
        <v>2730</v>
      </c>
      <c r="E186" s="370">
        <v>81.540000000000006</v>
      </c>
      <c r="F186" s="370" t="s">
        <v>2180</v>
      </c>
      <c r="G186" s="370">
        <v>75.459999999999994</v>
      </c>
      <c r="H186" s="370" t="s">
        <v>122</v>
      </c>
    </row>
    <row r="187" spans="1:8" x14ac:dyDescent="0.25">
      <c r="A187" s="362">
        <v>44745</v>
      </c>
      <c r="B187" s="363" t="s">
        <v>2572</v>
      </c>
      <c r="C187" s="364">
        <v>16900</v>
      </c>
      <c r="D187" s="370" t="s">
        <v>2726</v>
      </c>
      <c r="E187" s="370">
        <v>85.4</v>
      </c>
      <c r="F187" s="370" t="s">
        <v>2180</v>
      </c>
      <c r="G187" s="370">
        <v>74.97</v>
      </c>
      <c r="H187" s="370" t="s">
        <v>122</v>
      </c>
    </row>
    <row r="188" spans="1:8" x14ac:dyDescent="0.25">
      <c r="A188" s="362">
        <v>44746</v>
      </c>
      <c r="B188" s="363" t="s">
        <v>2341</v>
      </c>
      <c r="C188" s="364">
        <v>16700</v>
      </c>
      <c r="D188" s="370" t="s">
        <v>2730</v>
      </c>
      <c r="E188" s="370">
        <v>80.36</v>
      </c>
      <c r="F188" s="370" t="s">
        <v>2726</v>
      </c>
      <c r="G188" s="370">
        <v>88.46</v>
      </c>
      <c r="H188" s="370" t="s">
        <v>122</v>
      </c>
    </row>
    <row r="189" spans="1:8" x14ac:dyDescent="0.25">
      <c r="A189" s="362">
        <v>44747</v>
      </c>
      <c r="B189" s="363" t="s">
        <v>2722</v>
      </c>
      <c r="C189" s="364">
        <v>16450</v>
      </c>
      <c r="D189" s="370" t="s">
        <v>2544</v>
      </c>
      <c r="E189" s="370">
        <v>92.42</v>
      </c>
      <c r="F189" s="370" t="s">
        <v>2730</v>
      </c>
      <c r="G189" s="370">
        <v>83.12</v>
      </c>
      <c r="H189" s="370" t="s">
        <v>122</v>
      </c>
    </row>
    <row r="190" spans="1:8" x14ac:dyDescent="0.25">
      <c r="A190" s="362">
        <v>44748</v>
      </c>
      <c r="B190" s="363" t="s">
        <v>2518</v>
      </c>
      <c r="C190" s="364">
        <v>16000</v>
      </c>
      <c r="D190" s="370" t="s">
        <v>2544</v>
      </c>
      <c r="E190" s="370">
        <v>91.71</v>
      </c>
      <c r="F190" s="370" t="s">
        <v>2730</v>
      </c>
      <c r="G190" s="370">
        <v>82.41</v>
      </c>
      <c r="H190" s="370" t="s">
        <v>122</v>
      </c>
    </row>
    <row r="191" spans="1:8" x14ac:dyDescent="0.25">
      <c r="A191" s="362">
        <v>44749</v>
      </c>
      <c r="B191" s="363" t="s">
        <v>2723</v>
      </c>
      <c r="C191" s="364">
        <v>15600</v>
      </c>
      <c r="D191" s="370" t="s">
        <v>2510</v>
      </c>
      <c r="E191" s="370">
        <v>73.95</v>
      </c>
      <c r="F191" s="370" t="s">
        <v>2730</v>
      </c>
      <c r="G191" s="370">
        <v>81.83</v>
      </c>
      <c r="H191" s="370" t="s">
        <v>122</v>
      </c>
    </row>
    <row r="192" spans="1:8" x14ac:dyDescent="0.25">
      <c r="A192" s="362">
        <v>44750</v>
      </c>
      <c r="B192" s="363" t="s">
        <v>2414</v>
      </c>
      <c r="C192" s="364">
        <v>15400</v>
      </c>
      <c r="D192" s="370" t="s">
        <v>2177</v>
      </c>
      <c r="E192" s="370">
        <v>55.89</v>
      </c>
      <c r="F192" s="370" t="s">
        <v>122</v>
      </c>
      <c r="G192" s="370" t="s">
        <v>122</v>
      </c>
      <c r="H192" s="370" t="s">
        <v>122</v>
      </c>
    </row>
    <row r="193" spans="1:8" x14ac:dyDescent="0.25">
      <c r="A193" s="362">
        <v>44751</v>
      </c>
      <c r="B193" s="363" t="s">
        <v>2414</v>
      </c>
      <c r="C193" s="364">
        <v>15400</v>
      </c>
      <c r="D193" s="370" t="s">
        <v>2174</v>
      </c>
      <c r="E193" s="370">
        <v>46.93</v>
      </c>
      <c r="F193" s="370" t="s">
        <v>122</v>
      </c>
      <c r="G193" s="370" t="s">
        <v>122</v>
      </c>
      <c r="H193" s="370" t="s">
        <v>122</v>
      </c>
    </row>
    <row r="194" spans="1:8" x14ac:dyDescent="0.25">
      <c r="A194" s="362">
        <v>44752</v>
      </c>
      <c r="B194" s="363" t="s">
        <v>2575</v>
      </c>
      <c r="C194" s="364">
        <v>15100</v>
      </c>
      <c r="D194" s="370" t="s">
        <v>2174</v>
      </c>
      <c r="E194" s="370">
        <v>46.57</v>
      </c>
      <c r="F194" s="370" t="s">
        <v>122</v>
      </c>
      <c r="G194" s="370" t="s">
        <v>122</v>
      </c>
      <c r="H194" s="370" t="s">
        <v>122</v>
      </c>
    </row>
    <row r="195" spans="1:8" x14ac:dyDescent="0.25">
      <c r="A195" s="362">
        <v>44753</v>
      </c>
      <c r="B195" s="363" t="s">
        <v>1845</v>
      </c>
      <c r="C195" s="364">
        <v>14900</v>
      </c>
      <c r="D195" s="370" t="s">
        <v>2726</v>
      </c>
      <c r="E195" s="370">
        <v>80.91</v>
      </c>
      <c r="F195" s="370" t="s">
        <v>2180</v>
      </c>
      <c r="G195" s="370">
        <v>71.430000000000007</v>
      </c>
      <c r="H195" s="370" t="s">
        <v>122</v>
      </c>
    </row>
    <row r="196" spans="1:8" x14ac:dyDescent="0.25">
      <c r="A196" s="362">
        <v>44754</v>
      </c>
      <c r="B196" s="363" t="s">
        <v>2576</v>
      </c>
      <c r="C196" s="364">
        <v>14700</v>
      </c>
      <c r="D196" s="370" t="s">
        <v>2726</v>
      </c>
      <c r="E196" s="370">
        <v>80.58</v>
      </c>
      <c r="F196" s="370" t="s">
        <v>2180</v>
      </c>
      <c r="G196" s="370">
        <v>71.17</v>
      </c>
      <c r="H196" s="370" t="s">
        <v>122</v>
      </c>
    </row>
    <row r="197" spans="1:8" x14ac:dyDescent="0.25">
      <c r="A197" s="362">
        <v>44755</v>
      </c>
      <c r="B197" s="363" t="s">
        <v>2374</v>
      </c>
      <c r="C197" s="364">
        <v>14200</v>
      </c>
      <c r="D197" s="370" t="s">
        <v>2731</v>
      </c>
      <c r="E197" s="370">
        <v>95.61</v>
      </c>
      <c r="F197" s="370" t="s">
        <v>2730</v>
      </c>
      <c r="G197" s="370">
        <v>79.02</v>
      </c>
      <c r="H197" s="370" t="s">
        <v>122</v>
      </c>
    </row>
    <row r="198" spans="1:8" x14ac:dyDescent="0.25">
      <c r="A198" s="362">
        <v>44756</v>
      </c>
      <c r="B198" s="363" t="s">
        <v>2373</v>
      </c>
      <c r="C198" s="364">
        <v>13800</v>
      </c>
      <c r="D198" s="370" t="s">
        <v>2731</v>
      </c>
      <c r="E198" s="370">
        <v>94.77</v>
      </c>
      <c r="F198" s="370" t="s">
        <v>2730</v>
      </c>
      <c r="G198" s="370">
        <v>78.41</v>
      </c>
      <c r="H198" s="370" t="s">
        <v>122</v>
      </c>
    </row>
    <row r="199" spans="1:8" x14ac:dyDescent="0.25">
      <c r="A199" s="362">
        <v>44757</v>
      </c>
      <c r="B199" s="363" t="s">
        <v>2489</v>
      </c>
      <c r="C199" s="364">
        <v>13600</v>
      </c>
      <c r="D199" s="370" t="s">
        <v>2731</v>
      </c>
      <c r="E199" s="370">
        <v>93.93</v>
      </c>
      <c r="F199" s="370" t="s">
        <v>2730</v>
      </c>
      <c r="G199" s="370">
        <v>77.81</v>
      </c>
      <c r="H199" s="370" t="s">
        <v>122</v>
      </c>
    </row>
    <row r="200" spans="1:8" x14ac:dyDescent="0.25">
      <c r="A200" s="362">
        <v>44758</v>
      </c>
      <c r="B200" s="363" t="s">
        <v>2490</v>
      </c>
      <c r="C200" s="364">
        <v>13250</v>
      </c>
      <c r="D200" s="370" t="s">
        <v>122</v>
      </c>
      <c r="E200" s="370" t="s">
        <v>122</v>
      </c>
      <c r="F200" s="370" t="s">
        <v>2730</v>
      </c>
      <c r="G200" s="370">
        <v>77.19</v>
      </c>
      <c r="H200" s="370" t="s">
        <v>122</v>
      </c>
    </row>
    <row r="201" spans="1:8" x14ac:dyDescent="0.25">
      <c r="A201" s="362">
        <v>44759</v>
      </c>
      <c r="B201" s="363" t="s">
        <v>2376</v>
      </c>
      <c r="C201" s="364">
        <v>12950</v>
      </c>
      <c r="D201" s="370" t="s">
        <v>122</v>
      </c>
      <c r="E201" s="370" t="s">
        <v>122</v>
      </c>
      <c r="F201" s="370" t="s">
        <v>2730</v>
      </c>
      <c r="G201" s="370">
        <v>76.88</v>
      </c>
      <c r="H201" s="370" t="s">
        <v>122</v>
      </c>
    </row>
    <row r="202" spans="1:8" x14ac:dyDescent="0.25">
      <c r="A202" s="362">
        <v>44760</v>
      </c>
      <c r="B202" s="363" t="s">
        <v>2377</v>
      </c>
      <c r="C202" s="364">
        <v>12800</v>
      </c>
      <c r="D202" s="370" t="s">
        <v>122</v>
      </c>
      <c r="E202" s="370" t="s">
        <v>122</v>
      </c>
      <c r="F202" s="370" t="s">
        <v>122</v>
      </c>
      <c r="G202" s="370" t="s">
        <v>122</v>
      </c>
      <c r="H202" s="370" t="s">
        <v>122</v>
      </c>
    </row>
    <row r="203" spans="1:8" x14ac:dyDescent="0.25">
      <c r="A203" s="362">
        <v>44761</v>
      </c>
      <c r="B203" s="363" t="s">
        <v>2377</v>
      </c>
      <c r="C203" s="364">
        <v>12800</v>
      </c>
      <c r="D203" s="370" t="s">
        <v>122</v>
      </c>
      <c r="E203" s="370" t="s">
        <v>122</v>
      </c>
      <c r="F203" s="370" t="s">
        <v>122</v>
      </c>
      <c r="G203" s="370" t="s">
        <v>122</v>
      </c>
      <c r="H203" s="370" t="s">
        <v>122</v>
      </c>
    </row>
    <row r="204" spans="1:8" x14ac:dyDescent="0.25">
      <c r="A204" s="362">
        <v>44762</v>
      </c>
      <c r="B204" s="363" t="s">
        <v>2578</v>
      </c>
      <c r="C204" s="364">
        <v>13000</v>
      </c>
      <c r="D204" s="370" t="s">
        <v>122</v>
      </c>
      <c r="E204" s="370" t="s">
        <v>122</v>
      </c>
      <c r="F204" s="370" t="s">
        <v>122</v>
      </c>
      <c r="G204" s="370" t="s">
        <v>122</v>
      </c>
      <c r="H204" s="370" t="s">
        <v>122</v>
      </c>
    </row>
    <row r="205" spans="1:8" x14ac:dyDescent="0.25">
      <c r="A205" s="362">
        <v>44763</v>
      </c>
      <c r="B205" s="363" t="s">
        <v>2578</v>
      </c>
      <c r="C205" s="364">
        <v>13000</v>
      </c>
      <c r="D205" s="370" t="s">
        <v>122</v>
      </c>
      <c r="E205" s="370" t="s">
        <v>122</v>
      </c>
      <c r="F205" s="370" t="s">
        <v>122</v>
      </c>
      <c r="G205" s="370" t="s">
        <v>122</v>
      </c>
      <c r="H205" s="370" t="s">
        <v>122</v>
      </c>
    </row>
    <row r="206" spans="1:8" x14ac:dyDescent="0.25">
      <c r="A206" s="362">
        <v>44764</v>
      </c>
      <c r="B206" s="363" t="s">
        <v>2578</v>
      </c>
      <c r="C206" s="364">
        <v>13000</v>
      </c>
      <c r="D206" s="370" t="s">
        <v>122</v>
      </c>
      <c r="E206" s="370" t="s">
        <v>122</v>
      </c>
      <c r="F206" s="370" t="s">
        <v>122</v>
      </c>
      <c r="G206" s="370" t="s">
        <v>122</v>
      </c>
      <c r="H206" s="370" t="s">
        <v>122</v>
      </c>
    </row>
    <row r="207" spans="1:8" x14ac:dyDescent="0.25">
      <c r="A207" s="362">
        <v>44765</v>
      </c>
      <c r="B207" s="363" t="s">
        <v>2375</v>
      </c>
      <c r="C207" s="364">
        <v>13500</v>
      </c>
      <c r="D207" s="370" t="s">
        <v>122</v>
      </c>
      <c r="E207" s="370" t="s">
        <v>122</v>
      </c>
      <c r="F207" s="370" t="s">
        <v>122</v>
      </c>
      <c r="G207" s="370" t="s">
        <v>122</v>
      </c>
      <c r="H207" s="370" t="s">
        <v>122</v>
      </c>
    </row>
    <row r="208" spans="1:8" x14ac:dyDescent="0.25">
      <c r="A208" s="362">
        <v>44766</v>
      </c>
      <c r="B208" s="363" t="s">
        <v>2375</v>
      </c>
      <c r="C208" s="364">
        <v>13500</v>
      </c>
      <c r="D208" s="370" t="s">
        <v>122</v>
      </c>
      <c r="E208" s="370" t="s">
        <v>122</v>
      </c>
      <c r="F208" s="370" t="s">
        <v>122</v>
      </c>
      <c r="G208" s="370" t="s">
        <v>122</v>
      </c>
      <c r="H208" s="370" t="s">
        <v>122</v>
      </c>
    </row>
    <row r="209" spans="1:8" x14ac:dyDescent="0.25">
      <c r="A209" s="362">
        <v>44767</v>
      </c>
      <c r="B209" s="363" t="s">
        <v>2375</v>
      </c>
      <c r="C209" s="364">
        <v>13500</v>
      </c>
      <c r="D209" s="370" t="s">
        <v>122</v>
      </c>
      <c r="E209" s="370" t="s">
        <v>122</v>
      </c>
      <c r="F209" s="370" t="s">
        <v>122</v>
      </c>
      <c r="G209" s="370" t="s">
        <v>122</v>
      </c>
      <c r="H209" s="370" t="s">
        <v>122</v>
      </c>
    </row>
    <row r="210" spans="1:8" x14ac:dyDescent="0.25">
      <c r="A210" s="362">
        <v>44768</v>
      </c>
      <c r="B210" s="363" t="s">
        <v>2375</v>
      </c>
      <c r="C210" s="364">
        <v>13500</v>
      </c>
      <c r="D210" s="370" t="s">
        <v>122</v>
      </c>
      <c r="E210" s="370" t="s">
        <v>122</v>
      </c>
      <c r="F210" s="370" t="s">
        <v>122</v>
      </c>
      <c r="G210" s="370" t="s">
        <v>122</v>
      </c>
      <c r="H210" s="370" t="s">
        <v>122</v>
      </c>
    </row>
    <row r="211" spans="1:8" x14ac:dyDescent="0.25">
      <c r="A211" s="362">
        <v>44769</v>
      </c>
      <c r="B211" s="363" t="s">
        <v>2375</v>
      </c>
      <c r="C211" s="364">
        <v>13500</v>
      </c>
      <c r="D211" s="370" t="s">
        <v>122</v>
      </c>
      <c r="E211" s="370" t="s">
        <v>122</v>
      </c>
      <c r="F211" s="370" t="s">
        <v>122</v>
      </c>
      <c r="G211" s="370" t="s">
        <v>122</v>
      </c>
      <c r="H211" s="370" t="s">
        <v>122</v>
      </c>
    </row>
    <row r="212" spans="1:8" x14ac:dyDescent="0.25">
      <c r="A212" s="362">
        <v>44770</v>
      </c>
      <c r="B212" s="363" t="s">
        <v>2375</v>
      </c>
      <c r="C212" s="364">
        <v>13500</v>
      </c>
      <c r="D212" s="370" t="s">
        <v>122</v>
      </c>
      <c r="E212" s="370" t="s">
        <v>122</v>
      </c>
      <c r="F212" s="370" t="s">
        <v>122</v>
      </c>
      <c r="G212" s="370" t="s">
        <v>122</v>
      </c>
      <c r="H212" s="370" t="s">
        <v>122</v>
      </c>
    </row>
    <row r="213" spans="1:8" x14ac:dyDescent="0.25">
      <c r="A213" s="362">
        <v>44771</v>
      </c>
      <c r="B213" s="363" t="s">
        <v>2375</v>
      </c>
      <c r="C213" s="364">
        <v>13500</v>
      </c>
      <c r="D213" s="370" t="s">
        <v>122</v>
      </c>
      <c r="E213" s="370" t="s">
        <v>122</v>
      </c>
      <c r="F213" s="370" t="s">
        <v>122</v>
      </c>
      <c r="G213" s="370" t="s">
        <v>122</v>
      </c>
      <c r="H213" s="370" t="s">
        <v>122</v>
      </c>
    </row>
    <row r="214" spans="1:8" x14ac:dyDescent="0.25">
      <c r="A214" s="362">
        <v>44772</v>
      </c>
      <c r="B214" s="363" t="s">
        <v>2489</v>
      </c>
      <c r="C214" s="364">
        <v>13600</v>
      </c>
      <c r="D214" s="370" t="s">
        <v>122</v>
      </c>
      <c r="E214" s="370" t="s">
        <v>122</v>
      </c>
      <c r="F214" s="370" t="s">
        <v>122</v>
      </c>
      <c r="G214" s="370" t="s">
        <v>122</v>
      </c>
      <c r="H214" s="370" t="s">
        <v>122</v>
      </c>
    </row>
    <row r="215" spans="1:8" x14ac:dyDescent="0.25">
      <c r="A215" s="362">
        <v>44773</v>
      </c>
      <c r="B215" s="363" t="s">
        <v>1844</v>
      </c>
      <c r="C215" s="364">
        <v>13700</v>
      </c>
      <c r="D215" s="370" t="s">
        <v>122</v>
      </c>
      <c r="E215" s="370" t="s">
        <v>122</v>
      </c>
      <c r="F215" s="370" t="s">
        <v>122</v>
      </c>
      <c r="G215" s="370" t="s">
        <v>122</v>
      </c>
      <c r="H215" s="370" t="s">
        <v>122</v>
      </c>
    </row>
    <row r="216" spans="1:8" x14ac:dyDescent="0.25">
      <c r="A216" s="362">
        <v>44774</v>
      </c>
      <c r="B216" s="363" t="s">
        <v>1844</v>
      </c>
      <c r="C216" s="364">
        <v>13700</v>
      </c>
      <c r="D216" s="370" t="s">
        <v>122</v>
      </c>
      <c r="E216" s="370" t="s">
        <v>122</v>
      </c>
      <c r="F216" s="370" t="s">
        <v>122</v>
      </c>
      <c r="G216" s="370" t="s">
        <v>122</v>
      </c>
      <c r="H216" s="370" t="s">
        <v>122</v>
      </c>
    </row>
    <row r="217" spans="1:8" x14ac:dyDescent="0.25">
      <c r="A217" s="362">
        <v>44775</v>
      </c>
      <c r="B217" s="363" t="s">
        <v>1844</v>
      </c>
      <c r="C217" s="364">
        <v>13700</v>
      </c>
      <c r="D217" s="370" t="s">
        <v>122</v>
      </c>
      <c r="E217" s="370" t="s">
        <v>122</v>
      </c>
      <c r="F217" s="370" t="s">
        <v>122</v>
      </c>
      <c r="G217" s="370" t="s">
        <v>122</v>
      </c>
      <c r="H217" s="370" t="s">
        <v>122</v>
      </c>
    </row>
    <row r="218" spans="1:8" x14ac:dyDescent="0.25">
      <c r="A218" s="362">
        <v>44776</v>
      </c>
      <c r="B218" s="363" t="s">
        <v>1844</v>
      </c>
      <c r="C218" s="364">
        <v>13700</v>
      </c>
      <c r="D218" s="370" t="s">
        <v>122</v>
      </c>
      <c r="E218" s="370" t="s">
        <v>122</v>
      </c>
      <c r="F218" s="370" t="s">
        <v>122</v>
      </c>
      <c r="G218" s="370" t="s">
        <v>122</v>
      </c>
      <c r="H218" s="370" t="s">
        <v>122</v>
      </c>
    </row>
    <row r="219" spans="1:8" x14ac:dyDescent="0.25">
      <c r="A219" s="362">
        <v>44777</v>
      </c>
      <c r="B219" s="363" t="s">
        <v>1844</v>
      </c>
      <c r="C219" s="364">
        <v>13700</v>
      </c>
      <c r="D219" s="370" t="s">
        <v>122</v>
      </c>
      <c r="E219" s="370" t="s">
        <v>122</v>
      </c>
      <c r="F219" s="370" t="s">
        <v>122</v>
      </c>
      <c r="G219" s="370" t="s">
        <v>122</v>
      </c>
      <c r="H219" s="370" t="s">
        <v>122</v>
      </c>
    </row>
    <row r="220" spans="1:8" x14ac:dyDescent="0.25">
      <c r="A220" s="362">
        <v>44778</v>
      </c>
      <c r="B220" s="363" t="s">
        <v>1844</v>
      </c>
      <c r="C220" s="364">
        <v>13700</v>
      </c>
      <c r="D220" s="370" t="s">
        <v>122</v>
      </c>
      <c r="E220" s="370" t="s">
        <v>122</v>
      </c>
      <c r="F220" s="370" t="s">
        <v>122</v>
      </c>
      <c r="G220" s="370" t="s">
        <v>122</v>
      </c>
      <c r="H220" s="370" t="s">
        <v>122</v>
      </c>
    </row>
    <row r="221" spans="1:8" x14ac:dyDescent="0.25">
      <c r="A221" s="362">
        <v>44779</v>
      </c>
      <c r="B221" s="363" t="s">
        <v>1844</v>
      </c>
      <c r="C221" s="364">
        <v>13700</v>
      </c>
      <c r="D221" s="370" t="s">
        <v>122</v>
      </c>
      <c r="E221" s="370" t="s">
        <v>122</v>
      </c>
      <c r="F221" s="370" t="s">
        <v>122</v>
      </c>
      <c r="G221" s="370" t="s">
        <v>122</v>
      </c>
      <c r="H221" s="370" t="s">
        <v>122</v>
      </c>
    </row>
    <row r="222" spans="1:8" x14ac:dyDescent="0.25">
      <c r="A222" s="362">
        <v>44780</v>
      </c>
      <c r="B222" s="363" t="s">
        <v>2489</v>
      </c>
      <c r="C222" s="364">
        <v>13600</v>
      </c>
      <c r="D222" s="370" t="s">
        <v>122</v>
      </c>
      <c r="E222" s="370" t="s">
        <v>122</v>
      </c>
      <c r="F222" s="370" t="s">
        <v>122</v>
      </c>
      <c r="G222" s="370" t="s">
        <v>122</v>
      </c>
      <c r="H222" s="370" t="s">
        <v>122</v>
      </c>
    </row>
    <row r="223" spans="1:8" x14ac:dyDescent="0.25">
      <c r="A223" s="362">
        <v>44781</v>
      </c>
      <c r="B223" s="363" t="s">
        <v>2489</v>
      </c>
      <c r="C223" s="364">
        <v>13600</v>
      </c>
      <c r="D223" s="370" t="s">
        <v>122</v>
      </c>
      <c r="E223" s="370" t="s">
        <v>122</v>
      </c>
      <c r="F223" s="370" t="s">
        <v>122</v>
      </c>
      <c r="G223" s="370" t="s">
        <v>122</v>
      </c>
      <c r="H223" s="370" t="s">
        <v>122</v>
      </c>
    </row>
    <row r="224" spans="1:8" x14ac:dyDescent="0.25">
      <c r="A224" s="362">
        <v>44782</v>
      </c>
      <c r="B224" s="363" t="s">
        <v>2375</v>
      </c>
      <c r="C224" s="364">
        <v>13500</v>
      </c>
      <c r="D224" s="370" t="s">
        <v>122</v>
      </c>
      <c r="E224" s="370" t="s">
        <v>122</v>
      </c>
      <c r="F224" s="370" t="s">
        <v>122</v>
      </c>
      <c r="G224" s="370" t="s">
        <v>122</v>
      </c>
      <c r="H224" s="370" t="s">
        <v>122</v>
      </c>
    </row>
    <row r="225" spans="1:8" x14ac:dyDescent="0.25">
      <c r="A225" s="362">
        <v>44783</v>
      </c>
      <c r="B225" s="363" t="s">
        <v>2375</v>
      </c>
      <c r="C225" s="364">
        <v>13500</v>
      </c>
      <c r="D225" s="370" t="s">
        <v>122</v>
      </c>
      <c r="E225" s="370" t="s">
        <v>122</v>
      </c>
      <c r="F225" s="370" t="s">
        <v>122</v>
      </c>
      <c r="G225" s="370" t="s">
        <v>122</v>
      </c>
      <c r="H225" s="370" t="s">
        <v>122</v>
      </c>
    </row>
    <row r="226" spans="1:8" x14ac:dyDescent="0.25">
      <c r="A226" s="362">
        <v>44784</v>
      </c>
      <c r="B226" s="363" t="s">
        <v>2375</v>
      </c>
      <c r="C226" s="364">
        <v>13500</v>
      </c>
      <c r="D226" s="370" t="s">
        <v>122</v>
      </c>
      <c r="E226" s="370" t="s">
        <v>122</v>
      </c>
      <c r="F226" s="370" t="s">
        <v>122</v>
      </c>
      <c r="G226" s="370" t="s">
        <v>122</v>
      </c>
      <c r="H226" s="370" t="s">
        <v>122</v>
      </c>
    </row>
    <row r="227" spans="1:8" x14ac:dyDescent="0.25">
      <c r="A227" s="362">
        <v>44785</v>
      </c>
      <c r="B227" s="363" t="s">
        <v>2375</v>
      </c>
      <c r="C227" s="364">
        <v>13500</v>
      </c>
      <c r="D227" s="370" t="s">
        <v>122</v>
      </c>
      <c r="E227" s="370" t="s">
        <v>122</v>
      </c>
      <c r="F227" s="370" t="s">
        <v>122</v>
      </c>
      <c r="G227" s="370" t="s">
        <v>122</v>
      </c>
      <c r="H227" s="370" t="s">
        <v>122</v>
      </c>
    </row>
    <row r="228" spans="1:8" x14ac:dyDescent="0.25">
      <c r="A228" s="362">
        <v>44786</v>
      </c>
      <c r="B228" s="363" t="s">
        <v>2412</v>
      </c>
      <c r="C228" s="364">
        <v>13375</v>
      </c>
      <c r="D228" s="370" t="s">
        <v>122</v>
      </c>
      <c r="E228" s="370" t="s">
        <v>122</v>
      </c>
      <c r="F228" s="370" t="s">
        <v>122</v>
      </c>
      <c r="G228" s="370" t="s">
        <v>122</v>
      </c>
      <c r="H228" s="370" t="s">
        <v>122</v>
      </c>
    </row>
    <row r="229" spans="1:8" x14ac:dyDescent="0.25">
      <c r="A229" s="362">
        <v>44787</v>
      </c>
      <c r="B229" s="363" t="s">
        <v>2412</v>
      </c>
      <c r="C229" s="364">
        <v>13375</v>
      </c>
      <c r="D229" s="370" t="s">
        <v>122</v>
      </c>
      <c r="E229" s="370" t="s">
        <v>122</v>
      </c>
      <c r="F229" s="370" t="s">
        <v>122</v>
      </c>
      <c r="G229" s="370" t="s">
        <v>122</v>
      </c>
      <c r="H229" s="370" t="s">
        <v>122</v>
      </c>
    </row>
    <row r="230" spans="1:8" x14ac:dyDescent="0.25">
      <c r="A230" s="362">
        <v>44788</v>
      </c>
      <c r="B230" s="363" t="s">
        <v>2412</v>
      </c>
      <c r="C230" s="364">
        <v>13375</v>
      </c>
      <c r="D230" s="370" t="s">
        <v>122</v>
      </c>
      <c r="E230" s="370" t="s">
        <v>122</v>
      </c>
      <c r="F230" s="370" t="s">
        <v>122</v>
      </c>
      <c r="G230" s="370" t="s">
        <v>122</v>
      </c>
      <c r="H230" s="370" t="s">
        <v>122</v>
      </c>
    </row>
    <row r="231" spans="1:8" x14ac:dyDescent="0.25">
      <c r="A231" s="362">
        <v>44789</v>
      </c>
      <c r="B231" s="363" t="s">
        <v>2412</v>
      </c>
      <c r="C231" s="364">
        <v>13375</v>
      </c>
      <c r="D231" s="370" t="s">
        <v>122</v>
      </c>
      <c r="E231" s="370" t="s">
        <v>122</v>
      </c>
      <c r="F231" s="370" t="s">
        <v>122</v>
      </c>
      <c r="G231" s="370" t="s">
        <v>122</v>
      </c>
      <c r="H231" s="370" t="s">
        <v>122</v>
      </c>
    </row>
    <row r="232" spans="1:8" x14ac:dyDescent="0.25">
      <c r="A232" s="362">
        <v>44790</v>
      </c>
      <c r="B232" s="363" t="s">
        <v>2490</v>
      </c>
      <c r="C232" s="364">
        <v>13250</v>
      </c>
      <c r="D232" s="370" t="s">
        <v>122</v>
      </c>
      <c r="E232" s="370" t="s">
        <v>122</v>
      </c>
      <c r="F232" s="370" t="s">
        <v>122</v>
      </c>
      <c r="G232" s="370" t="s">
        <v>122</v>
      </c>
      <c r="H232" s="370" t="s">
        <v>122</v>
      </c>
    </row>
    <row r="233" spans="1:8" x14ac:dyDescent="0.25">
      <c r="A233" s="362">
        <v>44791</v>
      </c>
      <c r="B233" s="363" t="s">
        <v>2490</v>
      </c>
      <c r="C233" s="364">
        <v>13250</v>
      </c>
      <c r="D233" s="370" t="s">
        <v>122</v>
      </c>
      <c r="E233" s="370" t="s">
        <v>122</v>
      </c>
      <c r="F233" s="370" t="s">
        <v>122</v>
      </c>
      <c r="G233" s="370" t="s">
        <v>122</v>
      </c>
      <c r="H233" s="370" t="s">
        <v>122</v>
      </c>
    </row>
    <row r="234" spans="1:8" x14ac:dyDescent="0.25">
      <c r="A234" s="362">
        <v>44792</v>
      </c>
      <c r="B234" s="363" t="s">
        <v>2578</v>
      </c>
      <c r="C234" s="364">
        <v>13000</v>
      </c>
      <c r="D234" s="370" t="s">
        <v>122</v>
      </c>
      <c r="E234" s="370" t="s">
        <v>122</v>
      </c>
      <c r="F234" s="370" t="s">
        <v>122</v>
      </c>
      <c r="G234" s="370" t="s">
        <v>122</v>
      </c>
      <c r="H234" s="370" t="s">
        <v>122</v>
      </c>
    </row>
    <row r="235" spans="1:8" x14ac:dyDescent="0.25">
      <c r="A235" s="362">
        <v>44793</v>
      </c>
      <c r="B235" s="363" t="s">
        <v>2578</v>
      </c>
      <c r="C235" s="364">
        <v>13000</v>
      </c>
      <c r="D235" s="370" t="s">
        <v>122</v>
      </c>
      <c r="E235" s="370" t="s">
        <v>122</v>
      </c>
      <c r="F235" s="370" t="s">
        <v>122</v>
      </c>
      <c r="G235" s="370" t="s">
        <v>122</v>
      </c>
      <c r="H235" s="370" t="s">
        <v>122</v>
      </c>
    </row>
    <row r="236" spans="1:8" x14ac:dyDescent="0.25">
      <c r="A236" s="362">
        <v>44794</v>
      </c>
      <c r="B236" s="363" t="s">
        <v>2578</v>
      </c>
      <c r="C236" s="364">
        <v>13000</v>
      </c>
      <c r="D236" s="370" t="s">
        <v>2180</v>
      </c>
      <c r="E236" s="370">
        <v>65.06</v>
      </c>
      <c r="F236" s="370" t="s">
        <v>122</v>
      </c>
      <c r="G236" s="370" t="s">
        <v>122</v>
      </c>
      <c r="H236" s="370" t="s">
        <v>122</v>
      </c>
    </row>
    <row r="237" spans="1:8" x14ac:dyDescent="0.25">
      <c r="A237" s="362">
        <v>44795</v>
      </c>
      <c r="B237" s="363" t="s">
        <v>2578</v>
      </c>
      <c r="C237" s="364">
        <v>13000</v>
      </c>
      <c r="D237" s="370" t="s">
        <v>2180</v>
      </c>
      <c r="E237" s="370">
        <v>65.06</v>
      </c>
      <c r="F237" s="370" t="s">
        <v>122</v>
      </c>
      <c r="G237" s="370" t="s">
        <v>122</v>
      </c>
      <c r="H237" s="370" t="s">
        <v>122</v>
      </c>
    </row>
    <row r="238" spans="1:8" x14ac:dyDescent="0.25">
      <c r="A238" s="362">
        <v>44796</v>
      </c>
      <c r="B238" s="363" t="s">
        <v>2378</v>
      </c>
      <c r="C238" s="364">
        <v>12700</v>
      </c>
      <c r="D238" s="370" t="s">
        <v>2180</v>
      </c>
      <c r="E238" s="370">
        <v>64.489999999999995</v>
      </c>
      <c r="F238" s="370" t="s">
        <v>122</v>
      </c>
      <c r="G238" s="370" t="s">
        <v>122</v>
      </c>
      <c r="H238" s="370" t="s">
        <v>122</v>
      </c>
    </row>
    <row r="239" spans="1:8" x14ac:dyDescent="0.25">
      <c r="A239" s="362">
        <v>44797</v>
      </c>
      <c r="B239" s="363" t="s">
        <v>2379</v>
      </c>
      <c r="C239" s="364">
        <v>12500</v>
      </c>
      <c r="D239" s="370" t="s">
        <v>122</v>
      </c>
      <c r="E239" s="370" t="s">
        <v>122</v>
      </c>
      <c r="F239" s="370" t="s">
        <v>122</v>
      </c>
      <c r="G239" s="370" t="s">
        <v>122</v>
      </c>
      <c r="H239" s="370" t="s">
        <v>122</v>
      </c>
    </row>
    <row r="240" spans="1:8" x14ac:dyDescent="0.25">
      <c r="A240" s="362">
        <v>44798</v>
      </c>
      <c r="B240" s="363" t="s">
        <v>2379</v>
      </c>
      <c r="C240" s="364">
        <v>12500</v>
      </c>
      <c r="D240" s="370" t="s">
        <v>122</v>
      </c>
      <c r="E240" s="370" t="s">
        <v>122</v>
      </c>
      <c r="F240" s="370" t="s">
        <v>122</v>
      </c>
      <c r="G240" s="370" t="s">
        <v>122</v>
      </c>
      <c r="H240" s="370" t="s">
        <v>122</v>
      </c>
    </row>
    <row r="241" spans="1:8" x14ac:dyDescent="0.25">
      <c r="A241" s="362">
        <v>44799</v>
      </c>
      <c r="B241" s="363" t="s">
        <v>2379</v>
      </c>
      <c r="C241" s="364">
        <v>12500</v>
      </c>
      <c r="D241" s="370" t="s">
        <v>122</v>
      </c>
      <c r="E241" s="370" t="s">
        <v>122</v>
      </c>
      <c r="F241" s="370" t="s">
        <v>122</v>
      </c>
      <c r="G241" s="370" t="s">
        <v>122</v>
      </c>
      <c r="H241" s="370" t="s">
        <v>122</v>
      </c>
    </row>
    <row r="242" spans="1:8" x14ac:dyDescent="0.25">
      <c r="A242" s="362">
        <v>44800</v>
      </c>
      <c r="B242" s="363" t="s">
        <v>2379</v>
      </c>
      <c r="C242" s="364">
        <v>12500</v>
      </c>
      <c r="D242" s="370" t="s">
        <v>122</v>
      </c>
      <c r="E242" s="370" t="s">
        <v>122</v>
      </c>
      <c r="F242" s="370" t="s">
        <v>122</v>
      </c>
      <c r="G242" s="370" t="s">
        <v>122</v>
      </c>
      <c r="H242" s="370" t="s">
        <v>122</v>
      </c>
    </row>
    <row r="243" spans="1:8" x14ac:dyDescent="0.25">
      <c r="A243" s="362">
        <v>44801</v>
      </c>
      <c r="B243" s="363" t="s">
        <v>2379</v>
      </c>
      <c r="C243" s="364">
        <v>12500</v>
      </c>
      <c r="D243" s="370" t="s">
        <v>122</v>
      </c>
      <c r="E243" s="370" t="s">
        <v>122</v>
      </c>
      <c r="F243" s="370" t="s">
        <v>122</v>
      </c>
      <c r="G243" s="370" t="s">
        <v>122</v>
      </c>
      <c r="H243" s="370" t="s">
        <v>122</v>
      </c>
    </row>
    <row r="244" spans="1:8" x14ac:dyDescent="0.25">
      <c r="A244" s="362">
        <v>44802</v>
      </c>
      <c r="B244" s="363" t="s">
        <v>2379</v>
      </c>
      <c r="C244" s="364">
        <v>12500</v>
      </c>
      <c r="D244" s="370" t="s">
        <v>122</v>
      </c>
      <c r="E244" s="370" t="s">
        <v>122</v>
      </c>
      <c r="F244" s="370" t="s">
        <v>122</v>
      </c>
      <c r="G244" s="370" t="s">
        <v>122</v>
      </c>
      <c r="H244" s="370" t="s">
        <v>122</v>
      </c>
    </row>
    <row r="245" spans="1:8" x14ac:dyDescent="0.25">
      <c r="A245" s="362">
        <v>44803</v>
      </c>
      <c r="B245" s="363" t="s">
        <v>2379</v>
      </c>
      <c r="C245" s="364">
        <v>12500</v>
      </c>
      <c r="D245" s="370" t="s">
        <v>122</v>
      </c>
      <c r="E245" s="370" t="s">
        <v>122</v>
      </c>
      <c r="F245" s="370" t="s">
        <v>122</v>
      </c>
      <c r="G245" s="370" t="s">
        <v>122</v>
      </c>
      <c r="H245" s="370" t="s">
        <v>122</v>
      </c>
    </row>
    <row r="246" spans="1:8" x14ac:dyDescent="0.25">
      <c r="A246" s="362">
        <v>44804</v>
      </c>
      <c r="B246" s="363" t="s">
        <v>1843</v>
      </c>
      <c r="C246" s="364">
        <v>12600</v>
      </c>
      <c r="D246" s="370" t="s">
        <v>122</v>
      </c>
      <c r="E246" s="370" t="s">
        <v>122</v>
      </c>
      <c r="F246" s="370" t="s">
        <v>122</v>
      </c>
      <c r="G246" s="370" t="s">
        <v>122</v>
      </c>
      <c r="H246" s="370" t="s">
        <v>122</v>
      </c>
    </row>
    <row r="247" spans="1:8" x14ac:dyDescent="0.25">
      <c r="A247" s="362">
        <v>44805</v>
      </c>
      <c r="B247" s="363" t="s">
        <v>1843</v>
      </c>
      <c r="C247" s="364">
        <v>12600</v>
      </c>
      <c r="D247" s="370" t="s">
        <v>122</v>
      </c>
      <c r="E247" s="370" t="s">
        <v>122</v>
      </c>
      <c r="F247" s="370" t="s">
        <v>122</v>
      </c>
      <c r="G247" s="370" t="s">
        <v>122</v>
      </c>
      <c r="H247" s="370" t="s">
        <v>122</v>
      </c>
    </row>
    <row r="248" spans="1:8" x14ac:dyDescent="0.25">
      <c r="A248" s="362">
        <v>44806</v>
      </c>
      <c r="B248" s="363" t="s">
        <v>1843</v>
      </c>
      <c r="C248" s="364">
        <v>12600</v>
      </c>
      <c r="D248" s="370" t="s">
        <v>122</v>
      </c>
      <c r="E248" s="370" t="s">
        <v>122</v>
      </c>
      <c r="F248" s="370" t="s">
        <v>122</v>
      </c>
      <c r="G248" s="370" t="s">
        <v>122</v>
      </c>
      <c r="H248" s="370" t="s">
        <v>122</v>
      </c>
    </row>
    <row r="249" spans="1:8" x14ac:dyDescent="0.25">
      <c r="A249" s="362">
        <v>44807</v>
      </c>
      <c r="B249" s="363" t="s">
        <v>1843</v>
      </c>
      <c r="C249" s="364">
        <v>12600</v>
      </c>
      <c r="D249" s="370" t="s">
        <v>122</v>
      </c>
      <c r="E249" s="370" t="s">
        <v>122</v>
      </c>
      <c r="F249" s="370" t="s">
        <v>122</v>
      </c>
      <c r="G249" s="370" t="s">
        <v>122</v>
      </c>
      <c r="H249" s="370" t="s">
        <v>122</v>
      </c>
    </row>
    <row r="250" spans="1:8" x14ac:dyDescent="0.25">
      <c r="A250" s="362">
        <v>44808</v>
      </c>
      <c r="B250" s="363" t="s">
        <v>1843</v>
      </c>
      <c r="C250" s="364">
        <v>12600</v>
      </c>
      <c r="D250" s="370" t="s">
        <v>122</v>
      </c>
      <c r="E250" s="370" t="s">
        <v>122</v>
      </c>
      <c r="F250" s="370" t="s">
        <v>122</v>
      </c>
      <c r="G250" s="370" t="s">
        <v>122</v>
      </c>
      <c r="H250" s="370" t="s">
        <v>122</v>
      </c>
    </row>
    <row r="251" spans="1:8" x14ac:dyDescent="0.25">
      <c r="A251" s="362">
        <v>44809</v>
      </c>
      <c r="B251" s="363" t="s">
        <v>1843</v>
      </c>
      <c r="C251" s="364">
        <v>12600</v>
      </c>
      <c r="D251" s="370" t="s">
        <v>122</v>
      </c>
      <c r="E251" s="370" t="s">
        <v>122</v>
      </c>
      <c r="F251" s="370" t="s">
        <v>122</v>
      </c>
      <c r="G251" s="370" t="s">
        <v>122</v>
      </c>
      <c r="H251" s="370" t="s">
        <v>122</v>
      </c>
    </row>
    <row r="252" spans="1:8" x14ac:dyDescent="0.25">
      <c r="A252" s="362">
        <v>44810</v>
      </c>
      <c r="B252" s="363" t="s">
        <v>1843</v>
      </c>
      <c r="C252" s="364">
        <v>12600</v>
      </c>
      <c r="D252" s="370" t="s">
        <v>122</v>
      </c>
      <c r="E252" s="370" t="s">
        <v>122</v>
      </c>
      <c r="F252" s="370" t="s">
        <v>122</v>
      </c>
      <c r="G252" s="370" t="s">
        <v>122</v>
      </c>
      <c r="H252" s="370" t="s">
        <v>122</v>
      </c>
    </row>
    <row r="253" spans="1:8" x14ac:dyDescent="0.25">
      <c r="A253" s="362">
        <v>44811</v>
      </c>
      <c r="B253" s="363" t="s">
        <v>1843</v>
      </c>
      <c r="C253" s="364">
        <v>12600</v>
      </c>
      <c r="D253" s="370" t="s">
        <v>122</v>
      </c>
      <c r="E253" s="370" t="s">
        <v>122</v>
      </c>
      <c r="F253" s="370" t="s">
        <v>122</v>
      </c>
      <c r="G253" s="370" t="s">
        <v>122</v>
      </c>
      <c r="H253" s="370" t="s">
        <v>122</v>
      </c>
    </row>
    <row r="254" spans="1:8" x14ac:dyDescent="0.25">
      <c r="A254" s="362">
        <v>44812</v>
      </c>
      <c r="B254" s="363" t="s">
        <v>1843</v>
      </c>
      <c r="C254" s="364">
        <v>12600</v>
      </c>
      <c r="D254" s="370" t="s">
        <v>122</v>
      </c>
      <c r="E254" s="370" t="s">
        <v>122</v>
      </c>
      <c r="F254" s="370" t="s">
        <v>122</v>
      </c>
      <c r="G254" s="370" t="s">
        <v>122</v>
      </c>
      <c r="H254" s="370" t="s">
        <v>122</v>
      </c>
    </row>
    <row r="255" spans="1:8" x14ac:dyDescent="0.25">
      <c r="A255" s="362">
        <v>44813</v>
      </c>
      <c r="B255" s="363" t="s">
        <v>1843</v>
      </c>
      <c r="C255" s="364">
        <v>12600</v>
      </c>
      <c r="D255" s="370" t="s">
        <v>122</v>
      </c>
      <c r="E255" s="370" t="s">
        <v>122</v>
      </c>
      <c r="F255" s="370" t="s">
        <v>122</v>
      </c>
      <c r="G255" s="370" t="s">
        <v>122</v>
      </c>
      <c r="H255" s="370" t="s">
        <v>122</v>
      </c>
    </row>
    <row r="256" spans="1:8" x14ac:dyDescent="0.25">
      <c r="A256" s="362">
        <v>44814</v>
      </c>
      <c r="B256" s="363" t="s">
        <v>1843</v>
      </c>
      <c r="C256" s="364">
        <v>12600</v>
      </c>
      <c r="D256" s="370" t="s">
        <v>122</v>
      </c>
      <c r="E256" s="370" t="s">
        <v>122</v>
      </c>
      <c r="F256" s="370" t="s">
        <v>122</v>
      </c>
      <c r="G256" s="370" t="s">
        <v>122</v>
      </c>
      <c r="H256" s="370" t="s">
        <v>122</v>
      </c>
    </row>
    <row r="257" spans="1:8" x14ac:dyDescent="0.25">
      <c r="A257" s="362">
        <v>44815</v>
      </c>
      <c r="B257" s="363" t="s">
        <v>1843</v>
      </c>
      <c r="C257" s="364">
        <v>12600</v>
      </c>
      <c r="D257" s="370" t="s">
        <v>122</v>
      </c>
      <c r="E257" s="370" t="s">
        <v>122</v>
      </c>
      <c r="F257" s="370" t="s">
        <v>122</v>
      </c>
      <c r="G257" s="370" t="s">
        <v>122</v>
      </c>
      <c r="H257" s="370" t="s">
        <v>122</v>
      </c>
    </row>
    <row r="258" spans="1:8" x14ac:dyDescent="0.25">
      <c r="A258" s="362">
        <v>44816</v>
      </c>
      <c r="B258" s="363" t="s">
        <v>2379</v>
      </c>
      <c r="C258" s="364">
        <v>12500</v>
      </c>
      <c r="D258" s="370" t="s">
        <v>122</v>
      </c>
      <c r="E258" s="370" t="s">
        <v>122</v>
      </c>
      <c r="F258" s="370" t="s">
        <v>122</v>
      </c>
      <c r="G258" s="370" t="s">
        <v>122</v>
      </c>
      <c r="H258" s="370" t="s">
        <v>122</v>
      </c>
    </row>
    <row r="259" spans="1:8" x14ac:dyDescent="0.25">
      <c r="A259" s="362">
        <v>44817</v>
      </c>
      <c r="B259" s="363" t="s">
        <v>2379</v>
      </c>
      <c r="C259" s="364">
        <v>12500</v>
      </c>
      <c r="D259" s="370" t="s">
        <v>122</v>
      </c>
      <c r="E259" s="370" t="s">
        <v>122</v>
      </c>
      <c r="F259" s="370" t="s">
        <v>122</v>
      </c>
      <c r="G259" s="370" t="s">
        <v>122</v>
      </c>
      <c r="H259" s="370" t="s">
        <v>122</v>
      </c>
    </row>
    <row r="260" spans="1:8" x14ac:dyDescent="0.25">
      <c r="A260" s="362">
        <v>44818</v>
      </c>
      <c r="B260" s="363" t="s">
        <v>2379</v>
      </c>
      <c r="C260" s="364">
        <v>12500</v>
      </c>
      <c r="D260" s="370" t="s">
        <v>122</v>
      </c>
      <c r="E260" s="370" t="s">
        <v>122</v>
      </c>
      <c r="F260" s="370" t="s">
        <v>122</v>
      </c>
      <c r="G260" s="370" t="s">
        <v>122</v>
      </c>
      <c r="H260" s="370" t="s">
        <v>122</v>
      </c>
    </row>
    <row r="261" spans="1:8" x14ac:dyDescent="0.25">
      <c r="A261" s="362">
        <v>44819</v>
      </c>
      <c r="B261" s="363" t="s">
        <v>2379</v>
      </c>
      <c r="C261" s="364">
        <v>12500</v>
      </c>
      <c r="D261" s="370" t="s">
        <v>122</v>
      </c>
      <c r="E261" s="370" t="s">
        <v>122</v>
      </c>
      <c r="F261" s="370" t="s">
        <v>122</v>
      </c>
      <c r="G261" s="370" t="s">
        <v>122</v>
      </c>
      <c r="H261" s="370" t="s">
        <v>122</v>
      </c>
    </row>
    <row r="262" spans="1:8" x14ac:dyDescent="0.25">
      <c r="A262" s="362">
        <v>44820</v>
      </c>
      <c r="B262" s="363" t="s">
        <v>2579</v>
      </c>
      <c r="C262" s="364">
        <v>12400</v>
      </c>
      <c r="D262" s="370" t="s">
        <v>122</v>
      </c>
      <c r="E262" s="370" t="s">
        <v>122</v>
      </c>
      <c r="F262" s="370" t="s">
        <v>122</v>
      </c>
      <c r="G262" s="370" t="s">
        <v>122</v>
      </c>
      <c r="H262" s="370" t="s">
        <v>122</v>
      </c>
    </row>
    <row r="263" spans="1:8" x14ac:dyDescent="0.25">
      <c r="A263" s="362">
        <v>44821</v>
      </c>
      <c r="B263" s="363" t="s">
        <v>2492</v>
      </c>
      <c r="C263" s="364">
        <v>12300</v>
      </c>
      <c r="D263" s="370" t="s">
        <v>122</v>
      </c>
      <c r="E263" s="370" t="s">
        <v>122</v>
      </c>
      <c r="F263" s="370" t="s">
        <v>122</v>
      </c>
      <c r="G263" s="370" t="s">
        <v>122</v>
      </c>
      <c r="H263" s="370" t="s">
        <v>122</v>
      </c>
    </row>
    <row r="264" spans="1:8" x14ac:dyDescent="0.25">
      <c r="A264" s="362">
        <v>44822</v>
      </c>
      <c r="B264" s="363" t="s">
        <v>2492</v>
      </c>
      <c r="C264" s="364">
        <v>12300</v>
      </c>
      <c r="D264" s="370" t="s">
        <v>122</v>
      </c>
      <c r="E264" s="370" t="s">
        <v>122</v>
      </c>
      <c r="F264" s="370" t="s">
        <v>122</v>
      </c>
      <c r="G264" s="370" t="s">
        <v>122</v>
      </c>
      <c r="H264" s="370" t="s">
        <v>122</v>
      </c>
    </row>
    <row r="265" spans="1:8" x14ac:dyDescent="0.25">
      <c r="A265" s="362">
        <v>44823</v>
      </c>
      <c r="B265" s="363" t="s">
        <v>2513</v>
      </c>
      <c r="C265" s="364">
        <v>12200</v>
      </c>
      <c r="D265" s="370" t="s">
        <v>2174</v>
      </c>
      <c r="E265" s="370">
        <v>43.28</v>
      </c>
      <c r="F265" s="370" t="s">
        <v>122</v>
      </c>
      <c r="G265" s="370" t="s">
        <v>122</v>
      </c>
      <c r="H265" s="370" t="s">
        <v>122</v>
      </c>
    </row>
    <row r="266" spans="1:8" x14ac:dyDescent="0.25">
      <c r="A266" s="362">
        <v>44824</v>
      </c>
      <c r="B266" s="363" t="s">
        <v>2494</v>
      </c>
      <c r="C266" s="364">
        <v>12000</v>
      </c>
      <c r="D266" s="370" t="s">
        <v>2174</v>
      </c>
      <c r="E266" s="370">
        <v>43.09</v>
      </c>
      <c r="F266" s="370" t="s">
        <v>122</v>
      </c>
      <c r="G266" s="370" t="s">
        <v>122</v>
      </c>
      <c r="H266" s="370" t="s">
        <v>122</v>
      </c>
    </row>
    <row r="267" spans="1:8" x14ac:dyDescent="0.25">
      <c r="A267" s="362">
        <v>44825</v>
      </c>
      <c r="B267" s="363" t="s">
        <v>2494</v>
      </c>
      <c r="C267" s="364">
        <v>12000</v>
      </c>
      <c r="D267" s="370" t="s">
        <v>122</v>
      </c>
      <c r="E267" s="370"/>
      <c r="F267" s="370" t="s">
        <v>122</v>
      </c>
      <c r="G267" s="370" t="s">
        <v>122</v>
      </c>
      <c r="H267" s="370" t="s">
        <v>122</v>
      </c>
    </row>
    <row r="268" spans="1:8" x14ac:dyDescent="0.25">
      <c r="A268" s="362">
        <v>44826</v>
      </c>
      <c r="B268" s="363" t="s">
        <v>2494</v>
      </c>
      <c r="C268" s="364">
        <v>12000</v>
      </c>
      <c r="D268" s="370" t="s">
        <v>122</v>
      </c>
      <c r="E268" s="370" t="s">
        <v>122</v>
      </c>
      <c r="F268" s="370" t="s">
        <v>122</v>
      </c>
      <c r="G268" s="370" t="s">
        <v>122</v>
      </c>
      <c r="H268" s="370" t="s">
        <v>122</v>
      </c>
    </row>
    <row r="269" spans="1:8" x14ac:dyDescent="0.25">
      <c r="A269" s="362">
        <v>44827</v>
      </c>
      <c r="B269" s="363" t="s">
        <v>2496</v>
      </c>
      <c r="C269" s="364">
        <v>11800</v>
      </c>
      <c r="D269" s="370" t="s">
        <v>122</v>
      </c>
      <c r="E269" s="370" t="s">
        <v>122</v>
      </c>
      <c r="F269" s="370" t="s">
        <v>122</v>
      </c>
      <c r="G269" s="370" t="s">
        <v>122</v>
      </c>
      <c r="H269" s="370" t="s">
        <v>122</v>
      </c>
    </row>
    <row r="270" spans="1:8" x14ac:dyDescent="0.25">
      <c r="A270" s="362">
        <v>44828</v>
      </c>
      <c r="B270" s="363" t="s">
        <v>2496</v>
      </c>
      <c r="C270" s="364">
        <v>11800</v>
      </c>
      <c r="D270" s="370" t="s">
        <v>122</v>
      </c>
      <c r="E270" s="370" t="s">
        <v>122</v>
      </c>
      <c r="F270" s="370" t="s">
        <v>122</v>
      </c>
      <c r="G270" s="370" t="s">
        <v>122</v>
      </c>
      <c r="H270" s="370" t="s">
        <v>122</v>
      </c>
    </row>
    <row r="271" spans="1:8" x14ac:dyDescent="0.25">
      <c r="A271" s="362">
        <v>44829</v>
      </c>
      <c r="B271" s="363" t="s">
        <v>1841</v>
      </c>
      <c r="C271" s="364">
        <v>11600</v>
      </c>
      <c r="D271" s="370" t="s">
        <v>122</v>
      </c>
      <c r="E271" s="370" t="s">
        <v>122</v>
      </c>
      <c r="F271" s="370" t="s">
        <v>122</v>
      </c>
      <c r="G271" s="370" t="s">
        <v>122</v>
      </c>
      <c r="H271" s="370" t="s">
        <v>122</v>
      </c>
    </row>
    <row r="272" spans="1:8" x14ac:dyDescent="0.25">
      <c r="A272" s="362">
        <v>44830</v>
      </c>
      <c r="B272" s="363" t="s">
        <v>1840</v>
      </c>
      <c r="C272" s="364">
        <v>11500</v>
      </c>
      <c r="D272" s="370" t="s">
        <v>122</v>
      </c>
      <c r="E272" s="370" t="s">
        <v>122</v>
      </c>
      <c r="F272" s="370" t="s">
        <v>122</v>
      </c>
      <c r="G272" s="370" t="s">
        <v>122</v>
      </c>
      <c r="H272" s="370" t="s">
        <v>122</v>
      </c>
    </row>
    <row r="273" spans="1:8" x14ac:dyDescent="0.25">
      <c r="A273" s="362">
        <v>44831</v>
      </c>
      <c r="B273" s="363" t="s">
        <v>1840</v>
      </c>
      <c r="C273" s="364">
        <v>11500</v>
      </c>
      <c r="D273" s="370" t="s">
        <v>122</v>
      </c>
      <c r="E273" s="370" t="s">
        <v>122</v>
      </c>
      <c r="F273" s="370" t="s">
        <v>122</v>
      </c>
      <c r="G273" s="370" t="s">
        <v>122</v>
      </c>
      <c r="H273" s="370" t="s">
        <v>122</v>
      </c>
    </row>
    <row r="274" spans="1:8" x14ac:dyDescent="0.25">
      <c r="A274" s="362">
        <v>44832</v>
      </c>
      <c r="B274" s="363" t="s">
        <v>1840</v>
      </c>
      <c r="C274" s="364">
        <v>11500</v>
      </c>
      <c r="D274" s="370" t="s">
        <v>122</v>
      </c>
      <c r="E274" s="370" t="s">
        <v>122</v>
      </c>
      <c r="F274" s="370" t="s">
        <v>122</v>
      </c>
      <c r="G274" s="370" t="s">
        <v>122</v>
      </c>
      <c r="H274" s="370" t="s">
        <v>122</v>
      </c>
    </row>
    <row r="275" spans="1:8" x14ac:dyDescent="0.25">
      <c r="A275" s="362">
        <v>44833</v>
      </c>
      <c r="B275" s="363" t="s">
        <v>1840</v>
      </c>
      <c r="C275" s="364">
        <v>11500</v>
      </c>
      <c r="D275" s="370" t="s">
        <v>122</v>
      </c>
      <c r="E275" s="370" t="s">
        <v>122</v>
      </c>
      <c r="F275" s="370" t="s">
        <v>122</v>
      </c>
      <c r="G275" s="370" t="s">
        <v>122</v>
      </c>
      <c r="H275" s="370" t="s">
        <v>122</v>
      </c>
    </row>
    <row r="276" spans="1:8" x14ac:dyDescent="0.25">
      <c r="A276" s="362">
        <v>44834</v>
      </c>
      <c r="B276" s="363" t="s">
        <v>1840</v>
      </c>
      <c r="C276" s="364">
        <v>11500</v>
      </c>
      <c r="D276" s="370" t="s">
        <v>122</v>
      </c>
      <c r="E276" s="370" t="s">
        <v>122</v>
      </c>
      <c r="F276" s="370" t="s">
        <v>122</v>
      </c>
      <c r="G276" s="370" t="s">
        <v>122</v>
      </c>
      <c r="H276" s="370" t="s">
        <v>122</v>
      </c>
    </row>
    <row r="277" spans="1:8" x14ac:dyDescent="0.25">
      <c r="A277" s="362">
        <v>44835</v>
      </c>
      <c r="B277" s="363" t="s">
        <v>1839</v>
      </c>
      <c r="C277" s="364">
        <v>11400</v>
      </c>
      <c r="D277" s="370" t="s">
        <v>122</v>
      </c>
      <c r="E277" s="370" t="s">
        <v>122</v>
      </c>
      <c r="F277" s="370" t="s">
        <v>122</v>
      </c>
      <c r="G277" s="370" t="s">
        <v>122</v>
      </c>
      <c r="H277" s="370" t="s">
        <v>122</v>
      </c>
    </row>
    <row r="278" spans="1:8" x14ac:dyDescent="0.25">
      <c r="A278" s="362">
        <v>44836</v>
      </c>
      <c r="B278" s="363" t="s">
        <v>1839</v>
      </c>
      <c r="C278" s="364">
        <v>11400</v>
      </c>
      <c r="D278" s="370" t="s">
        <v>122</v>
      </c>
      <c r="E278" s="370" t="s">
        <v>122</v>
      </c>
      <c r="F278" s="370" t="s">
        <v>122</v>
      </c>
      <c r="G278" s="370" t="s">
        <v>122</v>
      </c>
      <c r="H278" s="370" t="s">
        <v>122</v>
      </c>
    </row>
    <row r="279" spans="1:8" x14ac:dyDescent="0.25">
      <c r="A279" s="362">
        <v>44837</v>
      </c>
      <c r="B279" s="363" t="s">
        <v>1839</v>
      </c>
      <c r="C279" s="364">
        <v>11400</v>
      </c>
      <c r="D279" s="370" t="s">
        <v>122</v>
      </c>
      <c r="E279" s="370" t="s">
        <v>122</v>
      </c>
      <c r="F279" s="370" t="s">
        <v>122</v>
      </c>
      <c r="G279" s="370" t="s">
        <v>122</v>
      </c>
      <c r="H279" s="370" t="s">
        <v>122</v>
      </c>
    </row>
    <row r="280" spans="1:8" x14ac:dyDescent="0.25">
      <c r="A280" s="362">
        <v>44838</v>
      </c>
      <c r="B280" s="363" t="s">
        <v>1839</v>
      </c>
      <c r="C280" s="364">
        <v>11400</v>
      </c>
      <c r="D280" s="370" t="s">
        <v>122</v>
      </c>
      <c r="E280" s="370" t="s">
        <v>122</v>
      </c>
      <c r="F280" s="370" t="s">
        <v>122</v>
      </c>
      <c r="G280" s="370" t="s">
        <v>122</v>
      </c>
      <c r="H280" s="370" t="s">
        <v>122</v>
      </c>
    </row>
    <row r="281" spans="1:8" x14ac:dyDescent="0.25">
      <c r="A281" s="362">
        <v>44839</v>
      </c>
      <c r="B281" s="363" t="s">
        <v>1838</v>
      </c>
      <c r="C281" s="364">
        <v>11300</v>
      </c>
      <c r="D281" s="370" t="s">
        <v>122</v>
      </c>
      <c r="E281" s="370" t="s">
        <v>122</v>
      </c>
      <c r="F281" s="370" t="s">
        <v>122</v>
      </c>
      <c r="G281" s="370" t="s">
        <v>122</v>
      </c>
      <c r="H281" s="370" t="s">
        <v>122</v>
      </c>
    </row>
    <row r="282" spans="1:8" x14ac:dyDescent="0.25">
      <c r="A282" s="362">
        <v>44840</v>
      </c>
      <c r="B282" s="363" t="s">
        <v>1838</v>
      </c>
      <c r="C282" s="364">
        <v>11300</v>
      </c>
      <c r="D282" s="370" t="s">
        <v>122</v>
      </c>
      <c r="E282" s="370" t="s">
        <v>122</v>
      </c>
      <c r="F282" s="370" t="s">
        <v>122</v>
      </c>
      <c r="G282" s="370" t="s">
        <v>122</v>
      </c>
      <c r="H282" s="370" t="s">
        <v>122</v>
      </c>
    </row>
    <row r="283" spans="1:8" x14ac:dyDescent="0.25">
      <c r="A283" s="362">
        <v>44841</v>
      </c>
      <c r="B283" s="363" t="s">
        <v>1838</v>
      </c>
      <c r="C283" s="364">
        <v>11300</v>
      </c>
      <c r="D283" s="370" t="s">
        <v>122</v>
      </c>
      <c r="E283" s="370" t="s">
        <v>122</v>
      </c>
      <c r="F283" s="370" t="s">
        <v>122</v>
      </c>
      <c r="G283" s="370" t="s">
        <v>122</v>
      </c>
      <c r="H283" s="370" t="s">
        <v>122</v>
      </c>
    </row>
    <row r="284" spans="1:8" x14ac:dyDescent="0.25">
      <c r="A284" s="362">
        <v>44842</v>
      </c>
      <c r="B284" s="363" t="s">
        <v>1838</v>
      </c>
      <c r="C284" s="364">
        <v>11300</v>
      </c>
      <c r="D284" s="370" t="s">
        <v>122</v>
      </c>
      <c r="E284" s="370" t="s">
        <v>122</v>
      </c>
      <c r="F284" s="370" t="s">
        <v>122</v>
      </c>
      <c r="G284" s="370" t="s">
        <v>122</v>
      </c>
      <c r="H284" s="370" t="s">
        <v>122</v>
      </c>
    </row>
    <row r="285" spans="1:8" x14ac:dyDescent="0.25">
      <c r="A285" s="362">
        <v>44843</v>
      </c>
      <c r="B285" s="363" t="s">
        <v>1838</v>
      </c>
      <c r="C285" s="364">
        <v>11300</v>
      </c>
      <c r="D285" s="370" t="s">
        <v>122</v>
      </c>
      <c r="E285" s="370" t="s">
        <v>122</v>
      </c>
      <c r="F285" s="370" t="s">
        <v>122</v>
      </c>
      <c r="G285" s="370" t="s">
        <v>122</v>
      </c>
      <c r="H285" s="370" t="s">
        <v>122</v>
      </c>
    </row>
    <row r="286" spans="1:8" x14ac:dyDescent="0.25">
      <c r="A286" s="362">
        <v>44844</v>
      </c>
      <c r="B286" s="363" t="s">
        <v>2499</v>
      </c>
      <c r="C286" s="364">
        <v>11200</v>
      </c>
      <c r="D286" s="370" t="s">
        <v>122</v>
      </c>
      <c r="E286" s="370" t="s">
        <v>122</v>
      </c>
      <c r="F286" s="370" t="s">
        <v>122</v>
      </c>
      <c r="G286" s="370" t="s">
        <v>122</v>
      </c>
      <c r="H286" s="370" t="s">
        <v>122</v>
      </c>
    </row>
    <row r="287" spans="1:8" x14ac:dyDescent="0.25">
      <c r="A287" s="362">
        <v>44845</v>
      </c>
      <c r="B287" s="363" t="s">
        <v>2580</v>
      </c>
      <c r="C287" s="364">
        <v>11100</v>
      </c>
      <c r="D287" s="370" t="s">
        <v>122</v>
      </c>
      <c r="E287" s="370" t="s">
        <v>122</v>
      </c>
      <c r="F287" s="370" t="s">
        <v>122</v>
      </c>
      <c r="G287" s="370" t="s">
        <v>122</v>
      </c>
      <c r="H287" s="370" t="s">
        <v>122</v>
      </c>
    </row>
    <row r="288" spans="1:8" x14ac:dyDescent="0.25">
      <c r="A288" s="362">
        <v>44846</v>
      </c>
      <c r="B288" s="363" t="s">
        <v>2580</v>
      </c>
      <c r="C288" s="364">
        <v>11100</v>
      </c>
      <c r="D288" s="370" t="s">
        <v>122</v>
      </c>
      <c r="E288" s="370" t="s">
        <v>122</v>
      </c>
      <c r="F288" s="370" t="s">
        <v>122</v>
      </c>
      <c r="G288" s="370" t="s">
        <v>122</v>
      </c>
      <c r="H288" s="370" t="s">
        <v>122</v>
      </c>
    </row>
    <row r="289" spans="1:8" x14ac:dyDescent="0.25">
      <c r="A289" s="362">
        <v>44847</v>
      </c>
      <c r="B289" s="363" t="s">
        <v>1837</v>
      </c>
      <c r="C289" s="364">
        <v>10800</v>
      </c>
      <c r="D289" s="370" t="s">
        <v>122</v>
      </c>
      <c r="E289" s="370" t="s">
        <v>122</v>
      </c>
      <c r="F289" s="370" t="s">
        <v>122</v>
      </c>
      <c r="G289" s="370" t="s">
        <v>122</v>
      </c>
      <c r="H289" s="370" t="s">
        <v>122</v>
      </c>
    </row>
    <row r="290" spans="1:8" x14ac:dyDescent="0.25">
      <c r="A290" s="362">
        <v>44848</v>
      </c>
      <c r="B290" s="363" t="s">
        <v>1841</v>
      </c>
      <c r="C290" s="364">
        <v>11600</v>
      </c>
      <c r="D290" s="370" t="s">
        <v>122</v>
      </c>
      <c r="E290" s="370" t="s">
        <v>122</v>
      </c>
      <c r="F290" s="370" t="s">
        <v>122</v>
      </c>
      <c r="G290" s="370" t="s">
        <v>122</v>
      </c>
      <c r="H290" s="370" t="s">
        <v>122</v>
      </c>
    </row>
    <row r="291" spans="1:8" x14ac:dyDescent="0.25">
      <c r="A291" s="362">
        <v>44849</v>
      </c>
      <c r="B291" s="363" t="s">
        <v>2579</v>
      </c>
      <c r="C291" s="364">
        <v>12400</v>
      </c>
      <c r="D291" s="370" t="s">
        <v>122</v>
      </c>
      <c r="E291" s="370" t="s">
        <v>122</v>
      </c>
      <c r="F291" s="370" t="s">
        <v>122</v>
      </c>
      <c r="G291" s="370" t="s">
        <v>122</v>
      </c>
      <c r="H291" s="370" t="s">
        <v>122</v>
      </c>
    </row>
    <row r="292" spans="1:8" x14ac:dyDescent="0.25">
      <c r="A292" s="362">
        <v>44850</v>
      </c>
      <c r="B292" s="363" t="s">
        <v>2579</v>
      </c>
      <c r="C292" s="364">
        <v>12400</v>
      </c>
      <c r="D292" s="370" t="s">
        <v>122</v>
      </c>
      <c r="E292" s="370" t="s">
        <v>122</v>
      </c>
      <c r="F292" s="370" t="s">
        <v>122</v>
      </c>
      <c r="G292" s="370" t="s">
        <v>122</v>
      </c>
      <c r="H292" s="370" t="s">
        <v>122</v>
      </c>
    </row>
    <row r="293" spans="1:8" x14ac:dyDescent="0.25">
      <c r="A293" s="362">
        <v>44851</v>
      </c>
      <c r="B293" s="363" t="s">
        <v>2724</v>
      </c>
      <c r="C293" s="364">
        <v>12900</v>
      </c>
      <c r="D293" s="370" t="s">
        <v>122</v>
      </c>
      <c r="E293" s="370" t="s">
        <v>122</v>
      </c>
      <c r="F293" s="370" t="s">
        <v>122</v>
      </c>
      <c r="G293" s="370" t="s">
        <v>122</v>
      </c>
      <c r="H293" s="370" t="s">
        <v>122</v>
      </c>
    </row>
    <row r="294" spans="1:8" x14ac:dyDescent="0.25">
      <c r="A294" s="362">
        <v>44852</v>
      </c>
      <c r="B294" s="363" t="s">
        <v>2490</v>
      </c>
      <c r="C294" s="364">
        <v>13250</v>
      </c>
      <c r="D294" s="370" t="s">
        <v>2174</v>
      </c>
      <c r="E294" s="370">
        <v>43.09</v>
      </c>
      <c r="F294" s="370" t="s">
        <v>2177</v>
      </c>
      <c r="G294" s="370">
        <v>53.95</v>
      </c>
      <c r="H294" s="370" t="s">
        <v>122</v>
      </c>
    </row>
    <row r="295" spans="1:8" x14ac:dyDescent="0.25">
      <c r="A295" s="362">
        <v>44853</v>
      </c>
      <c r="B295" s="363" t="s">
        <v>2578</v>
      </c>
      <c r="C295" s="364">
        <v>13000</v>
      </c>
      <c r="D295" s="370" t="s">
        <v>2186</v>
      </c>
      <c r="E295" s="370">
        <v>35.82</v>
      </c>
      <c r="F295" s="370" t="s">
        <v>2186</v>
      </c>
      <c r="G295" s="370">
        <v>37.54</v>
      </c>
      <c r="H295" s="370" t="s">
        <v>122</v>
      </c>
    </row>
    <row r="296" spans="1:8" x14ac:dyDescent="0.25">
      <c r="A296" s="362">
        <v>44854</v>
      </c>
      <c r="B296" s="363" t="s">
        <v>2377</v>
      </c>
      <c r="C296" s="364">
        <v>12800</v>
      </c>
      <c r="D296" s="370" t="s">
        <v>2186</v>
      </c>
      <c r="E296" s="370">
        <v>35.53</v>
      </c>
      <c r="F296" s="370" t="s">
        <v>2179</v>
      </c>
      <c r="G296" s="370">
        <v>63.7</v>
      </c>
      <c r="H296" s="370" t="s">
        <v>122</v>
      </c>
    </row>
    <row r="297" spans="1:8" x14ac:dyDescent="0.25">
      <c r="A297" s="362">
        <v>44855</v>
      </c>
      <c r="B297" s="363" t="s">
        <v>2377</v>
      </c>
      <c r="C297" s="364">
        <v>12800</v>
      </c>
      <c r="D297" s="370" t="s">
        <v>2177</v>
      </c>
      <c r="E297" s="370">
        <v>52.37</v>
      </c>
      <c r="F297" s="370" t="s">
        <v>2179</v>
      </c>
      <c r="G297" s="370">
        <v>63.7</v>
      </c>
      <c r="H297" s="370" t="s">
        <v>122</v>
      </c>
    </row>
    <row r="298" spans="1:8" x14ac:dyDescent="0.25">
      <c r="A298" s="362">
        <v>44856</v>
      </c>
      <c r="B298" s="363" t="s">
        <v>2377</v>
      </c>
      <c r="C298" s="364">
        <v>12800</v>
      </c>
      <c r="D298" s="370" t="s">
        <v>2177</v>
      </c>
      <c r="E298" s="370">
        <v>52.39</v>
      </c>
      <c r="F298" s="370" t="s">
        <v>2179</v>
      </c>
      <c r="G298" s="370">
        <v>63.7</v>
      </c>
      <c r="H298" s="370" t="s">
        <v>122</v>
      </c>
    </row>
    <row r="299" spans="1:8" x14ac:dyDescent="0.25">
      <c r="A299" s="362">
        <v>44857</v>
      </c>
      <c r="B299" s="363" t="s">
        <v>1843</v>
      </c>
      <c r="C299" s="364">
        <v>12600</v>
      </c>
      <c r="D299" s="370" t="s">
        <v>2732</v>
      </c>
      <c r="E299" s="370">
        <v>47.92</v>
      </c>
      <c r="F299" s="370" t="s">
        <v>2179</v>
      </c>
      <c r="G299" s="370">
        <v>63.45</v>
      </c>
      <c r="H299" s="370" t="s">
        <v>122</v>
      </c>
    </row>
    <row r="300" spans="1:8" x14ac:dyDescent="0.25">
      <c r="A300" s="362">
        <v>44858</v>
      </c>
      <c r="B300" s="363" t="s">
        <v>2579</v>
      </c>
      <c r="C300" s="364">
        <v>12400</v>
      </c>
      <c r="D300" s="370" t="s">
        <v>2732</v>
      </c>
      <c r="E300" s="370">
        <v>47.5</v>
      </c>
      <c r="F300" s="370" t="s">
        <v>2177</v>
      </c>
      <c r="G300" s="370">
        <v>54.39</v>
      </c>
      <c r="H300" s="370" t="s">
        <v>122</v>
      </c>
    </row>
    <row r="301" spans="1:8" x14ac:dyDescent="0.25">
      <c r="A301" s="362">
        <v>44859</v>
      </c>
      <c r="B301" s="363" t="s">
        <v>2513</v>
      </c>
      <c r="C301" s="364">
        <v>12200</v>
      </c>
      <c r="D301" s="370" t="s">
        <v>2177</v>
      </c>
      <c r="E301" s="370">
        <v>51.25</v>
      </c>
      <c r="F301" s="370" t="s">
        <v>2179</v>
      </c>
      <c r="G301" s="370">
        <v>62.42</v>
      </c>
      <c r="H301" s="370" t="s">
        <v>122</v>
      </c>
    </row>
    <row r="302" spans="1:8" x14ac:dyDescent="0.25">
      <c r="A302" s="362">
        <v>44860</v>
      </c>
      <c r="B302" s="363" t="s">
        <v>2496</v>
      </c>
      <c r="C302" s="364">
        <v>11800</v>
      </c>
      <c r="D302" s="370" t="s">
        <v>2179</v>
      </c>
      <c r="E302" s="370">
        <v>58.7</v>
      </c>
      <c r="F302" s="370" t="s">
        <v>2180</v>
      </c>
      <c r="G302" s="370">
        <v>65.91</v>
      </c>
      <c r="H302" s="370" t="s">
        <v>122</v>
      </c>
    </row>
    <row r="303" spans="1:8" x14ac:dyDescent="0.25">
      <c r="A303" s="362">
        <v>44861</v>
      </c>
      <c r="B303" s="363" t="s">
        <v>1840</v>
      </c>
      <c r="C303" s="364">
        <v>11500</v>
      </c>
      <c r="D303" s="370" t="s">
        <v>2726</v>
      </c>
      <c r="E303" s="370">
        <v>73.31</v>
      </c>
      <c r="F303" s="370" t="s">
        <v>2180</v>
      </c>
      <c r="G303" s="370">
        <v>65.34</v>
      </c>
      <c r="H303" s="370" t="s">
        <v>122</v>
      </c>
    </row>
    <row r="304" spans="1:8" x14ac:dyDescent="0.25">
      <c r="A304" s="362">
        <v>44862</v>
      </c>
      <c r="B304" s="363" t="s">
        <v>1838</v>
      </c>
      <c r="C304" s="364">
        <v>11300</v>
      </c>
      <c r="D304" s="370" t="s">
        <v>2726</v>
      </c>
      <c r="E304" s="370">
        <v>72.58</v>
      </c>
      <c r="F304" s="370" t="s">
        <v>2180</v>
      </c>
      <c r="G304" s="370">
        <v>64.77</v>
      </c>
      <c r="H304" s="370" t="s">
        <v>122</v>
      </c>
    </row>
    <row r="305" spans="1:8" x14ac:dyDescent="0.25">
      <c r="A305" s="362">
        <v>44863</v>
      </c>
      <c r="B305" s="363" t="s">
        <v>2580</v>
      </c>
      <c r="C305" s="364">
        <v>11100</v>
      </c>
      <c r="D305" s="370" t="s">
        <v>2726</v>
      </c>
      <c r="E305" s="370">
        <v>71.47</v>
      </c>
      <c r="F305" s="370" t="s">
        <v>2180</v>
      </c>
      <c r="G305" s="370">
        <v>63.32</v>
      </c>
      <c r="H305" s="370" t="s">
        <v>122</v>
      </c>
    </row>
    <row r="306" spans="1:8" x14ac:dyDescent="0.25">
      <c r="A306" s="362">
        <v>44864</v>
      </c>
      <c r="B306" s="363" t="s">
        <v>2501</v>
      </c>
      <c r="C306" s="364">
        <v>10700</v>
      </c>
      <c r="D306" s="370" t="s">
        <v>2726</v>
      </c>
      <c r="E306" s="370">
        <v>70.72</v>
      </c>
      <c r="F306" s="370" t="s">
        <v>2733</v>
      </c>
      <c r="G306" s="370">
        <v>67.709999999999994</v>
      </c>
      <c r="H306" s="370" t="s">
        <v>122</v>
      </c>
    </row>
    <row r="307" spans="1:8" x14ac:dyDescent="0.25">
      <c r="A307" s="362">
        <v>44865</v>
      </c>
      <c r="B307" s="363" t="s">
        <v>1835</v>
      </c>
      <c r="C307" s="364">
        <v>10500</v>
      </c>
      <c r="D307" s="370" t="s">
        <v>2726</v>
      </c>
      <c r="E307" s="370">
        <v>69.97</v>
      </c>
      <c r="F307" s="370" t="s">
        <v>2733</v>
      </c>
      <c r="G307" s="370">
        <v>67.08</v>
      </c>
      <c r="H307" s="370" t="s">
        <v>122</v>
      </c>
    </row>
    <row r="308" spans="1:8" x14ac:dyDescent="0.25">
      <c r="A308" s="362">
        <v>44866</v>
      </c>
      <c r="B308" s="363" t="s">
        <v>2504</v>
      </c>
      <c r="C308" s="364">
        <v>10400</v>
      </c>
      <c r="D308" s="370" t="s">
        <v>2734</v>
      </c>
      <c r="E308" s="370">
        <v>69.97</v>
      </c>
      <c r="F308" s="370" t="s">
        <v>2180</v>
      </c>
      <c r="G308" s="370">
        <v>62.74</v>
      </c>
      <c r="H308" s="370" t="s">
        <v>122</v>
      </c>
    </row>
    <row r="309" spans="1:8" x14ac:dyDescent="0.25">
      <c r="A309" s="362">
        <v>44867</v>
      </c>
      <c r="B309" s="363" t="s">
        <v>2506</v>
      </c>
      <c r="C309" s="364">
        <v>10300</v>
      </c>
      <c r="D309" s="370" t="s">
        <v>2734</v>
      </c>
      <c r="E309" s="370">
        <v>69.58</v>
      </c>
      <c r="F309" s="370" t="s">
        <v>2176</v>
      </c>
      <c r="G309" s="370">
        <v>54.46</v>
      </c>
      <c r="H309" s="370" t="s">
        <v>122</v>
      </c>
    </row>
    <row r="310" spans="1:8" x14ac:dyDescent="0.25">
      <c r="A310" s="362">
        <v>44868</v>
      </c>
      <c r="B310" s="363" t="s">
        <v>2506</v>
      </c>
      <c r="C310" s="364">
        <v>10300</v>
      </c>
      <c r="D310" s="370" t="s">
        <v>2177</v>
      </c>
      <c r="E310" s="370">
        <v>47.91</v>
      </c>
      <c r="F310" s="370" t="s">
        <v>122</v>
      </c>
      <c r="G310" s="370" t="s">
        <v>122</v>
      </c>
      <c r="H310" s="370" t="s">
        <v>122</v>
      </c>
    </row>
    <row r="311" spans="1:8" x14ac:dyDescent="0.25">
      <c r="A311" s="362">
        <v>44869</v>
      </c>
      <c r="B311" s="363" t="s">
        <v>1837</v>
      </c>
      <c r="C311" s="364">
        <v>10800</v>
      </c>
      <c r="D311" s="370" t="s">
        <v>2177</v>
      </c>
      <c r="E311" s="370">
        <v>49.13</v>
      </c>
      <c r="F311" s="370" t="s">
        <v>122</v>
      </c>
      <c r="G311" s="370" t="s">
        <v>122</v>
      </c>
      <c r="H311" s="370" t="s">
        <v>122</v>
      </c>
    </row>
    <row r="312" spans="1:8" x14ac:dyDescent="0.25">
      <c r="A312" s="362">
        <v>44870</v>
      </c>
      <c r="B312" s="363" t="s">
        <v>1837</v>
      </c>
      <c r="C312" s="364">
        <v>10800</v>
      </c>
      <c r="D312" s="370" t="s">
        <v>2177</v>
      </c>
      <c r="E312" s="370">
        <v>49.13</v>
      </c>
      <c r="F312" s="370" t="s">
        <v>122</v>
      </c>
      <c r="G312" s="370" t="s">
        <v>122</v>
      </c>
      <c r="H312" s="370" t="s">
        <v>122</v>
      </c>
    </row>
    <row r="313" spans="1:8" x14ac:dyDescent="0.25">
      <c r="A313" s="362">
        <v>44871</v>
      </c>
      <c r="B313" s="363" t="s">
        <v>2501</v>
      </c>
      <c r="C313" s="364">
        <v>10700</v>
      </c>
      <c r="D313" s="370" t="s">
        <v>2177</v>
      </c>
      <c r="E313" s="370">
        <v>48.88</v>
      </c>
      <c r="F313" s="370" t="s">
        <v>2177</v>
      </c>
      <c r="G313" s="370">
        <v>51.71</v>
      </c>
      <c r="H313" s="370" t="s">
        <v>122</v>
      </c>
    </row>
    <row r="314" spans="1:8" x14ac:dyDescent="0.25">
      <c r="A314" s="362">
        <v>44872</v>
      </c>
      <c r="B314" s="363" t="s">
        <v>2504</v>
      </c>
      <c r="C314" s="364">
        <v>10400</v>
      </c>
      <c r="D314" s="370" t="s">
        <v>2177</v>
      </c>
      <c r="E314" s="370">
        <v>48.15</v>
      </c>
      <c r="F314" s="370" t="s">
        <v>2177</v>
      </c>
      <c r="G314" s="370">
        <v>51.02</v>
      </c>
      <c r="H314" s="370" t="s">
        <v>122</v>
      </c>
    </row>
    <row r="315" spans="1:8" x14ac:dyDescent="0.25">
      <c r="A315" s="362">
        <v>44873</v>
      </c>
      <c r="B315" s="363" t="s">
        <v>1797</v>
      </c>
      <c r="C315" s="364">
        <v>10200</v>
      </c>
      <c r="D315" s="370" t="s">
        <v>2177</v>
      </c>
      <c r="E315" s="370">
        <v>47.66</v>
      </c>
      <c r="F315" s="370" t="s">
        <v>2177</v>
      </c>
      <c r="G315" s="370">
        <v>50.55</v>
      </c>
      <c r="H315" s="370" t="s">
        <v>122</v>
      </c>
    </row>
    <row r="316" spans="1:8" x14ac:dyDescent="0.25">
      <c r="A316" s="362">
        <v>44874</v>
      </c>
      <c r="B316" s="363" t="s">
        <v>1835</v>
      </c>
      <c r="C316" s="364">
        <v>10500</v>
      </c>
      <c r="D316" s="370" t="s">
        <v>2177</v>
      </c>
      <c r="E316" s="370">
        <v>48.4</v>
      </c>
      <c r="F316" s="370" t="s">
        <v>122</v>
      </c>
      <c r="G316" s="370" t="s">
        <v>122</v>
      </c>
      <c r="H316" s="370" t="s">
        <v>122</v>
      </c>
    </row>
    <row r="317" spans="1:8" x14ac:dyDescent="0.25">
      <c r="A317" s="362">
        <v>44875</v>
      </c>
      <c r="B317" s="363" t="s">
        <v>1837</v>
      </c>
      <c r="C317" s="364">
        <v>10800</v>
      </c>
      <c r="D317" s="370" t="s">
        <v>2735</v>
      </c>
      <c r="E317" s="370">
        <v>25.28</v>
      </c>
      <c r="F317" s="370" t="s">
        <v>122</v>
      </c>
      <c r="G317" s="370" t="s">
        <v>122</v>
      </c>
      <c r="H317" s="370" t="s">
        <v>122</v>
      </c>
    </row>
    <row r="318" spans="1:8" x14ac:dyDescent="0.25">
      <c r="A318" s="362">
        <v>44876</v>
      </c>
      <c r="B318" s="363" t="s">
        <v>1838</v>
      </c>
      <c r="C318" s="364">
        <v>11300</v>
      </c>
      <c r="D318" s="370" t="s">
        <v>2735</v>
      </c>
      <c r="E318" s="370">
        <v>25.63</v>
      </c>
      <c r="F318" s="370" t="s">
        <v>122</v>
      </c>
      <c r="G318" s="370" t="s">
        <v>122</v>
      </c>
      <c r="H318" s="370" t="s">
        <v>122</v>
      </c>
    </row>
    <row r="319" spans="1:8" x14ac:dyDescent="0.25">
      <c r="A319" s="362">
        <v>44877</v>
      </c>
      <c r="B319" s="363" t="s">
        <v>1838</v>
      </c>
      <c r="C319" s="364">
        <v>11300</v>
      </c>
      <c r="D319" s="370" t="s">
        <v>2735</v>
      </c>
      <c r="E319" s="370">
        <v>25.63</v>
      </c>
      <c r="F319" s="370" t="s">
        <v>2152</v>
      </c>
      <c r="G319" s="370">
        <v>26.98</v>
      </c>
      <c r="H319" s="370" t="s">
        <v>122</v>
      </c>
    </row>
    <row r="320" spans="1:8" x14ac:dyDescent="0.25">
      <c r="A320" s="362">
        <v>44878</v>
      </c>
      <c r="B320" s="363" t="s">
        <v>1840</v>
      </c>
      <c r="C320" s="364">
        <v>11500</v>
      </c>
      <c r="D320" s="370" t="s">
        <v>2735</v>
      </c>
      <c r="E320" s="370">
        <v>25.86</v>
      </c>
      <c r="F320" s="370" t="s">
        <v>2152</v>
      </c>
      <c r="G320" s="370">
        <v>27.19</v>
      </c>
      <c r="H320" s="370" t="s">
        <v>122</v>
      </c>
    </row>
    <row r="321" spans="1:8" x14ac:dyDescent="0.25">
      <c r="A321" s="362">
        <v>44879</v>
      </c>
      <c r="B321" s="363" t="s">
        <v>1841</v>
      </c>
      <c r="C321" s="364">
        <v>11600</v>
      </c>
      <c r="D321" s="370" t="s">
        <v>2735</v>
      </c>
      <c r="E321" s="370">
        <v>25.97</v>
      </c>
      <c r="F321" s="370" t="s">
        <v>122</v>
      </c>
      <c r="G321" s="370" t="s">
        <v>122</v>
      </c>
      <c r="H321" s="370" t="s">
        <v>122</v>
      </c>
    </row>
    <row r="322" spans="1:8" x14ac:dyDescent="0.25">
      <c r="A322" s="362">
        <v>44880</v>
      </c>
      <c r="B322" s="363" t="s">
        <v>2494</v>
      </c>
      <c r="C322" s="364">
        <v>12000</v>
      </c>
      <c r="D322" s="370" t="s">
        <v>2735</v>
      </c>
      <c r="E322" s="370">
        <v>26.2</v>
      </c>
      <c r="F322" s="370" t="s">
        <v>122</v>
      </c>
      <c r="G322" s="370" t="s">
        <v>122</v>
      </c>
      <c r="H322" s="370" t="s">
        <v>122</v>
      </c>
    </row>
    <row r="323" spans="1:8" x14ac:dyDescent="0.25">
      <c r="A323" s="362">
        <v>44881</v>
      </c>
      <c r="B323" s="363" t="s">
        <v>2494</v>
      </c>
      <c r="C323" s="364">
        <v>12000</v>
      </c>
      <c r="D323" s="370" t="s">
        <v>122</v>
      </c>
      <c r="E323" s="370" t="s">
        <v>122</v>
      </c>
      <c r="F323" s="370" t="s">
        <v>122</v>
      </c>
      <c r="G323" s="370" t="s">
        <v>122</v>
      </c>
      <c r="H323" s="370" t="s">
        <v>122</v>
      </c>
    </row>
    <row r="324" spans="1:8" x14ac:dyDescent="0.25">
      <c r="A324" s="362">
        <v>44882</v>
      </c>
      <c r="B324" s="363" t="s">
        <v>2579</v>
      </c>
      <c r="C324" s="364">
        <v>12400</v>
      </c>
      <c r="D324" s="370" t="s">
        <v>122</v>
      </c>
      <c r="E324" s="370" t="s">
        <v>122</v>
      </c>
      <c r="F324" s="370" t="s">
        <v>122</v>
      </c>
      <c r="G324" s="370" t="s">
        <v>122</v>
      </c>
      <c r="H324" s="370" t="s">
        <v>122</v>
      </c>
    </row>
    <row r="325" spans="1:8" x14ac:dyDescent="0.25">
      <c r="A325" s="362">
        <v>44883</v>
      </c>
      <c r="B325" s="363" t="s">
        <v>2579</v>
      </c>
      <c r="C325" s="364">
        <v>12400</v>
      </c>
      <c r="D325" s="370" t="s">
        <v>2736</v>
      </c>
      <c r="E325" s="370">
        <v>51.71</v>
      </c>
      <c r="F325" s="370" t="s">
        <v>2186</v>
      </c>
      <c r="G325" s="370">
        <v>36.83</v>
      </c>
      <c r="H325" s="370" t="s">
        <v>122</v>
      </c>
    </row>
    <row r="326" spans="1:8" x14ac:dyDescent="0.25">
      <c r="A326" s="362">
        <v>44884</v>
      </c>
      <c r="B326" s="363" t="s">
        <v>2492</v>
      </c>
      <c r="C326" s="364">
        <v>12300</v>
      </c>
      <c r="D326" s="370" t="s">
        <v>2179</v>
      </c>
      <c r="E326" s="370">
        <v>59.52</v>
      </c>
      <c r="F326" s="370" t="s">
        <v>2177</v>
      </c>
      <c r="G326" s="370">
        <v>54.17</v>
      </c>
      <c r="H326" s="370" t="s">
        <v>122</v>
      </c>
    </row>
    <row r="327" spans="1:8" x14ac:dyDescent="0.25">
      <c r="A327" s="362">
        <v>44885</v>
      </c>
      <c r="B327" s="363" t="s">
        <v>2494</v>
      </c>
      <c r="C327" s="364">
        <v>12000</v>
      </c>
      <c r="D327" s="370" t="s">
        <v>2510</v>
      </c>
      <c r="E327" s="370">
        <v>66.77</v>
      </c>
      <c r="F327" s="370" t="s">
        <v>2177</v>
      </c>
      <c r="G327" s="370">
        <v>53.73</v>
      </c>
      <c r="H327" s="370" t="s">
        <v>122</v>
      </c>
    </row>
    <row r="328" spans="1:8" x14ac:dyDescent="0.25">
      <c r="A328" s="362">
        <v>44886</v>
      </c>
      <c r="B328" s="363" t="s">
        <v>1841</v>
      </c>
      <c r="C328" s="364">
        <v>11600</v>
      </c>
      <c r="D328" s="370" t="s">
        <v>2726</v>
      </c>
      <c r="E328" s="370">
        <v>73.680000000000007</v>
      </c>
      <c r="F328" s="370" t="s">
        <v>2177</v>
      </c>
      <c r="G328" s="370">
        <v>53.29</v>
      </c>
      <c r="H328" s="370" t="s">
        <v>122</v>
      </c>
    </row>
    <row r="329" spans="1:8" x14ac:dyDescent="0.25">
      <c r="A329" s="362">
        <v>44887</v>
      </c>
      <c r="B329" s="363" t="s">
        <v>1839</v>
      </c>
      <c r="C329" s="364">
        <v>11400</v>
      </c>
      <c r="D329" s="370" t="s">
        <v>2726</v>
      </c>
      <c r="E329" s="370">
        <v>72.95</v>
      </c>
      <c r="F329" s="370" t="s">
        <v>2177</v>
      </c>
      <c r="G329" s="370">
        <v>52.84</v>
      </c>
      <c r="H329" s="370" t="s">
        <v>122</v>
      </c>
    </row>
    <row r="330" spans="1:8" x14ac:dyDescent="0.25">
      <c r="A330" s="362">
        <v>44888</v>
      </c>
      <c r="B330" s="363" t="s">
        <v>2499</v>
      </c>
      <c r="C330" s="364">
        <v>11200</v>
      </c>
      <c r="D330" s="370" t="s">
        <v>2737</v>
      </c>
      <c r="E330" s="370">
        <v>72.209999999999994</v>
      </c>
      <c r="F330" s="370" t="s">
        <v>2177</v>
      </c>
      <c r="G330" s="370">
        <v>52.39</v>
      </c>
      <c r="H330" s="370" t="s">
        <v>122</v>
      </c>
    </row>
    <row r="331" spans="1:8" x14ac:dyDescent="0.25">
      <c r="A331" s="362">
        <v>44889</v>
      </c>
      <c r="B331" s="363" t="s">
        <v>1837</v>
      </c>
      <c r="C331" s="364">
        <v>10800</v>
      </c>
      <c r="D331" s="370" t="s">
        <v>122</v>
      </c>
      <c r="E331" s="370" t="s">
        <v>122</v>
      </c>
      <c r="F331" s="370" t="s">
        <v>2177</v>
      </c>
      <c r="G331" s="370">
        <v>51.94</v>
      </c>
      <c r="H331" s="370" t="s">
        <v>122</v>
      </c>
    </row>
    <row r="332" spans="1:8" x14ac:dyDescent="0.25">
      <c r="A332" s="362">
        <v>44890</v>
      </c>
      <c r="B332" s="363" t="s">
        <v>1837</v>
      </c>
      <c r="C332" s="364">
        <v>10800</v>
      </c>
      <c r="D332" s="370" t="s">
        <v>122</v>
      </c>
      <c r="E332" s="370" t="s">
        <v>122</v>
      </c>
      <c r="F332" s="370" t="s">
        <v>122</v>
      </c>
      <c r="G332" s="370" t="s">
        <v>122</v>
      </c>
      <c r="H332" s="370" t="s">
        <v>122</v>
      </c>
    </row>
    <row r="333" spans="1:8" x14ac:dyDescent="0.25">
      <c r="A333" s="362">
        <v>44891</v>
      </c>
      <c r="B333" s="363" t="s">
        <v>1837</v>
      </c>
      <c r="C333" s="364">
        <v>10800</v>
      </c>
      <c r="D333" s="370" t="s">
        <v>122</v>
      </c>
      <c r="E333" s="370" t="s">
        <v>122</v>
      </c>
      <c r="F333" s="370" t="s">
        <v>122</v>
      </c>
      <c r="G333" s="370" t="s">
        <v>122</v>
      </c>
      <c r="H333" s="370" t="s">
        <v>122</v>
      </c>
    </row>
    <row r="334" spans="1:8" x14ac:dyDescent="0.25">
      <c r="A334" s="362">
        <v>44892</v>
      </c>
      <c r="B334" s="363" t="s">
        <v>1837</v>
      </c>
      <c r="C334" s="364">
        <v>10800</v>
      </c>
      <c r="D334" s="370" t="s">
        <v>122</v>
      </c>
      <c r="E334" s="370" t="s">
        <v>122</v>
      </c>
      <c r="F334" s="370" t="s">
        <v>122</v>
      </c>
      <c r="G334" s="370" t="s">
        <v>122</v>
      </c>
      <c r="H334" s="370" t="s">
        <v>122</v>
      </c>
    </row>
    <row r="335" spans="1:8" x14ac:dyDescent="0.25">
      <c r="A335" s="362">
        <v>44893</v>
      </c>
      <c r="B335" s="363" t="s">
        <v>2501</v>
      </c>
      <c r="C335" s="364">
        <v>10700</v>
      </c>
      <c r="D335" s="370" t="s">
        <v>122</v>
      </c>
      <c r="E335" s="370" t="s">
        <v>122</v>
      </c>
      <c r="F335" s="370" t="s">
        <v>122</v>
      </c>
      <c r="G335" s="370" t="s">
        <v>122</v>
      </c>
      <c r="H335" s="370" t="s">
        <v>122</v>
      </c>
    </row>
    <row r="336" spans="1:8" x14ac:dyDescent="0.25">
      <c r="A336" s="362">
        <v>44894</v>
      </c>
      <c r="B336" s="363" t="s">
        <v>2501</v>
      </c>
      <c r="C336" s="364">
        <v>10700</v>
      </c>
      <c r="D336" s="370" t="s">
        <v>2179</v>
      </c>
      <c r="E336" s="370">
        <v>56.45</v>
      </c>
      <c r="F336" s="370" t="s">
        <v>122</v>
      </c>
      <c r="G336" s="370" t="s">
        <v>122</v>
      </c>
      <c r="H336" s="370" t="s">
        <v>122</v>
      </c>
    </row>
    <row r="337" spans="1:8" x14ac:dyDescent="0.25">
      <c r="A337" s="362">
        <v>44895</v>
      </c>
      <c r="B337" s="363" t="s">
        <v>1835</v>
      </c>
      <c r="C337" s="364">
        <v>10500</v>
      </c>
      <c r="D337" s="370" t="s">
        <v>2510</v>
      </c>
      <c r="E337" s="370">
        <v>63.2</v>
      </c>
      <c r="F337" s="370" t="s">
        <v>2179</v>
      </c>
      <c r="G337" s="370">
        <v>59.25</v>
      </c>
      <c r="H337" s="370" t="s">
        <v>122</v>
      </c>
    </row>
    <row r="338" spans="1:8" x14ac:dyDescent="0.25">
      <c r="A338" s="362">
        <v>44896</v>
      </c>
      <c r="B338" s="363" t="s">
        <v>2506</v>
      </c>
      <c r="C338" s="364">
        <v>10300</v>
      </c>
      <c r="D338" s="370" t="s">
        <v>2726</v>
      </c>
      <c r="E338" s="370">
        <v>69.58</v>
      </c>
      <c r="F338" s="370" t="s">
        <v>2179</v>
      </c>
      <c r="G338" s="370">
        <v>58.7</v>
      </c>
      <c r="H338" s="370" t="s">
        <v>122</v>
      </c>
    </row>
    <row r="339" spans="1:8" x14ac:dyDescent="0.25">
      <c r="A339" s="362">
        <v>44897</v>
      </c>
      <c r="B339" s="363" t="s">
        <v>1797</v>
      </c>
      <c r="C339" s="364">
        <v>10200</v>
      </c>
      <c r="D339" s="370" t="s">
        <v>2738</v>
      </c>
      <c r="E339" s="370">
        <v>79.13</v>
      </c>
      <c r="F339" s="370" t="s">
        <v>2179</v>
      </c>
      <c r="G339" s="370">
        <v>58.42</v>
      </c>
      <c r="H339" s="370" t="s">
        <v>122</v>
      </c>
    </row>
    <row r="340" spans="1:8" x14ac:dyDescent="0.25">
      <c r="A340" s="362">
        <v>44898</v>
      </c>
      <c r="B340" s="363" t="s">
        <v>1771</v>
      </c>
      <c r="C340" s="364">
        <v>10000</v>
      </c>
      <c r="D340" s="370" t="s">
        <v>2739</v>
      </c>
      <c r="E340" s="370">
        <v>88.06</v>
      </c>
      <c r="F340" s="370" t="s">
        <v>2179</v>
      </c>
      <c r="G340" s="370">
        <v>57.87</v>
      </c>
      <c r="H340" s="370" t="s">
        <v>122</v>
      </c>
    </row>
    <row r="341" spans="1:8" x14ac:dyDescent="0.25">
      <c r="A341" s="362">
        <v>44899</v>
      </c>
      <c r="B341" s="363" t="s">
        <v>1771</v>
      </c>
      <c r="C341" s="364">
        <v>10000</v>
      </c>
      <c r="D341" s="370" t="s">
        <v>2726</v>
      </c>
      <c r="E341" s="370">
        <v>68.42</v>
      </c>
      <c r="F341" s="370" t="s">
        <v>2179</v>
      </c>
      <c r="G341" s="370">
        <v>57.87</v>
      </c>
      <c r="H341" s="370" t="s">
        <v>122</v>
      </c>
    </row>
    <row r="342" spans="1:8" x14ac:dyDescent="0.25">
      <c r="A342" s="362">
        <v>44900</v>
      </c>
      <c r="B342" s="363" t="s">
        <v>1769</v>
      </c>
      <c r="C342" s="364">
        <v>9800</v>
      </c>
      <c r="D342" s="370" t="s">
        <v>2180</v>
      </c>
      <c r="E342" s="370">
        <v>57.19</v>
      </c>
      <c r="F342" s="370" t="s">
        <v>122</v>
      </c>
      <c r="G342" s="370" t="s">
        <v>122</v>
      </c>
      <c r="H342" s="370" t="s">
        <v>122</v>
      </c>
    </row>
    <row r="343" spans="1:8" x14ac:dyDescent="0.25">
      <c r="A343" s="362">
        <v>44901</v>
      </c>
      <c r="B343" s="363" t="s">
        <v>1778</v>
      </c>
      <c r="C343" s="364">
        <v>9700</v>
      </c>
      <c r="D343" s="370" t="s">
        <v>122</v>
      </c>
      <c r="E343" s="370" t="s">
        <v>122</v>
      </c>
      <c r="F343" s="370" t="s">
        <v>122</v>
      </c>
      <c r="G343" s="370" t="s">
        <v>122</v>
      </c>
      <c r="H343" s="370" t="s">
        <v>122</v>
      </c>
    </row>
    <row r="344" spans="1:8" x14ac:dyDescent="0.25">
      <c r="A344" s="362">
        <v>44902</v>
      </c>
      <c r="B344" s="363" t="s">
        <v>1778</v>
      </c>
      <c r="C344" s="364">
        <v>9700</v>
      </c>
      <c r="D344" s="370" t="s">
        <v>122</v>
      </c>
      <c r="E344" s="370" t="s">
        <v>122</v>
      </c>
      <c r="F344" s="370" t="s">
        <v>122</v>
      </c>
      <c r="G344" s="370" t="s">
        <v>122</v>
      </c>
      <c r="H344" s="370" t="s">
        <v>122</v>
      </c>
    </row>
    <row r="345" spans="1:8" x14ac:dyDescent="0.25">
      <c r="A345" s="362">
        <v>44903</v>
      </c>
      <c r="B345" s="363" t="s">
        <v>1778</v>
      </c>
      <c r="C345" s="364">
        <v>9700</v>
      </c>
      <c r="D345" s="370" t="s">
        <v>122</v>
      </c>
      <c r="E345" s="370" t="s">
        <v>122</v>
      </c>
      <c r="F345" s="370" t="s">
        <v>122</v>
      </c>
      <c r="G345" s="370" t="s">
        <v>122</v>
      </c>
      <c r="H345" s="370" t="s">
        <v>122</v>
      </c>
    </row>
    <row r="346" spans="1:8" x14ac:dyDescent="0.25">
      <c r="A346" s="362">
        <v>44904</v>
      </c>
      <c r="B346" s="363" t="s">
        <v>1796</v>
      </c>
      <c r="C346" s="364">
        <v>10100</v>
      </c>
      <c r="D346" s="370" t="s">
        <v>122</v>
      </c>
      <c r="E346" s="370" t="s">
        <v>122</v>
      </c>
      <c r="F346" s="370" t="s">
        <v>122</v>
      </c>
      <c r="G346" s="370" t="s">
        <v>122</v>
      </c>
      <c r="H346" s="370" t="s">
        <v>122</v>
      </c>
    </row>
    <row r="347" spans="1:8" x14ac:dyDescent="0.25">
      <c r="A347" s="362">
        <v>44905</v>
      </c>
      <c r="B347" s="363" t="s">
        <v>2506</v>
      </c>
      <c r="C347" s="364">
        <v>10300</v>
      </c>
      <c r="D347" s="370" t="s">
        <v>122</v>
      </c>
      <c r="E347" s="370" t="s">
        <v>122</v>
      </c>
      <c r="F347" s="370" t="s">
        <v>122</v>
      </c>
      <c r="G347" s="370" t="s">
        <v>122</v>
      </c>
      <c r="H347" s="370" t="s">
        <v>122</v>
      </c>
    </row>
    <row r="348" spans="1:8" x14ac:dyDescent="0.25">
      <c r="A348" s="362">
        <v>44906</v>
      </c>
      <c r="B348" s="363" t="s">
        <v>2506</v>
      </c>
      <c r="C348" s="364">
        <v>10300</v>
      </c>
      <c r="D348" s="370" t="s">
        <v>122</v>
      </c>
      <c r="E348" s="370" t="s">
        <v>122</v>
      </c>
      <c r="F348" s="370" t="s">
        <v>122</v>
      </c>
      <c r="G348" s="370" t="s">
        <v>122</v>
      </c>
      <c r="H348" s="370" t="s">
        <v>122</v>
      </c>
    </row>
    <row r="349" spans="1:8" x14ac:dyDescent="0.25">
      <c r="A349" s="362">
        <v>44907</v>
      </c>
      <c r="B349" s="363" t="s">
        <v>1835</v>
      </c>
      <c r="C349" s="364">
        <v>10500</v>
      </c>
      <c r="D349" s="370" t="s">
        <v>122</v>
      </c>
      <c r="E349" s="370" t="s">
        <v>122</v>
      </c>
      <c r="F349" s="370" t="s">
        <v>122</v>
      </c>
      <c r="G349" s="370" t="s">
        <v>122</v>
      </c>
      <c r="H349" s="370" t="s">
        <v>122</v>
      </c>
    </row>
    <row r="350" spans="1:8" x14ac:dyDescent="0.25">
      <c r="A350" s="362">
        <v>44908</v>
      </c>
      <c r="B350" s="363" t="s">
        <v>1835</v>
      </c>
      <c r="C350" s="364">
        <v>10500</v>
      </c>
      <c r="D350" s="370" t="s">
        <v>122</v>
      </c>
      <c r="E350" s="370" t="s">
        <v>122</v>
      </c>
      <c r="F350" s="370" t="s">
        <v>122</v>
      </c>
      <c r="G350" s="370" t="s">
        <v>122</v>
      </c>
      <c r="H350" s="370" t="s">
        <v>122</v>
      </c>
    </row>
    <row r="351" spans="1:8" x14ac:dyDescent="0.25">
      <c r="A351" s="362">
        <v>44909</v>
      </c>
      <c r="B351" s="363" t="s">
        <v>1837</v>
      </c>
      <c r="C351" s="364">
        <v>10800</v>
      </c>
      <c r="D351" s="370" t="s">
        <v>122</v>
      </c>
      <c r="E351" s="370" t="s">
        <v>122</v>
      </c>
      <c r="F351" s="370" t="s">
        <v>122</v>
      </c>
      <c r="G351" s="370" t="s">
        <v>122</v>
      </c>
      <c r="H351" s="370" t="s">
        <v>122</v>
      </c>
    </row>
    <row r="352" spans="1:8" x14ac:dyDescent="0.25">
      <c r="A352" s="362">
        <v>44910</v>
      </c>
      <c r="B352" s="363" t="s">
        <v>1837</v>
      </c>
      <c r="C352" s="364">
        <v>10800</v>
      </c>
      <c r="D352" s="370" t="s">
        <v>122</v>
      </c>
      <c r="E352" s="370" t="s">
        <v>122</v>
      </c>
      <c r="F352" s="370" t="s">
        <v>122</v>
      </c>
      <c r="G352" s="370" t="s">
        <v>122</v>
      </c>
      <c r="H352" s="370" t="s">
        <v>122</v>
      </c>
    </row>
    <row r="353" spans="1:8" x14ac:dyDescent="0.25">
      <c r="A353" s="362">
        <v>44911</v>
      </c>
      <c r="B353" s="363" t="s">
        <v>1837</v>
      </c>
      <c r="C353" s="364">
        <v>10800</v>
      </c>
      <c r="D353" s="370" t="s">
        <v>122</v>
      </c>
      <c r="E353" s="370" t="s">
        <v>122</v>
      </c>
      <c r="F353" s="370" t="s">
        <v>122</v>
      </c>
      <c r="G353" s="370" t="s">
        <v>122</v>
      </c>
      <c r="H353" s="370" t="s">
        <v>122</v>
      </c>
    </row>
    <row r="354" spans="1:8" x14ac:dyDescent="0.25">
      <c r="A354" s="362">
        <v>44912</v>
      </c>
      <c r="B354" s="363" t="s">
        <v>1837</v>
      </c>
      <c r="C354" s="364">
        <v>10800</v>
      </c>
      <c r="D354" s="370" t="s">
        <v>122</v>
      </c>
      <c r="E354" s="370" t="s">
        <v>122</v>
      </c>
      <c r="F354" s="370" t="s">
        <v>122</v>
      </c>
      <c r="G354" s="370" t="s">
        <v>122</v>
      </c>
      <c r="H354" s="370" t="s">
        <v>122</v>
      </c>
    </row>
    <row r="355" spans="1:8" x14ac:dyDescent="0.25">
      <c r="A355" s="362">
        <v>44913</v>
      </c>
      <c r="B355" s="363" t="s">
        <v>1837</v>
      </c>
      <c r="C355" s="364">
        <v>10800</v>
      </c>
      <c r="D355" s="370" t="s">
        <v>122</v>
      </c>
      <c r="E355" s="370" t="s">
        <v>122</v>
      </c>
      <c r="F355" s="370" t="s">
        <v>122</v>
      </c>
      <c r="G355" s="370" t="s">
        <v>122</v>
      </c>
      <c r="H355" s="370" t="s">
        <v>122</v>
      </c>
    </row>
    <row r="356" spans="1:8" x14ac:dyDescent="0.25">
      <c r="A356" s="362">
        <v>44914</v>
      </c>
      <c r="B356" s="363" t="s">
        <v>1837</v>
      </c>
      <c r="C356" s="364">
        <v>10800</v>
      </c>
      <c r="D356" s="370" t="s">
        <v>122</v>
      </c>
      <c r="E356" s="370" t="s">
        <v>122</v>
      </c>
      <c r="F356" s="370" t="s">
        <v>122</v>
      </c>
      <c r="G356" s="370" t="s">
        <v>122</v>
      </c>
      <c r="H356" s="370" t="s">
        <v>122</v>
      </c>
    </row>
    <row r="357" spans="1:8" x14ac:dyDescent="0.25">
      <c r="A357" s="362">
        <v>44915</v>
      </c>
      <c r="B357" s="363" t="s">
        <v>2490</v>
      </c>
      <c r="C357" s="364">
        <v>13250</v>
      </c>
      <c r="D357" s="370" t="s">
        <v>122</v>
      </c>
      <c r="E357" s="370" t="s">
        <v>122</v>
      </c>
      <c r="F357" s="370" t="s">
        <v>122</v>
      </c>
      <c r="G357" s="370" t="s">
        <v>122</v>
      </c>
      <c r="H357" s="370" t="s">
        <v>122</v>
      </c>
    </row>
    <row r="358" spans="1:8" x14ac:dyDescent="0.25">
      <c r="A358" s="362">
        <v>44916</v>
      </c>
      <c r="B358" s="363" t="s">
        <v>2576</v>
      </c>
      <c r="C358" s="364">
        <v>14700</v>
      </c>
      <c r="D358" s="370" t="s">
        <v>122</v>
      </c>
      <c r="E358" s="370" t="s">
        <v>122</v>
      </c>
      <c r="F358" s="370" t="s">
        <v>122</v>
      </c>
      <c r="G358" s="370" t="s">
        <v>122</v>
      </c>
      <c r="H358" s="370" t="s">
        <v>122</v>
      </c>
    </row>
    <row r="359" spans="1:8" x14ac:dyDescent="0.25">
      <c r="A359" s="362">
        <v>44917</v>
      </c>
      <c r="B359" s="363" t="s">
        <v>2572</v>
      </c>
      <c r="C359" s="364">
        <v>16900</v>
      </c>
      <c r="D359" s="370" t="s">
        <v>122</v>
      </c>
      <c r="E359" s="370" t="s">
        <v>122</v>
      </c>
      <c r="F359" s="370" t="s">
        <v>122</v>
      </c>
      <c r="G359" s="370" t="s">
        <v>122</v>
      </c>
      <c r="H359" s="370" t="s">
        <v>122</v>
      </c>
    </row>
    <row r="360" spans="1:8" x14ac:dyDescent="0.25">
      <c r="A360" s="362">
        <v>44918</v>
      </c>
      <c r="B360" s="363" t="s">
        <v>2335</v>
      </c>
      <c r="C360" s="364">
        <v>18000</v>
      </c>
      <c r="D360" s="370" t="s">
        <v>122</v>
      </c>
      <c r="E360" s="370" t="s">
        <v>122</v>
      </c>
      <c r="F360" s="370" t="s">
        <v>122</v>
      </c>
      <c r="G360" s="370" t="s">
        <v>122</v>
      </c>
      <c r="H360" s="370" t="s">
        <v>122</v>
      </c>
    </row>
    <row r="361" spans="1:8" x14ac:dyDescent="0.25">
      <c r="A361" s="362">
        <v>44919</v>
      </c>
      <c r="B361" s="363" t="s">
        <v>2333</v>
      </c>
      <c r="C361" s="364">
        <v>18600</v>
      </c>
      <c r="D361" s="370" t="s">
        <v>122</v>
      </c>
      <c r="E361" s="370" t="s">
        <v>122</v>
      </c>
      <c r="F361" s="370" t="s">
        <v>122</v>
      </c>
      <c r="G361" s="370" t="s">
        <v>122</v>
      </c>
      <c r="H361" s="370" t="s">
        <v>122</v>
      </c>
    </row>
    <row r="362" spans="1:8" x14ac:dyDescent="0.25">
      <c r="A362" s="362">
        <v>44920</v>
      </c>
      <c r="B362" s="363" t="s">
        <v>2352</v>
      </c>
      <c r="C362" s="364">
        <v>19300</v>
      </c>
      <c r="D362" s="370" t="s">
        <v>122</v>
      </c>
      <c r="E362" s="370" t="s">
        <v>122</v>
      </c>
      <c r="F362" s="370" t="s">
        <v>122</v>
      </c>
      <c r="G362" s="370" t="s">
        <v>122</v>
      </c>
      <c r="H362" s="370" t="s">
        <v>122</v>
      </c>
    </row>
    <row r="363" spans="1:8" x14ac:dyDescent="0.25">
      <c r="A363" s="362">
        <v>44921</v>
      </c>
      <c r="B363" s="363" t="s">
        <v>2329</v>
      </c>
      <c r="C363" s="364">
        <v>20000</v>
      </c>
      <c r="D363" s="370" t="s">
        <v>122</v>
      </c>
      <c r="E363" s="370" t="s">
        <v>122</v>
      </c>
      <c r="F363" s="370" t="s">
        <v>122</v>
      </c>
      <c r="G363" s="370" t="s">
        <v>122</v>
      </c>
      <c r="H363" s="370" t="s">
        <v>122</v>
      </c>
    </row>
    <row r="364" spans="1:8" x14ac:dyDescent="0.25">
      <c r="A364" s="362">
        <v>44922</v>
      </c>
      <c r="B364" s="363" t="s">
        <v>1847</v>
      </c>
      <c r="C364" s="364">
        <v>21000</v>
      </c>
      <c r="D364" s="370" t="s">
        <v>122</v>
      </c>
      <c r="E364" s="370" t="s">
        <v>122</v>
      </c>
      <c r="F364" s="370" t="s">
        <v>122</v>
      </c>
      <c r="G364" s="370" t="s">
        <v>122</v>
      </c>
      <c r="H364" s="370" t="s">
        <v>122</v>
      </c>
    </row>
    <row r="365" spans="1:8" x14ac:dyDescent="0.25">
      <c r="A365" s="362">
        <v>44923</v>
      </c>
      <c r="B365" s="363" t="s">
        <v>2327</v>
      </c>
      <c r="C365" s="364">
        <v>21200</v>
      </c>
      <c r="D365" s="370" t="s">
        <v>122</v>
      </c>
      <c r="E365" s="370" t="s">
        <v>122</v>
      </c>
      <c r="F365" s="370" t="s">
        <v>122</v>
      </c>
      <c r="G365" s="370" t="s">
        <v>122</v>
      </c>
      <c r="H365" s="370" t="s">
        <v>122</v>
      </c>
    </row>
    <row r="366" spans="1:8" x14ac:dyDescent="0.25">
      <c r="A366" s="362">
        <v>44924</v>
      </c>
      <c r="B366" s="363" t="s">
        <v>2725</v>
      </c>
      <c r="C366" s="364">
        <v>21500</v>
      </c>
      <c r="D366" s="370" t="s">
        <v>122</v>
      </c>
      <c r="E366" s="370" t="s">
        <v>122</v>
      </c>
      <c r="F366" s="370" t="s">
        <v>122</v>
      </c>
      <c r="G366" s="370" t="s">
        <v>122</v>
      </c>
      <c r="H366" s="370" t="s">
        <v>122</v>
      </c>
    </row>
    <row r="367" spans="1:8" x14ac:dyDescent="0.25">
      <c r="A367" s="362">
        <v>44925</v>
      </c>
      <c r="B367" s="363" t="s">
        <v>2479</v>
      </c>
      <c r="C367" s="364">
        <v>22000</v>
      </c>
      <c r="D367" s="370" t="s">
        <v>122</v>
      </c>
      <c r="E367" s="370" t="s">
        <v>122</v>
      </c>
      <c r="F367" s="370" t="s">
        <v>122</v>
      </c>
      <c r="G367" s="370" t="s">
        <v>122</v>
      </c>
      <c r="H367" s="370" t="s">
        <v>122</v>
      </c>
    </row>
    <row r="368" spans="1:8" x14ac:dyDescent="0.25">
      <c r="A368" s="362">
        <v>44926</v>
      </c>
      <c r="B368" s="363" t="s">
        <v>2324</v>
      </c>
      <c r="C368" s="364">
        <v>22250</v>
      </c>
      <c r="D368" s="370" t="s">
        <v>122</v>
      </c>
      <c r="E368" s="370" t="s">
        <v>122</v>
      </c>
      <c r="F368" s="370" t="s">
        <v>122</v>
      </c>
      <c r="G368" s="370" t="s">
        <v>122</v>
      </c>
      <c r="H368" s="370" t="s">
        <v>122</v>
      </c>
    </row>
    <row r="369" spans="4:7" x14ac:dyDescent="0.25">
      <c r="D369" s="257"/>
      <c r="E369" s="257"/>
      <c r="F369" s="257"/>
      <c r="G369" s="257"/>
    </row>
  </sheetData>
  <mergeCells count="6">
    <mergeCell ref="A1:H1"/>
    <mergeCell ref="A2:A3"/>
    <mergeCell ref="B2:B3"/>
    <mergeCell ref="C2:C3"/>
    <mergeCell ref="D2:G2"/>
    <mergeCell ref="H2:H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68"/>
  <sheetViews>
    <sheetView topLeftCell="A60" workbookViewId="0">
      <selection activeCell="K22" sqref="K22"/>
    </sheetView>
  </sheetViews>
  <sheetFormatPr defaultRowHeight="15" x14ac:dyDescent="0.25"/>
  <cols>
    <col min="1" max="1" width="10" customWidth="1"/>
  </cols>
  <sheetData>
    <row r="1" spans="1:8" ht="25.5" customHeight="1" thickBot="1" x14ac:dyDescent="0.3">
      <c r="A1" s="498" t="s">
        <v>2838</v>
      </c>
      <c r="B1" s="498"/>
      <c r="C1" s="498"/>
      <c r="D1" s="510"/>
      <c r="E1" s="510"/>
      <c r="F1" s="510"/>
      <c r="G1" s="510"/>
      <c r="H1" s="510"/>
    </row>
    <row r="2" spans="1:8" ht="15.75" x14ac:dyDescent="0.25">
      <c r="A2" s="485" t="s">
        <v>1761</v>
      </c>
      <c r="B2" s="476" t="s">
        <v>2671</v>
      </c>
      <c r="C2" s="476" t="s">
        <v>2674</v>
      </c>
      <c r="D2" s="511" t="s">
        <v>2294</v>
      </c>
      <c r="E2" s="511"/>
      <c r="F2" s="511"/>
      <c r="G2" s="511"/>
      <c r="H2" s="512" t="s">
        <v>2670</v>
      </c>
    </row>
    <row r="3" spans="1:8" ht="16.5" thickBot="1" x14ac:dyDescent="0.3">
      <c r="A3" s="486"/>
      <c r="B3" s="477"/>
      <c r="C3" s="477"/>
      <c r="D3" s="85" t="s">
        <v>1774</v>
      </c>
      <c r="E3" s="372" t="s">
        <v>735</v>
      </c>
      <c r="F3" s="85" t="s">
        <v>1775</v>
      </c>
      <c r="G3" s="372" t="s">
        <v>735</v>
      </c>
      <c r="H3" s="513"/>
    </row>
    <row r="4" spans="1:8" x14ac:dyDescent="0.25">
      <c r="A4" s="362">
        <v>44927</v>
      </c>
      <c r="B4" s="363" t="s">
        <v>2324</v>
      </c>
      <c r="C4" s="364">
        <v>22250</v>
      </c>
      <c r="D4" s="370" t="s">
        <v>2177</v>
      </c>
      <c r="E4" s="370">
        <v>63.05</v>
      </c>
      <c r="F4" s="370" t="s">
        <v>2179</v>
      </c>
      <c r="G4" s="370">
        <v>75.72</v>
      </c>
      <c r="H4" s="370" t="s">
        <v>122</v>
      </c>
    </row>
    <row r="5" spans="1:8" x14ac:dyDescent="0.25">
      <c r="A5" s="362">
        <v>44928</v>
      </c>
      <c r="B5" s="363" t="s">
        <v>2324</v>
      </c>
      <c r="C5" s="364">
        <v>22250</v>
      </c>
      <c r="D5" s="370" t="s">
        <v>2177</v>
      </c>
      <c r="E5" s="370">
        <v>63.05</v>
      </c>
      <c r="F5" s="370" t="s">
        <v>2179</v>
      </c>
      <c r="G5" s="370">
        <v>75.72</v>
      </c>
      <c r="H5" s="370" t="s">
        <v>122</v>
      </c>
    </row>
    <row r="6" spans="1:8" x14ac:dyDescent="0.25">
      <c r="A6" s="362">
        <v>44929</v>
      </c>
      <c r="B6" s="363" t="s">
        <v>2479</v>
      </c>
      <c r="C6" s="364">
        <v>32000</v>
      </c>
      <c r="D6" s="370" t="s">
        <v>2177</v>
      </c>
      <c r="E6" s="370">
        <v>62.86</v>
      </c>
      <c r="F6" s="370" t="s">
        <v>2179</v>
      </c>
      <c r="G6" s="370">
        <v>75.510000000000005</v>
      </c>
      <c r="H6" s="370" t="s">
        <v>122</v>
      </c>
    </row>
    <row r="7" spans="1:8" x14ac:dyDescent="0.25">
      <c r="A7" s="362">
        <v>44930</v>
      </c>
      <c r="B7" s="363" t="s">
        <v>2725</v>
      </c>
      <c r="C7" s="364">
        <v>21500</v>
      </c>
      <c r="D7" s="370" t="s">
        <v>2179</v>
      </c>
      <c r="E7" s="370">
        <v>72.459999999999994</v>
      </c>
      <c r="F7" s="370" t="s">
        <v>2179</v>
      </c>
      <c r="G7" s="370">
        <v>75.08</v>
      </c>
      <c r="H7" s="370" t="s">
        <v>122</v>
      </c>
    </row>
    <row r="8" spans="1:8" x14ac:dyDescent="0.25">
      <c r="A8" s="362">
        <v>44931</v>
      </c>
      <c r="B8" s="363" t="s">
        <v>2740</v>
      </c>
      <c r="C8" s="364">
        <v>21300</v>
      </c>
      <c r="D8" s="370" t="s">
        <v>2726</v>
      </c>
      <c r="E8" s="370">
        <v>91.57</v>
      </c>
      <c r="F8" s="370" t="s">
        <v>2179</v>
      </c>
      <c r="G8" s="370">
        <v>74.760000000000005</v>
      </c>
      <c r="H8" s="370" t="s">
        <v>122</v>
      </c>
    </row>
    <row r="9" spans="1:8" x14ac:dyDescent="0.25">
      <c r="A9" s="362">
        <v>44932</v>
      </c>
      <c r="B9" s="363" t="s">
        <v>1847</v>
      </c>
      <c r="C9" s="364">
        <v>21000</v>
      </c>
      <c r="D9" s="370" t="s">
        <v>2726</v>
      </c>
      <c r="E9" s="370">
        <v>91.13</v>
      </c>
      <c r="F9" s="370" t="s">
        <v>2179</v>
      </c>
      <c r="G9" s="370">
        <v>79.63</v>
      </c>
      <c r="H9" s="370" t="s">
        <v>122</v>
      </c>
    </row>
    <row r="10" spans="1:8" x14ac:dyDescent="0.25">
      <c r="A10" s="362">
        <v>44933</v>
      </c>
      <c r="B10" s="363" t="s">
        <v>2326</v>
      </c>
      <c r="C10" s="364">
        <v>21400</v>
      </c>
      <c r="D10" s="370" t="s">
        <v>2174</v>
      </c>
      <c r="E10" s="370">
        <v>52.23</v>
      </c>
      <c r="F10" s="370" t="s">
        <v>2174</v>
      </c>
      <c r="G10" s="370">
        <v>59.41</v>
      </c>
      <c r="H10" s="370" t="s">
        <v>122</v>
      </c>
    </row>
    <row r="11" spans="1:8" x14ac:dyDescent="0.25">
      <c r="A11" s="362">
        <v>44934</v>
      </c>
      <c r="B11" s="363" t="s">
        <v>2469</v>
      </c>
      <c r="C11" s="364">
        <v>23500</v>
      </c>
      <c r="D11" s="370" t="s">
        <v>122</v>
      </c>
      <c r="E11" s="370" t="s">
        <v>122</v>
      </c>
      <c r="F11" s="370" t="s">
        <v>122</v>
      </c>
      <c r="G11" s="370" t="s">
        <v>122</v>
      </c>
      <c r="H11" s="370" t="s">
        <v>122</v>
      </c>
    </row>
    <row r="12" spans="1:8" x14ac:dyDescent="0.25">
      <c r="A12" s="362">
        <v>44935</v>
      </c>
      <c r="B12" s="363" t="s">
        <v>2460</v>
      </c>
      <c r="C12" s="364">
        <v>25500</v>
      </c>
      <c r="D12" s="370" t="s">
        <v>122</v>
      </c>
      <c r="E12" s="370" t="s">
        <v>122</v>
      </c>
      <c r="F12" s="370" t="s">
        <v>122</v>
      </c>
      <c r="G12" s="370" t="s">
        <v>122</v>
      </c>
      <c r="H12" s="370" t="s">
        <v>122</v>
      </c>
    </row>
    <row r="13" spans="1:8" x14ac:dyDescent="0.25">
      <c r="A13" s="362">
        <v>44936</v>
      </c>
      <c r="B13" s="363" t="s">
        <v>2458</v>
      </c>
      <c r="C13" s="364">
        <v>26000</v>
      </c>
      <c r="D13" s="370" t="s">
        <v>122</v>
      </c>
      <c r="E13" s="370" t="s">
        <v>122</v>
      </c>
      <c r="F13" s="370" t="s">
        <v>122</v>
      </c>
      <c r="G13" s="370" t="s">
        <v>122</v>
      </c>
      <c r="H13" s="370" t="s">
        <v>122</v>
      </c>
    </row>
    <row r="14" spans="1:8" x14ac:dyDescent="0.25">
      <c r="A14" s="362">
        <v>44937</v>
      </c>
      <c r="B14" s="363" t="s">
        <v>2558</v>
      </c>
      <c r="C14" s="364">
        <v>27000</v>
      </c>
      <c r="D14" s="370" t="s">
        <v>122</v>
      </c>
      <c r="E14" s="370" t="s">
        <v>122</v>
      </c>
      <c r="F14" s="370" t="s">
        <v>122</v>
      </c>
      <c r="G14" s="370" t="s">
        <v>122</v>
      </c>
      <c r="H14" s="370" t="s">
        <v>122</v>
      </c>
    </row>
    <row r="15" spans="1:8" x14ac:dyDescent="0.25">
      <c r="A15" s="362">
        <v>44938</v>
      </c>
      <c r="B15" s="363" t="s">
        <v>2558</v>
      </c>
      <c r="C15" s="364">
        <v>27000</v>
      </c>
      <c r="D15" s="370" t="s">
        <v>122</v>
      </c>
      <c r="E15" s="370" t="s">
        <v>122</v>
      </c>
      <c r="F15" s="370" t="s">
        <v>122</v>
      </c>
      <c r="G15" s="370" t="s">
        <v>122</v>
      </c>
      <c r="H15" s="370" t="s">
        <v>122</v>
      </c>
    </row>
    <row r="16" spans="1:8" x14ac:dyDescent="0.25">
      <c r="A16" s="362">
        <v>44939</v>
      </c>
      <c r="B16" s="363" t="s">
        <v>2558</v>
      </c>
      <c r="C16" s="364">
        <v>27000</v>
      </c>
      <c r="D16" s="370" t="s">
        <v>2177</v>
      </c>
      <c r="E16" s="370">
        <v>66.349999999999994</v>
      </c>
      <c r="F16" s="370" t="s">
        <v>2177</v>
      </c>
      <c r="G16" s="370">
        <v>68.45</v>
      </c>
      <c r="H16" s="370" t="s">
        <v>122</v>
      </c>
    </row>
    <row r="17" spans="1:8" x14ac:dyDescent="0.25">
      <c r="A17" s="362">
        <v>44940</v>
      </c>
      <c r="B17" s="363" t="s">
        <v>2558</v>
      </c>
      <c r="C17" s="364">
        <v>27000</v>
      </c>
      <c r="D17" s="370" t="s">
        <v>2180</v>
      </c>
      <c r="E17" s="370">
        <v>66.349999999999994</v>
      </c>
      <c r="F17" s="370" t="s">
        <v>2177</v>
      </c>
      <c r="G17" s="370">
        <v>68.45</v>
      </c>
      <c r="H17" s="370" t="s">
        <v>122</v>
      </c>
    </row>
    <row r="18" spans="1:8" x14ac:dyDescent="0.25">
      <c r="A18" s="362">
        <v>44941</v>
      </c>
      <c r="B18" s="363" t="s">
        <v>2558</v>
      </c>
      <c r="C18" s="364">
        <v>27000</v>
      </c>
      <c r="D18" s="370" t="s">
        <v>2180</v>
      </c>
      <c r="E18" s="370">
        <v>82.26</v>
      </c>
      <c r="F18" s="370" t="s">
        <v>2179</v>
      </c>
      <c r="G18" s="370">
        <v>79.459999999999994</v>
      </c>
      <c r="H18" s="370" t="s">
        <v>122</v>
      </c>
    </row>
    <row r="19" spans="1:8" x14ac:dyDescent="0.25">
      <c r="A19" s="362">
        <v>44942</v>
      </c>
      <c r="B19" s="363" t="s">
        <v>2559</v>
      </c>
      <c r="C19" s="364">
        <v>26750</v>
      </c>
      <c r="D19" s="370" t="s">
        <v>2180</v>
      </c>
      <c r="E19" s="370">
        <v>82.04</v>
      </c>
      <c r="F19" s="370" t="s">
        <v>2179</v>
      </c>
      <c r="G19" s="370">
        <v>79.25</v>
      </c>
      <c r="H19" s="370" t="s">
        <v>122</v>
      </c>
    </row>
    <row r="20" spans="1:8" x14ac:dyDescent="0.25">
      <c r="A20" s="362">
        <v>44943</v>
      </c>
      <c r="B20" s="363" t="s">
        <v>2458</v>
      </c>
      <c r="C20" s="364">
        <v>26000</v>
      </c>
      <c r="D20" s="370" t="s">
        <v>2726</v>
      </c>
      <c r="E20" s="370">
        <v>97.07</v>
      </c>
      <c r="F20" s="370" t="s">
        <v>2179</v>
      </c>
      <c r="G20" s="370">
        <v>78.84</v>
      </c>
      <c r="H20" s="370" t="s">
        <v>122</v>
      </c>
    </row>
    <row r="21" spans="1:8" x14ac:dyDescent="0.25">
      <c r="A21" s="362">
        <v>44944</v>
      </c>
      <c r="B21" s="363" t="s">
        <v>2467</v>
      </c>
      <c r="C21" s="364">
        <v>25700</v>
      </c>
      <c r="D21" s="370" t="s">
        <v>2177</v>
      </c>
      <c r="E21" s="370">
        <v>65.45</v>
      </c>
      <c r="F21" s="370" t="s">
        <v>2179</v>
      </c>
      <c r="G21" s="370">
        <v>78.44</v>
      </c>
      <c r="H21" s="370" t="s">
        <v>122</v>
      </c>
    </row>
    <row r="22" spans="1:8" x14ac:dyDescent="0.25">
      <c r="A22" s="362">
        <v>44945</v>
      </c>
      <c r="B22" s="363" t="s">
        <v>2741</v>
      </c>
      <c r="C22" s="364">
        <v>25500</v>
      </c>
      <c r="D22" s="370" t="s">
        <v>2177</v>
      </c>
      <c r="E22" s="370">
        <v>65.27</v>
      </c>
      <c r="F22" s="370" t="s">
        <v>2179</v>
      </c>
      <c r="G22" s="370">
        <v>78.23</v>
      </c>
      <c r="H22" s="370" t="s">
        <v>122</v>
      </c>
    </row>
    <row r="23" spans="1:8" x14ac:dyDescent="0.25">
      <c r="A23" s="362">
        <v>44946</v>
      </c>
      <c r="B23" s="363" t="s">
        <v>2465</v>
      </c>
      <c r="C23" s="364">
        <v>25400</v>
      </c>
      <c r="D23" s="370" t="s">
        <v>122</v>
      </c>
      <c r="E23" s="370" t="s">
        <v>122</v>
      </c>
      <c r="F23" s="370" t="s">
        <v>2179</v>
      </c>
      <c r="G23" s="370">
        <v>78.02</v>
      </c>
      <c r="H23" s="370" t="s">
        <v>122</v>
      </c>
    </row>
    <row r="24" spans="1:8" x14ac:dyDescent="0.25">
      <c r="A24" s="362">
        <v>44947</v>
      </c>
      <c r="B24" s="363" t="s">
        <v>2465</v>
      </c>
      <c r="C24" s="364">
        <v>25400</v>
      </c>
      <c r="D24" s="370" t="s">
        <v>122</v>
      </c>
      <c r="E24" s="370" t="s">
        <v>122</v>
      </c>
      <c r="F24" s="370" t="s">
        <v>122</v>
      </c>
      <c r="G24" s="370" t="s">
        <v>122</v>
      </c>
      <c r="H24" s="370" t="s">
        <v>122</v>
      </c>
    </row>
    <row r="25" spans="1:8" x14ac:dyDescent="0.25">
      <c r="A25" s="362">
        <v>44948</v>
      </c>
      <c r="B25" s="363" t="s">
        <v>2465</v>
      </c>
      <c r="C25" s="364">
        <v>25400</v>
      </c>
      <c r="D25" s="370" t="s">
        <v>122</v>
      </c>
      <c r="E25" s="370" t="s">
        <v>122</v>
      </c>
      <c r="F25" s="370" t="s">
        <v>122</v>
      </c>
      <c r="G25" s="370" t="s">
        <v>122</v>
      </c>
      <c r="H25" s="370" t="s">
        <v>122</v>
      </c>
    </row>
    <row r="26" spans="1:8" x14ac:dyDescent="0.25">
      <c r="A26" s="362">
        <v>44949</v>
      </c>
      <c r="B26" s="363" t="s">
        <v>2465</v>
      </c>
      <c r="C26" s="364">
        <v>25400</v>
      </c>
      <c r="D26" s="370" t="s">
        <v>122</v>
      </c>
      <c r="E26" s="370" t="s">
        <v>122</v>
      </c>
      <c r="F26" s="370" t="s">
        <v>122</v>
      </c>
      <c r="G26" s="370" t="s">
        <v>122</v>
      </c>
      <c r="H26" s="370" t="s">
        <v>122</v>
      </c>
    </row>
    <row r="27" spans="1:8" x14ac:dyDescent="0.25">
      <c r="A27" s="362">
        <v>44950</v>
      </c>
      <c r="B27" s="363" t="s">
        <v>2460</v>
      </c>
      <c r="C27" s="364">
        <v>25500</v>
      </c>
      <c r="D27" s="370" t="s">
        <v>122</v>
      </c>
      <c r="E27" s="370" t="s">
        <v>122</v>
      </c>
      <c r="F27" s="370" t="s">
        <v>122</v>
      </c>
      <c r="G27" s="370" t="s">
        <v>122</v>
      </c>
      <c r="H27" s="370" t="s">
        <v>122</v>
      </c>
    </row>
    <row r="28" spans="1:8" x14ac:dyDescent="0.25">
      <c r="A28" s="362">
        <v>44951</v>
      </c>
      <c r="B28" s="363" t="s">
        <v>2559</v>
      </c>
      <c r="C28" s="364">
        <v>26750</v>
      </c>
      <c r="D28" s="370" t="s">
        <v>122</v>
      </c>
      <c r="E28" s="370" t="s">
        <v>122</v>
      </c>
      <c r="F28" s="370" t="s">
        <v>122</v>
      </c>
      <c r="G28" s="370" t="s">
        <v>122</v>
      </c>
      <c r="H28" s="370" t="s">
        <v>122</v>
      </c>
    </row>
    <row r="29" spans="1:8" x14ac:dyDescent="0.25">
      <c r="A29" s="362">
        <v>44952</v>
      </c>
      <c r="B29" s="363" t="s">
        <v>2454</v>
      </c>
      <c r="C29" s="364">
        <v>28000</v>
      </c>
      <c r="D29" s="370" t="s">
        <v>122</v>
      </c>
      <c r="E29" s="370" t="s">
        <v>122</v>
      </c>
      <c r="F29" s="370" t="s">
        <v>122</v>
      </c>
      <c r="G29" s="370" t="s">
        <v>122</v>
      </c>
      <c r="H29" s="370" t="s">
        <v>122</v>
      </c>
    </row>
    <row r="30" spans="1:8" x14ac:dyDescent="0.25">
      <c r="A30" s="362">
        <v>44953</v>
      </c>
      <c r="B30" s="363" t="s">
        <v>2453</v>
      </c>
      <c r="C30" s="364">
        <v>28200</v>
      </c>
      <c r="D30" s="370" t="s">
        <v>122</v>
      </c>
      <c r="E30" s="370" t="s">
        <v>122</v>
      </c>
      <c r="F30" s="370" t="s">
        <v>122</v>
      </c>
      <c r="G30" s="370" t="s">
        <v>122</v>
      </c>
      <c r="H30" s="370" t="s">
        <v>122</v>
      </c>
    </row>
    <row r="31" spans="1:8" x14ac:dyDescent="0.25">
      <c r="A31" s="362">
        <v>44954</v>
      </c>
      <c r="B31" s="363" t="s">
        <v>2453</v>
      </c>
      <c r="C31" s="364">
        <v>28200</v>
      </c>
      <c r="D31" s="370" t="s">
        <v>2177</v>
      </c>
      <c r="E31" s="370">
        <v>67.05</v>
      </c>
      <c r="F31" s="370" t="s">
        <v>2177</v>
      </c>
      <c r="G31" s="370">
        <v>69.14</v>
      </c>
      <c r="H31" s="370" t="s">
        <v>122</v>
      </c>
    </row>
    <row r="32" spans="1:8" x14ac:dyDescent="0.25">
      <c r="A32" s="362">
        <v>44955</v>
      </c>
      <c r="B32" s="363" t="s">
        <v>2453</v>
      </c>
      <c r="C32" s="364">
        <v>28200</v>
      </c>
      <c r="D32" s="370" t="s">
        <v>2180</v>
      </c>
      <c r="E32" s="370">
        <v>83.15</v>
      </c>
      <c r="F32" s="370" t="s">
        <v>2177</v>
      </c>
      <c r="G32" s="370">
        <v>69.14</v>
      </c>
      <c r="H32" s="370" t="s">
        <v>122</v>
      </c>
    </row>
    <row r="33" spans="1:8" x14ac:dyDescent="0.25">
      <c r="A33" s="362">
        <v>44956</v>
      </c>
      <c r="B33" s="363" t="s">
        <v>2553</v>
      </c>
      <c r="C33" s="364">
        <v>28100</v>
      </c>
      <c r="D33" s="370" t="s">
        <v>2726</v>
      </c>
      <c r="E33" s="370">
        <v>98.85</v>
      </c>
      <c r="F33" s="370" t="s">
        <v>2177</v>
      </c>
      <c r="G33" s="370">
        <v>69.06</v>
      </c>
      <c r="H33" s="370" t="s">
        <v>122</v>
      </c>
    </row>
    <row r="34" spans="1:8" x14ac:dyDescent="0.25">
      <c r="A34" s="362">
        <v>44957</v>
      </c>
      <c r="B34" s="363" t="s">
        <v>2454</v>
      </c>
      <c r="C34" s="364">
        <v>28000</v>
      </c>
      <c r="D34" s="370" t="s">
        <v>2726</v>
      </c>
      <c r="E34" s="370">
        <v>98.71</v>
      </c>
      <c r="F34" s="370" t="s">
        <v>2177</v>
      </c>
      <c r="G34" s="370">
        <v>68.97</v>
      </c>
      <c r="H34" s="370" t="s">
        <v>122</v>
      </c>
    </row>
    <row r="35" spans="1:8" x14ac:dyDescent="0.25">
      <c r="A35" s="362">
        <v>44958</v>
      </c>
      <c r="B35" s="363" t="s">
        <v>2555</v>
      </c>
      <c r="C35" s="364">
        <v>27850</v>
      </c>
      <c r="D35" s="370" t="s">
        <v>2510</v>
      </c>
      <c r="E35" s="370">
        <v>87.98</v>
      </c>
      <c r="F35" s="370" t="s">
        <v>2177</v>
      </c>
      <c r="G35" s="370">
        <v>68.8</v>
      </c>
      <c r="H35" s="370" t="s">
        <v>122</v>
      </c>
    </row>
    <row r="36" spans="1:8" x14ac:dyDescent="0.25">
      <c r="A36" s="362">
        <v>44959</v>
      </c>
      <c r="B36" s="363" t="s">
        <v>2455</v>
      </c>
      <c r="C36" s="364">
        <v>27500</v>
      </c>
      <c r="D36" s="370" t="s">
        <v>122</v>
      </c>
      <c r="E36" s="370" t="s">
        <v>122</v>
      </c>
      <c r="F36" s="370" t="s">
        <v>122</v>
      </c>
      <c r="G36" s="370" t="s">
        <v>122</v>
      </c>
      <c r="H36" s="370" t="s">
        <v>122</v>
      </c>
    </row>
    <row r="37" spans="1:8" x14ac:dyDescent="0.25">
      <c r="A37" s="362">
        <v>44960</v>
      </c>
      <c r="B37" s="363" t="s">
        <v>2657</v>
      </c>
      <c r="C37" s="364">
        <v>28850</v>
      </c>
      <c r="D37" s="370" t="s">
        <v>122</v>
      </c>
      <c r="E37" s="370" t="s">
        <v>122</v>
      </c>
      <c r="F37" s="370" t="s">
        <v>122</v>
      </c>
      <c r="G37" s="370" t="s">
        <v>122</v>
      </c>
      <c r="H37" s="370" t="s">
        <v>122</v>
      </c>
    </row>
    <row r="38" spans="1:8" x14ac:dyDescent="0.25">
      <c r="A38" s="362">
        <v>44961</v>
      </c>
      <c r="B38" s="363" t="s">
        <v>1862</v>
      </c>
      <c r="C38" s="364">
        <v>32400</v>
      </c>
      <c r="D38" s="370" t="s">
        <v>122</v>
      </c>
      <c r="E38" s="370" t="s">
        <v>122</v>
      </c>
      <c r="F38" s="370" t="s">
        <v>122</v>
      </c>
      <c r="G38" s="370" t="s">
        <v>122</v>
      </c>
      <c r="H38" s="370" t="s">
        <v>122</v>
      </c>
    </row>
    <row r="39" spans="1:8" x14ac:dyDescent="0.25">
      <c r="A39" s="362">
        <v>44962</v>
      </c>
      <c r="B39" s="363" t="s">
        <v>1864</v>
      </c>
      <c r="C39" s="364">
        <v>33800</v>
      </c>
      <c r="D39" s="370" t="s">
        <v>122</v>
      </c>
      <c r="E39" s="370" t="s">
        <v>122</v>
      </c>
      <c r="F39" s="370" t="s">
        <v>122</v>
      </c>
      <c r="G39" s="370" t="s">
        <v>122</v>
      </c>
      <c r="H39" s="370" t="s">
        <v>122</v>
      </c>
    </row>
    <row r="40" spans="1:8" x14ac:dyDescent="0.25">
      <c r="A40" s="362">
        <v>44963</v>
      </c>
      <c r="B40" s="363" t="s">
        <v>2295</v>
      </c>
      <c r="C40" s="364">
        <v>34750</v>
      </c>
      <c r="D40" s="370" t="s">
        <v>122</v>
      </c>
      <c r="E40" s="370" t="s">
        <v>122</v>
      </c>
      <c r="F40" s="370" t="s">
        <v>122</v>
      </c>
      <c r="G40" s="370" t="s">
        <v>122</v>
      </c>
      <c r="H40" s="370" t="s">
        <v>122</v>
      </c>
    </row>
    <row r="41" spans="1:8" x14ac:dyDescent="0.25">
      <c r="A41" s="362">
        <v>44964</v>
      </c>
      <c r="B41" s="363" t="s">
        <v>2742</v>
      </c>
      <c r="C41" s="364">
        <v>35250</v>
      </c>
      <c r="D41" s="370" t="s">
        <v>122</v>
      </c>
      <c r="E41" s="370" t="s">
        <v>122</v>
      </c>
      <c r="F41" s="370" t="s">
        <v>122</v>
      </c>
      <c r="G41" s="370" t="s">
        <v>122</v>
      </c>
      <c r="H41" s="370" t="s">
        <v>122</v>
      </c>
    </row>
    <row r="42" spans="1:8" x14ac:dyDescent="0.25">
      <c r="A42" s="362">
        <v>44965</v>
      </c>
      <c r="B42" s="363" t="s">
        <v>1868</v>
      </c>
      <c r="C42" s="364">
        <v>36250</v>
      </c>
      <c r="D42" s="370" t="s">
        <v>122</v>
      </c>
      <c r="E42" s="370" t="s">
        <v>122</v>
      </c>
      <c r="F42" s="370" t="s">
        <v>122</v>
      </c>
      <c r="G42" s="370" t="s">
        <v>122</v>
      </c>
      <c r="H42" s="370" t="s">
        <v>122</v>
      </c>
    </row>
    <row r="43" spans="1:8" x14ac:dyDescent="0.25">
      <c r="A43" s="362">
        <v>44966</v>
      </c>
      <c r="B43" s="363" t="s">
        <v>1868</v>
      </c>
      <c r="C43" s="364">
        <v>36250</v>
      </c>
      <c r="D43" s="370" t="s">
        <v>122</v>
      </c>
      <c r="E43" s="370" t="s">
        <v>122</v>
      </c>
      <c r="F43" s="370" t="s">
        <v>122</v>
      </c>
      <c r="G43" s="370" t="s">
        <v>122</v>
      </c>
      <c r="H43" s="370" t="s">
        <v>122</v>
      </c>
    </row>
    <row r="44" spans="1:8" x14ac:dyDescent="0.25">
      <c r="A44" s="362">
        <v>44967</v>
      </c>
      <c r="B44" s="363" t="s">
        <v>1868</v>
      </c>
      <c r="C44" s="364">
        <v>36250</v>
      </c>
      <c r="D44" s="370" t="s">
        <v>122</v>
      </c>
      <c r="E44" s="370" t="s">
        <v>122</v>
      </c>
      <c r="F44" s="370" t="s">
        <v>122</v>
      </c>
      <c r="G44" s="370" t="s">
        <v>122</v>
      </c>
      <c r="H44" s="370" t="s">
        <v>122</v>
      </c>
    </row>
    <row r="45" spans="1:8" x14ac:dyDescent="0.25">
      <c r="A45" s="362">
        <v>44968</v>
      </c>
      <c r="B45" s="363" t="s">
        <v>1868</v>
      </c>
      <c r="C45" s="364">
        <v>36250</v>
      </c>
      <c r="D45" s="370" t="s">
        <v>122</v>
      </c>
      <c r="E45" s="370" t="s">
        <v>122</v>
      </c>
      <c r="F45" s="370" t="s">
        <v>122</v>
      </c>
      <c r="G45" s="370" t="s">
        <v>122</v>
      </c>
      <c r="H45" s="370" t="s">
        <v>122</v>
      </c>
    </row>
    <row r="46" spans="1:8" x14ac:dyDescent="0.25">
      <c r="A46" s="362">
        <v>44969</v>
      </c>
      <c r="B46" s="363" t="s">
        <v>1868</v>
      </c>
      <c r="C46" s="364">
        <v>36250</v>
      </c>
      <c r="D46" s="370" t="s">
        <v>2174</v>
      </c>
      <c r="E46" s="370">
        <v>59.86</v>
      </c>
      <c r="F46" s="370" t="s">
        <v>2174</v>
      </c>
      <c r="G46" s="370">
        <v>61.8</v>
      </c>
      <c r="H46" s="370" t="s">
        <v>122</v>
      </c>
    </row>
    <row r="47" spans="1:8" x14ac:dyDescent="0.25">
      <c r="A47" s="362">
        <v>44970</v>
      </c>
      <c r="B47" s="363" t="s">
        <v>1868</v>
      </c>
      <c r="C47" s="364">
        <v>36250</v>
      </c>
      <c r="D47" s="370" t="s">
        <v>2177</v>
      </c>
      <c r="E47" s="370">
        <v>71.5</v>
      </c>
      <c r="F47" s="370" t="s">
        <v>2510</v>
      </c>
      <c r="G47" s="370">
        <v>61.8</v>
      </c>
      <c r="H47" s="370" t="s">
        <v>122</v>
      </c>
    </row>
    <row r="48" spans="1:8" x14ac:dyDescent="0.25">
      <c r="A48" s="362">
        <v>44971</v>
      </c>
      <c r="B48" s="363" t="s">
        <v>1868</v>
      </c>
      <c r="C48" s="364">
        <v>36250</v>
      </c>
      <c r="D48" s="370" t="s">
        <v>2177</v>
      </c>
      <c r="E48" s="370">
        <v>71.5</v>
      </c>
      <c r="F48" s="370" t="s">
        <v>2174</v>
      </c>
      <c r="G48" s="370">
        <v>61.8</v>
      </c>
      <c r="H48" s="370" t="s">
        <v>122</v>
      </c>
    </row>
    <row r="49" spans="1:8" x14ac:dyDescent="0.25">
      <c r="A49" s="362">
        <v>44972</v>
      </c>
      <c r="B49" s="363" t="s">
        <v>2743</v>
      </c>
      <c r="C49" s="364">
        <v>36000</v>
      </c>
      <c r="D49" s="370" t="s">
        <v>2174</v>
      </c>
      <c r="E49" s="370">
        <v>59.79</v>
      </c>
      <c r="F49" s="370" t="s">
        <v>122</v>
      </c>
      <c r="G49" s="370" t="s">
        <v>122</v>
      </c>
      <c r="H49" s="370" t="s">
        <v>122</v>
      </c>
    </row>
    <row r="50" spans="1:8" x14ac:dyDescent="0.25">
      <c r="A50" s="362">
        <v>44973</v>
      </c>
      <c r="B50" s="363" t="s">
        <v>2743</v>
      </c>
      <c r="C50" s="364">
        <v>36000</v>
      </c>
      <c r="D50" s="370" t="s">
        <v>2152</v>
      </c>
      <c r="E50" s="370">
        <v>36.200000000000003</v>
      </c>
      <c r="F50" s="370" t="s">
        <v>122</v>
      </c>
      <c r="G50" s="370" t="s">
        <v>122</v>
      </c>
      <c r="H50" s="370" t="s">
        <v>122</v>
      </c>
    </row>
    <row r="51" spans="1:8" x14ac:dyDescent="0.25">
      <c r="A51" s="362">
        <v>44974</v>
      </c>
      <c r="B51" s="363" t="s">
        <v>2443</v>
      </c>
      <c r="C51" s="364">
        <v>35750</v>
      </c>
      <c r="D51" s="370" t="s">
        <v>122</v>
      </c>
      <c r="E51" s="370" t="s">
        <v>122</v>
      </c>
      <c r="F51" s="370" t="s">
        <v>122</v>
      </c>
      <c r="G51" s="370" t="s">
        <v>122</v>
      </c>
      <c r="H51" s="370" t="s">
        <v>122</v>
      </c>
    </row>
    <row r="52" spans="1:8" x14ac:dyDescent="0.25">
      <c r="A52" s="362">
        <v>44975</v>
      </c>
      <c r="B52" s="363" t="s">
        <v>2443</v>
      </c>
      <c r="C52" s="364">
        <v>35750</v>
      </c>
      <c r="D52" s="370" t="s">
        <v>122</v>
      </c>
      <c r="E52" s="370" t="s">
        <v>122</v>
      </c>
      <c r="F52" s="370" t="s">
        <v>122</v>
      </c>
      <c r="G52" s="370" t="s">
        <v>122</v>
      </c>
      <c r="H52" s="370" t="s">
        <v>122</v>
      </c>
    </row>
    <row r="53" spans="1:8" x14ac:dyDescent="0.25">
      <c r="A53" s="362">
        <v>44976</v>
      </c>
      <c r="B53" s="363" t="s">
        <v>2744</v>
      </c>
      <c r="C53" s="364">
        <v>35500</v>
      </c>
      <c r="D53" s="370" t="s">
        <v>122</v>
      </c>
      <c r="E53" s="370" t="s">
        <v>122</v>
      </c>
      <c r="F53" s="370" t="s">
        <v>122</v>
      </c>
      <c r="G53" s="370" t="s">
        <v>122</v>
      </c>
      <c r="H53" s="370" t="s">
        <v>122</v>
      </c>
    </row>
    <row r="54" spans="1:8" x14ac:dyDescent="0.25">
      <c r="A54" s="362">
        <v>44977</v>
      </c>
      <c r="B54" s="363" t="s">
        <v>2744</v>
      </c>
      <c r="C54" s="364">
        <v>35500</v>
      </c>
      <c r="D54" s="370" t="s">
        <v>122</v>
      </c>
      <c r="E54" s="370" t="s">
        <v>122</v>
      </c>
      <c r="F54" s="370" t="s">
        <v>122</v>
      </c>
      <c r="G54" s="370" t="s">
        <v>122</v>
      </c>
      <c r="H54" s="370" t="s">
        <v>122</v>
      </c>
    </row>
    <row r="55" spans="1:8" x14ac:dyDescent="0.25">
      <c r="A55" s="362">
        <v>44978</v>
      </c>
      <c r="B55" s="363" t="s">
        <v>1871</v>
      </c>
      <c r="C55" s="364">
        <v>35250</v>
      </c>
      <c r="D55" s="370" t="s">
        <v>122</v>
      </c>
      <c r="E55" s="370" t="s">
        <v>122</v>
      </c>
      <c r="F55" s="370" t="s">
        <v>122</v>
      </c>
      <c r="G55" s="370" t="s">
        <v>122</v>
      </c>
      <c r="H55" s="370" t="s">
        <v>122</v>
      </c>
    </row>
    <row r="56" spans="1:8" x14ac:dyDescent="0.25">
      <c r="A56" s="362">
        <v>44979</v>
      </c>
      <c r="B56" s="363" t="s">
        <v>1871</v>
      </c>
      <c r="C56" s="364">
        <v>35250</v>
      </c>
      <c r="D56" s="370" t="s">
        <v>122</v>
      </c>
      <c r="E56" s="370" t="s">
        <v>122</v>
      </c>
      <c r="F56" s="370" t="s">
        <v>122</v>
      </c>
      <c r="G56" s="370" t="s">
        <v>122</v>
      </c>
      <c r="H56" s="370" t="s">
        <v>122</v>
      </c>
    </row>
    <row r="57" spans="1:8" x14ac:dyDescent="0.25">
      <c r="A57" s="362">
        <v>44980</v>
      </c>
      <c r="B57" s="363" t="s">
        <v>1871</v>
      </c>
      <c r="C57" s="364">
        <v>35250</v>
      </c>
      <c r="D57" s="370" t="s">
        <v>122</v>
      </c>
      <c r="E57" s="370" t="s">
        <v>122</v>
      </c>
      <c r="F57" s="370" t="s">
        <v>122</v>
      </c>
      <c r="G57" s="370" t="s">
        <v>122</v>
      </c>
      <c r="H57" s="370" t="s">
        <v>122</v>
      </c>
    </row>
    <row r="58" spans="1:8" x14ac:dyDescent="0.25">
      <c r="A58" s="362">
        <v>44981</v>
      </c>
      <c r="B58" s="363" t="s">
        <v>1871</v>
      </c>
      <c r="C58" s="364">
        <v>35250</v>
      </c>
      <c r="D58" s="370" t="s">
        <v>122</v>
      </c>
      <c r="E58" s="370" t="s">
        <v>122</v>
      </c>
      <c r="F58" s="370" t="s">
        <v>122</v>
      </c>
      <c r="G58" s="370" t="s">
        <v>122</v>
      </c>
      <c r="H58" s="370" t="s">
        <v>122</v>
      </c>
    </row>
    <row r="59" spans="1:8" x14ac:dyDescent="0.25">
      <c r="A59" s="362">
        <v>44982</v>
      </c>
      <c r="B59" s="363" t="s">
        <v>1871</v>
      </c>
      <c r="C59" s="364">
        <v>35250</v>
      </c>
      <c r="D59" s="370" t="s">
        <v>122</v>
      </c>
      <c r="E59" s="370" t="s">
        <v>122</v>
      </c>
      <c r="F59" s="370" t="s">
        <v>122</v>
      </c>
      <c r="G59" s="370" t="s">
        <v>122</v>
      </c>
      <c r="H59" s="370" t="s">
        <v>122</v>
      </c>
    </row>
    <row r="60" spans="1:8" x14ac:dyDescent="0.25">
      <c r="A60" s="362">
        <v>44983</v>
      </c>
      <c r="B60" s="363" t="s">
        <v>1871</v>
      </c>
      <c r="C60" s="364">
        <v>35250</v>
      </c>
      <c r="D60" s="370" t="s">
        <v>122</v>
      </c>
      <c r="E60" s="370" t="s">
        <v>122</v>
      </c>
      <c r="F60" s="370" t="s">
        <v>122</v>
      </c>
      <c r="G60" s="370" t="s">
        <v>122</v>
      </c>
      <c r="H60" s="370" t="s">
        <v>122</v>
      </c>
    </row>
    <row r="61" spans="1:8" x14ac:dyDescent="0.25">
      <c r="A61" s="362">
        <v>44984</v>
      </c>
      <c r="B61" s="363" t="s">
        <v>1871</v>
      </c>
      <c r="C61" s="364">
        <v>35250</v>
      </c>
      <c r="D61" s="370" t="s">
        <v>122</v>
      </c>
      <c r="E61" s="370" t="s">
        <v>122</v>
      </c>
      <c r="F61" s="370" t="s">
        <v>122</v>
      </c>
      <c r="G61" s="370" t="s">
        <v>122</v>
      </c>
      <c r="H61" s="370" t="s">
        <v>122</v>
      </c>
    </row>
    <row r="62" spans="1:8" x14ac:dyDescent="0.25">
      <c r="A62" s="362">
        <v>44985</v>
      </c>
      <c r="B62" s="363" t="s">
        <v>2745</v>
      </c>
      <c r="C62" s="364">
        <v>35000</v>
      </c>
      <c r="D62" s="370" t="s">
        <v>122</v>
      </c>
      <c r="E62" s="370" t="s">
        <v>122</v>
      </c>
      <c r="F62" s="370" t="s">
        <v>122</v>
      </c>
      <c r="G62" s="370" t="s">
        <v>122</v>
      </c>
      <c r="H62" s="370" t="s">
        <v>122</v>
      </c>
    </row>
    <row r="63" spans="1:8" x14ac:dyDescent="0.25">
      <c r="A63" s="362">
        <v>44986</v>
      </c>
      <c r="B63" s="363" t="s">
        <v>2745</v>
      </c>
      <c r="C63" s="364">
        <v>35000</v>
      </c>
      <c r="D63" s="370" t="s">
        <v>122</v>
      </c>
      <c r="E63" s="370" t="s">
        <v>122</v>
      </c>
      <c r="F63" s="370" t="s">
        <v>122</v>
      </c>
      <c r="G63" s="370" t="s">
        <v>122</v>
      </c>
      <c r="H63" s="370" t="s">
        <v>122</v>
      </c>
    </row>
    <row r="64" spans="1:8" x14ac:dyDescent="0.25">
      <c r="A64" s="362">
        <v>44987</v>
      </c>
      <c r="B64" s="363" t="s">
        <v>1871</v>
      </c>
      <c r="C64" s="364">
        <v>35250</v>
      </c>
      <c r="D64" s="370" t="s">
        <v>122</v>
      </c>
      <c r="E64" s="370" t="s">
        <v>122</v>
      </c>
      <c r="F64" s="370" t="s">
        <v>122</v>
      </c>
      <c r="G64" s="370" t="s">
        <v>122</v>
      </c>
      <c r="H64" s="370" t="s">
        <v>122</v>
      </c>
    </row>
    <row r="65" spans="1:8" x14ac:dyDescent="0.25">
      <c r="A65" s="362">
        <v>44988</v>
      </c>
      <c r="B65" s="363" t="s">
        <v>1871</v>
      </c>
      <c r="C65" s="364">
        <v>35250</v>
      </c>
      <c r="D65" s="370" t="s">
        <v>122</v>
      </c>
      <c r="E65" s="370" t="s">
        <v>122</v>
      </c>
      <c r="F65" s="370" t="s">
        <v>122</v>
      </c>
      <c r="G65" s="370" t="s">
        <v>122</v>
      </c>
      <c r="H65" s="370" t="s">
        <v>122</v>
      </c>
    </row>
    <row r="66" spans="1:8" x14ac:dyDescent="0.25">
      <c r="A66" s="362">
        <v>44989</v>
      </c>
      <c r="B66" s="363" t="s">
        <v>1871</v>
      </c>
      <c r="C66" s="364">
        <v>35250</v>
      </c>
      <c r="D66" s="370" t="s">
        <v>122</v>
      </c>
      <c r="E66" s="370" t="s">
        <v>122</v>
      </c>
      <c r="F66" s="370" t="s">
        <v>122</v>
      </c>
      <c r="G66" s="370" t="s">
        <v>122</v>
      </c>
      <c r="H66" s="370" t="s">
        <v>122</v>
      </c>
    </row>
    <row r="67" spans="1:8" x14ac:dyDescent="0.25">
      <c r="A67" s="362">
        <v>44990</v>
      </c>
      <c r="B67" s="363" t="s">
        <v>1871</v>
      </c>
      <c r="C67" s="364">
        <v>35250</v>
      </c>
      <c r="D67" s="370" t="s">
        <v>122</v>
      </c>
      <c r="E67" s="370" t="s">
        <v>122</v>
      </c>
      <c r="F67" s="370" t="s">
        <v>122</v>
      </c>
      <c r="G67" s="370" t="s">
        <v>122</v>
      </c>
      <c r="H67" s="370" t="s">
        <v>122</v>
      </c>
    </row>
    <row r="68" spans="1:8" x14ac:dyDescent="0.25">
      <c r="A68" s="362">
        <v>44991</v>
      </c>
      <c r="B68" s="363" t="s">
        <v>1871</v>
      </c>
      <c r="C68" s="364">
        <v>35250</v>
      </c>
      <c r="D68" s="370" t="s">
        <v>122</v>
      </c>
      <c r="E68" s="370" t="s">
        <v>122</v>
      </c>
      <c r="F68" s="370" t="s">
        <v>122</v>
      </c>
      <c r="G68" s="370" t="s">
        <v>122</v>
      </c>
      <c r="H68" s="370" t="s">
        <v>122</v>
      </c>
    </row>
    <row r="69" spans="1:8" x14ac:dyDescent="0.25">
      <c r="A69" s="362">
        <v>44992</v>
      </c>
      <c r="B69" s="363" t="s">
        <v>1871</v>
      </c>
      <c r="C69" s="364">
        <v>35250</v>
      </c>
      <c r="D69" s="370" t="s">
        <v>122</v>
      </c>
      <c r="E69" s="370" t="s">
        <v>122</v>
      </c>
      <c r="F69" s="370" t="s">
        <v>122</v>
      </c>
      <c r="G69" s="370" t="s">
        <v>122</v>
      </c>
      <c r="H69" s="370" t="s">
        <v>122</v>
      </c>
    </row>
    <row r="70" spans="1:8" x14ac:dyDescent="0.25">
      <c r="A70" s="362">
        <v>44993</v>
      </c>
      <c r="B70" s="363" t="s">
        <v>1871</v>
      </c>
      <c r="C70" s="364">
        <v>35250</v>
      </c>
      <c r="D70" s="370" t="s">
        <v>122</v>
      </c>
      <c r="E70" s="370" t="s">
        <v>122</v>
      </c>
      <c r="F70" s="370" t="s">
        <v>122</v>
      </c>
      <c r="G70" s="370" t="s">
        <v>122</v>
      </c>
      <c r="H70" s="370" t="s">
        <v>122</v>
      </c>
    </row>
    <row r="71" spans="1:8" x14ac:dyDescent="0.25">
      <c r="A71" s="362">
        <v>44994</v>
      </c>
      <c r="B71" s="363" t="s">
        <v>1871</v>
      </c>
      <c r="C71" s="364">
        <v>35250</v>
      </c>
      <c r="D71" s="370" t="s">
        <v>122</v>
      </c>
      <c r="E71" s="370" t="s">
        <v>122</v>
      </c>
      <c r="F71" s="370" t="s">
        <v>122</v>
      </c>
      <c r="G71" s="370" t="s">
        <v>122</v>
      </c>
      <c r="H71" s="370" t="s">
        <v>122</v>
      </c>
    </row>
    <row r="72" spans="1:8" x14ac:dyDescent="0.25">
      <c r="A72" s="362">
        <v>44995</v>
      </c>
      <c r="B72" s="363" t="s">
        <v>1871</v>
      </c>
      <c r="C72" s="364">
        <v>35250</v>
      </c>
      <c r="D72" s="370" t="s">
        <v>122</v>
      </c>
      <c r="E72" s="370" t="s">
        <v>122</v>
      </c>
      <c r="F72" s="370" t="s">
        <v>122</v>
      </c>
      <c r="G72" s="370" t="s">
        <v>122</v>
      </c>
      <c r="H72" s="370" t="s">
        <v>122</v>
      </c>
    </row>
    <row r="73" spans="1:8" x14ac:dyDescent="0.25">
      <c r="A73" s="362">
        <v>44996</v>
      </c>
      <c r="B73" s="363" t="s">
        <v>1871</v>
      </c>
      <c r="C73" s="364">
        <v>35250</v>
      </c>
      <c r="D73" s="370" t="s">
        <v>122</v>
      </c>
      <c r="E73" s="370" t="s">
        <v>122</v>
      </c>
      <c r="F73" s="370" t="s">
        <v>122</v>
      </c>
      <c r="G73" s="370" t="s">
        <v>122</v>
      </c>
      <c r="H73" s="370" t="s">
        <v>122</v>
      </c>
    </row>
    <row r="74" spans="1:8" x14ac:dyDescent="0.25">
      <c r="A74" s="362">
        <v>44997</v>
      </c>
      <c r="B74" s="363" t="s">
        <v>1871</v>
      </c>
      <c r="C74" s="364">
        <v>35250</v>
      </c>
      <c r="D74" s="370" t="s">
        <v>122</v>
      </c>
      <c r="E74" s="370" t="s">
        <v>122</v>
      </c>
      <c r="F74" s="370" t="s">
        <v>122</v>
      </c>
      <c r="G74" s="370" t="s">
        <v>122</v>
      </c>
      <c r="H74" s="370" t="s">
        <v>122</v>
      </c>
    </row>
    <row r="75" spans="1:8" x14ac:dyDescent="0.25">
      <c r="A75" s="362">
        <v>44998</v>
      </c>
      <c r="B75" s="363" t="s">
        <v>1871</v>
      </c>
      <c r="C75" s="364">
        <v>35250</v>
      </c>
      <c r="D75" s="370" t="s">
        <v>122</v>
      </c>
      <c r="E75" s="370" t="s">
        <v>122</v>
      </c>
      <c r="F75" s="370" t="s">
        <v>122</v>
      </c>
      <c r="G75" s="370" t="s">
        <v>122</v>
      </c>
      <c r="H75" s="370" t="s">
        <v>122</v>
      </c>
    </row>
    <row r="76" spans="1:8" x14ac:dyDescent="0.25">
      <c r="A76" s="362">
        <v>44999</v>
      </c>
      <c r="B76" s="363" t="s">
        <v>1871</v>
      </c>
      <c r="C76" s="364">
        <v>35250</v>
      </c>
      <c r="D76" s="370" t="s">
        <v>122</v>
      </c>
      <c r="E76" s="370" t="s">
        <v>122</v>
      </c>
      <c r="F76" s="370" t="s">
        <v>122</v>
      </c>
      <c r="G76" s="370" t="s">
        <v>122</v>
      </c>
      <c r="H76" s="370" t="s">
        <v>122</v>
      </c>
    </row>
    <row r="77" spans="1:8" x14ac:dyDescent="0.25">
      <c r="A77" s="362">
        <v>45000</v>
      </c>
      <c r="B77" s="363" t="s">
        <v>2295</v>
      </c>
      <c r="C77" s="364">
        <v>34750</v>
      </c>
      <c r="D77" s="370" t="s">
        <v>122</v>
      </c>
      <c r="E77" s="370" t="s">
        <v>122</v>
      </c>
      <c r="F77" s="370" t="s">
        <v>122</v>
      </c>
      <c r="G77" s="370" t="s">
        <v>122</v>
      </c>
      <c r="H77" s="370" t="s">
        <v>122</v>
      </c>
    </row>
    <row r="78" spans="1:8" x14ac:dyDescent="0.25">
      <c r="A78" s="362">
        <v>45001</v>
      </c>
      <c r="B78" s="363" t="s">
        <v>2295</v>
      </c>
      <c r="C78" s="364">
        <v>34750</v>
      </c>
      <c r="D78" s="370" t="s">
        <v>122</v>
      </c>
      <c r="E78" s="370" t="s">
        <v>122</v>
      </c>
      <c r="F78" s="370" t="s">
        <v>122</v>
      </c>
      <c r="G78" s="370" t="s">
        <v>122</v>
      </c>
      <c r="H78" s="370" t="s">
        <v>122</v>
      </c>
    </row>
    <row r="79" spans="1:8" x14ac:dyDescent="0.25">
      <c r="A79" s="362">
        <v>45002</v>
      </c>
      <c r="B79" s="363" t="s">
        <v>2295</v>
      </c>
      <c r="C79" s="364">
        <v>34750</v>
      </c>
      <c r="D79" s="370" t="s">
        <v>122</v>
      </c>
      <c r="E79" s="370" t="s">
        <v>122</v>
      </c>
      <c r="F79" s="370" t="s">
        <v>122</v>
      </c>
      <c r="G79" s="370" t="s">
        <v>122</v>
      </c>
      <c r="H79" s="370" t="s">
        <v>122</v>
      </c>
    </row>
    <row r="80" spans="1:8" x14ac:dyDescent="0.25">
      <c r="A80" s="362">
        <v>45003</v>
      </c>
      <c r="B80" s="363" t="s">
        <v>2295</v>
      </c>
      <c r="C80" s="364">
        <v>34750</v>
      </c>
      <c r="D80" s="370" t="s">
        <v>122</v>
      </c>
      <c r="E80" s="370" t="s">
        <v>122</v>
      </c>
      <c r="F80" s="370" t="s">
        <v>122</v>
      </c>
      <c r="G80" s="370" t="s">
        <v>122</v>
      </c>
      <c r="H80" s="370" t="s">
        <v>122</v>
      </c>
    </row>
    <row r="81" spans="1:8" x14ac:dyDescent="0.25">
      <c r="A81" s="362">
        <v>45004</v>
      </c>
      <c r="B81" s="363" t="s">
        <v>2295</v>
      </c>
      <c r="C81" s="364">
        <v>34750</v>
      </c>
      <c r="D81" s="370" t="s">
        <v>122</v>
      </c>
      <c r="E81" s="370" t="s">
        <v>122</v>
      </c>
      <c r="F81" s="370" t="s">
        <v>122</v>
      </c>
      <c r="G81" s="370" t="s">
        <v>122</v>
      </c>
      <c r="H81" s="370" t="s">
        <v>122</v>
      </c>
    </row>
    <row r="82" spans="1:8" x14ac:dyDescent="0.25">
      <c r="A82" s="362">
        <v>45005</v>
      </c>
      <c r="B82" s="363" t="s">
        <v>2295</v>
      </c>
      <c r="C82" s="364">
        <v>34750</v>
      </c>
      <c r="D82" s="370" t="s">
        <v>122</v>
      </c>
      <c r="E82" s="370" t="s">
        <v>122</v>
      </c>
      <c r="F82" s="370" t="s">
        <v>122</v>
      </c>
      <c r="G82" s="370" t="s">
        <v>122</v>
      </c>
      <c r="H82" s="370" t="s">
        <v>122</v>
      </c>
    </row>
    <row r="83" spans="1:8" x14ac:dyDescent="0.25">
      <c r="A83" s="362">
        <v>45006</v>
      </c>
      <c r="B83" s="363" t="s">
        <v>2295</v>
      </c>
      <c r="C83" s="364">
        <v>34750</v>
      </c>
      <c r="D83" s="370" t="s">
        <v>122</v>
      </c>
      <c r="E83" s="370" t="s">
        <v>122</v>
      </c>
      <c r="F83" s="370" t="s">
        <v>122</v>
      </c>
      <c r="G83" s="370" t="s">
        <v>122</v>
      </c>
      <c r="H83" s="370" t="s">
        <v>122</v>
      </c>
    </row>
    <row r="84" spans="1:8" x14ac:dyDescent="0.25">
      <c r="A84" s="362">
        <v>45007</v>
      </c>
      <c r="B84" s="363" t="s">
        <v>2746</v>
      </c>
      <c r="C84" s="364">
        <v>34500</v>
      </c>
      <c r="D84" s="370" t="s">
        <v>122</v>
      </c>
      <c r="E84" s="370" t="s">
        <v>122</v>
      </c>
      <c r="F84" s="370" t="s">
        <v>122</v>
      </c>
      <c r="G84" s="370" t="s">
        <v>122</v>
      </c>
      <c r="H84" s="370" t="s">
        <v>122</v>
      </c>
    </row>
    <row r="85" spans="1:8" x14ac:dyDescent="0.25">
      <c r="A85" s="362">
        <v>45008</v>
      </c>
      <c r="B85" s="363" t="s">
        <v>2746</v>
      </c>
      <c r="C85" s="364">
        <v>34500</v>
      </c>
      <c r="D85" s="370" t="s">
        <v>122</v>
      </c>
      <c r="E85" s="370" t="s">
        <v>122</v>
      </c>
      <c r="F85" s="370" t="s">
        <v>122</v>
      </c>
      <c r="G85" s="370" t="s">
        <v>122</v>
      </c>
      <c r="H85" s="370" t="s">
        <v>122</v>
      </c>
    </row>
    <row r="86" spans="1:8" x14ac:dyDescent="0.25">
      <c r="A86" s="362">
        <v>45009</v>
      </c>
      <c r="B86" s="363" t="s">
        <v>2746</v>
      </c>
      <c r="C86" s="364">
        <v>34500</v>
      </c>
      <c r="D86" s="370" t="s">
        <v>122</v>
      </c>
      <c r="E86" s="370" t="s">
        <v>122</v>
      </c>
      <c r="F86" s="370" t="s">
        <v>122</v>
      </c>
      <c r="G86" s="370" t="s">
        <v>122</v>
      </c>
      <c r="H86" s="370" t="s">
        <v>122</v>
      </c>
    </row>
    <row r="87" spans="1:8" x14ac:dyDescent="0.25">
      <c r="A87" s="362">
        <v>45010</v>
      </c>
      <c r="B87" s="363" t="s">
        <v>2295</v>
      </c>
      <c r="C87" s="364">
        <v>34750</v>
      </c>
      <c r="D87" s="370" t="s">
        <v>2152</v>
      </c>
      <c r="E87" s="370">
        <v>36</v>
      </c>
      <c r="F87" s="370" t="s">
        <v>2179</v>
      </c>
      <c r="G87" s="370">
        <v>85.79</v>
      </c>
      <c r="H87" s="370" t="s">
        <v>122</v>
      </c>
    </row>
    <row r="88" spans="1:8" x14ac:dyDescent="0.25">
      <c r="A88" s="362">
        <v>45011</v>
      </c>
      <c r="B88" s="363" t="s">
        <v>2295</v>
      </c>
      <c r="C88" s="364">
        <v>34750</v>
      </c>
      <c r="D88" s="370" t="s">
        <v>2152</v>
      </c>
      <c r="E88" s="370">
        <v>36</v>
      </c>
      <c r="F88" s="370" t="s">
        <v>2179</v>
      </c>
      <c r="G88" s="370">
        <v>85.79</v>
      </c>
      <c r="H88" s="370" t="s">
        <v>122</v>
      </c>
    </row>
    <row r="89" spans="1:8" x14ac:dyDescent="0.25">
      <c r="A89" s="362">
        <v>45012</v>
      </c>
      <c r="B89" s="363" t="s">
        <v>2295</v>
      </c>
      <c r="C89" s="364">
        <v>34750</v>
      </c>
      <c r="D89" s="370" t="s">
        <v>2174</v>
      </c>
      <c r="E89" s="370">
        <v>59.44</v>
      </c>
      <c r="F89" s="370" t="s">
        <v>2179</v>
      </c>
      <c r="G89" s="370">
        <v>85.79</v>
      </c>
      <c r="H89" s="370" t="s">
        <v>122</v>
      </c>
    </row>
    <row r="90" spans="1:8" x14ac:dyDescent="0.25">
      <c r="A90" s="362">
        <v>45013</v>
      </c>
      <c r="B90" s="363" t="s">
        <v>1872</v>
      </c>
      <c r="C90" s="364">
        <v>34250</v>
      </c>
      <c r="D90" s="370" t="s">
        <v>2174</v>
      </c>
      <c r="E90" s="370">
        <v>59.3</v>
      </c>
      <c r="F90" s="370" t="s">
        <v>2179</v>
      </c>
      <c r="G90" s="370">
        <v>85.58</v>
      </c>
      <c r="H90" s="370" t="s">
        <v>122</v>
      </c>
    </row>
    <row r="91" spans="1:8" x14ac:dyDescent="0.25">
      <c r="A91" s="362">
        <v>45014</v>
      </c>
      <c r="B91" s="363" t="s">
        <v>1864</v>
      </c>
      <c r="C91" s="364">
        <v>33800</v>
      </c>
      <c r="D91" s="370" t="s">
        <v>2177</v>
      </c>
      <c r="E91" s="370">
        <v>70.5</v>
      </c>
      <c r="F91" s="370" t="s">
        <v>2179</v>
      </c>
      <c r="G91" s="370">
        <v>84.18</v>
      </c>
      <c r="H91" s="370" t="s">
        <v>122</v>
      </c>
    </row>
    <row r="92" spans="1:8" x14ac:dyDescent="0.25">
      <c r="A92" s="362">
        <v>45015</v>
      </c>
      <c r="B92" s="363" t="s">
        <v>1852</v>
      </c>
      <c r="C92" s="364">
        <v>33000</v>
      </c>
      <c r="D92" s="370" t="s">
        <v>2177</v>
      </c>
      <c r="E92" s="370">
        <v>70.16</v>
      </c>
      <c r="F92" s="370" t="s">
        <v>2179</v>
      </c>
      <c r="G92" s="370">
        <v>83.8</v>
      </c>
      <c r="H92" s="370" t="s">
        <v>122</v>
      </c>
    </row>
    <row r="93" spans="1:8" x14ac:dyDescent="0.25">
      <c r="A93" s="362">
        <v>45016</v>
      </c>
      <c r="B93" s="363" t="s">
        <v>1853</v>
      </c>
      <c r="C93" s="364">
        <v>32600</v>
      </c>
      <c r="D93" s="370" t="s">
        <v>2839</v>
      </c>
      <c r="E93" s="370">
        <v>92.18</v>
      </c>
      <c r="F93" s="370" t="s">
        <v>2179</v>
      </c>
      <c r="G93" s="370">
        <v>93.41</v>
      </c>
      <c r="H93" s="370" t="s">
        <v>122</v>
      </c>
    </row>
    <row r="94" spans="1:8" x14ac:dyDescent="0.25">
      <c r="A94" s="362">
        <v>45017</v>
      </c>
      <c r="B94" s="363" t="s">
        <v>1851</v>
      </c>
      <c r="C94" s="364">
        <v>32100</v>
      </c>
      <c r="D94" s="370" t="s">
        <v>2726</v>
      </c>
      <c r="E94" s="370">
        <v>102.67</v>
      </c>
      <c r="F94" s="370" t="s">
        <v>2733</v>
      </c>
      <c r="G94" s="370">
        <v>88.75</v>
      </c>
      <c r="H94" s="370" t="s">
        <v>122</v>
      </c>
    </row>
    <row r="95" spans="1:8" x14ac:dyDescent="0.25">
      <c r="A95" s="362">
        <v>45018</v>
      </c>
      <c r="B95" s="363" t="s">
        <v>2747</v>
      </c>
      <c r="C95" s="364">
        <v>31750</v>
      </c>
      <c r="D95" s="370" t="s">
        <v>2840</v>
      </c>
      <c r="E95" s="370">
        <v>107.69</v>
      </c>
      <c r="F95" s="370" t="s">
        <v>2733</v>
      </c>
      <c r="G95" s="370">
        <v>88.43</v>
      </c>
      <c r="H95" s="370" t="s">
        <v>122</v>
      </c>
    </row>
    <row r="96" spans="1:8" x14ac:dyDescent="0.25">
      <c r="A96" s="362">
        <v>45019</v>
      </c>
      <c r="B96" s="363" t="s">
        <v>1858</v>
      </c>
      <c r="C96" s="364">
        <v>31125</v>
      </c>
      <c r="D96" s="370" t="s">
        <v>2840</v>
      </c>
      <c r="E96" s="370">
        <v>107.28</v>
      </c>
      <c r="F96" s="370" t="s">
        <v>2733</v>
      </c>
      <c r="G96" s="370">
        <v>88.12</v>
      </c>
      <c r="H96" s="370" t="s">
        <v>122</v>
      </c>
    </row>
    <row r="97" spans="1:8" x14ac:dyDescent="0.25">
      <c r="A97" s="362">
        <v>45020</v>
      </c>
      <c r="B97" s="363" t="s">
        <v>2748</v>
      </c>
      <c r="C97" s="364">
        <v>30625</v>
      </c>
      <c r="D97" s="370" t="s">
        <v>2726</v>
      </c>
      <c r="E97" s="370">
        <v>101.5</v>
      </c>
      <c r="F97" s="370" t="s">
        <v>2733</v>
      </c>
      <c r="G97" s="370">
        <v>87.8</v>
      </c>
      <c r="H97" s="370" t="s">
        <v>122</v>
      </c>
    </row>
    <row r="98" spans="1:8" x14ac:dyDescent="0.25">
      <c r="A98" s="362">
        <v>45021</v>
      </c>
      <c r="B98" s="363" t="s">
        <v>1851</v>
      </c>
      <c r="C98" s="364">
        <v>32100</v>
      </c>
      <c r="D98" s="370" t="s">
        <v>2177</v>
      </c>
      <c r="E98" s="370">
        <v>69.48</v>
      </c>
      <c r="F98" s="370" t="s">
        <v>2733</v>
      </c>
      <c r="G98" s="370">
        <v>88.75</v>
      </c>
      <c r="H98" s="370" t="s">
        <v>122</v>
      </c>
    </row>
    <row r="99" spans="1:8" x14ac:dyDescent="0.25">
      <c r="A99" s="362">
        <v>45022</v>
      </c>
      <c r="B99" s="363" t="s">
        <v>1853</v>
      </c>
      <c r="C99" s="364">
        <v>32600</v>
      </c>
      <c r="D99" s="370" t="s">
        <v>2177</v>
      </c>
      <c r="E99" s="370">
        <v>69.819999999999993</v>
      </c>
      <c r="F99" s="370" t="s">
        <v>2733</v>
      </c>
      <c r="G99" s="370">
        <v>89.17</v>
      </c>
      <c r="H99" s="370" t="s">
        <v>122</v>
      </c>
    </row>
    <row r="100" spans="1:8" x14ac:dyDescent="0.25">
      <c r="A100" s="362">
        <v>45023</v>
      </c>
      <c r="B100" s="363" t="s">
        <v>2297</v>
      </c>
      <c r="C100" s="364">
        <v>32800</v>
      </c>
      <c r="D100" s="370" t="s">
        <v>2177</v>
      </c>
      <c r="E100" s="370">
        <v>69.989999999999995</v>
      </c>
      <c r="F100" s="370" t="s">
        <v>2733</v>
      </c>
      <c r="G100" s="370">
        <v>89.37</v>
      </c>
      <c r="H100" s="370" t="s">
        <v>122</v>
      </c>
    </row>
    <row r="101" spans="1:8" x14ac:dyDescent="0.25">
      <c r="A101" s="362">
        <v>45024</v>
      </c>
      <c r="B101" s="363" t="s">
        <v>1853</v>
      </c>
      <c r="C101" s="364">
        <v>32600</v>
      </c>
      <c r="D101" s="370" t="s">
        <v>2730</v>
      </c>
      <c r="E101" s="370">
        <v>97.7</v>
      </c>
      <c r="F101" s="370" t="s">
        <v>2733</v>
      </c>
      <c r="G101" s="370">
        <v>89.17</v>
      </c>
      <c r="H101" s="370" t="s">
        <v>122</v>
      </c>
    </row>
    <row r="102" spans="1:8" x14ac:dyDescent="0.25">
      <c r="A102" s="362">
        <v>45025</v>
      </c>
      <c r="B102" s="363" t="s">
        <v>2749</v>
      </c>
      <c r="C102" s="364">
        <v>32250</v>
      </c>
      <c r="D102" s="370" t="s">
        <v>2730</v>
      </c>
      <c r="E102" s="370">
        <v>97.34</v>
      </c>
      <c r="F102" s="370" t="s">
        <v>2733</v>
      </c>
      <c r="G102" s="370">
        <v>88.85</v>
      </c>
      <c r="H102" s="370" t="s">
        <v>122</v>
      </c>
    </row>
    <row r="103" spans="1:8" x14ac:dyDescent="0.25">
      <c r="A103" s="362">
        <v>45026</v>
      </c>
      <c r="B103" s="363" t="s">
        <v>2750</v>
      </c>
      <c r="C103" s="364">
        <v>32000</v>
      </c>
      <c r="D103" s="370" t="s">
        <v>2730</v>
      </c>
      <c r="E103" s="370">
        <v>96.97</v>
      </c>
      <c r="F103" s="370" t="s">
        <v>2733</v>
      </c>
      <c r="G103" s="370">
        <v>88.54</v>
      </c>
      <c r="H103" s="370" t="s">
        <v>122</v>
      </c>
    </row>
    <row r="104" spans="1:8" x14ac:dyDescent="0.25">
      <c r="A104" s="362">
        <v>45027</v>
      </c>
      <c r="B104" s="363" t="s">
        <v>2751</v>
      </c>
      <c r="C104" s="364">
        <v>31125</v>
      </c>
      <c r="D104" s="370" t="s">
        <v>2730</v>
      </c>
      <c r="E104" s="370">
        <v>96.48</v>
      </c>
      <c r="F104" s="370" t="s">
        <v>2733</v>
      </c>
      <c r="G104" s="370">
        <v>88.12</v>
      </c>
      <c r="H104" s="370" t="s">
        <v>122</v>
      </c>
    </row>
    <row r="105" spans="1:8" x14ac:dyDescent="0.25">
      <c r="A105" s="362">
        <v>45028</v>
      </c>
      <c r="B105" s="363" t="s">
        <v>2752</v>
      </c>
      <c r="C105" s="364">
        <v>30750</v>
      </c>
      <c r="D105" s="370" t="s">
        <v>2180</v>
      </c>
      <c r="E105" s="370">
        <v>85.35</v>
      </c>
      <c r="F105" s="370" t="s">
        <v>2733</v>
      </c>
      <c r="G105" s="370">
        <v>87.91</v>
      </c>
      <c r="H105" s="370" t="s">
        <v>122</v>
      </c>
    </row>
    <row r="106" spans="1:8" x14ac:dyDescent="0.25">
      <c r="A106" s="362">
        <v>45029</v>
      </c>
      <c r="B106" s="363" t="s">
        <v>2753</v>
      </c>
      <c r="C106" s="364">
        <v>30500</v>
      </c>
      <c r="D106" s="370" t="s">
        <v>2177</v>
      </c>
      <c r="E106" s="370">
        <v>68.62</v>
      </c>
      <c r="F106" s="370" t="s">
        <v>2841</v>
      </c>
      <c r="G106" s="370">
        <v>47.55</v>
      </c>
      <c r="H106" s="370" t="s">
        <v>122</v>
      </c>
    </row>
    <row r="107" spans="1:8" x14ac:dyDescent="0.25">
      <c r="A107" s="362">
        <v>45030</v>
      </c>
      <c r="B107" s="363" t="s">
        <v>2754</v>
      </c>
      <c r="C107" s="364">
        <v>30300</v>
      </c>
      <c r="D107" s="370" t="s">
        <v>2177</v>
      </c>
      <c r="E107" s="370">
        <v>68.45</v>
      </c>
      <c r="F107" s="370" t="s">
        <v>2841</v>
      </c>
      <c r="G107" s="370">
        <v>47.44</v>
      </c>
      <c r="H107" s="370" t="s">
        <v>122</v>
      </c>
    </row>
    <row r="108" spans="1:8" x14ac:dyDescent="0.25">
      <c r="A108" s="362">
        <v>45031</v>
      </c>
      <c r="B108" s="363" t="s">
        <v>2755</v>
      </c>
      <c r="C108" s="364">
        <v>30200</v>
      </c>
      <c r="D108" s="370" t="s">
        <v>2177</v>
      </c>
      <c r="E108" s="370">
        <v>68.28</v>
      </c>
      <c r="F108" s="370" t="s">
        <v>2841</v>
      </c>
      <c r="G108" s="370">
        <v>47.33</v>
      </c>
      <c r="H108" s="370" t="s">
        <v>122</v>
      </c>
    </row>
    <row r="109" spans="1:8" x14ac:dyDescent="0.25">
      <c r="A109" s="362">
        <v>45032</v>
      </c>
      <c r="B109" s="363" t="s">
        <v>2756</v>
      </c>
      <c r="C109" s="364">
        <v>30000</v>
      </c>
      <c r="D109" s="370" t="s">
        <v>2180</v>
      </c>
      <c r="E109" s="370">
        <v>68.11</v>
      </c>
      <c r="F109" s="370" t="s">
        <v>2841</v>
      </c>
      <c r="G109" s="370">
        <v>47.22</v>
      </c>
      <c r="H109" s="370" t="s">
        <v>122</v>
      </c>
    </row>
    <row r="110" spans="1:8" x14ac:dyDescent="0.25">
      <c r="A110" s="362">
        <v>45033</v>
      </c>
      <c r="B110" s="363" t="s">
        <v>2757</v>
      </c>
      <c r="C110" s="364">
        <v>28750</v>
      </c>
      <c r="D110" s="370" t="s">
        <v>2177</v>
      </c>
      <c r="E110" s="370">
        <v>67.760000000000005</v>
      </c>
      <c r="F110" s="370" t="s">
        <v>2177</v>
      </c>
      <c r="G110" s="370">
        <v>69.819999999999993</v>
      </c>
      <c r="H110" s="370" t="s">
        <v>122</v>
      </c>
    </row>
    <row r="111" spans="1:8" x14ac:dyDescent="0.25">
      <c r="A111" s="362">
        <v>45034</v>
      </c>
      <c r="B111" s="363" t="s">
        <v>2758</v>
      </c>
      <c r="C111" s="364">
        <v>28500</v>
      </c>
      <c r="D111" s="370" t="s">
        <v>2177</v>
      </c>
      <c r="E111" s="370"/>
      <c r="F111" s="370" t="s">
        <v>2177</v>
      </c>
      <c r="G111" s="370"/>
      <c r="H111" s="370" t="s">
        <v>122</v>
      </c>
    </row>
    <row r="112" spans="1:8" x14ac:dyDescent="0.25">
      <c r="A112" s="362">
        <v>45035</v>
      </c>
      <c r="B112" s="363" t="s">
        <v>2451</v>
      </c>
      <c r="C112" s="364">
        <v>28400</v>
      </c>
      <c r="D112" s="370" t="s">
        <v>2177</v>
      </c>
      <c r="E112" s="370">
        <v>67.23</v>
      </c>
      <c r="F112" s="370" t="s">
        <v>2177</v>
      </c>
      <c r="G112" s="370">
        <v>69.39</v>
      </c>
      <c r="H112" s="370" t="s">
        <v>122</v>
      </c>
    </row>
    <row r="113" spans="1:8" x14ac:dyDescent="0.25">
      <c r="A113" s="362">
        <v>45036</v>
      </c>
      <c r="B113" s="363" t="s">
        <v>2759</v>
      </c>
      <c r="C113" s="364">
        <v>28000</v>
      </c>
      <c r="D113" s="370" t="s">
        <v>2177</v>
      </c>
      <c r="E113" s="370">
        <v>66.88</v>
      </c>
      <c r="F113" s="370" t="s">
        <v>2177</v>
      </c>
      <c r="G113" s="370">
        <v>68.97</v>
      </c>
      <c r="H113" s="370" t="s">
        <v>122</v>
      </c>
    </row>
    <row r="114" spans="1:8" x14ac:dyDescent="0.25">
      <c r="A114" s="362">
        <v>45037</v>
      </c>
      <c r="B114" s="363" t="s">
        <v>2555</v>
      </c>
      <c r="C114" s="364">
        <v>27850</v>
      </c>
      <c r="D114" s="370" t="s">
        <v>2177</v>
      </c>
      <c r="E114" s="370">
        <v>66.7</v>
      </c>
      <c r="F114" s="370" t="s">
        <v>2152</v>
      </c>
      <c r="G114" s="370">
        <v>34.909999999999997</v>
      </c>
      <c r="H114" s="370" t="s">
        <v>122</v>
      </c>
    </row>
    <row r="115" spans="1:8" x14ac:dyDescent="0.25">
      <c r="A115" s="362">
        <v>45038</v>
      </c>
      <c r="B115" s="363" t="s">
        <v>2555</v>
      </c>
      <c r="C115" s="364">
        <v>27850</v>
      </c>
      <c r="D115" s="370" t="s">
        <v>122</v>
      </c>
      <c r="E115" s="370" t="s">
        <v>122</v>
      </c>
      <c r="F115" s="370" t="s">
        <v>122</v>
      </c>
      <c r="G115" s="370" t="s">
        <v>122</v>
      </c>
      <c r="H115" s="370" t="s">
        <v>122</v>
      </c>
    </row>
    <row r="116" spans="1:8" x14ac:dyDescent="0.25">
      <c r="A116" s="362">
        <v>45039</v>
      </c>
      <c r="B116" s="363" t="s">
        <v>2555</v>
      </c>
      <c r="C116" s="364">
        <v>27850</v>
      </c>
      <c r="D116" s="370" t="s">
        <v>122</v>
      </c>
      <c r="E116" s="370" t="s">
        <v>122</v>
      </c>
      <c r="F116" s="370" t="s">
        <v>122</v>
      </c>
      <c r="G116" s="370" t="s">
        <v>122</v>
      </c>
      <c r="H116" s="370" t="s">
        <v>122</v>
      </c>
    </row>
    <row r="117" spans="1:8" x14ac:dyDescent="0.25">
      <c r="A117" s="362">
        <v>45040</v>
      </c>
      <c r="B117" s="363" t="s">
        <v>2555</v>
      </c>
      <c r="C117" s="364">
        <v>27850</v>
      </c>
      <c r="D117" s="370" t="s">
        <v>2176</v>
      </c>
      <c r="E117" s="370">
        <v>72.069999999999993</v>
      </c>
      <c r="F117" s="370" t="s">
        <v>2177</v>
      </c>
      <c r="G117" s="370">
        <v>68.8</v>
      </c>
      <c r="H117" s="370" t="s">
        <v>122</v>
      </c>
    </row>
    <row r="118" spans="1:8" x14ac:dyDescent="0.25">
      <c r="A118" s="362">
        <v>45041</v>
      </c>
      <c r="B118" s="363" t="s">
        <v>2558</v>
      </c>
      <c r="C118" s="364">
        <v>27000</v>
      </c>
      <c r="D118" s="370" t="s">
        <v>2510</v>
      </c>
      <c r="E118" s="370">
        <v>87.5</v>
      </c>
      <c r="F118" s="370" t="s">
        <v>2179</v>
      </c>
      <c r="G118" s="370">
        <v>79.459999999999994</v>
      </c>
      <c r="H118" s="370" t="s">
        <v>122</v>
      </c>
    </row>
    <row r="119" spans="1:8" x14ac:dyDescent="0.25">
      <c r="A119" s="362">
        <v>45042</v>
      </c>
      <c r="B119" s="363" t="s">
        <v>2559</v>
      </c>
      <c r="C119" s="364">
        <v>26750</v>
      </c>
      <c r="D119" s="370" t="s">
        <v>2510</v>
      </c>
      <c r="E119" s="370">
        <v>87.26</v>
      </c>
      <c r="F119" s="370" t="s">
        <v>2179</v>
      </c>
      <c r="G119" s="370">
        <v>79.25</v>
      </c>
      <c r="H119" s="370" t="s">
        <v>122</v>
      </c>
    </row>
    <row r="120" spans="1:8" x14ac:dyDescent="0.25">
      <c r="A120" s="362">
        <v>45043</v>
      </c>
      <c r="B120" s="363" t="s">
        <v>2561</v>
      </c>
      <c r="C120" s="364">
        <v>26500</v>
      </c>
      <c r="D120" s="370" t="s">
        <v>2177</v>
      </c>
      <c r="E120" s="370">
        <v>65.989999999999995</v>
      </c>
      <c r="F120" s="370" t="s">
        <v>2174</v>
      </c>
      <c r="G120" s="370">
        <v>57.04</v>
      </c>
      <c r="H120" s="370" t="s">
        <v>122</v>
      </c>
    </row>
    <row r="121" spans="1:8" x14ac:dyDescent="0.25">
      <c r="A121" s="362">
        <v>45044</v>
      </c>
      <c r="B121" s="363" t="s">
        <v>2458</v>
      </c>
      <c r="C121" s="364">
        <v>26000</v>
      </c>
      <c r="D121" s="370" t="s">
        <v>2177</v>
      </c>
      <c r="E121" s="370">
        <v>65.81</v>
      </c>
      <c r="F121" s="370" t="s">
        <v>2174</v>
      </c>
      <c r="G121" s="370">
        <v>56.9</v>
      </c>
      <c r="H121" s="370" t="s">
        <v>122</v>
      </c>
    </row>
    <row r="122" spans="1:8" x14ac:dyDescent="0.25">
      <c r="A122" s="362">
        <v>45045</v>
      </c>
      <c r="B122" s="363" t="s">
        <v>2468</v>
      </c>
      <c r="C122" s="364">
        <v>25850</v>
      </c>
      <c r="D122" s="370" t="s">
        <v>2177</v>
      </c>
      <c r="E122" s="370">
        <v>65.63</v>
      </c>
      <c r="F122" s="370" t="s">
        <v>2174</v>
      </c>
      <c r="G122" s="370">
        <v>56.76</v>
      </c>
      <c r="H122" s="370" t="s">
        <v>122</v>
      </c>
    </row>
    <row r="123" spans="1:8" x14ac:dyDescent="0.25">
      <c r="A123" s="362">
        <v>45046</v>
      </c>
      <c r="B123" s="363" t="s">
        <v>2467</v>
      </c>
      <c r="C123" s="364">
        <v>25700</v>
      </c>
      <c r="D123" s="370" t="s">
        <v>122</v>
      </c>
      <c r="E123" s="370" t="s">
        <v>122</v>
      </c>
      <c r="F123" s="370" t="s">
        <v>122</v>
      </c>
      <c r="G123" s="370" t="s">
        <v>122</v>
      </c>
      <c r="H123" s="370" t="s">
        <v>122</v>
      </c>
    </row>
    <row r="124" spans="1:8" x14ac:dyDescent="0.25">
      <c r="A124" s="362">
        <v>45047</v>
      </c>
      <c r="B124" s="363" t="s">
        <v>2467</v>
      </c>
      <c r="C124" s="364">
        <v>25700</v>
      </c>
      <c r="D124" s="370" t="s">
        <v>122</v>
      </c>
      <c r="E124" s="370" t="s">
        <v>122</v>
      </c>
      <c r="F124" s="370" t="s">
        <v>122</v>
      </c>
      <c r="G124" s="370" t="s">
        <v>122</v>
      </c>
      <c r="H124" s="370" t="s">
        <v>122</v>
      </c>
    </row>
    <row r="125" spans="1:8" x14ac:dyDescent="0.25">
      <c r="A125" s="362">
        <v>45048</v>
      </c>
      <c r="B125" s="363" t="s">
        <v>2458</v>
      </c>
      <c r="C125" s="364">
        <v>26000</v>
      </c>
      <c r="D125" s="370" t="s">
        <v>122</v>
      </c>
      <c r="E125" s="370" t="s">
        <v>122</v>
      </c>
      <c r="F125" s="370" t="s">
        <v>122</v>
      </c>
      <c r="G125" s="370" t="s">
        <v>122</v>
      </c>
      <c r="H125" s="370" t="s">
        <v>122</v>
      </c>
    </row>
    <row r="126" spans="1:8" x14ac:dyDescent="0.25">
      <c r="A126" s="362">
        <v>45049</v>
      </c>
      <c r="B126" s="363" t="s">
        <v>2561</v>
      </c>
      <c r="C126" s="364">
        <v>26500</v>
      </c>
      <c r="D126" s="370" t="s">
        <v>122</v>
      </c>
      <c r="E126" s="370" t="s">
        <v>122</v>
      </c>
      <c r="F126" s="370" t="s">
        <v>122</v>
      </c>
      <c r="G126" s="370" t="s">
        <v>122</v>
      </c>
      <c r="H126" s="370" t="s">
        <v>122</v>
      </c>
    </row>
    <row r="127" spans="1:8" x14ac:dyDescent="0.25">
      <c r="A127" s="362">
        <v>45050</v>
      </c>
      <c r="B127" s="363" t="s">
        <v>2561</v>
      </c>
      <c r="C127" s="364">
        <v>26500</v>
      </c>
      <c r="D127" s="370" t="s">
        <v>122</v>
      </c>
      <c r="E127" s="370" t="s">
        <v>122</v>
      </c>
      <c r="F127" s="370" t="s">
        <v>122</v>
      </c>
      <c r="G127" s="370" t="s">
        <v>122</v>
      </c>
      <c r="H127" s="370" t="s">
        <v>122</v>
      </c>
    </row>
    <row r="128" spans="1:8" x14ac:dyDescent="0.25">
      <c r="A128" s="362">
        <v>45051</v>
      </c>
      <c r="B128" s="363" t="s">
        <v>2760</v>
      </c>
      <c r="C128" s="364">
        <v>26625</v>
      </c>
      <c r="D128" s="370" t="s">
        <v>122</v>
      </c>
      <c r="E128" s="370" t="s">
        <v>122</v>
      </c>
      <c r="F128" s="370" t="s">
        <v>122</v>
      </c>
      <c r="G128" s="370" t="s">
        <v>122</v>
      </c>
      <c r="H128" s="370" t="s">
        <v>122</v>
      </c>
    </row>
    <row r="129" spans="1:8" x14ac:dyDescent="0.25">
      <c r="A129" s="362">
        <v>45052</v>
      </c>
      <c r="B129" s="363" t="s">
        <v>2760</v>
      </c>
      <c r="C129" s="364">
        <v>26625</v>
      </c>
      <c r="D129" s="370" t="s">
        <v>122</v>
      </c>
      <c r="E129" s="370" t="s">
        <v>122</v>
      </c>
      <c r="F129" s="370" t="s">
        <v>122</v>
      </c>
      <c r="G129" s="370" t="s">
        <v>122</v>
      </c>
      <c r="H129" s="370" t="s">
        <v>122</v>
      </c>
    </row>
    <row r="130" spans="1:8" x14ac:dyDescent="0.25">
      <c r="A130" s="362">
        <v>45053</v>
      </c>
      <c r="B130" s="363" t="s">
        <v>2455</v>
      </c>
      <c r="C130" s="364">
        <v>27500</v>
      </c>
      <c r="D130" s="370" t="s">
        <v>122</v>
      </c>
      <c r="E130" s="370" t="s">
        <v>122</v>
      </c>
      <c r="F130" s="370" t="s">
        <v>122</v>
      </c>
      <c r="G130" s="370" t="s">
        <v>122</v>
      </c>
      <c r="H130" s="370" t="s">
        <v>122</v>
      </c>
    </row>
    <row r="131" spans="1:8" x14ac:dyDescent="0.25">
      <c r="A131" s="362">
        <v>45054</v>
      </c>
      <c r="B131" s="363" t="s">
        <v>2761</v>
      </c>
      <c r="C131" s="364">
        <v>28000</v>
      </c>
      <c r="D131" s="370" t="s">
        <v>122</v>
      </c>
      <c r="E131" s="370" t="s">
        <v>122</v>
      </c>
      <c r="F131" s="370" t="s">
        <v>122</v>
      </c>
      <c r="G131" s="370" t="s">
        <v>122</v>
      </c>
      <c r="H131" s="370" t="s">
        <v>122</v>
      </c>
    </row>
    <row r="132" spans="1:8" x14ac:dyDescent="0.25">
      <c r="A132" s="362">
        <v>45055</v>
      </c>
      <c r="B132" s="363" t="s">
        <v>2762</v>
      </c>
      <c r="C132" s="364">
        <v>28100</v>
      </c>
      <c r="D132" s="370" t="s">
        <v>122</v>
      </c>
      <c r="E132" s="370" t="s">
        <v>122</v>
      </c>
      <c r="F132" s="370" t="s">
        <v>122</v>
      </c>
      <c r="G132" s="370" t="s">
        <v>122</v>
      </c>
      <c r="H132" s="370" t="s">
        <v>122</v>
      </c>
    </row>
    <row r="133" spans="1:8" x14ac:dyDescent="0.25">
      <c r="A133" s="362">
        <v>45056</v>
      </c>
      <c r="B133" s="363" t="s">
        <v>2453</v>
      </c>
      <c r="C133" s="364">
        <v>28200</v>
      </c>
      <c r="D133" s="370" t="s">
        <v>122</v>
      </c>
      <c r="E133" s="370" t="s">
        <v>122</v>
      </c>
      <c r="F133" s="370" t="s">
        <v>122</v>
      </c>
      <c r="G133" s="370" t="s">
        <v>122</v>
      </c>
      <c r="H133" s="370" t="s">
        <v>122</v>
      </c>
    </row>
    <row r="134" spans="1:8" x14ac:dyDescent="0.25">
      <c r="A134" s="362">
        <v>45057</v>
      </c>
      <c r="B134" s="363" t="s">
        <v>2453</v>
      </c>
      <c r="C134" s="364">
        <v>28200</v>
      </c>
      <c r="D134" s="370" t="s">
        <v>122</v>
      </c>
      <c r="E134" s="370" t="s">
        <v>122</v>
      </c>
      <c r="F134" s="370" t="s">
        <v>122</v>
      </c>
      <c r="G134" s="370" t="s">
        <v>122</v>
      </c>
      <c r="H134" s="370" t="s">
        <v>122</v>
      </c>
    </row>
    <row r="135" spans="1:8" x14ac:dyDescent="0.25">
      <c r="A135" s="362">
        <v>45058</v>
      </c>
      <c r="B135" s="363" t="s">
        <v>2453</v>
      </c>
      <c r="C135" s="364">
        <v>28200</v>
      </c>
      <c r="D135" s="370" t="s">
        <v>2177</v>
      </c>
      <c r="E135" s="370">
        <v>67.05</v>
      </c>
      <c r="F135" s="370" t="s">
        <v>2174</v>
      </c>
      <c r="G135" s="370">
        <v>57.9</v>
      </c>
      <c r="H135" s="370" t="s">
        <v>122</v>
      </c>
    </row>
    <row r="136" spans="1:8" x14ac:dyDescent="0.25">
      <c r="A136" s="362">
        <v>45059</v>
      </c>
      <c r="B136" s="363" t="s">
        <v>2454</v>
      </c>
      <c r="C136" s="364">
        <v>28000</v>
      </c>
      <c r="D136" s="370" t="s">
        <v>2180</v>
      </c>
      <c r="E136" s="370">
        <v>82.93</v>
      </c>
      <c r="F136" s="370" t="s">
        <v>2174</v>
      </c>
      <c r="G136" s="370">
        <v>57.76</v>
      </c>
      <c r="H136" s="370" t="s">
        <v>122</v>
      </c>
    </row>
    <row r="137" spans="1:8" x14ac:dyDescent="0.25">
      <c r="A137" s="362">
        <v>45060</v>
      </c>
      <c r="B137" s="363" t="s">
        <v>2555</v>
      </c>
      <c r="C137" s="364">
        <v>27850</v>
      </c>
      <c r="D137" s="370" t="s">
        <v>2180</v>
      </c>
      <c r="E137" s="370">
        <v>82.71</v>
      </c>
      <c r="F137" s="370" t="s">
        <v>2179</v>
      </c>
      <c r="G137" s="370">
        <v>79.86</v>
      </c>
      <c r="H137" s="370" t="s">
        <v>122</v>
      </c>
    </row>
    <row r="138" spans="1:8" x14ac:dyDescent="0.25">
      <c r="A138" s="362">
        <v>45061</v>
      </c>
      <c r="B138" s="363" t="s">
        <v>2455</v>
      </c>
      <c r="C138" s="364">
        <v>27500</v>
      </c>
      <c r="D138" s="370" t="s">
        <v>2180</v>
      </c>
      <c r="E138" s="370">
        <v>82.48</v>
      </c>
      <c r="F138" s="370" t="s">
        <v>2179</v>
      </c>
      <c r="G138" s="370">
        <v>79.66</v>
      </c>
      <c r="H138" s="370" t="s">
        <v>122</v>
      </c>
    </row>
    <row r="139" spans="1:8" x14ac:dyDescent="0.25">
      <c r="A139" s="362">
        <v>45062</v>
      </c>
      <c r="B139" s="363" t="s">
        <v>2763</v>
      </c>
      <c r="C139" s="364">
        <v>27250</v>
      </c>
      <c r="D139" s="370" t="s">
        <v>2180</v>
      </c>
      <c r="E139" s="370">
        <v>82.37</v>
      </c>
      <c r="F139" s="370" t="s">
        <v>2179</v>
      </c>
      <c r="G139" s="370">
        <v>79.59</v>
      </c>
      <c r="H139" s="370" t="s">
        <v>122</v>
      </c>
    </row>
    <row r="140" spans="1:8" x14ac:dyDescent="0.25">
      <c r="A140" s="362">
        <v>45063</v>
      </c>
      <c r="B140" s="363" t="s">
        <v>2559</v>
      </c>
      <c r="C140" s="364">
        <v>26750</v>
      </c>
      <c r="D140" s="370" t="s">
        <v>2180</v>
      </c>
      <c r="E140" s="370">
        <v>82.04</v>
      </c>
      <c r="F140" s="370" t="s">
        <v>2179</v>
      </c>
      <c r="G140" s="370">
        <v>79.25</v>
      </c>
      <c r="H140" s="370" t="s">
        <v>122</v>
      </c>
    </row>
    <row r="141" spans="1:8" x14ac:dyDescent="0.25">
      <c r="A141" s="362">
        <v>45064</v>
      </c>
      <c r="B141" s="363" t="s">
        <v>2458</v>
      </c>
      <c r="C141" s="364">
        <v>26000</v>
      </c>
      <c r="D141" s="370" t="s">
        <v>2177</v>
      </c>
      <c r="E141" s="370">
        <v>65.81</v>
      </c>
      <c r="F141" s="370" t="s">
        <v>2179</v>
      </c>
      <c r="G141" s="370">
        <v>78.84</v>
      </c>
      <c r="H141" s="370" t="s">
        <v>122</v>
      </c>
    </row>
    <row r="142" spans="1:8" x14ac:dyDescent="0.25">
      <c r="A142" s="362">
        <v>45065</v>
      </c>
      <c r="B142" s="363" t="s">
        <v>2468</v>
      </c>
      <c r="C142" s="364">
        <v>25850</v>
      </c>
      <c r="D142" s="370" t="s">
        <v>2186</v>
      </c>
      <c r="E142" s="370">
        <v>44.23</v>
      </c>
      <c r="F142" s="370" t="s">
        <v>2179</v>
      </c>
      <c r="G142" s="370">
        <v>78.64</v>
      </c>
      <c r="H142" s="370" t="s">
        <v>122</v>
      </c>
    </row>
    <row r="143" spans="1:8" x14ac:dyDescent="0.25">
      <c r="A143" s="362">
        <v>45066</v>
      </c>
      <c r="B143" s="363" t="s">
        <v>2467</v>
      </c>
      <c r="C143" s="364">
        <v>25700</v>
      </c>
      <c r="D143" s="370" t="s">
        <v>122</v>
      </c>
      <c r="E143" s="370" t="s">
        <v>122</v>
      </c>
      <c r="F143" s="370" t="s">
        <v>122</v>
      </c>
      <c r="G143" s="370" t="s">
        <v>122</v>
      </c>
      <c r="H143" s="370" t="s">
        <v>122</v>
      </c>
    </row>
    <row r="144" spans="1:8" x14ac:dyDescent="0.25">
      <c r="A144" s="362">
        <v>45067</v>
      </c>
      <c r="B144" s="363" t="s">
        <v>2467</v>
      </c>
      <c r="C144" s="364">
        <v>25700</v>
      </c>
      <c r="D144" s="370" t="s">
        <v>122</v>
      </c>
      <c r="E144" s="370" t="s">
        <v>122</v>
      </c>
      <c r="F144" s="370" t="s">
        <v>122</v>
      </c>
      <c r="G144" s="370" t="s">
        <v>122</v>
      </c>
      <c r="H144" s="370" t="s">
        <v>122</v>
      </c>
    </row>
    <row r="145" spans="1:8" x14ac:dyDescent="0.25">
      <c r="A145" s="362">
        <v>45068</v>
      </c>
      <c r="B145" s="363" t="s">
        <v>2467</v>
      </c>
      <c r="C145" s="364">
        <v>25700</v>
      </c>
      <c r="D145" s="370" t="s">
        <v>122</v>
      </c>
      <c r="E145" s="370" t="s">
        <v>122</v>
      </c>
      <c r="F145" s="370" t="s">
        <v>122</v>
      </c>
      <c r="G145" s="370" t="s">
        <v>122</v>
      </c>
      <c r="H145" s="370" t="s">
        <v>122</v>
      </c>
    </row>
    <row r="146" spans="1:8" x14ac:dyDescent="0.25">
      <c r="A146" s="362">
        <v>45069</v>
      </c>
      <c r="B146" s="363" t="s">
        <v>2467</v>
      </c>
      <c r="C146" s="364">
        <v>25700</v>
      </c>
      <c r="D146" s="370" t="s">
        <v>122</v>
      </c>
      <c r="E146" s="370" t="s">
        <v>122</v>
      </c>
      <c r="F146" s="370" t="s">
        <v>122</v>
      </c>
      <c r="G146" s="370" t="s">
        <v>122</v>
      </c>
      <c r="H146" s="370" t="s">
        <v>122</v>
      </c>
    </row>
    <row r="147" spans="1:8" x14ac:dyDescent="0.25">
      <c r="A147" s="362">
        <v>45070</v>
      </c>
      <c r="B147" s="363" t="s">
        <v>2467</v>
      </c>
      <c r="C147" s="364">
        <v>25700</v>
      </c>
      <c r="D147" s="370" t="s">
        <v>2177</v>
      </c>
      <c r="E147" s="370">
        <v>65.45</v>
      </c>
      <c r="F147" s="370" t="s">
        <v>2179</v>
      </c>
      <c r="G147" s="370">
        <v>78.44</v>
      </c>
      <c r="H147" s="370" t="s">
        <v>122</v>
      </c>
    </row>
    <row r="148" spans="1:8" x14ac:dyDescent="0.25">
      <c r="A148" s="362">
        <v>45071</v>
      </c>
      <c r="B148" s="363" t="s">
        <v>2460</v>
      </c>
      <c r="C148" s="364">
        <v>25500</v>
      </c>
      <c r="D148" s="370" t="s">
        <v>2179</v>
      </c>
      <c r="E148" s="370">
        <v>75.72</v>
      </c>
      <c r="F148" s="370" t="s">
        <v>2179</v>
      </c>
      <c r="G148" s="370">
        <v>78.23</v>
      </c>
      <c r="H148" s="370" t="s">
        <v>122</v>
      </c>
    </row>
    <row r="149" spans="1:8" x14ac:dyDescent="0.25">
      <c r="A149" s="362">
        <v>45072</v>
      </c>
      <c r="B149" s="363" t="s">
        <v>1849</v>
      </c>
      <c r="C149" s="364">
        <v>25200</v>
      </c>
      <c r="D149" s="370" t="s">
        <v>2726</v>
      </c>
      <c r="E149" s="370">
        <v>95.69</v>
      </c>
      <c r="F149" s="370" t="s">
        <v>2179</v>
      </c>
      <c r="G149" s="370">
        <v>77.819999999999993</v>
      </c>
      <c r="H149" s="370" t="s">
        <v>122</v>
      </c>
    </row>
    <row r="150" spans="1:8" x14ac:dyDescent="0.25">
      <c r="A150" s="362">
        <v>45073</v>
      </c>
      <c r="B150" s="363" t="s">
        <v>2463</v>
      </c>
      <c r="C150" s="364">
        <v>24500</v>
      </c>
      <c r="D150" s="370" t="s">
        <v>2726</v>
      </c>
      <c r="E150" s="370">
        <v>95.13</v>
      </c>
      <c r="F150" s="370" t="s">
        <v>2510</v>
      </c>
      <c r="G150" s="370">
        <v>87.98</v>
      </c>
      <c r="H150" s="370" t="s">
        <v>122</v>
      </c>
    </row>
    <row r="151" spans="1:8" x14ac:dyDescent="0.25">
      <c r="A151" s="362">
        <v>45074</v>
      </c>
      <c r="B151" s="363" t="s">
        <v>2469</v>
      </c>
      <c r="C151" s="364">
        <v>23500</v>
      </c>
      <c r="D151" s="370" t="s">
        <v>2726</v>
      </c>
      <c r="E151" s="370">
        <v>94.57</v>
      </c>
      <c r="F151" s="370" t="s">
        <v>2510</v>
      </c>
      <c r="G151" s="370">
        <v>87.5</v>
      </c>
      <c r="H151" s="370" t="s">
        <v>122</v>
      </c>
    </row>
    <row r="152" spans="1:8" x14ac:dyDescent="0.25">
      <c r="A152" s="362">
        <v>45075</v>
      </c>
      <c r="B152" s="363" t="s">
        <v>2764</v>
      </c>
      <c r="C152" s="364">
        <v>22375</v>
      </c>
      <c r="D152" s="370" t="s">
        <v>2510</v>
      </c>
      <c r="E152" s="370">
        <v>83.95</v>
      </c>
      <c r="F152" s="370" t="s">
        <v>2510</v>
      </c>
      <c r="G152" s="370">
        <v>86.9</v>
      </c>
      <c r="H152" s="370" t="s">
        <v>122</v>
      </c>
    </row>
    <row r="153" spans="1:8" x14ac:dyDescent="0.25">
      <c r="A153" s="362">
        <v>45076</v>
      </c>
      <c r="B153" s="363" t="s">
        <v>2323</v>
      </c>
      <c r="C153" s="364">
        <v>22300</v>
      </c>
      <c r="D153" s="370" t="s">
        <v>2179</v>
      </c>
      <c r="E153" s="370">
        <v>73.34</v>
      </c>
      <c r="F153" s="370" t="s">
        <v>2510</v>
      </c>
      <c r="G153" s="370">
        <v>86.29</v>
      </c>
      <c r="H153" s="370" t="s">
        <v>122</v>
      </c>
    </row>
    <row r="154" spans="1:8" x14ac:dyDescent="0.25">
      <c r="A154" s="362">
        <v>45077</v>
      </c>
      <c r="B154" s="363" t="s">
        <v>2324</v>
      </c>
      <c r="C154" s="364">
        <v>22250</v>
      </c>
      <c r="D154" s="370" t="s">
        <v>2177</v>
      </c>
      <c r="E154" s="370">
        <v>63.05</v>
      </c>
      <c r="F154" s="370" t="s">
        <v>2510</v>
      </c>
      <c r="G154" s="370">
        <v>86.05</v>
      </c>
      <c r="H154" s="370" t="s">
        <v>122</v>
      </c>
    </row>
    <row r="155" spans="1:8" x14ac:dyDescent="0.25">
      <c r="A155" s="362">
        <v>45078</v>
      </c>
      <c r="B155" s="363" t="s">
        <v>2479</v>
      </c>
      <c r="C155" s="364">
        <v>22000</v>
      </c>
      <c r="D155" s="370" t="s">
        <v>2177</v>
      </c>
      <c r="E155" s="370">
        <v>62.86</v>
      </c>
      <c r="F155" s="370" t="s">
        <v>122</v>
      </c>
      <c r="G155" s="371" t="s">
        <v>122</v>
      </c>
      <c r="H155" s="370" t="s">
        <v>122</v>
      </c>
    </row>
    <row r="156" spans="1:8" x14ac:dyDescent="0.25">
      <c r="A156" s="362">
        <v>45079</v>
      </c>
      <c r="B156" s="363" t="s">
        <v>2479</v>
      </c>
      <c r="C156" s="364">
        <v>22000</v>
      </c>
      <c r="D156" s="370"/>
      <c r="E156" s="370"/>
      <c r="F156" s="370" t="s">
        <v>2510</v>
      </c>
      <c r="G156" s="370">
        <v>85.8</v>
      </c>
      <c r="H156" s="370" t="s">
        <v>122</v>
      </c>
    </row>
    <row r="157" spans="1:8" x14ac:dyDescent="0.25">
      <c r="A157" s="362">
        <v>45080</v>
      </c>
      <c r="B157" s="363" t="s">
        <v>2325</v>
      </c>
      <c r="C157" s="364">
        <v>2175</v>
      </c>
      <c r="D157" s="370" t="s">
        <v>2510</v>
      </c>
      <c r="E157" s="370">
        <v>82.55</v>
      </c>
      <c r="F157" s="370" t="s">
        <v>2510</v>
      </c>
      <c r="G157" s="370">
        <v>85.66</v>
      </c>
      <c r="H157" s="370" t="s">
        <v>122</v>
      </c>
    </row>
    <row r="158" spans="1:8" x14ac:dyDescent="0.25">
      <c r="A158" s="362">
        <v>45081</v>
      </c>
      <c r="B158" s="363" t="s">
        <v>2326</v>
      </c>
      <c r="C158" s="364">
        <v>21400</v>
      </c>
      <c r="D158" s="370" t="s">
        <v>2840</v>
      </c>
      <c r="E158" s="370">
        <v>96.5</v>
      </c>
      <c r="F158" s="370" t="s">
        <v>2510</v>
      </c>
      <c r="G158" s="370">
        <v>85.06</v>
      </c>
      <c r="H158" s="370" t="s">
        <v>122</v>
      </c>
    </row>
    <row r="159" spans="1:8" x14ac:dyDescent="0.25">
      <c r="A159" s="362">
        <v>45082</v>
      </c>
      <c r="B159" s="363" t="s">
        <v>1847</v>
      </c>
      <c r="C159" s="364">
        <v>21000</v>
      </c>
      <c r="D159" s="370" t="s">
        <v>2842</v>
      </c>
      <c r="E159" s="370">
        <v>114.55</v>
      </c>
      <c r="F159" s="370" t="s">
        <v>2510</v>
      </c>
      <c r="G159" s="370">
        <v>84.57</v>
      </c>
      <c r="H159" s="370" t="s">
        <v>122</v>
      </c>
    </row>
    <row r="160" spans="1:8" x14ac:dyDescent="0.25">
      <c r="A160" s="362">
        <v>45083</v>
      </c>
      <c r="B160" s="363" t="s">
        <v>2346</v>
      </c>
      <c r="C160" s="364">
        <v>20450</v>
      </c>
      <c r="D160" s="370" t="s">
        <v>2842</v>
      </c>
      <c r="E160" s="370">
        <v>113.79</v>
      </c>
      <c r="F160" s="370" t="s">
        <v>2510</v>
      </c>
      <c r="G160" s="370">
        <v>84.07</v>
      </c>
      <c r="H160" s="370" t="s">
        <v>122</v>
      </c>
    </row>
    <row r="161" spans="1:8" x14ac:dyDescent="0.25">
      <c r="A161" s="362">
        <v>45084</v>
      </c>
      <c r="B161" s="363" t="s">
        <v>2330</v>
      </c>
      <c r="C161" s="364">
        <v>19850</v>
      </c>
      <c r="D161" s="370" t="s">
        <v>2738</v>
      </c>
      <c r="E161" s="370">
        <v>103.9</v>
      </c>
      <c r="F161" s="370" t="s">
        <v>2510</v>
      </c>
      <c r="G161" s="370">
        <v>83.56</v>
      </c>
      <c r="H161" s="370" t="s">
        <v>122</v>
      </c>
    </row>
    <row r="162" spans="1:8" x14ac:dyDescent="0.25">
      <c r="A162" s="362">
        <v>45085</v>
      </c>
      <c r="B162" s="363" t="s">
        <v>2331</v>
      </c>
      <c r="C162" s="364">
        <v>19500</v>
      </c>
      <c r="D162" s="370" t="s">
        <v>2176</v>
      </c>
      <c r="E162" s="370">
        <v>65.61</v>
      </c>
      <c r="F162" s="370" t="s">
        <v>2510</v>
      </c>
      <c r="G162" s="370">
        <v>83.06</v>
      </c>
      <c r="H162" s="370" t="s">
        <v>122</v>
      </c>
    </row>
    <row r="163" spans="1:8" x14ac:dyDescent="0.25">
      <c r="A163" s="362">
        <v>45086</v>
      </c>
      <c r="B163" s="363" t="s">
        <v>2352</v>
      </c>
      <c r="C163" s="364">
        <v>19300</v>
      </c>
      <c r="D163" s="370" t="s">
        <v>122</v>
      </c>
      <c r="E163" s="370" t="s">
        <v>122</v>
      </c>
      <c r="F163" s="370" t="s">
        <v>122</v>
      </c>
      <c r="G163" s="370" t="s">
        <v>122</v>
      </c>
      <c r="H163" s="370" t="s">
        <v>122</v>
      </c>
    </row>
    <row r="164" spans="1:8" x14ac:dyDescent="0.25">
      <c r="A164" s="362">
        <v>45087</v>
      </c>
      <c r="B164" s="363" t="s">
        <v>2352</v>
      </c>
      <c r="C164" s="364">
        <v>19300</v>
      </c>
      <c r="D164" s="370" t="s">
        <v>122</v>
      </c>
      <c r="E164" s="370" t="s">
        <v>122</v>
      </c>
      <c r="F164" s="370" t="s">
        <v>122</v>
      </c>
      <c r="G164" s="370" t="s">
        <v>122</v>
      </c>
      <c r="H164" s="370" t="s">
        <v>122</v>
      </c>
    </row>
    <row r="165" spans="1:8" x14ac:dyDescent="0.25">
      <c r="A165" s="362">
        <v>45088</v>
      </c>
      <c r="B165" s="363" t="s">
        <v>2352</v>
      </c>
      <c r="C165" s="364">
        <v>19300</v>
      </c>
      <c r="D165" s="370" t="s">
        <v>2179</v>
      </c>
      <c r="E165" s="370">
        <v>70.2</v>
      </c>
      <c r="F165" s="370" t="s">
        <v>2510</v>
      </c>
      <c r="G165" s="370">
        <v>82.81</v>
      </c>
      <c r="H165" s="370" t="s">
        <v>122</v>
      </c>
    </row>
    <row r="166" spans="1:8" x14ac:dyDescent="0.25">
      <c r="A166" s="362">
        <v>45089</v>
      </c>
      <c r="B166" s="363" t="s">
        <v>2345</v>
      </c>
      <c r="C166" s="364">
        <v>19000</v>
      </c>
      <c r="D166" s="370" t="s">
        <v>2840</v>
      </c>
      <c r="E166" s="370">
        <v>93.06</v>
      </c>
      <c r="F166" s="370" t="s">
        <v>2510</v>
      </c>
      <c r="G166" s="370">
        <v>82.3</v>
      </c>
      <c r="H166" s="370" t="s">
        <v>122</v>
      </c>
    </row>
    <row r="167" spans="1:8" x14ac:dyDescent="0.25">
      <c r="A167" s="362">
        <v>45090</v>
      </c>
      <c r="B167" s="363" t="s">
        <v>2334</v>
      </c>
      <c r="C167" s="364">
        <v>18250</v>
      </c>
      <c r="D167" s="370" t="s">
        <v>2739</v>
      </c>
      <c r="E167" s="370">
        <v>114.69</v>
      </c>
      <c r="F167" s="370" t="s">
        <v>2510</v>
      </c>
      <c r="G167" s="370">
        <v>81.78</v>
      </c>
      <c r="H167" s="370" t="s">
        <v>122</v>
      </c>
    </row>
    <row r="168" spans="1:8" x14ac:dyDescent="0.25">
      <c r="A168" s="362">
        <v>45091</v>
      </c>
      <c r="B168" s="363" t="s">
        <v>2336</v>
      </c>
      <c r="C168" s="364">
        <v>17500</v>
      </c>
      <c r="D168" s="370" t="s">
        <v>2739</v>
      </c>
      <c r="E168" s="370">
        <v>113.01</v>
      </c>
      <c r="F168" s="370" t="s">
        <v>2510</v>
      </c>
      <c r="G168" s="370">
        <v>80.75</v>
      </c>
      <c r="H168" s="370" t="s">
        <v>122</v>
      </c>
    </row>
    <row r="169" spans="1:8" x14ac:dyDescent="0.25">
      <c r="A169" s="362">
        <v>45092</v>
      </c>
      <c r="B169" s="363" t="s">
        <v>2339</v>
      </c>
      <c r="C169" s="364">
        <v>17000</v>
      </c>
      <c r="D169" s="370" t="s">
        <v>2739</v>
      </c>
      <c r="E169" s="370">
        <v>111.75</v>
      </c>
      <c r="F169" s="370" t="s">
        <v>2510</v>
      </c>
      <c r="G169" s="370">
        <v>79.959999999999994</v>
      </c>
      <c r="H169" s="370" t="s">
        <v>122</v>
      </c>
    </row>
    <row r="170" spans="1:8" x14ac:dyDescent="0.25">
      <c r="A170" s="362">
        <v>45093</v>
      </c>
      <c r="B170" s="363" t="s">
        <v>2341</v>
      </c>
      <c r="C170" s="364">
        <v>16700</v>
      </c>
      <c r="D170" s="370" t="s">
        <v>2726</v>
      </c>
      <c r="E170" s="370">
        <v>84.77</v>
      </c>
      <c r="F170" s="370" t="s">
        <v>2510</v>
      </c>
      <c r="G170" s="370">
        <v>79.17</v>
      </c>
      <c r="H170" s="370" t="s">
        <v>122</v>
      </c>
    </row>
    <row r="171" spans="1:8" x14ac:dyDescent="0.25">
      <c r="A171" s="362">
        <v>45094</v>
      </c>
      <c r="B171" s="363" t="s">
        <v>2487</v>
      </c>
      <c r="C171" s="364">
        <v>16500</v>
      </c>
      <c r="D171" s="370" t="s">
        <v>122</v>
      </c>
      <c r="E171" s="370" t="s">
        <v>122</v>
      </c>
      <c r="F171" s="370" t="s">
        <v>2510</v>
      </c>
      <c r="G171" s="370">
        <v>78.63</v>
      </c>
      <c r="H171" s="370" t="s">
        <v>122</v>
      </c>
    </row>
    <row r="172" spans="1:8" x14ac:dyDescent="0.25">
      <c r="A172" s="362">
        <v>45095</v>
      </c>
      <c r="B172" s="363" t="s">
        <v>2519</v>
      </c>
      <c r="C172" s="364">
        <v>16400</v>
      </c>
      <c r="D172" s="370" t="s">
        <v>122</v>
      </c>
      <c r="E172" s="370" t="s">
        <v>122</v>
      </c>
      <c r="F172" s="370" t="s">
        <v>2510</v>
      </c>
      <c r="G172" s="371">
        <v>78.37</v>
      </c>
      <c r="H172" s="370" t="s">
        <v>122</v>
      </c>
    </row>
    <row r="173" spans="1:8" x14ac:dyDescent="0.25">
      <c r="A173" s="362">
        <v>45096</v>
      </c>
      <c r="B173" s="363" t="s">
        <v>2519</v>
      </c>
      <c r="C173" s="364">
        <v>16400</v>
      </c>
      <c r="D173" s="370" t="s">
        <v>122</v>
      </c>
      <c r="E173" s="370" t="s">
        <v>122</v>
      </c>
      <c r="F173" s="370" t="s">
        <v>2510</v>
      </c>
      <c r="G173" s="370">
        <v>78.37</v>
      </c>
      <c r="H173" s="370" t="s">
        <v>122</v>
      </c>
    </row>
    <row r="174" spans="1:8" x14ac:dyDescent="0.25">
      <c r="A174" s="362">
        <v>45097</v>
      </c>
      <c r="B174" s="363" t="s">
        <v>2765</v>
      </c>
      <c r="C174" s="364">
        <v>16600</v>
      </c>
      <c r="D174" s="370" t="s">
        <v>2510</v>
      </c>
      <c r="E174" s="370">
        <v>75.63</v>
      </c>
      <c r="F174" s="370" t="s">
        <v>122</v>
      </c>
      <c r="G174" s="370" t="s">
        <v>122</v>
      </c>
      <c r="H174" s="370" t="s">
        <v>122</v>
      </c>
    </row>
    <row r="175" spans="1:8" x14ac:dyDescent="0.25">
      <c r="A175" s="362">
        <v>45098</v>
      </c>
      <c r="B175" s="363" t="s">
        <v>2519</v>
      </c>
      <c r="C175" s="364">
        <v>16400</v>
      </c>
      <c r="D175" s="370" t="s">
        <v>2840</v>
      </c>
      <c r="E175" s="370">
        <v>87.97</v>
      </c>
      <c r="F175" s="370" t="s">
        <v>2840</v>
      </c>
      <c r="G175" s="370">
        <v>92.1</v>
      </c>
      <c r="H175" s="370" t="s">
        <v>122</v>
      </c>
    </row>
    <row r="176" spans="1:8" x14ac:dyDescent="0.25">
      <c r="A176" s="362">
        <v>45099</v>
      </c>
      <c r="B176" s="363" t="s">
        <v>2766</v>
      </c>
      <c r="C176" s="364">
        <v>16100</v>
      </c>
      <c r="D176" s="370" t="s">
        <v>2731</v>
      </c>
      <c r="E176" s="370">
        <v>100.08</v>
      </c>
      <c r="F176" s="370" t="s">
        <v>2726</v>
      </c>
      <c r="G176" s="370">
        <v>87.1</v>
      </c>
      <c r="H176" s="370" t="s">
        <v>122</v>
      </c>
    </row>
    <row r="177" spans="1:8" x14ac:dyDescent="0.25">
      <c r="A177" s="362">
        <v>45100</v>
      </c>
      <c r="B177" s="363" t="s">
        <v>2767</v>
      </c>
      <c r="C177" s="364">
        <v>15875</v>
      </c>
      <c r="D177" s="370" t="s">
        <v>2731</v>
      </c>
      <c r="E177" s="370">
        <v>99.68</v>
      </c>
      <c r="F177" s="370" t="s">
        <v>2726</v>
      </c>
      <c r="G177" s="370">
        <v>86.79</v>
      </c>
      <c r="H177" s="370" t="s">
        <v>122</v>
      </c>
    </row>
    <row r="178" spans="1:8" x14ac:dyDescent="0.25">
      <c r="A178" s="362">
        <v>45101</v>
      </c>
      <c r="B178" s="363" t="s">
        <v>2768</v>
      </c>
      <c r="C178" s="364">
        <v>15675</v>
      </c>
      <c r="D178" s="370" t="s">
        <v>2731</v>
      </c>
      <c r="E178" s="370">
        <v>99.28</v>
      </c>
      <c r="F178" s="370" t="s">
        <v>2544</v>
      </c>
      <c r="G178" s="370">
        <v>95.4</v>
      </c>
      <c r="H178" s="370" t="s">
        <v>122</v>
      </c>
    </row>
    <row r="179" spans="1:8" x14ac:dyDescent="0.25">
      <c r="A179" s="362">
        <v>45102</v>
      </c>
      <c r="B179" s="363" t="s">
        <v>2769</v>
      </c>
      <c r="C179" s="364">
        <v>15550</v>
      </c>
      <c r="D179" s="370" t="s">
        <v>2739</v>
      </c>
      <c r="E179" s="370">
        <v>106.98</v>
      </c>
      <c r="F179" s="370" t="s">
        <v>2544</v>
      </c>
      <c r="G179" s="370">
        <v>45.06</v>
      </c>
      <c r="H179" s="370" t="s">
        <v>122</v>
      </c>
    </row>
    <row r="180" spans="1:8" x14ac:dyDescent="0.25">
      <c r="A180" s="362">
        <v>45103</v>
      </c>
      <c r="B180" s="363" t="s">
        <v>2770</v>
      </c>
      <c r="C180" s="364">
        <v>15100</v>
      </c>
      <c r="D180" s="370" t="s">
        <v>2177</v>
      </c>
      <c r="E180" s="370">
        <v>55.46</v>
      </c>
      <c r="F180" s="370" t="s">
        <v>2544</v>
      </c>
      <c r="G180" s="370">
        <v>94.37</v>
      </c>
      <c r="H180" s="370" t="s">
        <v>122</v>
      </c>
    </row>
    <row r="181" spans="1:8" x14ac:dyDescent="0.25">
      <c r="A181" s="362">
        <v>45104</v>
      </c>
      <c r="B181" s="363" t="s">
        <v>2576</v>
      </c>
      <c r="C181" s="364">
        <v>14700</v>
      </c>
      <c r="D181" s="370" t="s">
        <v>122</v>
      </c>
      <c r="E181" s="370" t="s">
        <v>122</v>
      </c>
      <c r="F181" s="370" t="s">
        <v>2544</v>
      </c>
      <c r="G181" s="370">
        <v>93.13</v>
      </c>
      <c r="H181" s="370" t="s">
        <v>122</v>
      </c>
    </row>
    <row r="182" spans="1:8" x14ac:dyDescent="0.25">
      <c r="A182" s="362">
        <v>45105</v>
      </c>
      <c r="B182" s="363" t="s">
        <v>2369</v>
      </c>
      <c r="C182" s="364">
        <v>14600</v>
      </c>
      <c r="D182" s="370" t="s">
        <v>122</v>
      </c>
      <c r="E182" s="370" t="s">
        <v>122</v>
      </c>
      <c r="F182" s="370" t="s">
        <v>122</v>
      </c>
      <c r="G182" s="370" t="s">
        <v>122</v>
      </c>
      <c r="H182" s="370" t="s">
        <v>122</v>
      </c>
    </row>
    <row r="183" spans="1:8" x14ac:dyDescent="0.25">
      <c r="A183" s="362">
        <v>45106</v>
      </c>
      <c r="B183" s="363" t="s">
        <v>2369</v>
      </c>
      <c r="C183" s="364">
        <v>14600</v>
      </c>
      <c r="D183" s="370" t="s">
        <v>122</v>
      </c>
      <c r="E183" s="370" t="s">
        <v>122</v>
      </c>
      <c r="F183" s="370" t="s">
        <v>122</v>
      </c>
      <c r="G183" s="370" t="s">
        <v>122</v>
      </c>
      <c r="H183" s="370" t="s">
        <v>122</v>
      </c>
    </row>
    <row r="184" spans="1:8" x14ac:dyDescent="0.25">
      <c r="A184" s="362">
        <v>45107</v>
      </c>
      <c r="B184" s="363" t="s">
        <v>2369</v>
      </c>
      <c r="C184" s="364">
        <v>14600</v>
      </c>
      <c r="D184" s="370" t="s">
        <v>2510</v>
      </c>
      <c r="E184" s="370">
        <v>71.930000000000007</v>
      </c>
      <c r="F184" s="370" t="s">
        <v>2544</v>
      </c>
      <c r="G184" s="370">
        <v>92.78</v>
      </c>
      <c r="H184" s="370" t="s">
        <v>122</v>
      </c>
    </row>
    <row r="185" spans="1:8" x14ac:dyDescent="0.25">
      <c r="A185" s="362">
        <v>45108</v>
      </c>
      <c r="B185" s="363" t="s">
        <v>2374</v>
      </c>
      <c r="C185" s="364">
        <v>14200</v>
      </c>
      <c r="D185" s="370" t="s">
        <v>2840</v>
      </c>
      <c r="E185" s="370">
        <v>84.47</v>
      </c>
      <c r="F185" s="370" t="s">
        <v>2544</v>
      </c>
      <c r="G185" s="370">
        <v>92.07</v>
      </c>
      <c r="H185" s="382" t="s">
        <v>122</v>
      </c>
    </row>
    <row r="186" spans="1:8" x14ac:dyDescent="0.25">
      <c r="A186" s="362">
        <v>45109</v>
      </c>
      <c r="B186" s="363" t="s">
        <v>2373</v>
      </c>
      <c r="C186" s="364">
        <v>13800</v>
      </c>
      <c r="D186" s="370" t="s">
        <v>2739</v>
      </c>
      <c r="E186" s="370">
        <v>102.46</v>
      </c>
      <c r="F186" s="370" t="s">
        <v>2544</v>
      </c>
      <c r="G186" s="370">
        <v>91.35</v>
      </c>
      <c r="H186" s="382" t="s">
        <v>122</v>
      </c>
    </row>
    <row r="187" spans="1:8" x14ac:dyDescent="0.25">
      <c r="A187" s="362">
        <v>45110</v>
      </c>
      <c r="B187" s="363" t="s">
        <v>2375</v>
      </c>
      <c r="C187" s="364">
        <v>13500</v>
      </c>
      <c r="D187" s="370" t="s">
        <v>2843</v>
      </c>
      <c r="E187" s="370">
        <v>115.67</v>
      </c>
      <c r="F187" s="370" t="s">
        <v>2731</v>
      </c>
      <c r="G187" s="370">
        <v>98.48</v>
      </c>
      <c r="H187" s="382" t="s">
        <v>122</v>
      </c>
    </row>
    <row r="188" spans="1:8" x14ac:dyDescent="0.25">
      <c r="A188" s="362">
        <v>45111</v>
      </c>
      <c r="B188" s="363" t="s">
        <v>2724</v>
      </c>
      <c r="C188" s="364">
        <v>12900</v>
      </c>
      <c r="D188" s="370" t="s">
        <v>2843</v>
      </c>
      <c r="E188" s="370">
        <v>113.99</v>
      </c>
      <c r="F188" s="370" t="s">
        <v>2731</v>
      </c>
      <c r="G188" s="370">
        <v>97.27</v>
      </c>
      <c r="H188" s="382" t="s">
        <v>122</v>
      </c>
    </row>
    <row r="189" spans="1:8" x14ac:dyDescent="0.25">
      <c r="A189" s="362">
        <v>45112</v>
      </c>
      <c r="B189" s="363" t="s">
        <v>2379</v>
      </c>
      <c r="C189" s="364">
        <v>12500</v>
      </c>
      <c r="D189" s="370" t="s">
        <v>2739</v>
      </c>
      <c r="E189" s="370">
        <v>98.21</v>
      </c>
      <c r="F189" s="370" t="s">
        <v>2731</v>
      </c>
      <c r="G189" s="370">
        <v>96.02</v>
      </c>
      <c r="H189" s="382" t="s">
        <v>122</v>
      </c>
    </row>
    <row r="190" spans="1:8" x14ac:dyDescent="0.25">
      <c r="A190" s="362">
        <v>45113</v>
      </c>
      <c r="B190" s="363" t="s">
        <v>2513</v>
      </c>
      <c r="C190" s="364">
        <v>12200</v>
      </c>
      <c r="D190" s="370" t="s">
        <v>2177</v>
      </c>
      <c r="E190" s="370">
        <v>51.25</v>
      </c>
      <c r="F190" s="370" t="s">
        <v>2544</v>
      </c>
      <c r="G190" s="370">
        <v>86.92</v>
      </c>
      <c r="H190" s="382" t="s">
        <v>122</v>
      </c>
    </row>
    <row r="191" spans="1:8" x14ac:dyDescent="0.25">
      <c r="A191" s="362">
        <v>45114</v>
      </c>
      <c r="B191" s="363" t="s">
        <v>2496</v>
      </c>
      <c r="C191" s="364">
        <v>11800</v>
      </c>
      <c r="D191" s="370" t="s">
        <v>122</v>
      </c>
      <c r="E191" s="370" t="s">
        <v>122</v>
      </c>
      <c r="F191" s="370" t="s">
        <v>122</v>
      </c>
      <c r="G191" s="370" t="s">
        <v>122</v>
      </c>
      <c r="H191" s="382" t="s">
        <v>122</v>
      </c>
    </row>
    <row r="192" spans="1:8" x14ac:dyDescent="0.25">
      <c r="A192" s="362">
        <v>45115</v>
      </c>
      <c r="B192" s="363" t="s">
        <v>2496</v>
      </c>
      <c r="C192" s="364">
        <v>11800</v>
      </c>
      <c r="D192" s="370" t="s">
        <v>122</v>
      </c>
      <c r="E192" s="370" t="s">
        <v>122</v>
      </c>
      <c r="F192" s="370" t="s">
        <v>122</v>
      </c>
      <c r="G192" s="370" t="s">
        <v>122</v>
      </c>
      <c r="H192" s="382" t="s">
        <v>122</v>
      </c>
    </row>
    <row r="193" spans="1:8" x14ac:dyDescent="0.25">
      <c r="A193" s="362">
        <v>45116</v>
      </c>
      <c r="B193" s="363" t="s">
        <v>2496</v>
      </c>
      <c r="C193" s="364">
        <v>11800</v>
      </c>
      <c r="D193" s="370" t="s">
        <v>122</v>
      </c>
      <c r="E193" s="370" t="s">
        <v>122</v>
      </c>
      <c r="F193" s="370" t="s">
        <v>122</v>
      </c>
      <c r="G193" s="370" t="s">
        <v>122</v>
      </c>
      <c r="H193" s="382" t="s">
        <v>122</v>
      </c>
    </row>
    <row r="194" spans="1:8" x14ac:dyDescent="0.25">
      <c r="A194" s="362">
        <v>45117</v>
      </c>
      <c r="B194" s="363" t="s">
        <v>2771</v>
      </c>
      <c r="C194" s="364">
        <v>11700</v>
      </c>
      <c r="D194" s="370" t="s">
        <v>2544</v>
      </c>
      <c r="E194" s="370">
        <v>81.05</v>
      </c>
      <c r="F194" s="370" t="s">
        <v>2731</v>
      </c>
      <c r="G194" s="370">
        <v>93.5</v>
      </c>
      <c r="H194" s="382" t="s">
        <v>122</v>
      </c>
    </row>
    <row r="195" spans="1:8" x14ac:dyDescent="0.25">
      <c r="A195" s="362">
        <v>45118</v>
      </c>
      <c r="B195" s="363" t="s">
        <v>1839</v>
      </c>
      <c r="C195" s="364">
        <v>11400</v>
      </c>
      <c r="D195" s="370" t="s">
        <v>2739</v>
      </c>
      <c r="E195" s="370">
        <v>94.27</v>
      </c>
      <c r="F195" s="370" t="s">
        <v>2731</v>
      </c>
      <c r="G195" s="370">
        <v>92.65</v>
      </c>
      <c r="H195" s="382" t="s">
        <v>122</v>
      </c>
    </row>
    <row r="196" spans="1:8" x14ac:dyDescent="0.25">
      <c r="A196" s="362">
        <v>45119</v>
      </c>
      <c r="B196" s="363" t="s">
        <v>2772</v>
      </c>
      <c r="C196" s="364">
        <v>11150</v>
      </c>
      <c r="D196" s="370" t="s">
        <v>2843</v>
      </c>
      <c r="E196" s="370">
        <v>105.79</v>
      </c>
      <c r="F196" s="370" t="s">
        <v>2731</v>
      </c>
      <c r="G196" s="370">
        <v>91.35</v>
      </c>
      <c r="H196" s="382" t="s">
        <v>122</v>
      </c>
    </row>
    <row r="197" spans="1:8" x14ac:dyDescent="0.25">
      <c r="A197" s="362">
        <v>45120</v>
      </c>
      <c r="B197" s="363" t="s">
        <v>1837</v>
      </c>
      <c r="C197" s="364">
        <v>10800</v>
      </c>
      <c r="D197" s="370" t="s">
        <v>2844</v>
      </c>
      <c r="E197" s="370">
        <v>11.32</v>
      </c>
      <c r="F197" s="370" t="s">
        <v>2731</v>
      </c>
      <c r="G197" s="370">
        <v>90.91</v>
      </c>
      <c r="H197" s="382" t="s">
        <v>122</v>
      </c>
    </row>
    <row r="198" spans="1:8" x14ac:dyDescent="0.25">
      <c r="A198" s="362">
        <v>45121</v>
      </c>
      <c r="B198" s="363" t="s">
        <v>2773</v>
      </c>
      <c r="C198" s="364">
        <v>10450</v>
      </c>
      <c r="D198" s="370" t="s">
        <v>2844</v>
      </c>
      <c r="E198" s="370">
        <v>108.62</v>
      </c>
      <c r="F198" s="370" t="s">
        <v>2731</v>
      </c>
      <c r="G198" s="370">
        <v>89.14</v>
      </c>
      <c r="H198" s="382" t="s">
        <v>122</v>
      </c>
    </row>
    <row r="199" spans="1:8" x14ac:dyDescent="0.25">
      <c r="A199" s="362">
        <v>45122</v>
      </c>
      <c r="B199" s="363" t="s">
        <v>2774</v>
      </c>
      <c r="C199" s="364">
        <v>10100</v>
      </c>
      <c r="D199" s="370" t="s">
        <v>2739</v>
      </c>
      <c r="E199" s="370">
        <v>88.56</v>
      </c>
      <c r="F199" s="370" t="s">
        <v>2731</v>
      </c>
      <c r="G199" s="370">
        <v>87.79</v>
      </c>
      <c r="H199" s="382" t="s">
        <v>122</v>
      </c>
    </row>
    <row r="200" spans="1:8" x14ac:dyDescent="0.25">
      <c r="A200" s="362">
        <v>45123</v>
      </c>
      <c r="B200" s="363" t="s">
        <v>2775</v>
      </c>
      <c r="C200" s="364">
        <v>9800</v>
      </c>
      <c r="D200" s="370" t="s">
        <v>122</v>
      </c>
      <c r="E200" s="370" t="s">
        <v>122</v>
      </c>
      <c r="F200" s="370" t="s">
        <v>2731</v>
      </c>
      <c r="G200" s="370">
        <v>86.42</v>
      </c>
      <c r="H200" s="382" t="s">
        <v>122</v>
      </c>
    </row>
    <row r="201" spans="1:8" x14ac:dyDescent="0.25">
      <c r="A201" s="362">
        <v>45124</v>
      </c>
      <c r="B201" s="363" t="s">
        <v>2775</v>
      </c>
      <c r="C201" s="364">
        <v>9800</v>
      </c>
      <c r="D201" s="370" t="s">
        <v>122</v>
      </c>
      <c r="E201" s="370" t="s">
        <v>122</v>
      </c>
      <c r="F201" s="370" t="s">
        <v>122</v>
      </c>
      <c r="G201" s="370" t="s">
        <v>122</v>
      </c>
      <c r="H201" s="382" t="s">
        <v>122</v>
      </c>
    </row>
    <row r="202" spans="1:8" x14ac:dyDescent="0.25">
      <c r="A202" s="362">
        <v>45125</v>
      </c>
      <c r="B202" s="363" t="s">
        <v>2775</v>
      </c>
      <c r="C202" s="364">
        <v>9800</v>
      </c>
      <c r="D202" s="370" t="s">
        <v>122</v>
      </c>
      <c r="E202" s="370" t="s">
        <v>122</v>
      </c>
      <c r="F202" s="370" t="s">
        <v>122</v>
      </c>
      <c r="G202" s="370" t="s">
        <v>122</v>
      </c>
      <c r="H202" s="382" t="s">
        <v>122</v>
      </c>
    </row>
    <row r="203" spans="1:8" x14ac:dyDescent="0.25">
      <c r="A203" s="362">
        <v>45126</v>
      </c>
      <c r="B203" s="363" t="s">
        <v>2775</v>
      </c>
      <c r="C203" s="364">
        <v>9800</v>
      </c>
      <c r="D203" s="370" t="s">
        <v>122</v>
      </c>
      <c r="E203" s="370" t="s">
        <v>122</v>
      </c>
      <c r="F203" s="370" t="s">
        <v>122</v>
      </c>
      <c r="G203" s="370" t="s">
        <v>122</v>
      </c>
      <c r="H203" s="382" t="s">
        <v>122</v>
      </c>
    </row>
    <row r="204" spans="1:8" x14ac:dyDescent="0.25">
      <c r="A204" s="362">
        <v>45127</v>
      </c>
      <c r="B204" s="363" t="s">
        <v>2776</v>
      </c>
      <c r="C204" s="364">
        <v>9700</v>
      </c>
      <c r="D204" s="370" t="s">
        <v>2544</v>
      </c>
      <c r="E204" s="370">
        <v>73.819999999999993</v>
      </c>
      <c r="F204" s="370" t="s">
        <v>2726</v>
      </c>
      <c r="G204" s="370">
        <v>71.84</v>
      </c>
      <c r="H204" s="382" t="s">
        <v>122</v>
      </c>
    </row>
    <row r="205" spans="1:8" x14ac:dyDescent="0.25">
      <c r="A205" s="362">
        <v>45128</v>
      </c>
      <c r="B205" s="363" t="s">
        <v>2777</v>
      </c>
      <c r="C205" s="364">
        <v>9500</v>
      </c>
      <c r="D205" s="370" t="s">
        <v>2544</v>
      </c>
      <c r="E205" s="370">
        <v>72.930000000000007</v>
      </c>
      <c r="F205" s="370" t="s">
        <v>2726</v>
      </c>
      <c r="G205" s="370">
        <v>71.099999999999994</v>
      </c>
      <c r="H205" s="382" t="s">
        <v>122</v>
      </c>
    </row>
    <row r="206" spans="1:8" x14ac:dyDescent="0.25">
      <c r="A206" s="362">
        <v>45129</v>
      </c>
      <c r="B206" s="363" t="s">
        <v>2778</v>
      </c>
      <c r="C206" s="364">
        <v>9200</v>
      </c>
      <c r="D206" s="370" t="s">
        <v>2180</v>
      </c>
      <c r="E206" s="370">
        <v>62.15</v>
      </c>
      <c r="F206" s="370" t="s">
        <v>2726</v>
      </c>
      <c r="G206" s="370">
        <v>77.89</v>
      </c>
      <c r="H206" s="382" t="s">
        <v>122</v>
      </c>
    </row>
    <row r="207" spans="1:8" x14ac:dyDescent="0.25">
      <c r="A207" s="362">
        <v>45130</v>
      </c>
      <c r="B207" s="363" t="s">
        <v>2779</v>
      </c>
      <c r="C207" s="364">
        <v>9000</v>
      </c>
      <c r="D207" s="370" t="s">
        <v>2180</v>
      </c>
      <c r="E207" s="370">
        <v>54.54</v>
      </c>
      <c r="F207" s="370" t="s">
        <v>2726</v>
      </c>
      <c r="G207" s="370">
        <v>69.2</v>
      </c>
      <c r="H207" s="382" t="s">
        <v>122</v>
      </c>
    </row>
    <row r="208" spans="1:8" x14ac:dyDescent="0.25">
      <c r="A208" s="362">
        <v>45131</v>
      </c>
      <c r="B208" s="363" t="s">
        <v>2780</v>
      </c>
      <c r="C208" s="364">
        <v>8750</v>
      </c>
      <c r="D208" s="370" t="s">
        <v>2180</v>
      </c>
      <c r="E208" s="370">
        <v>53.86</v>
      </c>
      <c r="F208" s="370" t="s">
        <v>2726</v>
      </c>
      <c r="G208" s="370">
        <v>68.03</v>
      </c>
      <c r="H208" s="382" t="s">
        <v>122</v>
      </c>
    </row>
    <row r="209" spans="1:8" x14ac:dyDescent="0.25">
      <c r="A209" s="362">
        <v>45132</v>
      </c>
      <c r="B209" s="363" t="s">
        <v>2781</v>
      </c>
      <c r="C209" s="364">
        <v>8600</v>
      </c>
      <c r="D209" s="370" t="s">
        <v>122</v>
      </c>
      <c r="E209" s="370" t="s">
        <v>122</v>
      </c>
      <c r="F209" s="370" t="s">
        <v>122</v>
      </c>
      <c r="G209" s="370" t="s">
        <v>122</v>
      </c>
      <c r="H209" s="382" t="s">
        <v>122</v>
      </c>
    </row>
    <row r="210" spans="1:8" x14ac:dyDescent="0.25">
      <c r="A210" s="362">
        <v>45133</v>
      </c>
      <c r="B210" s="363" t="s">
        <v>2781</v>
      </c>
      <c r="C210" s="364">
        <v>8600</v>
      </c>
      <c r="D210" s="370" t="s">
        <v>122</v>
      </c>
      <c r="E210" s="370" t="s">
        <v>122</v>
      </c>
      <c r="F210" s="370" t="s">
        <v>122</v>
      </c>
      <c r="G210" s="370" t="s">
        <v>122</v>
      </c>
      <c r="H210" s="382" t="s">
        <v>122</v>
      </c>
    </row>
    <row r="211" spans="1:8" x14ac:dyDescent="0.25">
      <c r="A211" s="362">
        <v>45134</v>
      </c>
      <c r="B211" s="363" t="s">
        <v>2781</v>
      </c>
      <c r="C211" s="364">
        <v>8600</v>
      </c>
      <c r="D211" s="370" t="s">
        <v>122</v>
      </c>
      <c r="E211" s="370" t="s">
        <v>122</v>
      </c>
      <c r="F211" s="370" t="s">
        <v>122</v>
      </c>
      <c r="G211" s="370" t="s">
        <v>122</v>
      </c>
      <c r="H211" s="382" t="s">
        <v>122</v>
      </c>
    </row>
    <row r="212" spans="1:8" x14ac:dyDescent="0.25">
      <c r="A212" s="362">
        <v>45135</v>
      </c>
      <c r="B212" s="363" t="s">
        <v>2781</v>
      </c>
      <c r="C212" s="364">
        <v>8600</v>
      </c>
      <c r="D212" s="370" t="s">
        <v>122</v>
      </c>
      <c r="E212" s="370" t="s">
        <v>122</v>
      </c>
      <c r="F212" s="370" t="s">
        <v>122</v>
      </c>
      <c r="G212" s="370" t="s">
        <v>122</v>
      </c>
      <c r="H212" s="382" t="s">
        <v>122</v>
      </c>
    </row>
    <row r="213" spans="1:8" x14ac:dyDescent="0.25">
      <c r="A213" s="362">
        <v>45136</v>
      </c>
      <c r="B213" s="363" t="s">
        <v>2781</v>
      </c>
      <c r="C213" s="364">
        <v>8600</v>
      </c>
      <c r="D213" s="370" t="s">
        <v>122</v>
      </c>
      <c r="E213" s="370" t="s">
        <v>122</v>
      </c>
      <c r="F213" s="370" t="s">
        <v>122</v>
      </c>
      <c r="G213" s="370" t="s">
        <v>122</v>
      </c>
      <c r="H213" s="382" t="s">
        <v>122</v>
      </c>
    </row>
    <row r="214" spans="1:8" x14ac:dyDescent="0.25">
      <c r="A214" s="362">
        <v>45137</v>
      </c>
      <c r="B214" s="363" t="s">
        <v>2781</v>
      </c>
      <c r="C214" s="364">
        <v>8600</v>
      </c>
      <c r="D214" s="370" t="s">
        <v>122</v>
      </c>
      <c r="E214" s="370" t="s">
        <v>122</v>
      </c>
      <c r="F214" s="370" t="s">
        <v>122</v>
      </c>
      <c r="G214" s="370" t="s">
        <v>122</v>
      </c>
      <c r="H214" s="382" t="s">
        <v>122</v>
      </c>
    </row>
    <row r="215" spans="1:8" x14ac:dyDescent="0.25">
      <c r="A215" s="362">
        <v>45138</v>
      </c>
      <c r="B215" s="363" t="s">
        <v>2781</v>
      </c>
      <c r="C215" s="364">
        <v>8600</v>
      </c>
      <c r="D215" s="370" t="s">
        <v>122</v>
      </c>
      <c r="E215" s="370" t="s">
        <v>122</v>
      </c>
      <c r="F215" s="370" t="s">
        <v>122</v>
      </c>
      <c r="G215" s="370" t="s">
        <v>122</v>
      </c>
      <c r="H215" s="382" t="s">
        <v>122</v>
      </c>
    </row>
    <row r="216" spans="1:8" x14ac:dyDescent="0.25">
      <c r="A216" s="362">
        <v>45139</v>
      </c>
      <c r="B216" s="363" t="s">
        <v>1788</v>
      </c>
      <c r="C216" s="364">
        <v>8600</v>
      </c>
      <c r="D216" s="370" t="s">
        <v>122</v>
      </c>
      <c r="E216" s="370" t="s">
        <v>122</v>
      </c>
      <c r="F216" s="370" t="s">
        <v>122</v>
      </c>
      <c r="G216" s="370" t="s">
        <v>122</v>
      </c>
      <c r="H216" s="382" t="s">
        <v>122</v>
      </c>
    </row>
    <row r="217" spans="1:8" x14ac:dyDescent="0.25">
      <c r="A217" s="362">
        <v>45140</v>
      </c>
      <c r="B217" s="363" t="s">
        <v>2782</v>
      </c>
      <c r="C217" s="364">
        <v>8550</v>
      </c>
      <c r="D217" s="370" t="s">
        <v>2180</v>
      </c>
      <c r="E217" s="370" t="s">
        <v>122</v>
      </c>
      <c r="F217" s="370" t="s">
        <v>122</v>
      </c>
      <c r="G217" s="370" t="s">
        <v>122</v>
      </c>
      <c r="H217" s="382" t="s">
        <v>122</v>
      </c>
    </row>
    <row r="218" spans="1:8" x14ac:dyDescent="0.25">
      <c r="A218" s="362">
        <v>45141</v>
      </c>
      <c r="B218" s="363" t="s">
        <v>2783</v>
      </c>
      <c r="C218" s="364">
        <v>8450</v>
      </c>
      <c r="D218" s="370" t="s">
        <v>2180</v>
      </c>
      <c r="E218" s="370" t="s">
        <v>122</v>
      </c>
      <c r="F218" s="370" t="s">
        <v>122</v>
      </c>
      <c r="G218" s="370" t="s">
        <v>122</v>
      </c>
      <c r="H218" s="382" t="s">
        <v>122</v>
      </c>
    </row>
    <row r="219" spans="1:8" x14ac:dyDescent="0.25">
      <c r="A219" s="362">
        <v>45142</v>
      </c>
      <c r="B219" s="363" t="s">
        <v>1767</v>
      </c>
      <c r="C219" s="364">
        <v>8400</v>
      </c>
      <c r="D219" s="370" t="s">
        <v>122</v>
      </c>
      <c r="E219" s="370" t="s">
        <v>122</v>
      </c>
      <c r="F219" s="370" t="s">
        <v>122</v>
      </c>
      <c r="G219" s="370" t="s">
        <v>122</v>
      </c>
      <c r="H219" s="382" t="s">
        <v>122</v>
      </c>
    </row>
    <row r="220" spans="1:8" x14ac:dyDescent="0.25">
      <c r="A220" s="362">
        <v>45143</v>
      </c>
      <c r="B220" s="363" t="s">
        <v>1767</v>
      </c>
      <c r="C220" s="364">
        <v>8400</v>
      </c>
      <c r="D220" s="370" t="s">
        <v>122</v>
      </c>
      <c r="E220" s="370" t="s">
        <v>122</v>
      </c>
      <c r="F220" s="370" t="s">
        <v>122</v>
      </c>
      <c r="G220" s="370" t="s">
        <v>122</v>
      </c>
      <c r="H220" s="382" t="s">
        <v>122</v>
      </c>
    </row>
    <row r="221" spans="1:8" x14ac:dyDescent="0.25">
      <c r="A221" s="362">
        <v>45144</v>
      </c>
      <c r="B221" s="363" t="s">
        <v>1767</v>
      </c>
      <c r="C221" s="364">
        <v>8400</v>
      </c>
      <c r="D221" s="370" t="s">
        <v>122</v>
      </c>
      <c r="E221" s="370" t="s">
        <v>122</v>
      </c>
      <c r="F221" s="370" t="s">
        <v>122</v>
      </c>
      <c r="G221" s="370" t="s">
        <v>122</v>
      </c>
      <c r="H221" s="382" t="s">
        <v>122</v>
      </c>
    </row>
    <row r="222" spans="1:8" x14ac:dyDescent="0.25">
      <c r="A222" s="362">
        <v>45145</v>
      </c>
      <c r="B222" s="363" t="s">
        <v>1767</v>
      </c>
      <c r="C222" s="364">
        <v>8400</v>
      </c>
      <c r="D222" s="370" t="s">
        <v>122</v>
      </c>
      <c r="E222" s="370" t="s">
        <v>122</v>
      </c>
      <c r="F222" s="370" t="s">
        <v>122</v>
      </c>
      <c r="G222" s="370" t="s">
        <v>122</v>
      </c>
      <c r="H222" s="382" t="s">
        <v>122</v>
      </c>
    </row>
    <row r="223" spans="1:8" x14ac:dyDescent="0.25">
      <c r="A223" s="362">
        <v>45146</v>
      </c>
      <c r="B223" s="363" t="s">
        <v>2784</v>
      </c>
      <c r="C223" s="364">
        <v>8350</v>
      </c>
      <c r="D223" s="370" t="s">
        <v>122</v>
      </c>
      <c r="E223" s="370" t="s">
        <v>122</v>
      </c>
      <c r="F223" s="370" t="s">
        <v>122</v>
      </c>
      <c r="G223" s="370" t="s">
        <v>122</v>
      </c>
      <c r="H223" s="382" t="s">
        <v>122</v>
      </c>
    </row>
    <row r="224" spans="1:8" x14ac:dyDescent="0.25">
      <c r="A224" s="362">
        <v>45147</v>
      </c>
      <c r="B224" s="363" t="s">
        <v>2784</v>
      </c>
      <c r="C224" s="364">
        <v>8350</v>
      </c>
      <c r="D224" s="370" t="s">
        <v>122</v>
      </c>
      <c r="E224" s="370" t="s">
        <v>122</v>
      </c>
      <c r="F224" s="370" t="s">
        <v>122</v>
      </c>
      <c r="G224" s="370" t="s">
        <v>122</v>
      </c>
      <c r="H224" s="382" t="s">
        <v>122</v>
      </c>
    </row>
    <row r="225" spans="1:8" x14ac:dyDescent="0.25">
      <c r="A225" s="362">
        <v>45148</v>
      </c>
      <c r="B225" s="363" t="s">
        <v>1766</v>
      </c>
      <c r="C225" s="364">
        <v>8300</v>
      </c>
      <c r="D225" s="370" t="s">
        <v>122</v>
      </c>
      <c r="E225" s="370" t="s">
        <v>122</v>
      </c>
      <c r="F225" s="370" t="s">
        <v>122</v>
      </c>
      <c r="G225" s="370" t="s">
        <v>122</v>
      </c>
      <c r="H225" s="382" t="s">
        <v>122</v>
      </c>
    </row>
    <row r="226" spans="1:8" x14ac:dyDescent="0.25">
      <c r="A226" s="362">
        <v>45149</v>
      </c>
      <c r="B226" s="363" t="s">
        <v>1766</v>
      </c>
      <c r="C226" s="364">
        <v>8300</v>
      </c>
      <c r="D226" s="370" t="s">
        <v>122</v>
      </c>
      <c r="E226" s="370" t="s">
        <v>122</v>
      </c>
      <c r="F226" s="370" t="s">
        <v>122</v>
      </c>
      <c r="G226" s="370" t="s">
        <v>122</v>
      </c>
      <c r="H226" s="382" t="s">
        <v>122</v>
      </c>
    </row>
    <row r="227" spans="1:8" x14ac:dyDescent="0.25">
      <c r="A227" s="362">
        <v>45150</v>
      </c>
      <c r="B227" s="363" t="s">
        <v>1765</v>
      </c>
      <c r="C227" s="364">
        <v>8250</v>
      </c>
      <c r="D227" s="370" t="s">
        <v>122</v>
      </c>
      <c r="E227" s="370" t="s">
        <v>122</v>
      </c>
      <c r="F227" s="370" t="s">
        <v>122</v>
      </c>
      <c r="G227" s="370" t="s">
        <v>122</v>
      </c>
      <c r="H227" s="382" t="s">
        <v>122</v>
      </c>
    </row>
    <row r="228" spans="1:8" x14ac:dyDescent="0.25">
      <c r="A228" s="362">
        <v>45151</v>
      </c>
      <c r="B228" s="363" t="s">
        <v>1765</v>
      </c>
      <c r="C228" s="364">
        <v>8250</v>
      </c>
      <c r="D228" s="370" t="s">
        <v>122</v>
      </c>
      <c r="E228" s="370" t="s">
        <v>122</v>
      </c>
      <c r="F228" s="370" t="s">
        <v>122</v>
      </c>
      <c r="G228" s="370" t="s">
        <v>122</v>
      </c>
      <c r="H228" s="382" t="s">
        <v>122</v>
      </c>
    </row>
    <row r="229" spans="1:8" x14ac:dyDescent="0.25">
      <c r="A229" s="362">
        <v>45152</v>
      </c>
      <c r="B229" s="363" t="s">
        <v>1765</v>
      </c>
      <c r="C229" s="364">
        <v>8250</v>
      </c>
      <c r="D229" s="370" t="s">
        <v>122</v>
      </c>
      <c r="E229" s="370" t="s">
        <v>122</v>
      </c>
      <c r="F229" s="370" t="s">
        <v>122</v>
      </c>
      <c r="G229" s="370" t="s">
        <v>122</v>
      </c>
      <c r="H229" s="382" t="s">
        <v>122</v>
      </c>
    </row>
    <row r="230" spans="1:8" x14ac:dyDescent="0.25">
      <c r="A230" s="362">
        <v>45153</v>
      </c>
      <c r="B230" s="363" t="s">
        <v>1765</v>
      </c>
      <c r="C230" s="364">
        <v>8250</v>
      </c>
      <c r="D230" s="370" t="s">
        <v>122</v>
      </c>
      <c r="E230" s="370" t="s">
        <v>122</v>
      </c>
      <c r="F230" s="370" t="s">
        <v>122</v>
      </c>
      <c r="G230" s="370" t="s">
        <v>122</v>
      </c>
      <c r="H230" s="382" t="s">
        <v>122</v>
      </c>
    </row>
    <row r="231" spans="1:8" x14ac:dyDescent="0.25">
      <c r="A231" s="362">
        <v>45154</v>
      </c>
      <c r="B231" s="363" t="s">
        <v>1765</v>
      </c>
      <c r="C231" s="364">
        <v>8250</v>
      </c>
      <c r="D231" s="370" t="s">
        <v>122</v>
      </c>
      <c r="E231" s="370" t="s">
        <v>122</v>
      </c>
      <c r="F231" s="370" t="s">
        <v>122</v>
      </c>
      <c r="G231" s="370" t="s">
        <v>122</v>
      </c>
      <c r="H231" s="382" t="s">
        <v>122</v>
      </c>
    </row>
    <row r="232" spans="1:8" x14ac:dyDescent="0.25">
      <c r="A232" s="362">
        <v>45155</v>
      </c>
      <c r="B232" s="363" t="s">
        <v>1764</v>
      </c>
      <c r="C232" s="364">
        <v>8200</v>
      </c>
      <c r="D232" s="370" t="s">
        <v>122</v>
      </c>
      <c r="E232" s="370" t="s">
        <v>122</v>
      </c>
      <c r="F232" s="370" t="s">
        <v>122</v>
      </c>
      <c r="G232" s="370" t="s">
        <v>122</v>
      </c>
      <c r="H232" s="382" t="s">
        <v>122</v>
      </c>
    </row>
    <row r="233" spans="1:8" x14ac:dyDescent="0.25">
      <c r="A233" s="362">
        <v>45156</v>
      </c>
      <c r="B233" s="363" t="s">
        <v>1764</v>
      </c>
      <c r="C233" s="364">
        <v>8200</v>
      </c>
      <c r="D233" s="370" t="s">
        <v>122</v>
      </c>
      <c r="E233" s="370" t="s">
        <v>122</v>
      </c>
      <c r="F233" s="370" t="s">
        <v>122</v>
      </c>
      <c r="G233" s="370" t="s">
        <v>122</v>
      </c>
      <c r="H233" s="382" t="s">
        <v>122</v>
      </c>
    </row>
    <row r="234" spans="1:8" x14ac:dyDescent="0.25">
      <c r="A234" s="362">
        <v>45157</v>
      </c>
      <c r="B234" s="363" t="s">
        <v>1764</v>
      </c>
      <c r="C234" s="364">
        <v>8200</v>
      </c>
      <c r="D234" s="370" t="s">
        <v>122</v>
      </c>
      <c r="E234" s="370" t="s">
        <v>122</v>
      </c>
      <c r="F234" s="370" t="s">
        <v>122</v>
      </c>
      <c r="G234" s="370" t="s">
        <v>122</v>
      </c>
      <c r="H234" s="382" t="s">
        <v>122</v>
      </c>
    </row>
    <row r="235" spans="1:8" x14ac:dyDescent="0.25">
      <c r="A235" s="362">
        <v>45158</v>
      </c>
      <c r="B235" s="363" t="s">
        <v>2785</v>
      </c>
      <c r="C235" s="364">
        <v>8150</v>
      </c>
      <c r="D235" s="370" t="s">
        <v>122</v>
      </c>
      <c r="E235" s="370" t="s">
        <v>122</v>
      </c>
      <c r="F235" s="370" t="s">
        <v>122</v>
      </c>
      <c r="G235" s="370" t="s">
        <v>122</v>
      </c>
      <c r="H235" s="382" t="s">
        <v>122</v>
      </c>
    </row>
    <row r="236" spans="1:8" x14ac:dyDescent="0.25">
      <c r="A236" s="362">
        <v>45159</v>
      </c>
      <c r="B236" s="363" t="s">
        <v>2785</v>
      </c>
      <c r="C236" s="364">
        <v>8150</v>
      </c>
      <c r="D236" s="370" t="s">
        <v>122</v>
      </c>
      <c r="E236" s="370" t="s">
        <v>122</v>
      </c>
      <c r="F236" s="370" t="s">
        <v>122</v>
      </c>
      <c r="G236" s="370" t="s">
        <v>122</v>
      </c>
      <c r="H236" s="382" t="s">
        <v>122</v>
      </c>
    </row>
    <row r="237" spans="1:8" x14ac:dyDescent="0.25">
      <c r="A237" s="362">
        <v>45160</v>
      </c>
      <c r="B237" s="363" t="s">
        <v>1762</v>
      </c>
      <c r="C237" s="364">
        <v>8100</v>
      </c>
      <c r="D237" s="370" t="s">
        <v>122</v>
      </c>
      <c r="E237" s="370" t="s">
        <v>122</v>
      </c>
      <c r="F237" s="370" t="s">
        <v>122</v>
      </c>
      <c r="G237" s="370" t="s">
        <v>122</v>
      </c>
      <c r="H237" s="382" t="s">
        <v>122</v>
      </c>
    </row>
    <row r="238" spans="1:8" x14ac:dyDescent="0.25">
      <c r="A238" s="362">
        <v>45161</v>
      </c>
      <c r="B238" s="363" t="s">
        <v>1762</v>
      </c>
      <c r="C238" s="364">
        <v>8100</v>
      </c>
      <c r="D238" s="370" t="s">
        <v>122</v>
      </c>
      <c r="E238" s="370" t="s">
        <v>122</v>
      </c>
      <c r="F238" s="370" t="s">
        <v>122</v>
      </c>
      <c r="G238" s="370" t="s">
        <v>122</v>
      </c>
      <c r="H238" s="382" t="s">
        <v>122</v>
      </c>
    </row>
    <row r="239" spans="1:8" x14ac:dyDescent="0.25">
      <c r="A239" s="362">
        <v>45162</v>
      </c>
      <c r="B239" s="363" t="s">
        <v>2786</v>
      </c>
      <c r="C239" s="364">
        <v>8050</v>
      </c>
      <c r="D239" s="370" t="s">
        <v>122</v>
      </c>
      <c r="E239" s="370" t="s">
        <v>122</v>
      </c>
      <c r="F239" s="370" t="s">
        <v>122</v>
      </c>
      <c r="G239" s="370" t="s">
        <v>122</v>
      </c>
      <c r="H239" s="382" t="s">
        <v>122</v>
      </c>
    </row>
    <row r="240" spans="1:8" x14ac:dyDescent="0.25">
      <c r="A240" s="362">
        <v>45163</v>
      </c>
      <c r="B240" s="363" t="s">
        <v>1792</v>
      </c>
      <c r="C240" s="364">
        <v>8000</v>
      </c>
      <c r="D240" s="370" t="s">
        <v>122</v>
      </c>
      <c r="E240" s="370" t="s">
        <v>122</v>
      </c>
      <c r="F240" s="370" t="s">
        <v>122</v>
      </c>
      <c r="G240" s="370" t="s">
        <v>122</v>
      </c>
      <c r="H240" s="382" t="s">
        <v>122</v>
      </c>
    </row>
    <row r="241" spans="1:8" x14ac:dyDescent="0.25">
      <c r="A241" s="362">
        <v>45164</v>
      </c>
      <c r="B241" s="363" t="s">
        <v>2787</v>
      </c>
      <c r="C241" s="364">
        <v>7950</v>
      </c>
      <c r="D241" s="370" t="s">
        <v>122</v>
      </c>
      <c r="E241" s="370" t="s">
        <v>122</v>
      </c>
      <c r="F241" s="370" t="s">
        <v>122</v>
      </c>
      <c r="G241" s="370" t="s">
        <v>122</v>
      </c>
      <c r="H241" s="382" t="s">
        <v>122</v>
      </c>
    </row>
    <row r="242" spans="1:8" x14ac:dyDescent="0.25">
      <c r="A242" s="362">
        <v>45165</v>
      </c>
      <c r="B242" s="363" t="s">
        <v>2787</v>
      </c>
      <c r="C242" s="364">
        <v>7950</v>
      </c>
      <c r="D242" s="370" t="s">
        <v>122</v>
      </c>
      <c r="E242" s="370" t="s">
        <v>122</v>
      </c>
      <c r="F242" s="370" t="s">
        <v>122</v>
      </c>
      <c r="G242" s="370" t="s">
        <v>122</v>
      </c>
      <c r="H242" s="382" t="s">
        <v>122</v>
      </c>
    </row>
    <row r="243" spans="1:8" x14ac:dyDescent="0.25">
      <c r="A243" s="362">
        <v>45166</v>
      </c>
      <c r="B243" s="363" t="s">
        <v>2787</v>
      </c>
      <c r="C243" s="364">
        <v>7950</v>
      </c>
      <c r="D243" s="370" t="s">
        <v>122</v>
      </c>
      <c r="E243" s="370" t="s">
        <v>122</v>
      </c>
      <c r="F243" s="370" t="s">
        <v>122</v>
      </c>
      <c r="G243" s="370" t="s">
        <v>122</v>
      </c>
      <c r="H243" s="382" t="s">
        <v>122</v>
      </c>
    </row>
    <row r="244" spans="1:8" x14ac:dyDescent="0.25">
      <c r="A244" s="362">
        <v>45167</v>
      </c>
      <c r="B244" s="363" t="s">
        <v>2787</v>
      </c>
      <c r="C244" s="364">
        <v>7951</v>
      </c>
      <c r="D244" s="370" t="s">
        <v>122</v>
      </c>
      <c r="E244" s="370" t="s">
        <v>122</v>
      </c>
      <c r="F244" s="370" t="s">
        <v>122</v>
      </c>
      <c r="G244" s="370" t="s">
        <v>122</v>
      </c>
      <c r="H244" s="382" t="s">
        <v>122</v>
      </c>
    </row>
    <row r="245" spans="1:8" x14ac:dyDescent="0.25">
      <c r="A245" s="362">
        <v>45168</v>
      </c>
      <c r="B245" s="363" t="s">
        <v>1807</v>
      </c>
      <c r="C245" s="364">
        <v>7800</v>
      </c>
      <c r="D245" s="370" t="s">
        <v>122</v>
      </c>
      <c r="E245" s="370" t="s">
        <v>122</v>
      </c>
      <c r="F245" s="370" t="s">
        <v>2509</v>
      </c>
      <c r="G245" s="370">
        <v>11.7</v>
      </c>
      <c r="H245" s="382" t="s">
        <v>122</v>
      </c>
    </row>
    <row r="246" spans="1:8" x14ac:dyDescent="0.25">
      <c r="A246" s="362">
        <v>45169</v>
      </c>
      <c r="B246" s="363" t="s">
        <v>1808</v>
      </c>
      <c r="C246" s="364">
        <v>7700</v>
      </c>
      <c r="D246" s="370" t="s">
        <v>122</v>
      </c>
      <c r="E246" s="370" t="s">
        <v>122</v>
      </c>
      <c r="F246" s="370" t="s">
        <v>2509</v>
      </c>
      <c r="G246" s="370">
        <v>11.63</v>
      </c>
      <c r="H246" s="382" t="s">
        <v>122</v>
      </c>
    </row>
    <row r="247" spans="1:8" x14ac:dyDescent="0.25">
      <c r="A247" s="362">
        <v>45170</v>
      </c>
      <c r="B247" s="363" t="s">
        <v>1976</v>
      </c>
      <c r="C247" s="364">
        <v>7600</v>
      </c>
      <c r="D247" s="370" t="s">
        <v>122</v>
      </c>
      <c r="E247" s="370" t="s">
        <v>122</v>
      </c>
      <c r="F247" s="370" t="s">
        <v>122</v>
      </c>
      <c r="G247" s="370" t="s">
        <v>122</v>
      </c>
      <c r="H247" s="382" t="s">
        <v>122</v>
      </c>
    </row>
    <row r="248" spans="1:8" x14ac:dyDescent="0.25">
      <c r="A248" s="362">
        <v>45171</v>
      </c>
      <c r="B248" s="363" t="s">
        <v>1976</v>
      </c>
      <c r="C248" s="364">
        <v>7600</v>
      </c>
      <c r="D248" s="370" t="s">
        <v>122</v>
      </c>
      <c r="E248" s="370" t="s">
        <v>122</v>
      </c>
      <c r="F248" s="370" t="s">
        <v>122</v>
      </c>
      <c r="G248" s="370" t="s">
        <v>122</v>
      </c>
      <c r="H248" s="382" t="s">
        <v>122</v>
      </c>
    </row>
    <row r="249" spans="1:8" x14ac:dyDescent="0.25">
      <c r="A249" s="362">
        <v>45172</v>
      </c>
      <c r="B249" s="363" t="s">
        <v>1976</v>
      </c>
      <c r="C249" s="364">
        <v>7600</v>
      </c>
      <c r="D249" s="370" t="s">
        <v>122</v>
      </c>
      <c r="E249" s="370" t="s">
        <v>122</v>
      </c>
      <c r="F249" s="370" t="s">
        <v>122</v>
      </c>
      <c r="G249" s="370" t="s">
        <v>122</v>
      </c>
      <c r="H249" s="382" t="s">
        <v>122</v>
      </c>
    </row>
    <row r="250" spans="1:8" x14ac:dyDescent="0.25">
      <c r="A250" s="362">
        <v>45173</v>
      </c>
      <c r="B250" s="363" t="s">
        <v>1976</v>
      </c>
      <c r="C250" s="364">
        <v>7600</v>
      </c>
      <c r="D250" s="370" t="s">
        <v>122</v>
      </c>
      <c r="E250" s="370" t="s">
        <v>122</v>
      </c>
      <c r="F250" s="370" t="s">
        <v>122</v>
      </c>
      <c r="G250" s="370" t="s">
        <v>122</v>
      </c>
      <c r="H250" s="382" t="s">
        <v>122</v>
      </c>
    </row>
    <row r="251" spans="1:8" x14ac:dyDescent="0.25">
      <c r="A251" s="362">
        <v>45174</v>
      </c>
      <c r="B251" s="363" t="s">
        <v>1976</v>
      </c>
      <c r="C251" s="364">
        <v>7600</v>
      </c>
      <c r="D251" s="370" t="s">
        <v>122</v>
      </c>
      <c r="E251" s="370" t="s">
        <v>122</v>
      </c>
      <c r="F251" s="370" t="s">
        <v>122</v>
      </c>
      <c r="G251" s="370" t="s">
        <v>122</v>
      </c>
      <c r="H251" s="382" t="s">
        <v>122</v>
      </c>
    </row>
    <row r="252" spans="1:8" x14ac:dyDescent="0.25">
      <c r="A252" s="362">
        <v>45175</v>
      </c>
      <c r="B252" s="363" t="s">
        <v>1976</v>
      </c>
      <c r="C252" s="364">
        <v>7600</v>
      </c>
      <c r="D252" s="370" t="s">
        <v>122</v>
      </c>
      <c r="E252" s="370" t="s">
        <v>122</v>
      </c>
      <c r="F252" s="370" t="s">
        <v>122</v>
      </c>
      <c r="G252" s="370" t="s">
        <v>122</v>
      </c>
      <c r="H252" s="382" t="s">
        <v>122</v>
      </c>
    </row>
    <row r="253" spans="1:8" x14ac:dyDescent="0.25">
      <c r="A253" s="362">
        <v>45176</v>
      </c>
      <c r="B253" s="363" t="s">
        <v>1976</v>
      </c>
      <c r="C253" s="364">
        <v>7600</v>
      </c>
      <c r="D253" s="370" t="s">
        <v>122</v>
      </c>
      <c r="E253" s="370" t="s">
        <v>122</v>
      </c>
      <c r="F253" s="370" t="s">
        <v>122</v>
      </c>
      <c r="G253" s="370" t="s">
        <v>122</v>
      </c>
      <c r="H253" s="382" t="s">
        <v>122</v>
      </c>
    </row>
    <row r="254" spans="1:8" x14ac:dyDescent="0.25">
      <c r="A254" s="362">
        <v>45177</v>
      </c>
      <c r="B254" s="363" t="s">
        <v>1810</v>
      </c>
      <c r="C254" s="364">
        <v>7500</v>
      </c>
      <c r="D254" s="370" t="s">
        <v>122</v>
      </c>
      <c r="E254" s="370" t="s">
        <v>122</v>
      </c>
      <c r="F254" s="370" t="s">
        <v>122</v>
      </c>
      <c r="G254" s="370" t="s">
        <v>122</v>
      </c>
      <c r="H254" s="382" t="s">
        <v>122</v>
      </c>
    </row>
    <row r="255" spans="1:8" x14ac:dyDescent="0.25">
      <c r="A255" s="362">
        <v>45178</v>
      </c>
      <c r="B255" s="363" t="s">
        <v>1810</v>
      </c>
      <c r="C255" s="364">
        <v>7500</v>
      </c>
      <c r="D255" s="370" t="s">
        <v>122</v>
      </c>
      <c r="E255" s="370" t="s">
        <v>122</v>
      </c>
      <c r="F255" s="370" t="s">
        <v>122</v>
      </c>
      <c r="G255" s="370" t="s">
        <v>122</v>
      </c>
      <c r="H255" s="382" t="s">
        <v>122</v>
      </c>
    </row>
    <row r="256" spans="1:8" x14ac:dyDescent="0.25">
      <c r="A256" s="362">
        <v>45179</v>
      </c>
      <c r="B256" s="363" t="s">
        <v>1810</v>
      </c>
      <c r="C256" s="364">
        <v>7500</v>
      </c>
      <c r="D256" s="370" t="s">
        <v>122</v>
      </c>
      <c r="E256" s="370" t="s">
        <v>122</v>
      </c>
      <c r="F256" s="370" t="s">
        <v>122</v>
      </c>
      <c r="G256" s="370" t="s">
        <v>122</v>
      </c>
      <c r="H256" s="382" t="s">
        <v>122</v>
      </c>
    </row>
    <row r="257" spans="1:8" x14ac:dyDescent="0.25">
      <c r="A257" s="362">
        <v>45180</v>
      </c>
      <c r="B257" s="363" t="s">
        <v>1810</v>
      </c>
      <c r="C257" s="364">
        <v>7500</v>
      </c>
      <c r="D257" s="370" t="s">
        <v>122</v>
      </c>
      <c r="E257" s="370" t="s">
        <v>122</v>
      </c>
      <c r="F257" s="370" t="s">
        <v>122</v>
      </c>
      <c r="G257" s="370" t="s">
        <v>122</v>
      </c>
      <c r="H257" s="382" t="s">
        <v>122</v>
      </c>
    </row>
    <row r="258" spans="1:8" x14ac:dyDescent="0.25">
      <c r="A258" s="362">
        <v>45181</v>
      </c>
      <c r="B258" s="363" t="s">
        <v>1810</v>
      </c>
      <c r="C258" s="364">
        <v>7500</v>
      </c>
      <c r="D258" s="370" t="s">
        <v>122</v>
      </c>
      <c r="E258" s="370" t="s">
        <v>122</v>
      </c>
      <c r="F258" s="370" t="s">
        <v>122</v>
      </c>
      <c r="G258" s="370" t="s">
        <v>122</v>
      </c>
      <c r="H258" s="382" t="s">
        <v>122</v>
      </c>
    </row>
    <row r="259" spans="1:8" x14ac:dyDescent="0.25">
      <c r="A259" s="362">
        <v>45182</v>
      </c>
      <c r="B259" s="363" t="s">
        <v>1810</v>
      </c>
      <c r="C259" s="364">
        <v>7500</v>
      </c>
      <c r="D259" s="370" t="s">
        <v>122</v>
      </c>
      <c r="E259" s="370" t="s">
        <v>122</v>
      </c>
      <c r="F259" s="370" t="s">
        <v>122</v>
      </c>
      <c r="G259" s="370" t="s">
        <v>122</v>
      </c>
      <c r="H259" s="382" t="s">
        <v>122</v>
      </c>
    </row>
    <row r="260" spans="1:8" x14ac:dyDescent="0.25">
      <c r="A260" s="362">
        <v>45183</v>
      </c>
      <c r="B260" s="363" t="s">
        <v>1811</v>
      </c>
      <c r="C260" s="364">
        <v>7450</v>
      </c>
      <c r="D260" s="370" t="s">
        <v>122</v>
      </c>
      <c r="E260" s="370" t="s">
        <v>122</v>
      </c>
      <c r="F260" s="370" t="s">
        <v>122</v>
      </c>
      <c r="G260" s="370" t="s">
        <v>122</v>
      </c>
      <c r="H260" s="382" t="s">
        <v>122</v>
      </c>
    </row>
    <row r="261" spans="1:8" x14ac:dyDescent="0.25">
      <c r="A261" s="362">
        <v>45184</v>
      </c>
      <c r="B261" s="363" t="s">
        <v>1811</v>
      </c>
      <c r="C261" s="364">
        <v>7450</v>
      </c>
      <c r="D261" s="370" t="s">
        <v>122</v>
      </c>
      <c r="E261" s="370" t="s">
        <v>122</v>
      </c>
      <c r="F261" s="370" t="s">
        <v>122</v>
      </c>
      <c r="G261" s="370" t="s">
        <v>122</v>
      </c>
      <c r="H261" s="382" t="s">
        <v>122</v>
      </c>
    </row>
    <row r="262" spans="1:8" x14ac:dyDescent="0.25">
      <c r="A262" s="362">
        <v>45185</v>
      </c>
      <c r="B262" s="363" t="s">
        <v>1811</v>
      </c>
      <c r="C262" s="364">
        <v>7450</v>
      </c>
      <c r="D262" s="370" t="s">
        <v>122</v>
      </c>
      <c r="E262" s="370" t="s">
        <v>122</v>
      </c>
      <c r="F262" s="370" t="s">
        <v>122</v>
      </c>
      <c r="G262" s="370" t="s">
        <v>122</v>
      </c>
      <c r="H262" s="382" t="s">
        <v>122</v>
      </c>
    </row>
    <row r="263" spans="1:8" x14ac:dyDescent="0.25">
      <c r="A263" s="362">
        <v>45186</v>
      </c>
      <c r="B263" s="363" t="s">
        <v>1812</v>
      </c>
      <c r="C263" s="364">
        <v>7400</v>
      </c>
      <c r="D263" s="370" t="s">
        <v>122</v>
      </c>
      <c r="E263" s="370" t="s">
        <v>122</v>
      </c>
      <c r="F263" s="370" t="s">
        <v>122</v>
      </c>
      <c r="G263" s="370" t="s">
        <v>122</v>
      </c>
      <c r="H263" s="382" t="s">
        <v>122</v>
      </c>
    </row>
    <row r="264" spans="1:8" x14ac:dyDescent="0.25">
      <c r="A264" s="362">
        <v>45187</v>
      </c>
      <c r="B264" s="363" t="s">
        <v>1812</v>
      </c>
      <c r="C264" s="364">
        <v>7400</v>
      </c>
      <c r="D264" s="370" t="s">
        <v>122</v>
      </c>
      <c r="E264" s="370" t="s">
        <v>122</v>
      </c>
      <c r="F264" s="370" t="s">
        <v>122</v>
      </c>
      <c r="G264" s="370" t="s">
        <v>122</v>
      </c>
      <c r="H264" s="382" t="s">
        <v>122</v>
      </c>
    </row>
    <row r="265" spans="1:8" x14ac:dyDescent="0.25">
      <c r="A265" s="362">
        <v>45188</v>
      </c>
      <c r="B265" s="363" t="s">
        <v>1812</v>
      </c>
      <c r="C265" s="364">
        <v>7400</v>
      </c>
      <c r="D265" s="370" t="s">
        <v>122</v>
      </c>
      <c r="E265" s="370" t="s">
        <v>122</v>
      </c>
      <c r="F265" s="370" t="s">
        <v>122</v>
      </c>
      <c r="G265" s="370" t="s">
        <v>122</v>
      </c>
      <c r="H265" s="382" t="s">
        <v>122</v>
      </c>
    </row>
    <row r="266" spans="1:8" x14ac:dyDescent="0.25">
      <c r="A266" s="362">
        <v>45189</v>
      </c>
      <c r="B266" s="363" t="s">
        <v>1986</v>
      </c>
      <c r="C266" s="364">
        <v>7350</v>
      </c>
      <c r="D266" s="370" t="s">
        <v>122</v>
      </c>
      <c r="E266" s="370" t="s">
        <v>122</v>
      </c>
      <c r="F266" s="370" t="s">
        <v>122</v>
      </c>
      <c r="G266" s="370" t="s">
        <v>122</v>
      </c>
      <c r="H266" s="382" t="s">
        <v>122</v>
      </c>
    </row>
    <row r="267" spans="1:8" x14ac:dyDescent="0.25">
      <c r="A267" s="362">
        <v>45190</v>
      </c>
      <c r="B267" s="363" t="s">
        <v>1986</v>
      </c>
      <c r="C267" s="364">
        <v>7350</v>
      </c>
      <c r="D267" s="370" t="s">
        <v>122</v>
      </c>
      <c r="E267" s="370" t="s">
        <v>122</v>
      </c>
      <c r="F267" s="370" t="s">
        <v>122</v>
      </c>
      <c r="G267" s="370" t="s">
        <v>122</v>
      </c>
      <c r="H267" s="382" t="s">
        <v>122</v>
      </c>
    </row>
    <row r="268" spans="1:8" x14ac:dyDescent="0.25">
      <c r="A268" s="362">
        <v>45191</v>
      </c>
      <c r="B268" s="363" t="s">
        <v>1813</v>
      </c>
      <c r="C268" s="364">
        <v>7300</v>
      </c>
      <c r="D268" s="370" t="s">
        <v>122</v>
      </c>
      <c r="E268" s="370" t="s">
        <v>122</v>
      </c>
      <c r="F268" s="370" t="s">
        <v>122</v>
      </c>
      <c r="G268" s="370" t="s">
        <v>122</v>
      </c>
      <c r="H268" s="382" t="s">
        <v>122</v>
      </c>
    </row>
    <row r="269" spans="1:8" x14ac:dyDescent="0.25">
      <c r="A269" s="362">
        <v>45192</v>
      </c>
      <c r="B269" s="363" t="s">
        <v>1813</v>
      </c>
      <c r="C269" s="364">
        <v>7300</v>
      </c>
      <c r="D269" s="370" t="s">
        <v>122</v>
      </c>
      <c r="E269" s="370" t="s">
        <v>122</v>
      </c>
      <c r="F269" s="370" t="s">
        <v>122</v>
      </c>
      <c r="G269" s="370" t="s">
        <v>122</v>
      </c>
      <c r="H269" s="382" t="s">
        <v>122</v>
      </c>
    </row>
    <row r="270" spans="1:8" x14ac:dyDescent="0.25">
      <c r="A270" s="362">
        <v>45193</v>
      </c>
      <c r="B270" s="363" t="s">
        <v>1813</v>
      </c>
      <c r="C270" s="364">
        <v>7300</v>
      </c>
      <c r="D270" s="370" t="s">
        <v>122</v>
      </c>
      <c r="E270" s="370" t="s">
        <v>122</v>
      </c>
      <c r="F270" s="370" t="s">
        <v>122</v>
      </c>
      <c r="G270" s="370" t="s">
        <v>122</v>
      </c>
      <c r="H270" s="382" t="s">
        <v>122</v>
      </c>
    </row>
    <row r="271" spans="1:8" x14ac:dyDescent="0.25">
      <c r="A271" s="362">
        <v>45194</v>
      </c>
      <c r="B271" s="363" t="s">
        <v>1813</v>
      </c>
      <c r="C271" s="364">
        <v>7300</v>
      </c>
      <c r="D271" s="370" t="s">
        <v>122</v>
      </c>
      <c r="E271" s="370" t="s">
        <v>122</v>
      </c>
      <c r="F271" s="370" t="s">
        <v>122</v>
      </c>
      <c r="G271" s="370" t="s">
        <v>122</v>
      </c>
      <c r="H271" s="382" t="s">
        <v>122</v>
      </c>
    </row>
    <row r="272" spans="1:8" x14ac:dyDescent="0.25">
      <c r="A272" s="362">
        <v>45195</v>
      </c>
      <c r="B272" s="363" t="s">
        <v>1813</v>
      </c>
      <c r="C272" s="364">
        <v>7300</v>
      </c>
      <c r="D272" s="370" t="s">
        <v>122</v>
      </c>
      <c r="E272" s="370" t="s">
        <v>122</v>
      </c>
      <c r="F272" s="370" t="s">
        <v>122</v>
      </c>
      <c r="G272" s="370" t="s">
        <v>122</v>
      </c>
      <c r="H272" s="382" t="s">
        <v>122</v>
      </c>
    </row>
    <row r="273" spans="1:8" x14ac:dyDescent="0.25">
      <c r="A273" s="362">
        <v>45196</v>
      </c>
      <c r="B273" s="363" t="s">
        <v>1988</v>
      </c>
      <c r="C273" s="364">
        <v>7200</v>
      </c>
      <c r="D273" s="370" t="s">
        <v>122</v>
      </c>
      <c r="E273" s="370" t="s">
        <v>122</v>
      </c>
      <c r="F273" s="370" t="s">
        <v>122</v>
      </c>
      <c r="G273" s="370" t="s">
        <v>122</v>
      </c>
      <c r="H273" s="382" t="s">
        <v>122</v>
      </c>
    </row>
    <row r="274" spans="1:8" x14ac:dyDescent="0.25">
      <c r="A274" s="362">
        <v>45197</v>
      </c>
      <c r="B274" s="363" t="s">
        <v>1988</v>
      </c>
      <c r="C274" s="364">
        <v>7200</v>
      </c>
      <c r="D274" s="370" t="s">
        <v>122</v>
      </c>
      <c r="E274" s="370" t="s">
        <v>122</v>
      </c>
      <c r="F274" s="370" t="s">
        <v>122</v>
      </c>
      <c r="G274" s="370" t="s">
        <v>122</v>
      </c>
      <c r="H274" s="382" t="s">
        <v>122</v>
      </c>
    </row>
    <row r="275" spans="1:8" x14ac:dyDescent="0.25">
      <c r="A275" s="362">
        <v>45198</v>
      </c>
      <c r="B275" s="363" t="s">
        <v>1988</v>
      </c>
      <c r="C275" s="364">
        <v>7200</v>
      </c>
      <c r="D275" s="370" t="s">
        <v>122</v>
      </c>
      <c r="E275" s="370" t="s">
        <v>122</v>
      </c>
      <c r="F275" s="370" t="s">
        <v>122</v>
      </c>
      <c r="G275" s="370" t="s">
        <v>122</v>
      </c>
      <c r="H275" s="382" t="s">
        <v>122</v>
      </c>
    </row>
    <row r="276" spans="1:8" x14ac:dyDescent="0.25">
      <c r="A276" s="362">
        <v>45199</v>
      </c>
      <c r="B276" s="363" t="s">
        <v>1815</v>
      </c>
      <c r="C276" s="364">
        <v>7100</v>
      </c>
      <c r="D276" s="370" t="s">
        <v>122</v>
      </c>
      <c r="E276" s="370" t="s">
        <v>122</v>
      </c>
      <c r="F276" s="370" t="s">
        <v>122</v>
      </c>
      <c r="G276" s="370" t="s">
        <v>122</v>
      </c>
      <c r="H276" s="382" t="s">
        <v>122</v>
      </c>
    </row>
    <row r="277" spans="1:8" x14ac:dyDescent="0.25">
      <c r="A277" s="362">
        <v>45200</v>
      </c>
      <c r="B277" s="363" t="s">
        <v>1815</v>
      </c>
      <c r="C277" s="364">
        <v>7100</v>
      </c>
      <c r="D277" s="370" t="s">
        <v>122</v>
      </c>
      <c r="E277" s="370" t="s">
        <v>122</v>
      </c>
      <c r="F277" s="370" t="s">
        <v>122</v>
      </c>
      <c r="G277" s="370" t="s">
        <v>122</v>
      </c>
      <c r="H277" s="382" t="s">
        <v>122</v>
      </c>
    </row>
    <row r="278" spans="1:8" x14ac:dyDescent="0.25">
      <c r="A278" s="362">
        <v>45201</v>
      </c>
      <c r="B278" s="363" t="s">
        <v>1815</v>
      </c>
      <c r="C278" s="364">
        <v>7100</v>
      </c>
      <c r="D278" s="370" t="s">
        <v>122</v>
      </c>
      <c r="E278" s="370" t="s">
        <v>122</v>
      </c>
      <c r="F278" s="370" t="s">
        <v>122</v>
      </c>
      <c r="G278" s="370" t="s">
        <v>122</v>
      </c>
      <c r="H278" s="382" t="s">
        <v>122</v>
      </c>
    </row>
    <row r="279" spans="1:8" x14ac:dyDescent="0.25">
      <c r="A279" s="362">
        <v>45202</v>
      </c>
      <c r="B279" s="363" t="s">
        <v>1815</v>
      </c>
      <c r="C279" s="364">
        <v>7100</v>
      </c>
      <c r="D279" s="370" t="s">
        <v>122</v>
      </c>
      <c r="E279" s="370" t="s">
        <v>122</v>
      </c>
      <c r="F279" s="370" t="s">
        <v>122</v>
      </c>
      <c r="G279" s="370" t="s">
        <v>122</v>
      </c>
      <c r="H279" s="382" t="s">
        <v>122</v>
      </c>
    </row>
    <row r="280" spans="1:8" x14ac:dyDescent="0.25">
      <c r="A280" s="362">
        <v>45203</v>
      </c>
      <c r="B280" s="363" t="s">
        <v>1815</v>
      </c>
      <c r="C280" s="364">
        <v>7100</v>
      </c>
      <c r="D280" s="370" t="s">
        <v>122</v>
      </c>
      <c r="E280" s="370" t="s">
        <v>122</v>
      </c>
      <c r="F280" s="370" t="s">
        <v>122</v>
      </c>
      <c r="G280" s="370" t="s">
        <v>122</v>
      </c>
      <c r="H280" s="382" t="s">
        <v>122</v>
      </c>
    </row>
    <row r="281" spans="1:8" x14ac:dyDescent="0.25">
      <c r="A281" s="362">
        <v>45204</v>
      </c>
      <c r="B281" s="363" t="s">
        <v>1816</v>
      </c>
      <c r="C281" s="364">
        <v>7000</v>
      </c>
      <c r="D281" s="370" t="s">
        <v>122</v>
      </c>
      <c r="E281" s="370" t="s">
        <v>122</v>
      </c>
      <c r="F281" s="370" t="s">
        <v>122</v>
      </c>
      <c r="G281" s="370" t="s">
        <v>122</v>
      </c>
      <c r="H281" s="382" t="s">
        <v>122</v>
      </c>
    </row>
    <row r="282" spans="1:8" x14ac:dyDescent="0.25">
      <c r="A282" s="362">
        <v>45205</v>
      </c>
      <c r="B282" s="363" t="s">
        <v>1816</v>
      </c>
      <c r="C282" s="364">
        <v>7000</v>
      </c>
      <c r="D282" s="370" t="s">
        <v>122</v>
      </c>
      <c r="E282" s="370" t="s">
        <v>122</v>
      </c>
      <c r="F282" s="370" t="s">
        <v>122</v>
      </c>
      <c r="G282" s="370" t="s">
        <v>122</v>
      </c>
      <c r="H282" s="382" t="s">
        <v>122</v>
      </c>
    </row>
    <row r="283" spans="1:8" x14ac:dyDescent="0.25">
      <c r="A283" s="362">
        <v>45206</v>
      </c>
      <c r="B283" s="363" t="s">
        <v>1816</v>
      </c>
      <c r="C283" s="364">
        <v>7000</v>
      </c>
      <c r="D283" s="370" t="s">
        <v>122</v>
      </c>
      <c r="E283" s="370" t="s">
        <v>122</v>
      </c>
      <c r="F283" s="370" t="s">
        <v>122</v>
      </c>
      <c r="G283" s="370" t="s">
        <v>122</v>
      </c>
      <c r="H283" s="382" t="s">
        <v>122</v>
      </c>
    </row>
    <row r="284" spans="1:8" x14ac:dyDescent="0.25">
      <c r="A284" s="362">
        <v>45207</v>
      </c>
      <c r="B284" s="363" t="s">
        <v>1816</v>
      </c>
      <c r="C284" s="364">
        <v>7000</v>
      </c>
      <c r="D284" s="370" t="s">
        <v>122</v>
      </c>
      <c r="E284" s="370" t="s">
        <v>122</v>
      </c>
      <c r="F284" s="370" t="s">
        <v>122</v>
      </c>
      <c r="G284" s="370" t="s">
        <v>122</v>
      </c>
      <c r="H284" s="382" t="s">
        <v>122</v>
      </c>
    </row>
    <row r="285" spans="1:8" x14ac:dyDescent="0.25">
      <c r="A285" s="362">
        <v>45208</v>
      </c>
      <c r="B285" s="363" t="s">
        <v>1816</v>
      </c>
      <c r="C285" s="364">
        <v>7000</v>
      </c>
      <c r="D285" s="370" t="s">
        <v>122</v>
      </c>
      <c r="E285" s="370" t="s">
        <v>122</v>
      </c>
      <c r="F285" s="370" t="s">
        <v>122</v>
      </c>
      <c r="G285" s="370" t="s">
        <v>122</v>
      </c>
      <c r="H285" s="382" t="s">
        <v>122</v>
      </c>
    </row>
    <row r="286" spans="1:8" x14ac:dyDescent="0.25">
      <c r="A286" s="362">
        <v>45209</v>
      </c>
      <c r="B286" s="363" t="s">
        <v>1816</v>
      </c>
      <c r="C286" s="364">
        <v>7000</v>
      </c>
      <c r="D286" s="370" t="s">
        <v>122</v>
      </c>
      <c r="E286" s="370" t="s">
        <v>122</v>
      </c>
      <c r="F286" s="370" t="s">
        <v>122</v>
      </c>
      <c r="G286" s="370" t="s">
        <v>122</v>
      </c>
      <c r="H286" s="382" t="s">
        <v>122</v>
      </c>
    </row>
    <row r="287" spans="1:8" x14ac:dyDescent="0.25">
      <c r="A287" s="362">
        <v>45210</v>
      </c>
      <c r="B287" s="363" t="s">
        <v>1976</v>
      </c>
      <c r="C287" s="364">
        <v>7550</v>
      </c>
      <c r="D287" s="370" t="s">
        <v>122</v>
      </c>
      <c r="E287" s="370" t="s">
        <v>122</v>
      </c>
      <c r="F287" s="370" t="s">
        <v>122</v>
      </c>
      <c r="G287" s="370" t="s">
        <v>122</v>
      </c>
      <c r="H287" s="382" t="s">
        <v>122</v>
      </c>
    </row>
    <row r="288" spans="1:8" x14ac:dyDescent="0.25">
      <c r="A288" s="362">
        <v>45211</v>
      </c>
      <c r="B288" s="363" t="s">
        <v>1809</v>
      </c>
      <c r="C288" s="364">
        <v>7650</v>
      </c>
      <c r="D288" s="370" t="s">
        <v>122</v>
      </c>
      <c r="E288" s="370" t="s">
        <v>122</v>
      </c>
      <c r="F288" s="370" t="s">
        <v>122</v>
      </c>
      <c r="G288" s="370" t="s">
        <v>122</v>
      </c>
      <c r="H288" s="382" t="s">
        <v>122</v>
      </c>
    </row>
    <row r="289" spans="1:8" x14ac:dyDescent="0.25">
      <c r="A289" s="362">
        <v>45212</v>
      </c>
      <c r="B289" s="363" t="s">
        <v>1809</v>
      </c>
      <c r="C289" s="364">
        <v>7650</v>
      </c>
      <c r="D289" s="370" t="s">
        <v>122</v>
      </c>
      <c r="E289" s="370" t="s">
        <v>122</v>
      </c>
      <c r="F289" s="370" t="s">
        <v>122</v>
      </c>
      <c r="G289" s="370" t="s">
        <v>122</v>
      </c>
      <c r="H289" s="382" t="s">
        <v>122</v>
      </c>
    </row>
    <row r="290" spans="1:8" x14ac:dyDescent="0.25">
      <c r="A290" s="362">
        <v>45213</v>
      </c>
      <c r="B290" s="363" t="s">
        <v>1787</v>
      </c>
      <c r="C290" s="364">
        <v>8700</v>
      </c>
      <c r="D290" s="370" t="s">
        <v>122</v>
      </c>
      <c r="E290" s="370" t="s">
        <v>122</v>
      </c>
      <c r="F290" s="370" t="s">
        <v>122</v>
      </c>
      <c r="G290" s="370" t="s">
        <v>122</v>
      </c>
      <c r="H290" s="382" t="s">
        <v>122</v>
      </c>
    </row>
    <row r="291" spans="1:8" x14ac:dyDescent="0.25">
      <c r="A291" s="362">
        <v>45214</v>
      </c>
      <c r="B291" s="363" t="s">
        <v>1787</v>
      </c>
      <c r="C291" s="364">
        <v>8700</v>
      </c>
      <c r="D291" s="370" t="s">
        <v>122</v>
      </c>
      <c r="E291" s="370" t="s">
        <v>122</v>
      </c>
      <c r="F291" s="370" t="s">
        <v>122</v>
      </c>
      <c r="G291" s="370" t="s">
        <v>122</v>
      </c>
      <c r="H291" s="382" t="s">
        <v>122</v>
      </c>
    </row>
    <row r="292" spans="1:8" x14ac:dyDescent="0.25">
      <c r="A292" s="362">
        <v>45215</v>
      </c>
      <c r="B292" s="363" t="s">
        <v>1769</v>
      </c>
      <c r="C292" s="364">
        <v>9800</v>
      </c>
      <c r="D292" s="370" t="s">
        <v>122</v>
      </c>
      <c r="E292" s="370" t="s">
        <v>122</v>
      </c>
      <c r="F292" s="370" t="s">
        <v>122</v>
      </c>
      <c r="G292" s="370" t="s">
        <v>122</v>
      </c>
      <c r="H292" s="370" t="s">
        <v>122</v>
      </c>
    </row>
    <row r="293" spans="1:8" x14ac:dyDescent="0.25">
      <c r="A293" s="362">
        <v>45216</v>
      </c>
      <c r="B293" s="363" t="s">
        <v>1770</v>
      </c>
      <c r="C293" s="364">
        <v>9900</v>
      </c>
      <c r="D293" s="370" t="s">
        <v>122</v>
      </c>
      <c r="E293" s="370" t="s">
        <v>122</v>
      </c>
      <c r="F293" s="370" t="s">
        <v>122</v>
      </c>
      <c r="G293" s="370" t="s">
        <v>122</v>
      </c>
      <c r="H293" s="370" t="s">
        <v>122</v>
      </c>
    </row>
    <row r="294" spans="1:8" x14ac:dyDescent="0.25">
      <c r="A294" s="362">
        <v>45217</v>
      </c>
      <c r="B294" s="363" t="s">
        <v>1771</v>
      </c>
      <c r="C294" s="364">
        <v>10000</v>
      </c>
      <c r="D294" s="370" t="s">
        <v>122</v>
      </c>
      <c r="E294" s="370" t="s">
        <v>122</v>
      </c>
      <c r="F294" s="370" t="s">
        <v>122</v>
      </c>
      <c r="G294" s="370" t="s">
        <v>122</v>
      </c>
      <c r="H294" s="370" t="s">
        <v>122</v>
      </c>
    </row>
    <row r="295" spans="1:8" x14ac:dyDescent="0.25">
      <c r="A295" s="362">
        <v>45218</v>
      </c>
      <c r="B295" s="363" t="s">
        <v>1835</v>
      </c>
      <c r="C295" s="364">
        <v>10500</v>
      </c>
      <c r="D295" s="370" t="s">
        <v>122</v>
      </c>
      <c r="E295" s="370" t="s">
        <v>122</v>
      </c>
      <c r="F295" s="370" t="s">
        <v>122</v>
      </c>
      <c r="G295" s="370" t="s">
        <v>122</v>
      </c>
      <c r="H295" s="370" t="s">
        <v>122</v>
      </c>
    </row>
    <row r="296" spans="1:8" x14ac:dyDescent="0.25">
      <c r="A296" s="362">
        <v>45219</v>
      </c>
      <c r="B296" s="363" t="s">
        <v>1835</v>
      </c>
      <c r="C296" s="364">
        <v>10500</v>
      </c>
      <c r="D296" s="370" t="s">
        <v>122</v>
      </c>
      <c r="E296" s="370" t="s">
        <v>122</v>
      </c>
      <c r="F296" s="370" t="s">
        <v>122</v>
      </c>
      <c r="G296" s="370" t="s">
        <v>122</v>
      </c>
      <c r="H296" s="370" t="s">
        <v>122</v>
      </c>
    </row>
    <row r="297" spans="1:8" x14ac:dyDescent="0.25">
      <c r="A297" s="362">
        <v>45220</v>
      </c>
      <c r="B297" s="363" t="s">
        <v>1835</v>
      </c>
      <c r="C297" s="364">
        <v>10500</v>
      </c>
      <c r="D297" s="370" t="s">
        <v>122</v>
      </c>
      <c r="E297" s="370" t="s">
        <v>122</v>
      </c>
      <c r="F297" s="370" t="s">
        <v>122</v>
      </c>
      <c r="G297" s="370" t="s">
        <v>122</v>
      </c>
      <c r="H297" s="370" t="s">
        <v>122</v>
      </c>
    </row>
    <row r="298" spans="1:8" x14ac:dyDescent="0.25">
      <c r="A298" s="362">
        <v>45221</v>
      </c>
      <c r="B298" s="363" t="s">
        <v>1837</v>
      </c>
      <c r="C298" s="364">
        <v>10800</v>
      </c>
      <c r="D298" s="370" t="s">
        <v>122</v>
      </c>
      <c r="E298" s="370" t="s">
        <v>122</v>
      </c>
      <c r="F298" s="370" t="s">
        <v>122</v>
      </c>
      <c r="G298" s="370" t="s">
        <v>122</v>
      </c>
      <c r="H298" s="370" t="s">
        <v>122</v>
      </c>
    </row>
    <row r="299" spans="1:8" x14ac:dyDescent="0.25">
      <c r="A299" s="362">
        <v>45222</v>
      </c>
      <c r="B299" s="363" t="s">
        <v>1837</v>
      </c>
      <c r="C299" s="364">
        <v>10800</v>
      </c>
      <c r="D299" s="370" t="s">
        <v>122</v>
      </c>
      <c r="E299" s="370" t="s">
        <v>122</v>
      </c>
      <c r="F299" s="370" t="s">
        <v>122</v>
      </c>
      <c r="G299" s="370" t="s">
        <v>122</v>
      </c>
      <c r="H299" s="370" t="s">
        <v>122</v>
      </c>
    </row>
    <row r="300" spans="1:8" x14ac:dyDescent="0.25">
      <c r="A300" s="362">
        <v>45223</v>
      </c>
      <c r="B300" s="363" t="s">
        <v>1841</v>
      </c>
      <c r="C300" s="364">
        <v>11600</v>
      </c>
      <c r="D300" s="370" t="s">
        <v>122</v>
      </c>
      <c r="E300" s="370" t="s">
        <v>122</v>
      </c>
      <c r="F300" s="370" t="s">
        <v>122</v>
      </c>
      <c r="G300" s="370" t="s">
        <v>122</v>
      </c>
      <c r="H300" s="370" t="s">
        <v>122</v>
      </c>
    </row>
    <row r="301" spans="1:8" x14ac:dyDescent="0.25">
      <c r="A301" s="362">
        <v>45224</v>
      </c>
      <c r="B301" s="363" t="s">
        <v>2379</v>
      </c>
      <c r="C301" s="364">
        <v>12500</v>
      </c>
      <c r="D301" s="370" t="s">
        <v>122</v>
      </c>
      <c r="E301" s="370" t="s">
        <v>122</v>
      </c>
      <c r="F301" s="370" t="s">
        <v>122</v>
      </c>
      <c r="G301" s="370" t="s">
        <v>122</v>
      </c>
      <c r="H301" s="370" t="s">
        <v>122</v>
      </c>
    </row>
    <row r="302" spans="1:8" x14ac:dyDescent="0.25">
      <c r="A302" s="362">
        <v>45225</v>
      </c>
      <c r="B302" s="363" t="s">
        <v>2375</v>
      </c>
      <c r="C302" s="364">
        <v>13500</v>
      </c>
      <c r="D302" s="370" t="s">
        <v>122</v>
      </c>
      <c r="E302" s="370" t="s">
        <v>122</v>
      </c>
      <c r="F302" s="370" t="s">
        <v>122</v>
      </c>
      <c r="G302" s="370" t="s">
        <v>122</v>
      </c>
      <c r="H302" s="370" t="s">
        <v>122</v>
      </c>
    </row>
    <row r="303" spans="1:8" x14ac:dyDescent="0.25">
      <c r="A303" s="362">
        <v>45226</v>
      </c>
      <c r="B303" s="363" t="s">
        <v>2375</v>
      </c>
      <c r="C303" s="364">
        <v>13500</v>
      </c>
      <c r="D303" s="370" t="s">
        <v>122</v>
      </c>
      <c r="E303" s="370" t="s">
        <v>122</v>
      </c>
      <c r="F303" s="370" t="s">
        <v>122</v>
      </c>
      <c r="G303" s="370" t="s">
        <v>122</v>
      </c>
      <c r="H303" s="370" t="s">
        <v>122</v>
      </c>
    </row>
    <row r="304" spans="1:8" x14ac:dyDescent="0.25">
      <c r="A304" s="362">
        <v>45227</v>
      </c>
      <c r="B304" s="363" t="s">
        <v>2375</v>
      </c>
      <c r="C304" s="364">
        <v>13500</v>
      </c>
      <c r="D304" s="370" t="s">
        <v>122</v>
      </c>
      <c r="E304" s="370" t="s">
        <v>122</v>
      </c>
      <c r="F304" s="370" t="s">
        <v>122</v>
      </c>
      <c r="G304" s="370" t="s">
        <v>122</v>
      </c>
      <c r="H304" s="370" t="s">
        <v>122</v>
      </c>
    </row>
    <row r="305" spans="1:8" x14ac:dyDescent="0.25">
      <c r="A305" s="362">
        <v>45228</v>
      </c>
      <c r="B305" s="363" t="s">
        <v>2576</v>
      </c>
      <c r="C305" s="364">
        <v>14700</v>
      </c>
      <c r="D305" s="370" t="s">
        <v>122</v>
      </c>
      <c r="E305" s="370" t="s">
        <v>122</v>
      </c>
      <c r="F305" s="370" t="s">
        <v>122</v>
      </c>
      <c r="G305" s="370" t="s">
        <v>122</v>
      </c>
      <c r="H305" s="370" t="s">
        <v>122</v>
      </c>
    </row>
    <row r="306" spans="1:8" x14ac:dyDescent="0.25">
      <c r="A306" s="362">
        <v>45229</v>
      </c>
      <c r="B306" s="363" t="s">
        <v>2414</v>
      </c>
      <c r="C306" s="364">
        <v>15400</v>
      </c>
      <c r="D306" s="370" t="s">
        <v>122</v>
      </c>
      <c r="E306" s="370" t="s">
        <v>122</v>
      </c>
      <c r="F306" s="370" t="s">
        <v>122</v>
      </c>
      <c r="G306" s="370" t="s">
        <v>122</v>
      </c>
      <c r="H306" s="370" t="s">
        <v>122</v>
      </c>
    </row>
    <row r="307" spans="1:8" x14ac:dyDescent="0.25">
      <c r="A307" s="362">
        <v>45230</v>
      </c>
      <c r="B307" s="363" t="s">
        <v>2765</v>
      </c>
      <c r="C307" s="364">
        <v>16600</v>
      </c>
      <c r="D307" s="370" t="s">
        <v>122</v>
      </c>
      <c r="E307" s="370" t="s">
        <v>122</v>
      </c>
      <c r="F307" s="370" t="s">
        <v>122</v>
      </c>
      <c r="G307" s="370" t="s">
        <v>122</v>
      </c>
      <c r="H307" s="370" t="s">
        <v>122</v>
      </c>
    </row>
    <row r="308" spans="1:8" x14ac:dyDescent="0.25">
      <c r="A308" s="362">
        <v>45231</v>
      </c>
      <c r="B308" s="363" t="s">
        <v>2337</v>
      </c>
      <c r="C308" s="364">
        <v>17400</v>
      </c>
      <c r="D308" s="370" t="s">
        <v>2174</v>
      </c>
      <c r="E308" s="370">
        <v>49.32</v>
      </c>
      <c r="F308" s="370" t="s">
        <v>2177</v>
      </c>
      <c r="G308" s="370">
        <v>61.15</v>
      </c>
      <c r="H308" s="370" t="s">
        <v>122</v>
      </c>
    </row>
    <row r="309" spans="1:8" x14ac:dyDescent="0.25">
      <c r="A309" s="362">
        <v>45232</v>
      </c>
      <c r="B309" s="363" t="s">
        <v>2336</v>
      </c>
      <c r="C309" s="364">
        <v>17500</v>
      </c>
      <c r="D309" s="370" t="s">
        <v>2179</v>
      </c>
      <c r="E309" s="370">
        <v>68.34</v>
      </c>
      <c r="F309" s="370" t="s">
        <v>2177</v>
      </c>
      <c r="G309" s="370">
        <v>61.34</v>
      </c>
      <c r="H309" s="370" t="s">
        <v>122</v>
      </c>
    </row>
    <row r="310" spans="1:8" x14ac:dyDescent="0.25">
      <c r="A310" s="362">
        <v>45233</v>
      </c>
      <c r="B310" s="363" t="s">
        <v>2354</v>
      </c>
      <c r="C310" s="364">
        <v>17600</v>
      </c>
      <c r="D310" s="370" t="s">
        <v>2179</v>
      </c>
      <c r="E310" s="370">
        <v>68.569999999999993</v>
      </c>
      <c r="F310" s="370" t="s">
        <v>2177</v>
      </c>
      <c r="G310" s="370">
        <v>61.53</v>
      </c>
      <c r="H310" s="370" t="s">
        <v>122</v>
      </c>
    </row>
    <row r="311" spans="1:8" x14ac:dyDescent="0.25">
      <c r="A311" s="362">
        <v>45234</v>
      </c>
      <c r="B311" s="363" t="s">
        <v>2326</v>
      </c>
      <c r="C311" s="364">
        <v>21400</v>
      </c>
      <c r="D311" s="370" t="s">
        <v>2508</v>
      </c>
      <c r="E311" s="370">
        <v>21.27</v>
      </c>
      <c r="F311" s="370" t="s">
        <v>2152</v>
      </c>
      <c r="G311" s="370">
        <v>32.81</v>
      </c>
      <c r="H311" s="370" t="s">
        <v>122</v>
      </c>
    </row>
    <row r="312" spans="1:8" x14ac:dyDescent="0.25">
      <c r="A312" s="362">
        <v>45235</v>
      </c>
      <c r="B312" s="363" t="s">
        <v>2458</v>
      </c>
      <c r="C312" s="364">
        <v>26000</v>
      </c>
      <c r="D312" s="370" t="s">
        <v>2152</v>
      </c>
      <c r="E312" s="370">
        <v>33.44</v>
      </c>
      <c r="F312" s="370" t="s">
        <v>122</v>
      </c>
      <c r="G312" s="370" t="s">
        <v>122</v>
      </c>
      <c r="H312" s="370" t="s">
        <v>122</v>
      </c>
    </row>
    <row r="313" spans="1:8" x14ac:dyDescent="0.25">
      <c r="A313" s="362">
        <v>45236</v>
      </c>
      <c r="B313" s="363" t="s">
        <v>1851</v>
      </c>
      <c r="C313" s="364">
        <v>32100</v>
      </c>
      <c r="D313" s="370" t="s">
        <v>2152</v>
      </c>
      <c r="E313" s="370">
        <v>35.25</v>
      </c>
      <c r="F313" s="370" t="s">
        <v>122</v>
      </c>
      <c r="G313" s="370" t="s">
        <v>122</v>
      </c>
      <c r="H313" s="370" t="s">
        <v>122</v>
      </c>
    </row>
    <row r="314" spans="1:8" x14ac:dyDescent="0.25">
      <c r="A314" s="362">
        <v>45237</v>
      </c>
      <c r="B314" s="363" t="s">
        <v>1872</v>
      </c>
      <c r="C314" s="364">
        <v>34250</v>
      </c>
      <c r="D314" s="370" t="s">
        <v>2152</v>
      </c>
      <c r="E314" s="370">
        <v>35.909999999999997</v>
      </c>
      <c r="F314" s="370" t="s">
        <v>122</v>
      </c>
      <c r="G314" s="370" t="s">
        <v>122</v>
      </c>
      <c r="H314" s="370" t="s">
        <v>122</v>
      </c>
    </row>
    <row r="315" spans="1:8" x14ac:dyDescent="0.25">
      <c r="A315" s="362">
        <v>45238</v>
      </c>
      <c r="B315" s="363" t="s">
        <v>2539</v>
      </c>
      <c r="C315" s="364">
        <v>36792</v>
      </c>
      <c r="D315" s="370" t="s">
        <v>2175</v>
      </c>
      <c r="E315" s="370">
        <v>54.24</v>
      </c>
      <c r="F315" s="370" t="s">
        <v>2177</v>
      </c>
      <c r="G315" s="370">
        <v>74.47</v>
      </c>
      <c r="H315" s="370" t="s">
        <v>122</v>
      </c>
    </row>
    <row r="316" spans="1:8" x14ac:dyDescent="0.25">
      <c r="A316" s="362">
        <v>45239</v>
      </c>
      <c r="B316" s="363" t="s">
        <v>2520</v>
      </c>
      <c r="C316" s="364">
        <v>37062</v>
      </c>
      <c r="D316" s="370" t="s">
        <v>2175</v>
      </c>
      <c r="E316" s="370">
        <v>54.36</v>
      </c>
      <c r="F316" s="370" t="s">
        <v>2177</v>
      </c>
      <c r="G316" s="370">
        <v>74.63</v>
      </c>
      <c r="H316" s="370" t="s">
        <v>122</v>
      </c>
    </row>
    <row r="317" spans="1:8" x14ac:dyDescent="0.25">
      <c r="A317" s="362">
        <v>45240</v>
      </c>
      <c r="B317" s="363" t="s">
        <v>1869</v>
      </c>
      <c r="C317" s="364">
        <v>37875</v>
      </c>
      <c r="D317" s="370" t="s">
        <v>2175</v>
      </c>
      <c r="E317" s="370">
        <v>55.17</v>
      </c>
      <c r="F317" s="370" t="s">
        <v>2152</v>
      </c>
      <c r="G317" s="370">
        <v>75.11</v>
      </c>
      <c r="H317" s="370" t="s">
        <v>122</v>
      </c>
    </row>
    <row r="318" spans="1:8" x14ac:dyDescent="0.25">
      <c r="A318" s="362">
        <v>45241</v>
      </c>
      <c r="B318" s="363" t="s">
        <v>2719</v>
      </c>
      <c r="C318" s="364" t="s">
        <v>2534</v>
      </c>
      <c r="D318" s="370" t="s">
        <v>2732</v>
      </c>
      <c r="E318" s="370">
        <v>67.69</v>
      </c>
      <c r="F318" s="370" t="s">
        <v>2152</v>
      </c>
      <c r="G318" s="370">
        <v>76.849999999999994</v>
      </c>
      <c r="H318" s="370" t="s">
        <v>122</v>
      </c>
    </row>
    <row r="319" spans="1:8" x14ac:dyDescent="0.25">
      <c r="A319" s="362">
        <v>45242</v>
      </c>
      <c r="B319" s="363" t="s">
        <v>2788</v>
      </c>
      <c r="C319" s="364" t="s">
        <v>1855</v>
      </c>
      <c r="D319" s="370" t="s">
        <v>2177</v>
      </c>
      <c r="E319" s="370">
        <v>73.81</v>
      </c>
      <c r="F319" s="370" t="s">
        <v>2152</v>
      </c>
      <c r="G319" s="370">
        <v>76.849999999999994</v>
      </c>
      <c r="H319" s="370" t="s">
        <v>122</v>
      </c>
    </row>
    <row r="320" spans="1:8" x14ac:dyDescent="0.25">
      <c r="A320" s="362">
        <v>45243</v>
      </c>
      <c r="B320" s="363" t="s">
        <v>2789</v>
      </c>
      <c r="C320" s="364" t="s">
        <v>2545</v>
      </c>
      <c r="D320" s="370" t="s">
        <v>2177</v>
      </c>
      <c r="E320" s="370">
        <v>73.81</v>
      </c>
      <c r="F320" s="370" t="s">
        <v>2152</v>
      </c>
      <c r="G320" s="370">
        <v>76.849999999999994</v>
      </c>
      <c r="H320" s="370" t="s">
        <v>122</v>
      </c>
    </row>
    <row r="321" spans="1:8" x14ac:dyDescent="0.25">
      <c r="A321" s="362">
        <v>45244</v>
      </c>
      <c r="B321" s="363" t="s">
        <v>2789</v>
      </c>
      <c r="C321" s="364" t="s">
        <v>2790</v>
      </c>
      <c r="D321" s="370" t="s">
        <v>2179</v>
      </c>
      <c r="E321" s="370">
        <v>85.58</v>
      </c>
      <c r="F321" s="370" t="s">
        <v>2177</v>
      </c>
      <c r="G321" s="370">
        <v>76.39</v>
      </c>
      <c r="H321" s="370" t="s">
        <v>122</v>
      </c>
    </row>
    <row r="322" spans="1:8" x14ac:dyDescent="0.25">
      <c r="A322" s="362">
        <v>45245</v>
      </c>
      <c r="B322" s="363" t="s">
        <v>2789</v>
      </c>
      <c r="C322" s="364" t="s">
        <v>2536</v>
      </c>
      <c r="D322" s="370" t="s">
        <v>2179</v>
      </c>
      <c r="E322" s="370">
        <v>85.58</v>
      </c>
      <c r="F322" s="370" t="s">
        <v>2177</v>
      </c>
      <c r="G322" s="370">
        <v>76.39</v>
      </c>
      <c r="H322" s="370" t="s">
        <v>122</v>
      </c>
    </row>
    <row r="323" spans="1:8" x14ac:dyDescent="0.25">
      <c r="A323" s="362">
        <v>45246</v>
      </c>
      <c r="B323" s="363" t="s">
        <v>2791</v>
      </c>
      <c r="C323" s="364" t="s">
        <v>1854</v>
      </c>
      <c r="D323" s="370" t="s">
        <v>2179</v>
      </c>
      <c r="E323" s="370">
        <v>85.58</v>
      </c>
      <c r="F323" s="370" t="s">
        <v>122</v>
      </c>
      <c r="G323" s="370" t="s">
        <v>122</v>
      </c>
      <c r="H323" s="370" t="s">
        <v>122</v>
      </c>
    </row>
    <row r="324" spans="1:8" x14ac:dyDescent="0.25">
      <c r="A324" s="362">
        <v>45247</v>
      </c>
      <c r="B324" s="363" t="s">
        <v>2791</v>
      </c>
      <c r="C324" s="364" t="s">
        <v>1854</v>
      </c>
      <c r="D324" s="370" t="s">
        <v>2179</v>
      </c>
      <c r="E324" s="370">
        <v>85.58</v>
      </c>
      <c r="F324" s="370" t="s">
        <v>2161</v>
      </c>
      <c r="G324" s="370">
        <v>6.18</v>
      </c>
      <c r="H324" s="370" t="s">
        <v>122</v>
      </c>
    </row>
    <row r="325" spans="1:8" x14ac:dyDescent="0.25">
      <c r="A325" s="362">
        <v>45248</v>
      </c>
      <c r="B325" s="363" t="s">
        <v>2792</v>
      </c>
      <c r="C325" s="364" t="s">
        <v>2672</v>
      </c>
      <c r="D325" s="370" t="s">
        <v>2179</v>
      </c>
      <c r="E325" s="370">
        <v>85.58</v>
      </c>
      <c r="F325" s="370" t="s">
        <v>2177</v>
      </c>
      <c r="G325" s="370">
        <v>76.39</v>
      </c>
      <c r="H325" s="370" t="s">
        <v>122</v>
      </c>
    </row>
    <row r="326" spans="1:8" x14ac:dyDescent="0.25">
      <c r="A326" s="362">
        <v>45249</v>
      </c>
      <c r="B326" s="363" t="s">
        <v>2793</v>
      </c>
      <c r="C326" s="364" t="s">
        <v>2794</v>
      </c>
      <c r="D326" s="370" t="s">
        <v>2179</v>
      </c>
      <c r="E326" s="370">
        <v>85.58</v>
      </c>
      <c r="F326" s="370" t="s">
        <v>2177</v>
      </c>
      <c r="G326" s="370">
        <v>76.39</v>
      </c>
      <c r="H326" s="370" t="s">
        <v>122</v>
      </c>
    </row>
    <row r="327" spans="1:8" x14ac:dyDescent="0.25">
      <c r="A327" s="362">
        <v>45250</v>
      </c>
      <c r="B327" s="363" t="s">
        <v>2795</v>
      </c>
      <c r="C327" s="364" t="s">
        <v>2796</v>
      </c>
      <c r="D327" s="370" t="s">
        <v>2152</v>
      </c>
      <c r="E327" s="370">
        <v>37.24</v>
      </c>
      <c r="F327" s="370" t="s">
        <v>2152</v>
      </c>
      <c r="G327" s="370">
        <v>38.43</v>
      </c>
      <c r="H327" s="370" t="s">
        <v>122</v>
      </c>
    </row>
    <row r="328" spans="1:8" x14ac:dyDescent="0.25">
      <c r="A328" s="362">
        <v>45251</v>
      </c>
      <c r="B328" s="363" t="s">
        <v>2797</v>
      </c>
      <c r="C328" s="364" t="s">
        <v>2798</v>
      </c>
      <c r="D328" s="370" t="s">
        <v>2152</v>
      </c>
      <c r="E328" s="370">
        <v>37.24</v>
      </c>
      <c r="F328" s="370" t="s">
        <v>2152</v>
      </c>
      <c r="G328" s="370">
        <v>38.43</v>
      </c>
      <c r="H328" s="370" t="s">
        <v>122</v>
      </c>
    </row>
    <row r="329" spans="1:8" x14ac:dyDescent="0.25">
      <c r="A329" s="362">
        <v>45252</v>
      </c>
      <c r="B329" s="363" t="s">
        <v>1870</v>
      </c>
      <c r="C329" s="364" t="s">
        <v>2532</v>
      </c>
      <c r="D329" s="370" t="s">
        <v>2175</v>
      </c>
      <c r="E329" s="370">
        <v>55.42</v>
      </c>
      <c r="F329" s="370" t="s">
        <v>2152</v>
      </c>
      <c r="G329" s="370">
        <v>38.43</v>
      </c>
      <c r="H329" s="370" t="s">
        <v>122</v>
      </c>
    </row>
    <row r="330" spans="1:8" x14ac:dyDescent="0.25">
      <c r="A330" s="362">
        <v>45253</v>
      </c>
      <c r="B330" s="363" t="s">
        <v>2799</v>
      </c>
      <c r="C330" s="364" t="s">
        <v>2715</v>
      </c>
      <c r="D330" s="370" t="s">
        <v>2175</v>
      </c>
      <c r="E330" s="370">
        <v>55.42</v>
      </c>
      <c r="F330" s="370" t="s">
        <v>2727</v>
      </c>
      <c r="G330" s="370">
        <v>19.27</v>
      </c>
      <c r="H330" s="370" t="s">
        <v>122</v>
      </c>
    </row>
    <row r="331" spans="1:8" x14ac:dyDescent="0.25">
      <c r="A331" s="362">
        <v>45254</v>
      </c>
      <c r="B331" s="363" t="s">
        <v>1870</v>
      </c>
      <c r="C331" s="364" t="s">
        <v>2532</v>
      </c>
      <c r="D331" s="370" t="s">
        <v>2175</v>
      </c>
      <c r="E331" s="370">
        <v>55.42</v>
      </c>
      <c r="F331" s="370" t="s">
        <v>2727</v>
      </c>
      <c r="G331" s="370">
        <v>19.27</v>
      </c>
      <c r="H331" s="370" t="s">
        <v>122</v>
      </c>
    </row>
    <row r="332" spans="1:8" x14ac:dyDescent="0.25">
      <c r="A332" s="362">
        <v>45255</v>
      </c>
      <c r="B332" s="363" t="s">
        <v>2800</v>
      </c>
      <c r="C332" s="364" t="s">
        <v>2533</v>
      </c>
      <c r="D332" s="370" t="s">
        <v>2175</v>
      </c>
      <c r="E332" s="370">
        <v>55.42</v>
      </c>
      <c r="F332" s="370" t="s">
        <v>2186</v>
      </c>
      <c r="G332" s="370">
        <v>51.39</v>
      </c>
      <c r="H332" s="370" t="s">
        <v>122</v>
      </c>
    </row>
    <row r="333" spans="1:8" x14ac:dyDescent="0.25">
      <c r="A333" s="362">
        <v>45256</v>
      </c>
      <c r="B333" s="363" t="s">
        <v>2719</v>
      </c>
      <c r="C333" s="364" t="s">
        <v>2534</v>
      </c>
      <c r="D333" s="370" t="s">
        <v>2732</v>
      </c>
      <c r="E333" s="370">
        <v>67.69</v>
      </c>
      <c r="F333" s="370" t="s">
        <v>2186</v>
      </c>
      <c r="G333" s="370">
        <v>51.39</v>
      </c>
      <c r="H333" s="370" t="s">
        <v>122</v>
      </c>
    </row>
    <row r="334" spans="1:8" x14ac:dyDescent="0.25">
      <c r="A334" s="362">
        <v>45257</v>
      </c>
      <c r="B334" s="363" t="s">
        <v>2801</v>
      </c>
      <c r="C334" s="364" t="s">
        <v>2535</v>
      </c>
      <c r="D334" s="370" t="s">
        <v>2732</v>
      </c>
      <c r="E334" s="371">
        <v>67.69</v>
      </c>
      <c r="F334" s="370" t="s">
        <v>2186</v>
      </c>
      <c r="G334" s="370">
        <v>51.39</v>
      </c>
      <c r="H334" s="370" t="s">
        <v>122</v>
      </c>
    </row>
    <row r="335" spans="1:8" x14ac:dyDescent="0.25">
      <c r="A335" s="362">
        <v>45258</v>
      </c>
      <c r="B335" s="363" t="s">
        <v>2802</v>
      </c>
      <c r="C335" s="364" t="s">
        <v>2803</v>
      </c>
      <c r="D335" s="370" t="s">
        <v>2180</v>
      </c>
      <c r="E335" s="370">
        <v>90.3</v>
      </c>
      <c r="F335" s="370" t="s">
        <v>2186</v>
      </c>
      <c r="G335" s="370">
        <v>51.39</v>
      </c>
      <c r="H335" s="370" t="s">
        <v>122</v>
      </c>
    </row>
    <row r="336" spans="1:8" x14ac:dyDescent="0.25">
      <c r="A336" s="362">
        <v>45259</v>
      </c>
      <c r="B336" s="363" t="s">
        <v>2802</v>
      </c>
      <c r="C336" s="364" t="s">
        <v>2803</v>
      </c>
      <c r="D336" s="370" t="s">
        <v>2180</v>
      </c>
      <c r="E336" s="370">
        <v>90.3</v>
      </c>
      <c r="F336" s="370" t="s">
        <v>2186</v>
      </c>
      <c r="G336" s="370">
        <v>51.39</v>
      </c>
      <c r="H336" s="370" t="s">
        <v>122</v>
      </c>
    </row>
    <row r="337" spans="1:8" x14ac:dyDescent="0.25">
      <c r="A337" s="362">
        <v>45260</v>
      </c>
      <c r="B337" s="363" t="s">
        <v>2712</v>
      </c>
      <c r="C337" s="364">
        <v>38416</v>
      </c>
      <c r="D337" s="370" t="s">
        <v>2180</v>
      </c>
      <c r="E337" s="370">
        <v>90.3</v>
      </c>
      <c r="F337" s="370" t="s">
        <v>2177</v>
      </c>
      <c r="G337" s="370">
        <v>76.39</v>
      </c>
      <c r="H337" s="370" t="s">
        <v>122</v>
      </c>
    </row>
    <row r="338" spans="1:8" x14ac:dyDescent="0.25">
      <c r="A338" s="362">
        <v>45261</v>
      </c>
      <c r="B338" s="363" t="s">
        <v>2804</v>
      </c>
      <c r="C338" s="364">
        <v>38416</v>
      </c>
      <c r="D338" s="370" t="s">
        <v>2180</v>
      </c>
      <c r="E338" s="370">
        <v>90.3</v>
      </c>
      <c r="F338" s="370" t="s">
        <v>2177</v>
      </c>
      <c r="G338" s="370">
        <v>76.39</v>
      </c>
      <c r="H338" s="370" t="s">
        <v>122</v>
      </c>
    </row>
    <row r="339" spans="1:8" x14ac:dyDescent="0.25">
      <c r="A339" s="362">
        <v>45262</v>
      </c>
      <c r="B339" s="363" t="s">
        <v>2805</v>
      </c>
      <c r="C339" s="364" t="s">
        <v>2806</v>
      </c>
      <c r="D339" s="370" t="s">
        <v>2152</v>
      </c>
      <c r="E339" s="370">
        <v>37.24</v>
      </c>
      <c r="F339" s="370" t="s">
        <v>2177</v>
      </c>
      <c r="G339" s="370">
        <v>76.39</v>
      </c>
      <c r="H339" s="370" t="s">
        <v>122</v>
      </c>
    </row>
    <row r="340" spans="1:8" x14ac:dyDescent="0.25">
      <c r="A340" s="362">
        <v>45263</v>
      </c>
      <c r="B340" s="363" t="s">
        <v>2807</v>
      </c>
      <c r="C340" s="364" t="s">
        <v>2808</v>
      </c>
      <c r="D340" s="370" t="s">
        <v>2152</v>
      </c>
      <c r="E340" s="370">
        <v>37.24</v>
      </c>
      <c r="F340" s="370" t="s">
        <v>2515</v>
      </c>
      <c r="G340" s="370">
        <v>76.39</v>
      </c>
      <c r="H340" s="370" t="s">
        <v>122</v>
      </c>
    </row>
    <row r="341" spans="1:8" x14ac:dyDescent="0.25">
      <c r="A341" s="362">
        <v>45264</v>
      </c>
      <c r="B341" s="363" t="s">
        <v>2807</v>
      </c>
      <c r="C341" s="364" t="s">
        <v>2808</v>
      </c>
      <c r="D341" s="370" t="s">
        <v>2152</v>
      </c>
      <c r="E341" s="370">
        <v>37.24</v>
      </c>
      <c r="F341" s="370" t="s">
        <v>2515</v>
      </c>
      <c r="G341" s="370">
        <v>32.31</v>
      </c>
      <c r="H341" s="370" t="s">
        <v>122</v>
      </c>
    </row>
    <row r="342" spans="1:8" x14ac:dyDescent="0.25">
      <c r="A342" s="362">
        <v>45265</v>
      </c>
      <c r="B342" s="363" t="s">
        <v>2809</v>
      </c>
      <c r="C342" s="364" t="s">
        <v>2810</v>
      </c>
      <c r="D342" s="370" t="s">
        <v>2186</v>
      </c>
      <c r="E342" s="370">
        <v>49.67</v>
      </c>
      <c r="F342" s="370" t="s">
        <v>2186</v>
      </c>
      <c r="G342" s="370">
        <v>32.31</v>
      </c>
      <c r="H342" s="370" t="s">
        <v>122</v>
      </c>
    </row>
    <row r="343" spans="1:8" x14ac:dyDescent="0.25">
      <c r="A343" s="362">
        <v>45266</v>
      </c>
      <c r="B343" s="363" t="s">
        <v>2811</v>
      </c>
      <c r="C343" s="364" t="s">
        <v>2812</v>
      </c>
      <c r="D343" s="370" t="s">
        <v>2186</v>
      </c>
      <c r="E343" s="370">
        <v>49.67</v>
      </c>
      <c r="F343" s="370" t="s">
        <v>2186</v>
      </c>
      <c r="G343" s="370">
        <v>51.39</v>
      </c>
      <c r="H343" s="370" t="s">
        <v>122</v>
      </c>
    </row>
    <row r="344" spans="1:8" x14ac:dyDescent="0.25">
      <c r="A344" s="362">
        <v>45267</v>
      </c>
      <c r="B344" s="363" t="s">
        <v>2813</v>
      </c>
      <c r="C344" s="364" t="s">
        <v>2814</v>
      </c>
      <c r="D344" s="370" t="s">
        <v>2177</v>
      </c>
      <c r="E344" s="370">
        <v>73.81</v>
      </c>
      <c r="F344" s="370" t="s">
        <v>2186</v>
      </c>
      <c r="G344" s="370">
        <v>51.39</v>
      </c>
      <c r="H344" s="370" t="s">
        <v>122</v>
      </c>
    </row>
    <row r="345" spans="1:8" x14ac:dyDescent="0.25">
      <c r="A345" s="362">
        <v>45268</v>
      </c>
      <c r="B345" s="363" t="s">
        <v>2815</v>
      </c>
      <c r="C345" s="364" t="s">
        <v>2814</v>
      </c>
      <c r="D345" s="370" t="s">
        <v>2177</v>
      </c>
      <c r="E345" s="370">
        <v>73.81</v>
      </c>
      <c r="F345" s="370" t="s">
        <v>2186</v>
      </c>
      <c r="G345" s="370">
        <v>51.39</v>
      </c>
      <c r="H345" s="370" t="s">
        <v>122</v>
      </c>
    </row>
    <row r="346" spans="1:8" x14ac:dyDescent="0.25">
      <c r="A346" s="362">
        <v>45269</v>
      </c>
      <c r="B346" s="363" t="s">
        <v>2805</v>
      </c>
      <c r="C346" s="364" t="s">
        <v>2806</v>
      </c>
      <c r="D346" s="370" t="s">
        <v>2152</v>
      </c>
      <c r="E346" s="370">
        <v>37.24</v>
      </c>
      <c r="F346" s="370" t="s">
        <v>2186</v>
      </c>
      <c r="G346" s="370">
        <v>51.39</v>
      </c>
      <c r="H346" s="370" t="s">
        <v>122</v>
      </c>
    </row>
    <row r="347" spans="1:8" x14ac:dyDescent="0.25">
      <c r="A347" s="362">
        <v>45270</v>
      </c>
      <c r="B347" s="363" t="s">
        <v>2811</v>
      </c>
      <c r="C347" s="364" t="s">
        <v>2812</v>
      </c>
      <c r="D347" s="370" t="s">
        <v>2152</v>
      </c>
      <c r="E347" s="370">
        <v>37.24</v>
      </c>
      <c r="F347" s="370" t="s">
        <v>2186</v>
      </c>
      <c r="G347" s="370">
        <v>51.39</v>
      </c>
      <c r="H347" s="370" t="s">
        <v>122</v>
      </c>
    </row>
    <row r="348" spans="1:8" x14ac:dyDescent="0.25">
      <c r="A348" s="362">
        <v>45271</v>
      </c>
      <c r="B348" s="363" t="s">
        <v>2809</v>
      </c>
      <c r="C348" s="364" t="s">
        <v>2810</v>
      </c>
      <c r="D348" s="370" t="s">
        <v>2152</v>
      </c>
      <c r="E348" s="370">
        <v>37.24</v>
      </c>
      <c r="F348" s="370" t="s">
        <v>2186</v>
      </c>
      <c r="G348" s="370">
        <v>51.39</v>
      </c>
      <c r="H348" s="370" t="s">
        <v>122</v>
      </c>
    </row>
    <row r="349" spans="1:8" x14ac:dyDescent="0.25">
      <c r="A349" s="362">
        <v>45272</v>
      </c>
      <c r="B349" s="363" t="s">
        <v>2807</v>
      </c>
      <c r="C349" s="364" t="s">
        <v>2808</v>
      </c>
      <c r="D349" s="370" t="s">
        <v>2727</v>
      </c>
      <c r="E349" s="370">
        <v>18.739999999999998</v>
      </c>
      <c r="F349" s="370" t="s">
        <v>2186</v>
      </c>
      <c r="G349" s="370">
        <v>51.39</v>
      </c>
      <c r="H349" s="370" t="s">
        <v>122</v>
      </c>
    </row>
    <row r="350" spans="1:8" x14ac:dyDescent="0.25">
      <c r="A350" s="362">
        <v>45273</v>
      </c>
      <c r="B350" s="363" t="s">
        <v>2809</v>
      </c>
      <c r="C350" s="364" t="s">
        <v>2810</v>
      </c>
      <c r="D350" s="370" t="s">
        <v>2515</v>
      </c>
      <c r="E350" s="370">
        <v>31.31</v>
      </c>
      <c r="F350" s="370" t="s">
        <v>2186</v>
      </c>
      <c r="G350" s="370">
        <v>51.39</v>
      </c>
      <c r="H350" s="370" t="s">
        <v>122</v>
      </c>
    </row>
    <row r="351" spans="1:8" x14ac:dyDescent="0.25">
      <c r="A351" s="362">
        <v>45274</v>
      </c>
      <c r="B351" s="363" t="s">
        <v>2805</v>
      </c>
      <c r="C351" s="364" t="s">
        <v>2806</v>
      </c>
      <c r="D351" s="370" t="s">
        <v>2515</v>
      </c>
      <c r="E351" s="370">
        <v>31.31</v>
      </c>
      <c r="F351" s="370" t="s">
        <v>2186</v>
      </c>
      <c r="G351" s="370">
        <v>51.39</v>
      </c>
      <c r="H351" s="370" t="s">
        <v>122</v>
      </c>
    </row>
    <row r="352" spans="1:8" x14ac:dyDescent="0.25">
      <c r="A352" s="362">
        <v>45275</v>
      </c>
      <c r="B352" s="363" t="s">
        <v>2816</v>
      </c>
      <c r="C352" s="364" t="s">
        <v>2817</v>
      </c>
      <c r="D352" s="370" t="s">
        <v>2515</v>
      </c>
      <c r="E352" s="370">
        <v>31.31</v>
      </c>
      <c r="F352" s="370" t="s">
        <v>2186</v>
      </c>
      <c r="G352" s="370">
        <v>51.39</v>
      </c>
      <c r="H352" s="370" t="s">
        <v>122</v>
      </c>
    </row>
    <row r="353" spans="1:8" x14ac:dyDescent="0.25">
      <c r="A353" s="362">
        <v>45276</v>
      </c>
      <c r="B353" s="363" t="s">
        <v>2818</v>
      </c>
      <c r="C353" s="364" t="s">
        <v>2819</v>
      </c>
      <c r="D353" s="370" t="s">
        <v>2515</v>
      </c>
      <c r="E353" s="370">
        <v>31.31</v>
      </c>
      <c r="F353" s="370" t="s">
        <v>2161</v>
      </c>
      <c r="G353" s="370">
        <v>10</v>
      </c>
      <c r="H353" s="370" t="s">
        <v>122</v>
      </c>
    </row>
    <row r="354" spans="1:8" x14ac:dyDescent="0.25">
      <c r="A354" s="362">
        <v>45277</v>
      </c>
      <c r="B354" s="363" t="s">
        <v>2820</v>
      </c>
      <c r="C354" s="364" t="s">
        <v>2821</v>
      </c>
      <c r="D354" s="370" t="s">
        <v>2515</v>
      </c>
      <c r="E354" s="370">
        <v>31.31</v>
      </c>
      <c r="F354" s="370" t="s">
        <v>2161</v>
      </c>
      <c r="G354" s="370">
        <v>9.58</v>
      </c>
      <c r="H354" s="370" t="s">
        <v>122</v>
      </c>
    </row>
    <row r="355" spans="1:8" x14ac:dyDescent="0.25">
      <c r="A355" s="362">
        <v>45278</v>
      </c>
      <c r="B355" s="363" t="s">
        <v>2822</v>
      </c>
      <c r="C355" s="364" t="s">
        <v>2823</v>
      </c>
      <c r="D355" s="370" t="s">
        <v>2727</v>
      </c>
      <c r="E355" s="370">
        <v>18.739999999999998</v>
      </c>
      <c r="F355" s="370" t="s">
        <v>2161</v>
      </c>
      <c r="G355" s="370">
        <v>9.58</v>
      </c>
      <c r="H355" s="370" t="s">
        <v>122</v>
      </c>
    </row>
    <row r="356" spans="1:8" x14ac:dyDescent="0.25">
      <c r="A356" s="362">
        <v>45279</v>
      </c>
      <c r="B356" s="363" t="s">
        <v>2816</v>
      </c>
      <c r="C356" s="364" t="s">
        <v>2817</v>
      </c>
      <c r="D356" s="370" t="s">
        <v>2727</v>
      </c>
      <c r="E356" s="370">
        <v>18.739999999999998</v>
      </c>
      <c r="F356" s="370" t="s">
        <v>2152</v>
      </c>
      <c r="G356" s="370">
        <v>38.43</v>
      </c>
      <c r="H356" s="370" t="s">
        <v>122</v>
      </c>
    </row>
    <row r="357" spans="1:8" x14ac:dyDescent="0.25">
      <c r="A357" s="362">
        <v>45280</v>
      </c>
      <c r="B357" s="363" t="s">
        <v>2809</v>
      </c>
      <c r="C357" s="364" t="s">
        <v>2810</v>
      </c>
      <c r="D357" s="370" t="s">
        <v>2727</v>
      </c>
      <c r="E357" s="370">
        <v>18.739999999999998</v>
      </c>
      <c r="F357" s="370" t="s">
        <v>2152</v>
      </c>
      <c r="G357" s="370">
        <v>38.43</v>
      </c>
      <c r="H357" s="370" t="s">
        <v>122</v>
      </c>
    </row>
    <row r="358" spans="1:8" x14ac:dyDescent="0.25">
      <c r="A358" s="362">
        <v>45281</v>
      </c>
      <c r="B358" s="363" t="s">
        <v>2824</v>
      </c>
      <c r="C358" s="364" t="s">
        <v>2825</v>
      </c>
      <c r="D358" s="370" t="s">
        <v>2727</v>
      </c>
      <c r="E358" s="370">
        <v>18.739999999999998</v>
      </c>
      <c r="F358" s="370" t="s">
        <v>2152</v>
      </c>
      <c r="G358" s="370">
        <v>38.43</v>
      </c>
      <c r="H358" s="370" t="s">
        <v>122</v>
      </c>
    </row>
    <row r="359" spans="1:8" x14ac:dyDescent="0.25">
      <c r="A359" s="362">
        <v>45282</v>
      </c>
      <c r="B359" s="363" t="s">
        <v>2813</v>
      </c>
      <c r="C359" s="364" t="s">
        <v>2814</v>
      </c>
      <c r="D359" s="370" t="s">
        <v>2152</v>
      </c>
      <c r="E359" s="370">
        <v>37.24</v>
      </c>
      <c r="F359" s="370" t="s">
        <v>2152</v>
      </c>
      <c r="G359" s="370">
        <v>38.43</v>
      </c>
      <c r="H359" s="370" t="s">
        <v>122</v>
      </c>
    </row>
    <row r="360" spans="1:8" x14ac:dyDescent="0.25">
      <c r="A360" s="362">
        <v>45283</v>
      </c>
      <c r="B360" s="363" t="s">
        <v>2826</v>
      </c>
      <c r="C360" s="364" t="s">
        <v>2827</v>
      </c>
      <c r="D360" s="370" t="s">
        <v>2177</v>
      </c>
      <c r="E360" s="370">
        <v>73.81</v>
      </c>
      <c r="F360" s="370" t="s">
        <v>2186</v>
      </c>
      <c r="G360" s="370">
        <v>51.39</v>
      </c>
      <c r="H360" s="370" t="s">
        <v>122</v>
      </c>
    </row>
    <row r="361" spans="1:8" x14ac:dyDescent="0.25">
      <c r="A361" s="362">
        <v>45284</v>
      </c>
      <c r="B361" s="363" t="s">
        <v>2828</v>
      </c>
      <c r="C361" s="364" t="s">
        <v>2829</v>
      </c>
      <c r="D361" s="370" t="s">
        <v>2177</v>
      </c>
      <c r="E361" s="370">
        <v>73.81</v>
      </c>
      <c r="F361" s="370" t="s">
        <v>2186</v>
      </c>
      <c r="G361" s="370">
        <v>51.39</v>
      </c>
      <c r="H361" s="370" t="s">
        <v>122</v>
      </c>
    </row>
    <row r="362" spans="1:8" x14ac:dyDescent="0.25">
      <c r="A362" s="362">
        <v>45285</v>
      </c>
      <c r="B362" s="363" t="s">
        <v>2830</v>
      </c>
      <c r="C362" s="364" t="s">
        <v>2831</v>
      </c>
      <c r="D362" s="370" t="s">
        <v>2177</v>
      </c>
      <c r="E362" s="370">
        <v>73.81</v>
      </c>
      <c r="F362" s="370" t="s">
        <v>2177</v>
      </c>
      <c r="G362" s="370">
        <v>76.39</v>
      </c>
      <c r="H362" s="370" t="s">
        <v>122</v>
      </c>
    </row>
    <row r="363" spans="1:8" x14ac:dyDescent="0.25">
      <c r="A363" s="362">
        <v>45286</v>
      </c>
      <c r="B363" s="363" t="s">
        <v>2832</v>
      </c>
      <c r="C363" s="364" t="s">
        <v>2821</v>
      </c>
      <c r="D363" s="370" t="s">
        <v>2180</v>
      </c>
      <c r="E363" s="370">
        <v>90.3</v>
      </c>
      <c r="F363" s="370" t="s">
        <v>2177</v>
      </c>
      <c r="G363" s="370">
        <v>76.39</v>
      </c>
      <c r="H363" s="370" t="s">
        <v>122</v>
      </c>
    </row>
    <row r="364" spans="1:8" x14ac:dyDescent="0.25">
      <c r="A364" s="362">
        <v>45287</v>
      </c>
      <c r="B364" s="363" t="s">
        <v>2833</v>
      </c>
      <c r="C364" s="364" t="s">
        <v>2834</v>
      </c>
      <c r="D364" s="370" t="s">
        <v>2180</v>
      </c>
      <c r="E364" s="370">
        <v>90.3</v>
      </c>
      <c r="F364" s="370" t="s">
        <v>2177</v>
      </c>
      <c r="G364" s="370">
        <v>76.39</v>
      </c>
      <c r="H364" s="370" t="s">
        <v>122</v>
      </c>
    </row>
    <row r="365" spans="1:8" x14ac:dyDescent="0.25">
      <c r="A365" s="362">
        <v>45288</v>
      </c>
      <c r="B365" s="363" t="s">
        <v>2804</v>
      </c>
      <c r="C365" s="364">
        <v>38416</v>
      </c>
      <c r="D365" s="370" t="s">
        <v>2180</v>
      </c>
      <c r="E365" s="370">
        <v>90.3</v>
      </c>
      <c r="F365" s="370" t="s">
        <v>2177</v>
      </c>
      <c r="G365" s="370">
        <v>51.39</v>
      </c>
      <c r="H365" s="370" t="s">
        <v>122</v>
      </c>
    </row>
    <row r="366" spans="1:8" x14ac:dyDescent="0.25">
      <c r="A366" s="362">
        <v>45289</v>
      </c>
      <c r="B366" s="363" t="s">
        <v>2835</v>
      </c>
      <c r="C366" s="364" t="s">
        <v>2836</v>
      </c>
      <c r="D366" s="370" t="s">
        <v>2180</v>
      </c>
      <c r="E366" s="370">
        <v>90.3</v>
      </c>
      <c r="F366" s="370" t="s">
        <v>2177</v>
      </c>
      <c r="G366" s="370">
        <v>51.39</v>
      </c>
      <c r="H366" s="370" t="s">
        <v>122</v>
      </c>
    </row>
    <row r="367" spans="1:8" x14ac:dyDescent="0.25">
      <c r="A367" s="362">
        <v>45290</v>
      </c>
      <c r="B367" s="363" t="s">
        <v>2799</v>
      </c>
      <c r="C367" s="364" t="s">
        <v>2837</v>
      </c>
      <c r="D367" s="370" t="s">
        <v>2180</v>
      </c>
      <c r="E367" s="370">
        <v>90.3</v>
      </c>
      <c r="F367" s="370" t="s">
        <v>2177</v>
      </c>
      <c r="G367" s="370">
        <v>51.39</v>
      </c>
      <c r="H367" s="370" t="s">
        <v>122</v>
      </c>
    </row>
    <row r="368" spans="1:8" x14ac:dyDescent="0.25">
      <c r="A368" s="362">
        <v>45291</v>
      </c>
      <c r="B368" s="363" t="s">
        <v>1870</v>
      </c>
      <c r="C368" s="364" t="s">
        <v>2806</v>
      </c>
      <c r="D368" s="370" t="s">
        <v>2180</v>
      </c>
      <c r="E368" s="370">
        <v>90.3</v>
      </c>
      <c r="F368" s="370" t="s">
        <v>2177</v>
      </c>
      <c r="G368" s="370">
        <v>51.39</v>
      </c>
      <c r="H368" s="370" t="s">
        <v>122</v>
      </c>
    </row>
  </sheetData>
  <mergeCells count="6">
    <mergeCell ref="A1:H1"/>
    <mergeCell ref="A2:A3"/>
    <mergeCell ref="B2:B3"/>
    <mergeCell ref="C2:C3"/>
    <mergeCell ref="D2:G2"/>
    <mergeCell ref="H2:H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69"/>
  <sheetViews>
    <sheetView workbookViewId="0">
      <selection activeCell="H11" sqref="H11:H34"/>
    </sheetView>
  </sheetViews>
  <sheetFormatPr defaultRowHeight="15" x14ac:dyDescent="0.25"/>
  <cols>
    <col min="1" max="1" width="10.140625" bestFit="1" customWidth="1"/>
    <col min="2" max="2" width="10.85546875" bestFit="1" customWidth="1"/>
    <col min="3" max="3" width="9.7109375" bestFit="1" customWidth="1"/>
  </cols>
  <sheetData>
    <row r="1" spans="1:8" ht="24" thickBot="1" x14ac:dyDescent="0.3">
      <c r="A1" s="498" t="s">
        <v>2971</v>
      </c>
      <c r="B1" s="498"/>
      <c r="C1" s="498"/>
      <c r="D1" s="510"/>
      <c r="E1" s="510"/>
      <c r="F1" s="510"/>
      <c r="G1" s="510"/>
      <c r="H1" s="510"/>
    </row>
    <row r="2" spans="1:8" ht="15.75" x14ac:dyDescent="0.25">
      <c r="A2" s="485" t="s">
        <v>1761</v>
      </c>
      <c r="B2" s="476" t="s">
        <v>2671</v>
      </c>
      <c r="C2" s="476" t="s">
        <v>2674</v>
      </c>
      <c r="D2" s="511" t="s">
        <v>2294</v>
      </c>
      <c r="E2" s="511"/>
      <c r="F2" s="511"/>
      <c r="G2" s="511"/>
      <c r="H2" s="512" t="s">
        <v>2670</v>
      </c>
    </row>
    <row r="3" spans="1:8" ht="16.5" thickBot="1" x14ac:dyDescent="0.3">
      <c r="A3" s="486"/>
      <c r="B3" s="477"/>
      <c r="C3" s="477"/>
      <c r="D3" s="85" t="s">
        <v>1774</v>
      </c>
      <c r="E3" s="372" t="s">
        <v>735</v>
      </c>
      <c r="F3" s="85" t="s">
        <v>1775</v>
      </c>
      <c r="G3" s="372" t="s">
        <v>735</v>
      </c>
      <c r="H3" s="513"/>
    </row>
    <row r="4" spans="1:8" x14ac:dyDescent="0.25">
      <c r="A4" s="377">
        <v>45292</v>
      </c>
      <c r="B4" s="363" t="s">
        <v>2845</v>
      </c>
      <c r="C4" s="364" t="s">
        <v>2814</v>
      </c>
      <c r="D4" s="370" t="s">
        <v>2974</v>
      </c>
      <c r="E4" s="370">
        <v>79.69</v>
      </c>
      <c r="F4" s="370" t="s">
        <v>2736</v>
      </c>
      <c r="G4" s="370">
        <v>952</v>
      </c>
      <c r="H4" s="370">
        <v>1884.96</v>
      </c>
    </row>
    <row r="5" spans="1:8" x14ac:dyDescent="0.25">
      <c r="A5" s="377">
        <v>45293</v>
      </c>
      <c r="B5" s="363" t="s">
        <v>2830</v>
      </c>
      <c r="C5" s="364" t="s">
        <v>2831</v>
      </c>
      <c r="D5" s="370" t="s">
        <v>2974</v>
      </c>
      <c r="E5" s="370">
        <v>79.69</v>
      </c>
      <c r="F5" s="370" t="s">
        <v>2736</v>
      </c>
      <c r="G5" s="381">
        <v>537.62</v>
      </c>
      <c r="H5" s="370">
        <v>1063.6600000000001</v>
      </c>
    </row>
    <row r="6" spans="1:8" x14ac:dyDescent="0.25">
      <c r="A6" s="377">
        <v>45294</v>
      </c>
      <c r="B6" s="363" t="s">
        <v>2830</v>
      </c>
      <c r="C6" s="364" t="s">
        <v>2831</v>
      </c>
      <c r="D6" s="370" t="s">
        <v>2974</v>
      </c>
      <c r="E6" s="370">
        <v>79.69</v>
      </c>
      <c r="F6" s="370" t="s">
        <v>2736</v>
      </c>
      <c r="G6" s="370">
        <v>210</v>
      </c>
      <c r="H6" s="370">
        <v>415.8</v>
      </c>
    </row>
    <row r="7" spans="1:8" x14ac:dyDescent="0.25">
      <c r="A7" s="377">
        <v>45295</v>
      </c>
      <c r="B7" s="363" t="s">
        <v>2846</v>
      </c>
      <c r="C7" s="364" t="s">
        <v>2847</v>
      </c>
      <c r="D7" s="370" t="s">
        <v>2974</v>
      </c>
      <c r="E7" s="370">
        <v>79.69</v>
      </c>
      <c r="F7" s="370" t="s">
        <v>2736</v>
      </c>
      <c r="G7" s="381">
        <v>136.35</v>
      </c>
      <c r="H7" s="370">
        <v>269.97000000000003</v>
      </c>
    </row>
    <row r="8" spans="1:8" x14ac:dyDescent="0.25">
      <c r="A8" s="377">
        <v>45296</v>
      </c>
      <c r="B8" s="363" t="s">
        <v>2848</v>
      </c>
      <c r="C8" s="364" t="s">
        <v>2849</v>
      </c>
      <c r="D8" s="370" t="s">
        <v>2974</v>
      </c>
      <c r="E8" s="370">
        <v>79.69</v>
      </c>
      <c r="F8" s="370" t="s">
        <v>2736</v>
      </c>
      <c r="G8" s="381">
        <v>315.64999999999998</v>
      </c>
      <c r="H8" s="370">
        <v>625</v>
      </c>
    </row>
    <row r="9" spans="1:8" x14ac:dyDescent="0.25">
      <c r="A9" s="377">
        <v>45297</v>
      </c>
      <c r="B9" s="363" t="s">
        <v>2848</v>
      </c>
      <c r="C9" s="364" t="s">
        <v>2849</v>
      </c>
      <c r="D9" s="370" t="s">
        <v>2974</v>
      </c>
      <c r="E9" s="370">
        <v>79.69</v>
      </c>
      <c r="F9" s="370" t="s">
        <v>2736</v>
      </c>
      <c r="G9" s="381">
        <v>315.64999999999998</v>
      </c>
      <c r="H9" s="370">
        <v>625</v>
      </c>
    </row>
    <row r="10" spans="1:8" x14ac:dyDescent="0.25">
      <c r="A10" s="377">
        <v>45298</v>
      </c>
      <c r="B10" s="363" t="s">
        <v>2846</v>
      </c>
      <c r="C10" s="364" t="s">
        <v>2847</v>
      </c>
      <c r="D10" s="370" t="s">
        <v>2974</v>
      </c>
      <c r="E10" s="370">
        <v>79.69</v>
      </c>
      <c r="F10" s="370" t="s">
        <v>2736</v>
      </c>
      <c r="G10" s="381">
        <v>136.35</v>
      </c>
      <c r="H10" s="370">
        <v>270</v>
      </c>
    </row>
    <row r="11" spans="1:8" x14ac:dyDescent="0.25">
      <c r="A11" s="377">
        <v>45299</v>
      </c>
      <c r="B11" s="363" t="s">
        <v>2850</v>
      </c>
      <c r="C11" s="364" t="s">
        <v>2851</v>
      </c>
      <c r="D11" s="370" t="s">
        <v>2974</v>
      </c>
      <c r="E11" s="370">
        <v>79.69</v>
      </c>
      <c r="F11" s="370" t="s">
        <v>2736</v>
      </c>
      <c r="G11" s="370">
        <v>74.22</v>
      </c>
      <c r="H11" s="370" t="s">
        <v>122</v>
      </c>
    </row>
    <row r="12" spans="1:8" x14ac:dyDescent="0.25">
      <c r="A12" s="377">
        <v>45300</v>
      </c>
      <c r="B12" s="363" t="s">
        <v>2846</v>
      </c>
      <c r="C12" s="364" t="s">
        <v>2847</v>
      </c>
      <c r="D12" s="370" t="s">
        <v>2974</v>
      </c>
      <c r="E12" s="370">
        <v>79.69</v>
      </c>
      <c r="F12" s="370" t="s">
        <v>2736</v>
      </c>
      <c r="G12" s="381">
        <v>136.35</v>
      </c>
      <c r="H12" s="370" t="s">
        <v>122</v>
      </c>
    </row>
    <row r="13" spans="1:8" x14ac:dyDescent="0.25">
      <c r="A13" s="377">
        <v>45301</v>
      </c>
      <c r="B13" s="363" t="s">
        <v>2805</v>
      </c>
      <c r="C13" s="364" t="s">
        <v>2806</v>
      </c>
      <c r="D13" s="370" t="s">
        <v>2974</v>
      </c>
      <c r="E13" s="370">
        <v>79.69</v>
      </c>
      <c r="F13" s="370" t="s">
        <v>2736</v>
      </c>
      <c r="G13" s="381">
        <v>1192</v>
      </c>
      <c r="H13" s="370" t="s">
        <v>122</v>
      </c>
    </row>
    <row r="14" spans="1:8" x14ac:dyDescent="0.25">
      <c r="A14" s="377">
        <v>45302</v>
      </c>
      <c r="B14" s="363" t="s">
        <v>2818</v>
      </c>
      <c r="C14" s="364" t="s">
        <v>2852</v>
      </c>
      <c r="D14" s="370" t="s">
        <v>2974</v>
      </c>
      <c r="E14" s="370">
        <v>79.69</v>
      </c>
      <c r="F14" s="370" t="s">
        <v>2841</v>
      </c>
      <c r="G14" s="381">
        <v>2009</v>
      </c>
      <c r="H14" s="370" t="s">
        <v>122</v>
      </c>
    </row>
    <row r="15" spans="1:8" x14ac:dyDescent="0.25">
      <c r="A15" s="377">
        <v>45303</v>
      </c>
      <c r="B15" s="363" t="s">
        <v>2853</v>
      </c>
      <c r="C15" s="364" t="s">
        <v>2854</v>
      </c>
      <c r="D15" s="370" t="s">
        <v>2973</v>
      </c>
      <c r="E15" s="370">
        <v>61.27</v>
      </c>
      <c r="F15" s="370" t="s">
        <v>2841</v>
      </c>
      <c r="G15" s="381">
        <v>4190</v>
      </c>
      <c r="H15" s="370" t="s">
        <v>122</v>
      </c>
    </row>
    <row r="16" spans="1:8" x14ac:dyDescent="0.25">
      <c r="A16" s="377">
        <v>45304</v>
      </c>
      <c r="B16" s="363" t="s">
        <v>2822</v>
      </c>
      <c r="C16" s="364" t="s">
        <v>2823</v>
      </c>
      <c r="D16" s="370" t="s">
        <v>2841</v>
      </c>
      <c r="E16" s="370">
        <v>49.67</v>
      </c>
      <c r="F16" s="370" t="s">
        <v>2735</v>
      </c>
      <c r="G16" s="381">
        <v>2983</v>
      </c>
      <c r="H16" s="370" t="s">
        <v>122</v>
      </c>
    </row>
    <row r="17" spans="1:8" x14ac:dyDescent="0.25">
      <c r="A17" s="377">
        <v>45305</v>
      </c>
      <c r="B17" s="363" t="s">
        <v>2855</v>
      </c>
      <c r="C17" s="364" t="s">
        <v>2837</v>
      </c>
      <c r="D17" s="370" t="s">
        <v>2973</v>
      </c>
      <c r="E17" s="370">
        <v>61.27</v>
      </c>
      <c r="F17" s="370" t="s">
        <v>2841</v>
      </c>
      <c r="G17" s="381">
        <v>1492</v>
      </c>
      <c r="H17" s="370" t="s">
        <v>122</v>
      </c>
    </row>
    <row r="18" spans="1:8" x14ac:dyDescent="0.25">
      <c r="A18" s="377">
        <v>45306</v>
      </c>
      <c r="B18" s="363" t="s">
        <v>2845</v>
      </c>
      <c r="C18" s="364" t="s">
        <v>2814</v>
      </c>
      <c r="D18" s="370" t="s">
        <v>2973</v>
      </c>
      <c r="E18" s="370">
        <v>61.27</v>
      </c>
      <c r="F18" s="370" t="s">
        <v>2975</v>
      </c>
      <c r="G18" s="381"/>
      <c r="H18" s="370" t="s">
        <v>122</v>
      </c>
    </row>
    <row r="19" spans="1:8" x14ac:dyDescent="0.25">
      <c r="A19" s="377">
        <v>45307</v>
      </c>
      <c r="B19" s="363" t="s">
        <v>2856</v>
      </c>
      <c r="C19" s="364" t="s">
        <v>2857</v>
      </c>
      <c r="D19" s="370" t="s">
        <v>2736</v>
      </c>
      <c r="E19" s="370">
        <v>73.489999999999995</v>
      </c>
      <c r="F19" s="370" t="s">
        <v>2735</v>
      </c>
      <c r="G19" s="381"/>
      <c r="H19" s="370" t="s">
        <v>122</v>
      </c>
    </row>
    <row r="20" spans="1:8" x14ac:dyDescent="0.25">
      <c r="A20" s="377">
        <v>45308</v>
      </c>
      <c r="B20" s="363" t="s">
        <v>2856</v>
      </c>
      <c r="C20" s="364" t="s">
        <v>2857</v>
      </c>
      <c r="D20" s="370" t="s">
        <v>2736</v>
      </c>
      <c r="E20" s="370">
        <v>73.489999999999995</v>
      </c>
      <c r="F20" s="370" t="s">
        <v>2841</v>
      </c>
      <c r="G20" s="381">
        <v>410</v>
      </c>
      <c r="H20" s="370" t="s">
        <v>122</v>
      </c>
    </row>
    <row r="21" spans="1:8" x14ac:dyDescent="0.25">
      <c r="A21" s="377">
        <v>45309</v>
      </c>
      <c r="B21" s="363" t="s">
        <v>2848</v>
      </c>
      <c r="C21" s="364" t="s">
        <v>2849</v>
      </c>
      <c r="D21" s="370" t="s">
        <v>2972</v>
      </c>
      <c r="E21" s="370">
        <v>85.58</v>
      </c>
      <c r="F21" s="370" t="s">
        <v>2736</v>
      </c>
      <c r="G21" s="381">
        <v>315.64999999999998</v>
      </c>
      <c r="H21" s="370" t="s">
        <v>122</v>
      </c>
    </row>
    <row r="22" spans="1:8" x14ac:dyDescent="0.25">
      <c r="A22" s="377">
        <v>45310</v>
      </c>
      <c r="B22" s="363" t="s">
        <v>2846</v>
      </c>
      <c r="C22" s="364" t="s">
        <v>2847</v>
      </c>
      <c r="D22" s="370" t="s">
        <v>2972</v>
      </c>
      <c r="E22" s="370">
        <v>85.58</v>
      </c>
      <c r="F22" s="370" t="s">
        <v>2736</v>
      </c>
      <c r="G22" s="381">
        <v>136.35</v>
      </c>
      <c r="H22" s="370" t="s">
        <v>122</v>
      </c>
    </row>
    <row r="23" spans="1:8" x14ac:dyDescent="0.25">
      <c r="A23" s="377">
        <v>45311</v>
      </c>
      <c r="B23" s="363" t="s">
        <v>2846</v>
      </c>
      <c r="C23" s="364" t="s">
        <v>2849</v>
      </c>
      <c r="D23" s="370" t="s">
        <v>2972</v>
      </c>
      <c r="E23" s="370">
        <v>85.58</v>
      </c>
      <c r="F23" s="370" t="s">
        <v>2736</v>
      </c>
      <c r="G23" s="370"/>
      <c r="H23" s="370" t="s">
        <v>122</v>
      </c>
    </row>
    <row r="24" spans="1:8" x14ac:dyDescent="0.25">
      <c r="A24" s="377">
        <v>45312</v>
      </c>
      <c r="B24" s="363" t="s">
        <v>2850</v>
      </c>
      <c r="C24" s="364" t="s">
        <v>2851</v>
      </c>
      <c r="D24" s="370" t="s">
        <v>2973</v>
      </c>
      <c r="E24" s="370">
        <v>61.27</v>
      </c>
      <c r="F24" s="370" t="s">
        <v>2736</v>
      </c>
      <c r="G24" s="370"/>
      <c r="H24" s="370" t="s">
        <v>122</v>
      </c>
    </row>
    <row r="25" spans="1:8" x14ac:dyDescent="0.25">
      <c r="A25" s="377">
        <v>45313</v>
      </c>
      <c r="B25" s="363" t="s">
        <v>2804</v>
      </c>
      <c r="C25" s="364">
        <v>38416</v>
      </c>
      <c r="D25" s="370" t="s">
        <v>122</v>
      </c>
      <c r="E25" s="370" t="s">
        <v>122</v>
      </c>
      <c r="F25" s="370" t="s">
        <v>122</v>
      </c>
      <c r="G25" s="370" t="s">
        <v>122</v>
      </c>
      <c r="H25" s="370" t="s">
        <v>122</v>
      </c>
    </row>
    <row r="26" spans="1:8" x14ac:dyDescent="0.25">
      <c r="A26" s="377">
        <v>45314</v>
      </c>
      <c r="B26" s="363" t="s">
        <v>2804</v>
      </c>
      <c r="C26" s="364">
        <v>38416</v>
      </c>
      <c r="D26" s="370" t="s">
        <v>122</v>
      </c>
      <c r="E26" s="370" t="s">
        <v>122</v>
      </c>
      <c r="F26" s="370" t="s">
        <v>122</v>
      </c>
      <c r="G26" s="370" t="s">
        <v>122</v>
      </c>
      <c r="H26" s="370" t="s">
        <v>122</v>
      </c>
    </row>
    <row r="27" spans="1:8" x14ac:dyDescent="0.25">
      <c r="A27" s="377">
        <v>45315</v>
      </c>
      <c r="B27" s="363" t="s">
        <v>2804</v>
      </c>
      <c r="C27" s="364">
        <v>38416</v>
      </c>
      <c r="D27" s="370" t="s">
        <v>2736</v>
      </c>
      <c r="E27" s="370">
        <v>73.489999999999995</v>
      </c>
      <c r="F27" s="370" t="s">
        <v>2736</v>
      </c>
      <c r="G27" s="370">
        <v>76.39</v>
      </c>
      <c r="H27" s="370" t="s">
        <v>122</v>
      </c>
    </row>
    <row r="28" spans="1:8" x14ac:dyDescent="0.25">
      <c r="A28" s="377">
        <v>45316</v>
      </c>
      <c r="B28" s="363" t="s">
        <v>2804</v>
      </c>
      <c r="C28" s="364">
        <v>38416</v>
      </c>
      <c r="D28" s="370" t="s">
        <v>2972</v>
      </c>
      <c r="E28" s="370">
        <v>85.58</v>
      </c>
      <c r="F28" s="370" t="s">
        <v>2736</v>
      </c>
      <c r="G28" s="370">
        <v>76.39</v>
      </c>
      <c r="H28" s="370" t="s">
        <v>122</v>
      </c>
    </row>
    <row r="29" spans="1:8" x14ac:dyDescent="0.25">
      <c r="A29" s="377">
        <v>45317</v>
      </c>
      <c r="B29" s="363" t="s">
        <v>2858</v>
      </c>
      <c r="C29" s="364">
        <v>38281</v>
      </c>
      <c r="D29" s="370" t="s">
        <v>2972</v>
      </c>
      <c r="E29" s="370"/>
      <c r="F29" s="370" t="s">
        <v>2736</v>
      </c>
      <c r="G29" s="370">
        <v>76.31</v>
      </c>
      <c r="H29" s="370" t="s">
        <v>122</v>
      </c>
    </row>
    <row r="30" spans="1:8" x14ac:dyDescent="0.25">
      <c r="A30" s="377">
        <v>45318</v>
      </c>
      <c r="B30" s="363" t="s">
        <v>2859</v>
      </c>
      <c r="C30" s="368">
        <v>38010.5</v>
      </c>
      <c r="D30" s="370" t="s">
        <v>2972</v>
      </c>
      <c r="E30" s="370">
        <v>84.34</v>
      </c>
      <c r="F30" s="370" t="s">
        <v>2736</v>
      </c>
      <c r="G30" s="370">
        <v>76.14</v>
      </c>
      <c r="H30" s="370" t="s">
        <v>122</v>
      </c>
    </row>
    <row r="31" spans="1:8" x14ac:dyDescent="0.25">
      <c r="A31" s="377">
        <v>45319</v>
      </c>
      <c r="B31" s="363" t="s">
        <v>2860</v>
      </c>
      <c r="C31" s="368">
        <v>37739.5</v>
      </c>
      <c r="D31" s="370" t="s">
        <v>2972</v>
      </c>
      <c r="E31" s="370">
        <v>84.09</v>
      </c>
      <c r="F31" s="370" t="s">
        <v>2736</v>
      </c>
      <c r="G31" s="370">
        <v>75.989999999999995</v>
      </c>
      <c r="H31" s="370" t="s">
        <v>122</v>
      </c>
    </row>
    <row r="32" spans="1:8" x14ac:dyDescent="0.25">
      <c r="A32" s="377">
        <v>45320</v>
      </c>
      <c r="B32" s="363" t="s">
        <v>2861</v>
      </c>
      <c r="C32" s="364">
        <v>37333</v>
      </c>
      <c r="D32" s="370" t="s">
        <v>2972</v>
      </c>
      <c r="E32" s="370">
        <v>83.8</v>
      </c>
      <c r="F32" s="370" t="s">
        <v>2736</v>
      </c>
      <c r="G32" s="370">
        <v>75.739999999999995</v>
      </c>
      <c r="H32" s="370" t="s">
        <v>122</v>
      </c>
    </row>
    <row r="33" spans="1:8" x14ac:dyDescent="0.25">
      <c r="A33" s="377">
        <v>45321</v>
      </c>
      <c r="B33" s="363" t="s">
        <v>2862</v>
      </c>
      <c r="C33" s="364">
        <v>37062</v>
      </c>
      <c r="D33" s="370" t="s">
        <v>2972</v>
      </c>
      <c r="E33" s="370">
        <v>83.8</v>
      </c>
      <c r="F33" s="370" t="s">
        <v>2736</v>
      </c>
      <c r="G33" s="370">
        <v>74.63</v>
      </c>
      <c r="H33" s="370" t="s">
        <v>122</v>
      </c>
    </row>
    <row r="34" spans="1:8" x14ac:dyDescent="0.25">
      <c r="A34" s="377">
        <v>45322</v>
      </c>
      <c r="B34" s="363" t="s">
        <v>2863</v>
      </c>
      <c r="C34" s="364">
        <v>36792</v>
      </c>
      <c r="D34" s="370" t="s">
        <v>122</v>
      </c>
      <c r="E34" s="370" t="s">
        <v>122</v>
      </c>
      <c r="F34" s="370" t="s">
        <v>2841</v>
      </c>
      <c r="G34" s="370">
        <v>50.32</v>
      </c>
      <c r="H34" s="370" t="s">
        <v>122</v>
      </c>
    </row>
    <row r="35" spans="1:8" x14ac:dyDescent="0.25">
      <c r="A35" s="377">
        <v>45323</v>
      </c>
      <c r="B35" s="375" t="s">
        <v>2863</v>
      </c>
      <c r="C35" s="373">
        <v>36792</v>
      </c>
      <c r="D35" s="370" t="s">
        <v>122</v>
      </c>
      <c r="E35" s="370" t="s">
        <v>122</v>
      </c>
      <c r="F35" s="370" t="s">
        <v>122</v>
      </c>
      <c r="G35" s="370" t="s">
        <v>122</v>
      </c>
      <c r="H35" s="370" t="s">
        <v>122</v>
      </c>
    </row>
    <row r="36" spans="1:8" x14ac:dyDescent="0.25">
      <c r="A36" s="377">
        <v>45324</v>
      </c>
      <c r="B36" s="375" t="s">
        <v>2863</v>
      </c>
      <c r="C36" s="373">
        <v>36792</v>
      </c>
      <c r="D36" s="370" t="s">
        <v>122</v>
      </c>
      <c r="E36" s="370" t="s">
        <v>122</v>
      </c>
      <c r="F36" s="370" t="s">
        <v>122</v>
      </c>
      <c r="G36" s="370" t="s">
        <v>122</v>
      </c>
      <c r="H36" s="370" t="s">
        <v>122</v>
      </c>
    </row>
    <row r="37" spans="1:8" x14ac:dyDescent="0.25">
      <c r="A37" s="377">
        <v>45325</v>
      </c>
      <c r="B37" s="375" t="s">
        <v>2863</v>
      </c>
      <c r="C37" s="373">
        <v>36792</v>
      </c>
      <c r="D37" s="370" t="s">
        <v>122</v>
      </c>
      <c r="E37" s="370" t="s">
        <v>122</v>
      </c>
      <c r="F37" s="370" t="s">
        <v>122</v>
      </c>
      <c r="G37" s="370" t="s">
        <v>122</v>
      </c>
      <c r="H37" s="370" t="s">
        <v>122</v>
      </c>
    </row>
    <row r="38" spans="1:8" x14ac:dyDescent="0.25">
      <c r="A38" s="377">
        <v>45326</v>
      </c>
      <c r="B38" s="375" t="s">
        <v>2863</v>
      </c>
      <c r="C38" s="373">
        <v>36792</v>
      </c>
      <c r="D38" s="370" t="s">
        <v>122</v>
      </c>
      <c r="E38" s="370" t="s">
        <v>122</v>
      </c>
      <c r="F38" s="370" t="s">
        <v>122</v>
      </c>
      <c r="G38" s="370" t="s">
        <v>122</v>
      </c>
      <c r="H38" s="370" t="s">
        <v>122</v>
      </c>
    </row>
    <row r="39" spans="1:8" x14ac:dyDescent="0.25">
      <c r="A39" s="377">
        <v>45327</v>
      </c>
      <c r="B39" s="375" t="s">
        <v>2864</v>
      </c>
      <c r="C39" s="374">
        <v>36656.5</v>
      </c>
      <c r="D39" s="370" t="s">
        <v>2736</v>
      </c>
      <c r="E39" s="370">
        <v>71.75</v>
      </c>
      <c r="F39" s="370" t="s">
        <v>2177</v>
      </c>
      <c r="G39" s="370">
        <v>74.38</v>
      </c>
      <c r="H39" s="370" t="s">
        <v>122</v>
      </c>
    </row>
    <row r="40" spans="1:8" x14ac:dyDescent="0.25">
      <c r="A40" s="377">
        <v>45328</v>
      </c>
      <c r="B40" s="375" t="s">
        <v>2865</v>
      </c>
      <c r="C40" s="373">
        <v>36521</v>
      </c>
      <c r="D40" s="370" t="s">
        <v>2972</v>
      </c>
      <c r="E40" s="370">
        <v>83.22</v>
      </c>
      <c r="F40" s="370" t="s">
        <v>2177</v>
      </c>
      <c r="G40" s="370">
        <v>74.3</v>
      </c>
      <c r="H40" s="370" t="s">
        <v>122</v>
      </c>
    </row>
    <row r="41" spans="1:8" x14ac:dyDescent="0.25">
      <c r="A41" s="377">
        <v>45329</v>
      </c>
      <c r="B41" s="375" t="s">
        <v>2866</v>
      </c>
      <c r="C41" s="373">
        <v>36250</v>
      </c>
      <c r="D41" s="370" t="s">
        <v>2972</v>
      </c>
      <c r="E41" s="370">
        <v>83.02</v>
      </c>
      <c r="F41" s="370" t="s">
        <v>2733</v>
      </c>
      <c r="G41" s="370">
        <v>93.58</v>
      </c>
      <c r="H41" s="370" t="s">
        <v>122</v>
      </c>
    </row>
    <row r="42" spans="1:8" x14ac:dyDescent="0.25">
      <c r="A42" s="377">
        <v>45330</v>
      </c>
      <c r="B42" s="375" t="s">
        <v>2867</v>
      </c>
      <c r="C42" s="373">
        <v>36750</v>
      </c>
      <c r="D42" s="370" t="s">
        <v>2972</v>
      </c>
      <c r="E42" s="370">
        <v>82.83</v>
      </c>
      <c r="F42" s="370" t="s">
        <v>2733</v>
      </c>
      <c r="G42" s="370">
        <v>91.41</v>
      </c>
      <c r="H42" s="370" t="s">
        <v>122</v>
      </c>
    </row>
    <row r="43" spans="1:8" x14ac:dyDescent="0.25">
      <c r="A43" s="377">
        <v>45331</v>
      </c>
      <c r="B43" s="375" t="s">
        <v>2868</v>
      </c>
      <c r="C43" s="373">
        <v>35000</v>
      </c>
      <c r="D43" s="370" t="s">
        <v>2972</v>
      </c>
      <c r="E43" s="370">
        <v>82.54</v>
      </c>
      <c r="F43" s="370" t="s">
        <v>2733</v>
      </c>
      <c r="G43" s="370">
        <v>91.38</v>
      </c>
      <c r="H43" s="370" t="s">
        <v>122</v>
      </c>
    </row>
    <row r="44" spans="1:8" x14ac:dyDescent="0.25">
      <c r="A44" s="377">
        <v>45332</v>
      </c>
      <c r="B44" s="375" t="s">
        <v>2869</v>
      </c>
      <c r="C44" s="373">
        <v>34250</v>
      </c>
      <c r="D44" s="370" t="s">
        <v>2510</v>
      </c>
      <c r="E44" s="370">
        <v>93.54</v>
      </c>
      <c r="F44" s="370" t="s">
        <v>2733</v>
      </c>
      <c r="G44" s="370">
        <v>90.3</v>
      </c>
      <c r="H44" s="370" t="s">
        <v>122</v>
      </c>
    </row>
    <row r="45" spans="1:8" x14ac:dyDescent="0.25">
      <c r="A45" s="377">
        <v>45333</v>
      </c>
      <c r="B45" s="375" t="s">
        <v>2870</v>
      </c>
      <c r="C45" s="373">
        <v>33850</v>
      </c>
      <c r="D45" s="370" t="s">
        <v>2729</v>
      </c>
      <c r="E45" s="370">
        <v>59.1</v>
      </c>
      <c r="F45" s="370" t="s">
        <v>2735</v>
      </c>
      <c r="G45" s="370">
        <v>37.07</v>
      </c>
      <c r="H45" s="370" t="s">
        <v>122</v>
      </c>
    </row>
    <row r="46" spans="1:8" x14ac:dyDescent="0.25">
      <c r="A46" s="377">
        <v>45334</v>
      </c>
      <c r="B46" s="375" t="s">
        <v>2871</v>
      </c>
      <c r="C46" s="373">
        <v>33650</v>
      </c>
      <c r="D46" s="370" t="s">
        <v>122</v>
      </c>
      <c r="E46" s="370" t="s">
        <v>122</v>
      </c>
      <c r="F46" s="370" t="s">
        <v>122</v>
      </c>
      <c r="G46" s="370" t="s">
        <v>122</v>
      </c>
      <c r="H46" s="370" t="s">
        <v>122</v>
      </c>
    </row>
    <row r="47" spans="1:8" x14ac:dyDescent="0.25">
      <c r="A47" s="377">
        <v>45335</v>
      </c>
      <c r="B47" s="375" t="s">
        <v>2871</v>
      </c>
      <c r="C47" s="373">
        <v>33650</v>
      </c>
      <c r="D47" s="370" t="s">
        <v>122</v>
      </c>
      <c r="E47" s="370" t="s">
        <v>122</v>
      </c>
      <c r="F47" s="370" t="s">
        <v>122</v>
      </c>
      <c r="G47" s="370" t="s">
        <v>122</v>
      </c>
      <c r="H47" s="370" t="s">
        <v>122</v>
      </c>
    </row>
    <row r="48" spans="1:8" x14ac:dyDescent="0.25">
      <c r="A48" s="377">
        <v>45336</v>
      </c>
      <c r="B48" s="375" t="s">
        <v>2871</v>
      </c>
      <c r="C48" s="373">
        <v>33650</v>
      </c>
      <c r="D48" s="370" t="s">
        <v>122</v>
      </c>
      <c r="E48" s="370" t="s">
        <v>122</v>
      </c>
      <c r="F48" s="370" t="s">
        <v>122</v>
      </c>
      <c r="G48" s="370" t="s">
        <v>122</v>
      </c>
      <c r="H48" s="370" t="s">
        <v>122</v>
      </c>
    </row>
    <row r="49" spans="1:8" x14ac:dyDescent="0.25">
      <c r="A49" s="377">
        <v>45337</v>
      </c>
      <c r="B49" s="375" t="s">
        <v>2872</v>
      </c>
      <c r="C49" s="373">
        <v>33500</v>
      </c>
      <c r="D49" s="370" t="s">
        <v>122</v>
      </c>
      <c r="E49" s="370" t="s">
        <v>122</v>
      </c>
      <c r="F49" s="370" t="s">
        <v>122</v>
      </c>
      <c r="G49" s="370" t="s">
        <v>122</v>
      </c>
      <c r="H49" s="370" t="s">
        <v>122</v>
      </c>
    </row>
    <row r="50" spans="1:8" x14ac:dyDescent="0.25">
      <c r="A50" s="377">
        <v>45338</v>
      </c>
      <c r="B50" s="375" t="s">
        <v>2872</v>
      </c>
      <c r="C50" s="373">
        <v>33500</v>
      </c>
      <c r="D50" s="370" t="s">
        <v>2736</v>
      </c>
      <c r="E50" s="370">
        <v>70.33</v>
      </c>
      <c r="F50" s="370" t="s">
        <v>2177</v>
      </c>
      <c r="G50" s="370">
        <v>72.319999999999993</v>
      </c>
      <c r="H50" s="370" t="s">
        <v>122</v>
      </c>
    </row>
    <row r="51" spans="1:8" x14ac:dyDescent="0.25">
      <c r="A51" s="377">
        <v>45339</v>
      </c>
      <c r="B51" s="375" t="s">
        <v>2873</v>
      </c>
      <c r="C51" s="373">
        <v>33000</v>
      </c>
      <c r="D51" s="370" t="s">
        <v>2736</v>
      </c>
      <c r="E51" s="370">
        <v>70.16</v>
      </c>
      <c r="F51" s="370" t="s">
        <v>2177</v>
      </c>
      <c r="G51" s="370">
        <v>72.16</v>
      </c>
      <c r="H51" s="370" t="s">
        <v>122</v>
      </c>
    </row>
    <row r="52" spans="1:8" x14ac:dyDescent="0.25">
      <c r="A52" s="377">
        <v>45340</v>
      </c>
      <c r="B52" s="375" t="s">
        <v>2874</v>
      </c>
      <c r="C52" s="373">
        <v>32700</v>
      </c>
      <c r="D52" s="370" t="s">
        <v>2972</v>
      </c>
      <c r="E52" s="370">
        <v>81.16</v>
      </c>
      <c r="F52" s="370" t="s">
        <v>2177</v>
      </c>
      <c r="G52" s="370">
        <v>71.91</v>
      </c>
      <c r="H52" s="370" t="s">
        <v>122</v>
      </c>
    </row>
    <row r="53" spans="1:8" x14ac:dyDescent="0.25">
      <c r="A53" s="377">
        <v>45341</v>
      </c>
      <c r="B53" s="375" t="s">
        <v>2875</v>
      </c>
      <c r="C53" s="373">
        <v>32500</v>
      </c>
      <c r="D53" s="370" t="s">
        <v>2972</v>
      </c>
      <c r="E53" s="370">
        <v>80.959999999999994</v>
      </c>
      <c r="F53" s="370" t="s">
        <v>2177</v>
      </c>
      <c r="G53" s="370">
        <v>71.75</v>
      </c>
      <c r="H53" s="370" t="s">
        <v>122</v>
      </c>
    </row>
    <row r="54" spans="1:8" x14ac:dyDescent="0.25">
      <c r="A54" s="377">
        <v>45342</v>
      </c>
      <c r="B54" s="375" t="s">
        <v>2876</v>
      </c>
      <c r="C54" s="373">
        <v>32100</v>
      </c>
      <c r="D54" s="370" t="s">
        <v>2973</v>
      </c>
      <c r="E54" s="370">
        <v>58.1</v>
      </c>
      <c r="F54" s="370" t="s">
        <v>2177</v>
      </c>
      <c r="G54" s="370">
        <v>71.5</v>
      </c>
      <c r="H54" s="370" t="s">
        <v>122</v>
      </c>
    </row>
    <row r="55" spans="1:8" x14ac:dyDescent="0.25">
      <c r="A55" s="377">
        <v>45343</v>
      </c>
      <c r="B55" s="375" t="s">
        <v>2750</v>
      </c>
      <c r="C55" s="373">
        <v>32000</v>
      </c>
      <c r="D55" s="370" t="s">
        <v>122</v>
      </c>
      <c r="E55" s="370" t="s">
        <v>122</v>
      </c>
      <c r="F55" s="370" t="s">
        <v>122</v>
      </c>
      <c r="G55" s="370" t="s">
        <v>122</v>
      </c>
      <c r="H55" s="370" t="s">
        <v>122</v>
      </c>
    </row>
    <row r="56" spans="1:8" x14ac:dyDescent="0.25">
      <c r="A56" s="377">
        <v>45344</v>
      </c>
      <c r="B56" s="375" t="s">
        <v>2750</v>
      </c>
      <c r="C56" s="373">
        <v>32000</v>
      </c>
      <c r="D56" s="370" t="s">
        <v>122</v>
      </c>
      <c r="E56" s="370" t="s">
        <v>122</v>
      </c>
      <c r="F56" s="370" t="s">
        <v>122</v>
      </c>
      <c r="G56" s="370" t="s">
        <v>122</v>
      </c>
      <c r="H56" s="370" t="s">
        <v>122</v>
      </c>
    </row>
    <row r="57" spans="1:8" x14ac:dyDescent="0.25">
      <c r="A57" s="377">
        <v>45345</v>
      </c>
      <c r="B57" s="375" t="s">
        <v>2750</v>
      </c>
      <c r="C57" s="373">
        <v>32000</v>
      </c>
      <c r="D57" s="370" t="s">
        <v>122</v>
      </c>
      <c r="E57" s="370" t="s">
        <v>122</v>
      </c>
      <c r="F57" s="370" t="s">
        <v>122</v>
      </c>
      <c r="G57" s="370" t="s">
        <v>122</v>
      </c>
      <c r="H57" s="370" t="s">
        <v>122</v>
      </c>
    </row>
    <row r="58" spans="1:8" x14ac:dyDescent="0.25">
      <c r="A58" s="377">
        <v>45346</v>
      </c>
      <c r="B58" s="375" t="s">
        <v>2877</v>
      </c>
      <c r="C58" s="373">
        <v>31750</v>
      </c>
      <c r="D58" s="370" t="s">
        <v>122</v>
      </c>
      <c r="E58" s="370" t="s">
        <v>122</v>
      </c>
      <c r="F58" s="370" t="s">
        <v>122</v>
      </c>
      <c r="G58" s="370" t="s">
        <v>122</v>
      </c>
      <c r="H58" s="370" t="s">
        <v>122</v>
      </c>
    </row>
    <row r="59" spans="1:8" x14ac:dyDescent="0.25">
      <c r="A59" s="377">
        <v>45347</v>
      </c>
      <c r="B59" s="375" t="s">
        <v>2877</v>
      </c>
      <c r="C59" s="373">
        <v>31750</v>
      </c>
      <c r="D59" s="370" t="s">
        <v>122</v>
      </c>
      <c r="E59" s="370" t="s">
        <v>122</v>
      </c>
      <c r="F59" s="370" t="s">
        <v>122</v>
      </c>
      <c r="G59" s="370" t="s">
        <v>122</v>
      </c>
      <c r="H59" s="370" t="s">
        <v>122</v>
      </c>
    </row>
    <row r="60" spans="1:8" x14ac:dyDescent="0.25">
      <c r="A60" s="377">
        <v>45348</v>
      </c>
      <c r="B60" s="375" t="s">
        <v>2878</v>
      </c>
      <c r="C60" s="373">
        <v>31500</v>
      </c>
      <c r="D60" s="370" t="s">
        <v>122</v>
      </c>
      <c r="E60" s="370" t="s">
        <v>122</v>
      </c>
      <c r="F60" s="370" t="s">
        <v>122</v>
      </c>
      <c r="G60" s="370" t="s">
        <v>122</v>
      </c>
      <c r="H60" s="370" t="s">
        <v>122</v>
      </c>
    </row>
    <row r="61" spans="1:8" x14ac:dyDescent="0.25">
      <c r="A61" s="377">
        <v>45349</v>
      </c>
      <c r="B61" s="375" t="s">
        <v>2878</v>
      </c>
      <c r="C61" s="373">
        <v>31500</v>
      </c>
      <c r="D61" s="370" t="s">
        <v>122</v>
      </c>
      <c r="E61" s="370" t="s">
        <v>122</v>
      </c>
      <c r="F61" s="370" t="s">
        <v>122</v>
      </c>
      <c r="G61" s="370" t="s">
        <v>122</v>
      </c>
      <c r="H61" s="370" t="s">
        <v>122</v>
      </c>
    </row>
    <row r="62" spans="1:8" x14ac:dyDescent="0.25">
      <c r="A62" s="377">
        <v>45350</v>
      </c>
      <c r="B62" s="375" t="s">
        <v>2878</v>
      </c>
      <c r="C62" s="373">
        <v>31500</v>
      </c>
      <c r="D62" s="370" t="s">
        <v>122</v>
      </c>
      <c r="E62" s="370" t="s">
        <v>122</v>
      </c>
      <c r="F62" s="370" t="s">
        <v>122</v>
      </c>
      <c r="G62" s="370" t="s">
        <v>122</v>
      </c>
      <c r="H62" s="370" t="s">
        <v>122</v>
      </c>
    </row>
    <row r="63" spans="1:8" x14ac:dyDescent="0.25">
      <c r="A63" s="377">
        <v>45351</v>
      </c>
      <c r="B63" s="375" t="s">
        <v>2878</v>
      </c>
      <c r="C63" s="373">
        <v>31500</v>
      </c>
      <c r="D63" s="370" t="s">
        <v>122</v>
      </c>
      <c r="E63" s="370" t="s">
        <v>122</v>
      </c>
      <c r="F63" s="370" t="s">
        <v>122</v>
      </c>
      <c r="G63" s="370" t="s">
        <v>122</v>
      </c>
      <c r="H63" s="370" t="s">
        <v>122</v>
      </c>
    </row>
    <row r="64" spans="1:8" x14ac:dyDescent="0.25">
      <c r="A64" s="377">
        <v>45352</v>
      </c>
      <c r="B64" s="375" t="s">
        <v>2219</v>
      </c>
      <c r="C64" s="376">
        <v>31312.5</v>
      </c>
      <c r="D64" s="370" t="s">
        <v>122</v>
      </c>
      <c r="E64" s="370" t="s">
        <v>122</v>
      </c>
      <c r="F64" s="370" t="s">
        <v>122</v>
      </c>
      <c r="G64" s="370" t="s">
        <v>122</v>
      </c>
      <c r="H64" s="370" t="s">
        <v>122</v>
      </c>
    </row>
    <row r="65" spans="1:8" x14ac:dyDescent="0.25">
      <c r="A65" s="377">
        <v>45353</v>
      </c>
      <c r="B65" s="375" t="s">
        <v>2219</v>
      </c>
      <c r="C65" s="376">
        <v>31312.5</v>
      </c>
      <c r="D65" s="370" t="s">
        <v>122</v>
      </c>
      <c r="E65" s="370" t="s">
        <v>122</v>
      </c>
      <c r="F65" s="370" t="s">
        <v>122</v>
      </c>
      <c r="G65" s="370" t="s">
        <v>122</v>
      </c>
      <c r="H65" s="370" t="s">
        <v>122</v>
      </c>
    </row>
    <row r="66" spans="1:8" x14ac:dyDescent="0.25">
      <c r="A66" s="377">
        <v>45354</v>
      </c>
      <c r="B66" s="375" t="s">
        <v>2219</v>
      </c>
      <c r="C66" s="376">
        <v>31312.5</v>
      </c>
      <c r="D66" s="370" t="s">
        <v>122</v>
      </c>
      <c r="E66" s="370" t="s">
        <v>122</v>
      </c>
      <c r="F66" s="370" t="s">
        <v>122</v>
      </c>
      <c r="G66" s="370" t="s">
        <v>122</v>
      </c>
      <c r="H66" s="370" t="s">
        <v>122</v>
      </c>
    </row>
    <row r="67" spans="1:8" x14ac:dyDescent="0.25">
      <c r="A67" s="377">
        <v>45355</v>
      </c>
      <c r="B67" s="375" t="s">
        <v>2219</v>
      </c>
      <c r="C67" s="376">
        <v>31312.5</v>
      </c>
      <c r="D67" s="370" t="s">
        <v>122</v>
      </c>
      <c r="E67" s="370" t="s">
        <v>122</v>
      </c>
      <c r="F67" s="370" t="s">
        <v>122</v>
      </c>
      <c r="G67" s="370" t="s">
        <v>122</v>
      </c>
      <c r="H67" s="370" t="s">
        <v>122</v>
      </c>
    </row>
    <row r="68" spans="1:8" x14ac:dyDescent="0.25">
      <c r="A68" s="377">
        <v>45356</v>
      </c>
      <c r="B68" s="375" t="s">
        <v>2219</v>
      </c>
      <c r="C68" s="376">
        <v>31312.5</v>
      </c>
      <c r="D68" s="370" t="s">
        <v>122</v>
      </c>
      <c r="E68" s="370" t="s">
        <v>122</v>
      </c>
      <c r="F68" s="370" t="s">
        <v>122</v>
      </c>
      <c r="G68" s="370" t="s">
        <v>122</v>
      </c>
      <c r="H68" s="370" t="s">
        <v>122</v>
      </c>
    </row>
    <row r="69" spans="1:8" x14ac:dyDescent="0.25">
      <c r="A69" s="377">
        <v>45357</v>
      </c>
      <c r="B69" s="375" t="s">
        <v>2157</v>
      </c>
      <c r="C69" s="373">
        <v>31125</v>
      </c>
      <c r="D69" s="370" t="s">
        <v>122</v>
      </c>
      <c r="E69" s="370" t="s">
        <v>122</v>
      </c>
      <c r="F69" s="370" t="s">
        <v>122</v>
      </c>
      <c r="G69" s="370" t="s">
        <v>122</v>
      </c>
      <c r="H69" s="370" t="s">
        <v>122</v>
      </c>
    </row>
    <row r="70" spans="1:8" x14ac:dyDescent="0.25">
      <c r="A70" s="377">
        <v>45358</v>
      </c>
      <c r="B70" s="375" t="s">
        <v>2235</v>
      </c>
      <c r="C70" s="376">
        <v>30937.5</v>
      </c>
      <c r="D70" s="370" t="s">
        <v>122</v>
      </c>
      <c r="E70" s="370" t="s">
        <v>122</v>
      </c>
      <c r="F70" s="370" t="s">
        <v>122</v>
      </c>
      <c r="G70" s="370" t="s">
        <v>122</v>
      </c>
      <c r="H70" s="370" t="s">
        <v>122</v>
      </c>
    </row>
    <row r="71" spans="1:8" x14ac:dyDescent="0.25">
      <c r="A71" s="377">
        <v>45359</v>
      </c>
      <c r="B71" s="375" t="s">
        <v>2235</v>
      </c>
      <c r="C71" s="376">
        <v>30937.5</v>
      </c>
      <c r="D71" s="370" t="s">
        <v>122</v>
      </c>
      <c r="E71" s="370" t="s">
        <v>122</v>
      </c>
      <c r="F71" s="370" t="s">
        <v>122</v>
      </c>
      <c r="G71" s="370" t="s">
        <v>122</v>
      </c>
      <c r="H71" s="370" t="s">
        <v>122</v>
      </c>
    </row>
    <row r="72" spans="1:8" x14ac:dyDescent="0.25">
      <c r="A72" s="377">
        <v>45360</v>
      </c>
      <c r="B72" s="375" t="s">
        <v>2184</v>
      </c>
      <c r="C72" s="373">
        <v>30750</v>
      </c>
      <c r="D72" s="370" t="s">
        <v>122</v>
      </c>
      <c r="E72" s="370" t="s">
        <v>122</v>
      </c>
      <c r="F72" s="370" t="s">
        <v>122</v>
      </c>
      <c r="G72" s="370" t="s">
        <v>122</v>
      </c>
      <c r="H72" s="370" t="s">
        <v>122</v>
      </c>
    </row>
    <row r="73" spans="1:8" x14ac:dyDescent="0.25">
      <c r="A73" s="377">
        <v>45361</v>
      </c>
      <c r="B73" s="375" t="s">
        <v>2184</v>
      </c>
      <c r="C73" s="373">
        <v>30750</v>
      </c>
      <c r="D73" s="370" t="s">
        <v>122</v>
      </c>
      <c r="E73" s="370" t="s">
        <v>122</v>
      </c>
      <c r="F73" s="370" t="s">
        <v>122</v>
      </c>
      <c r="G73" s="370" t="s">
        <v>122</v>
      </c>
      <c r="H73" s="370" t="s">
        <v>122</v>
      </c>
    </row>
    <row r="74" spans="1:8" x14ac:dyDescent="0.25">
      <c r="A74" s="377">
        <v>45362</v>
      </c>
      <c r="B74" s="375" t="s">
        <v>2879</v>
      </c>
      <c r="C74" s="373">
        <v>30625</v>
      </c>
      <c r="D74" s="370" t="s">
        <v>122</v>
      </c>
      <c r="E74" s="370" t="s">
        <v>122</v>
      </c>
      <c r="F74" s="370" t="s">
        <v>122</v>
      </c>
      <c r="G74" s="370" t="s">
        <v>122</v>
      </c>
      <c r="H74" s="370" t="s">
        <v>122</v>
      </c>
    </row>
    <row r="75" spans="1:8" x14ac:dyDescent="0.25">
      <c r="A75" s="377">
        <v>45363</v>
      </c>
      <c r="B75" s="375" t="s">
        <v>2879</v>
      </c>
      <c r="C75" s="373">
        <v>30625</v>
      </c>
      <c r="D75" s="370" t="s">
        <v>122</v>
      </c>
      <c r="E75" s="370" t="s">
        <v>122</v>
      </c>
      <c r="F75" s="370" t="s">
        <v>122</v>
      </c>
      <c r="G75" s="370" t="s">
        <v>122</v>
      </c>
      <c r="H75" s="370" t="s">
        <v>122</v>
      </c>
    </row>
    <row r="76" spans="1:8" x14ac:dyDescent="0.25">
      <c r="A76" s="377">
        <v>45364</v>
      </c>
      <c r="B76" s="375" t="s">
        <v>2187</v>
      </c>
      <c r="C76" s="373">
        <v>30500</v>
      </c>
      <c r="D76" s="370" t="s">
        <v>122</v>
      </c>
      <c r="E76" s="370" t="s">
        <v>122</v>
      </c>
      <c r="F76" s="370" t="s">
        <v>122</v>
      </c>
      <c r="G76" s="370" t="s">
        <v>122</v>
      </c>
      <c r="H76" s="370" t="s">
        <v>122</v>
      </c>
    </row>
    <row r="77" spans="1:8" x14ac:dyDescent="0.25">
      <c r="A77" s="377">
        <v>45365</v>
      </c>
      <c r="B77" s="375" t="s">
        <v>2189</v>
      </c>
      <c r="C77" s="373">
        <v>30400</v>
      </c>
      <c r="D77" s="370" t="s">
        <v>122</v>
      </c>
      <c r="E77" s="370" t="s">
        <v>122</v>
      </c>
      <c r="F77" s="370" t="s">
        <v>122</v>
      </c>
      <c r="G77" s="370" t="s">
        <v>122</v>
      </c>
      <c r="H77" s="370" t="s">
        <v>122</v>
      </c>
    </row>
    <row r="78" spans="1:8" x14ac:dyDescent="0.25">
      <c r="A78" s="377">
        <v>45366</v>
      </c>
      <c r="B78" s="375" t="s">
        <v>2189</v>
      </c>
      <c r="C78" s="373">
        <v>30400</v>
      </c>
      <c r="D78" s="370" t="s">
        <v>122</v>
      </c>
      <c r="E78" s="370" t="s">
        <v>122</v>
      </c>
      <c r="F78" s="370" t="s">
        <v>122</v>
      </c>
      <c r="G78" s="370" t="s">
        <v>122</v>
      </c>
      <c r="H78" s="370" t="s">
        <v>122</v>
      </c>
    </row>
    <row r="79" spans="1:8" x14ac:dyDescent="0.25">
      <c r="A79" s="377">
        <v>45367</v>
      </c>
      <c r="B79" s="375" t="s">
        <v>2164</v>
      </c>
      <c r="C79" s="373">
        <v>30300</v>
      </c>
      <c r="D79" s="370" t="s">
        <v>122</v>
      </c>
      <c r="E79" s="370" t="s">
        <v>122</v>
      </c>
      <c r="F79" s="370" t="s">
        <v>122</v>
      </c>
      <c r="G79" s="370" t="s">
        <v>122</v>
      </c>
      <c r="H79" s="370" t="s">
        <v>122</v>
      </c>
    </row>
    <row r="80" spans="1:8" x14ac:dyDescent="0.25">
      <c r="A80" s="377">
        <v>45368</v>
      </c>
      <c r="B80" s="375" t="s">
        <v>2164</v>
      </c>
      <c r="C80" s="373">
        <v>30300</v>
      </c>
      <c r="D80" s="370" t="s">
        <v>122</v>
      </c>
      <c r="E80" s="370" t="s">
        <v>122</v>
      </c>
      <c r="F80" s="370" t="s">
        <v>122</v>
      </c>
      <c r="G80" s="370" t="s">
        <v>122</v>
      </c>
      <c r="H80" s="370" t="s">
        <v>122</v>
      </c>
    </row>
    <row r="81" spans="1:8" x14ac:dyDescent="0.25">
      <c r="A81" s="377">
        <v>45369</v>
      </c>
      <c r="B81" s="375" t="s">
        <v>2191</v>
      </c>
      <c r="C81" s="373">
        <v>30250</v>
      </c>
      <c r="D81" s="370" t="s">
        <v>2186</v>
      </c>
      <c r="E81" s="370">
        <v>49.34</v>
      </c>
      <c r="F81" s="370" t="s">
        <v>2186</v>
      </c>
      <c r="G81" s="370">
        <v>47.39</v>
      </c>
      <c r="H81" s="370" t="s">
        <v>122</v>
      </c>
    </row>
    <row r="82" spans="1:8" x14ac:dyDescent="0.25">
      <c r="A82" s="377">
        <v>45370</v>
      </c>
      <c r="B82" s="375" t="s">
        <v>2165</v>
      </c>
      <c r="C82" s="373">
        <v>30100</v>
      </c>
      <c r="D82" s="370" t="s">
        <v>2177</v>
      </c>
      <c r="E82" s="370">
        <v>72.239999999999995</v>
      </c>
      <c r="F82" s="370" t="s">
        <v>2177</v>
      </c>
      <c r="G82" s="370">
        <v>74.78</v>
      </c>
      <c r="H82" s="370" t="s">
        <v>122</v>
      </c>
    </row>
    <row r="83" spans="1:8" x14ac:dyDescent="0.25">
      <c r="A83" s="377">
        <v>45371</v>
      </c>
      <c r="B83" s="375" t="s">
        <v>2225</v>
      </c>
      <c r="C83" s="373">
        <v>28800</v>
      </c>
      <c r="D83" s="370" t="s">
        <v>2179</v>
      </c>
      <c r="E83" s="370">
        <v>78.739999999999995</v>
      </c>
      <c r="F83" s="370" t="s">
        <v>2177</v>
      </c>
      <c r="G83" s="370">
        <v>69.91</v>
      </c>
      <c r="H83" s="370" t="s">
        <v>122</v>
      </c>
    </row>
    <row r="84" spans="1:8" x14ac:dyDescent="0.25">
      <c r="A84" s="377">
        <v>45372</v>
      </c>
      <c r="B84" s="375" t="s">
        <v>2229</v>
      </c>
      <c r="C84" s="364">
        <v>28550</v>
      </c>
      <c r="D84" s="370" t="s">
        <v>2179</v>
      </c>
      <c r="E84" s="370">
        <v>78.34</v>
      </c>
      <c r="F84" s="370" t="s">
        <v>2177</v>
      </c>
      <c r="G84" s="370">
        <v>69.569999999999993</v>
      </c>
      <c r="H84" s="370" t="s">
        <v>122</v>
      </c>
    </row>
    <row r="85" spans="1:8" x14ac:dyDescent="0.25">
      <c r="A85" s="377">
        <v>45373</v>
      </c>
      <c r="B85" s="375" t="s">
        <v>2880</v>
      </c>
      <c r="C85" s="364">
        <v>28300</v>
      </c>
      <c r="D85" s="370" t="s">
        <v>2510</v>
      </c>
      <c r="E85" s="370">
        <v>88.58</v>
      </c>
      <c r="F85" s="370" t="s">
        <v>2510</v>
      </c>
      <c r="G85" s="370">
        <v>91.26</v>
      </c>
      <c r="H85" s="370" t="s">
        <v>122</v>
      </c>
    </row>
    <row r="86" spans="1:8" x14ac:dyDescent="0.25">
      <c r="A86" s="377">
        <v>45374</v>
      </c>
      <c r="B86" s="375" t="s">
        <v>2881</v>
      </c>
      <c r="C86" s="364">
        <v>28100</v>
      </c>
      <c r="D86" s="370" t="s">
        <v>2726</v>
      </c>
      <c r="E86" s="370">
        <v>88.34</v>
      </c>
      <c r="F86" s="370" t="s">
        <v>2510</v>
      </c>
      <c r="G86" s="370">
        <v>91.03</v>
      </c>
      <c r="H86" s="370" t="s">
        <v>122</v>
      </c>
    </row>
    <row r="87" spans="1:8" x14ac:dyDescent="0.25">
      <c r="A87" s="377">
        <v>45375</v>
      </c>
      <c r="B87" s="375" t="s">
        <v>2882</v>
      </c>
      <c r="C87" s="364">
        <v>27925</v>
      </c>
      <c r="D87" s="370" t="s">
        <v>2726</v>
      </c>
      <c r="E87" s="370">
        <v>98.58</v>
      </c>
      <c r="F87" s="370" t="s">
        <v>2510</v>
      </c>
      <c r="G87" s="370">
        <v>90.92</v>
      </c>
      <c r="H87" s="370" t="s">
        <v>122</v>
      </c>
    </row>
    <row r="88" spans="1:8" x14ac:dyDescent="0.25">
      <c r="A88" s="377">
        <v>45376</v>
      </c>
      <c r="B88" s="375" t="s">
        <v>2883</v>
      </c>
      <c r="C88" s="364">
        <v>27500</v>
      </c>
      <c r="D88" s="370" t="s">
        <v>2726</v>
      </c>
      <c r="E88" s="370">
        <v>98.17</v>
      </c>
      <c r="F88" s="370" t="s">
        <v>2510</v>
      </c>
      <c r="G88" s="370">
        <v>90.57</v>
      </c>
      <c r="H88" s="370" t="s">
        <v>122</v>
      </c>
    </row>
    <row r="89" spans="1:8" x14ac:dyDescent="0.25">
      <c r="A89" s="377">
        <v>45377</v>
      </c>
      <c r="B89" s="375" t="s">
        <v>2884</v>
      </c>
      <c r="C89" s="364">
        <v>26750</v>
      </c>
      <c r="D89" s="370" t="s">
        <v>2726</v>
      </c>
      <c r="E89" s="370">
        <v>97.62</v>
      </c>
      <c r="F89" s="370" t="s">
        <v>2510</v>
      </c>
      <c r="G89" s="370">
        <v>90.11</v>
      </c>
      <c r="H89" s="370" t="s">
        <v>122</v>
      </c>
    </row>
    <row r="90" spans="1:8" x14ac:dyDescent="0.25">
      <c r="A90" s="377">
        <v>45378</v>
      </c>
      <c r="B90" s="375" t="s">
        <v>2885</v>
      </c>
      <c r="C90" s="368">
        <v>26000</v>
      </c>
      <c r="D90" s="370" t="s">
        <v>2544</v>
      </c>
      <c r="E90" s="370">
        <v>107.25</v>
      </c>
      <c r="F90" s="370" t="s">
        <v>2510</v>
      </c>
      <c r="G90" s="370">
        <v>89.64</v>
      </c>
      <c r="H90" s="370" t="s">
        <v>122</v>
      </c>
    </row>
    <row r="91" spans="1:8" x14ac:dyDescent="0.25">
      <c r="A91" s="377">
        <v>45379</v>
      </c>
      <c r="B91" s="375" t="s">
        <v>2886</v>
      </c>
      <c r="C91" s="368">
        <v>25850</v>
      </c>
      <c r="D91" s="370" t="s">
        <v>2544</v>
      </c>
      <c r="E91" s="370">
        <v>106.94</v>
      </c>
      <c r="F91" s="370" t="s">
        <v>2510</v>
      </c>
      <c r="G91" s="370">
        <v>89.4</v>
      </c>
      <c r="H91" s="370" t="s">
        <v>122</v>
      </c>
    </row>
    <row r="92" spans="1:8" x14ac:dyDescent="0.25">
      <c r="A92" s="377">
        <v>45380</v>
      </c>
      <c r="B92" s="375" t="s">
        <v>2887</v>
      </c>
      <c r="C92" s="364">
        <v>25600</v>
      </c>
      <c r="D92" s="370" t="s">
        <v>2544</v>
      </c>
      <c r="E92" s="370">
        <v>106.48</v>
      </c>
      <c r="F92" s="370" t="s">
        <v>2510</v>
      </c>
      <c r="G92" s="370">
        <v>89.05</v>
      </c>
      <c r="H92" s="370" t="s">
        <v>122</v>
      </c>
    </row>
    <row r="93" spans="1:8" x14ac:dyDescent="0.25">
      <c r="A93" s="377">
        <v>45381</v>
      </c>
      <c r="B93" s="375" t="s">
        <v>2888</v>
      </c>
      <c r="C93" s="364">
        <v>25200</v>
      </c>
      <c r="D93" s="370" t="s">
        <v>2730</v>
      </c>
      <c r="E93" s="370">
        <v>90.64</v>
      </c>
      <c r="F93" s="370" t="s">
        <v>2180</v>
      </c>
      <c r="G93" s="370">
        <v>83.15</v>
      </c>
      <c r="H93" s="370" t="s">
        <v>122</v>
      </c>
    </row>
    <row r="94" spans="1:8" x14ac:dyDescent="0.25">
      <c r="A94" s="377">
        <v>45382</v>
      </c>
      <c r="B94" s="375" t="s">
        <v>2889</v>
      </c>
      <c r="C94" s="364">
        <v>24500</v>
      </c>
      <c r="D94" s="370" t="s">
        <v>2730</v>
      </c>
      <c r="E94" s="370">
        <v>90.12</v>
      </c>
      <c r="F94" s="370" t="s">
        <v>2180</v>
      </c>
      <c r="G94" s="370">
        <v>82.71</v>
      </c>
      <c r="H94" s="370" t="s">
        <v>122</v>
      </c>
    </row>
    <row r="95" spans="1:8" x14ac:dyDescent="0.25">
      <c r="A95" s="377">
        <v>45383</v>
      </c>
      <c r="B95" s="363" t="s">
        <v>2890</v>
      </c>
      <c r="C95" s="364">
        <v>23500</v>
      </c>
      <c r="D95" s="370" t="s">
        <v>2730</v>
      </c>
      <c r="E95" s="370">
        <v>89.59</v>
      </c>
      <c r="F95" s="370" t="s">
        <v>2180</v>
      </c>
      <c r="G95" s="370">
        <v>82.26</v>
      </c>
      <c r="H95" s="370" t="s">
        <v>122</v>
      </c>
    </row>
    <row r="96" spans="1:8" x14ac:dyDescent="0.25">
      <c r="A96" s="377">
        <v>45384</v>
      </c>
      <c r="B96" s="363" t="s">
        <v>2891</v>
      </c>
      <c r="C96" s="364">
        <v>22400</v>
      </c>
      <c r="D96" s="370" t="s">
        <v>2730</v>
      </c>
      <c r="E96" s="370">
        <v>89.06</v>
      </c>
      <c r="F96" s="370" t="s">
        <v>2180</v>
      </c>
      <c r="G96" s="370">
        <v>81.81</v>
      </c>
      <c r="H96" s="370" t="s">
        <v>122</v>
      </c>
    </row>
    <row r="97" spans="1:8" x14ac:dyDescent="0.25">
      <c r="A97" s="377">
        <v>45385</v>
      </c>
      <c r="B97" s="363" t="s">
        <v>2892</v>
      </c>
      <c r="C97" s="364">
        <v>22325</v>
      </c>
      <c r="D97" s="370" t="s">
        <v>2730</v>
      </c>
      <c r="E97" s="370">
        <v>88.52</v>
      </c>
      <c r="F97" s="370" t="s">
        <v>2180</v>
      </c>
      <c r="G97" s="370">
        <v>81.36</v>
      </c>
      <c r="H97" s="370" t="s">
        <v>122</v>
      </c>
    </row>
    <row r="98" spans="1:8" x14ac:dyDescent="0.25">
      <c r="A98" s="377">
        <v>45386</v>
      </c>
      <c r="B98" s="363" t="s">
        <v>2893</v>
      </c>
      <c r="C98" s="364">
        <v>22250</v>
      </c>
      <c r="D98" s="370" t="s">
        <v>2730</v>
      </c>
      <c r="E98" s="370">
        <v>87.98</v>
      </c>
      <c r="F98" s="370" t="s">
        <v>2180</v>
      </c>
      <c r="G98" s="370">
        <v>80.900000000000006</v>
      </c>
      <c r="H98" s="370" t="s">
        <v>122</v>
      </c>
    </row>
    <row r="99" spans="1:8" x14ac:dyDescent="0.25">
      <c r="A99" s="377">
        <v>45387</v>
      </c>
      <c r="B99" s="363" t="s">
        <v>2479</v>
      </c>
      <c r="C99" s="364">
        <v>22000</v>
      </c>
      <c r="D99" s="370" t="s">
        <v>2180</v>
      </c>
      <c r="E99" s="370">
        <v>77.87</v>
      </c>
      <c r="F99" s="370" t="s">
        <v>2180</v>
      </c>
      <c r="G99" s="370">
        <v>80.67</v>
      </c>
      <c r="H99" s="370" t="s">
        <v>122</v>
      </c>
    </row>
    <row r="100" spans="1:8" x14ac:dyDescent="0.25">
      <c r="A100" s="377">
        <v>45388</v>
      </c>
      <c r="B100" s="363" t="s">
        <v>2480</v>
      </c>
      <c r="C100" s="364">
        <v>21625</v>
      </c>
      <c r="D100" s="370" t="s">
        <v>2177</v>
      </c>
      <c r="E100" s="370">
        <v>62.59</v>
      </c>
      <c r="F100" s="370" t="s">
        <v>2180</v>
      </c>
      <c r="G100" s="370">
        <v>80.319999999999993</v>
      </c>
      <c r="H100" s="370" t="s">
        <v>122</v>
      </c>
    </row>
    <row r="101" spans="1:8" x14ac:dyDescent="0.25">
      <c r="A101" s="377">
        <v>45389</v>
      </c>
      <c r="B101" s="363" t="s">
        <v>2894</v>
      </c>
      <c r="C101" s="364">
        <v>21400</v>
      </c>
      <c r="D101" s="370" t="s">
        <v>2177</v>
      </c>
      <c r="E101" s="370">
        <v>62.3</v>
      </c>
      <c r="F101" s="370" t="s">
        <v>2180</v>
      </c>
      <c r="G101" s="370">
        <v>79.98</v>
      </c>
      <c r="H101" s="370" t="s">
        <v>122</v>
      </c>
    </row>
    <row r="102" spans="1:8" x14ac:dyDescent="0.25">
      <c r="A102" s="377">
        <v>45390</v>
      </c>
      <c r="B102" s="363" t="s">
        <v>1847</v>
      </c>
      <c r="C102" s="364">
        <v>21000</v>
      </c>
      <c r="D102" s="370" t="s">
        <v>2177</v>
      </c>
      <c r="E102" s="370">
        <v>61.92</v>
      </c>
      <c r="F102" s="370" t="s">
        <v>2177</v>
      </c>
      <c r="G102" s="370">
        <v>64.17</v>
      </c>
      <c r="H102" s="370" t="s">
        <v>122</v>
      </c>
    </row>
    <row r="103" spans="1:8" x14ac:dyDescent="0.25">
      <c r="A103" s="377">
        <v>45391</v>
      </c>
      <c r="B103" s="363" t="s">
        <v>2348</v>
      </c>
      <c r="C103" s="364">
        <v>20550</v>
      </c>
      <c r="D103" s="370" t="s">
        <v>2177</v>
      </c>
      <c r="E103" s="370">
        <v>61.63</v>
      </c>
      <c r="F103" s="370" t="s">
        <v>2176</v>
      </c>
      <c r="G103" s="370">
        <v>69.010000000000005</v>
      </c>
      <c r="H103" s="370" t="s">
        <v>122</v>
      </c>
    </row>
    <row r="104" spans="1:8" x14ac:dyDescent="0.25">
      <c r="A104" s="377">
        <v>45392</v>
      </c>
      <c r="B104" s="363" t="s">
        <v>2330</v>
      </c>
      <c r="C104" s="364">
        <v>19850</v>
      </c>
      <c r="D104" s="370" t="s">
        <v>122</v>
      </c>
      <c r="E104" s="370" t="s">
        <v>122</v>
      </c>
      <c r="F104" s="370" t="s">
        <v>122</v>
      </c>
      <c r="G104" s="370" t="s">
        <v>122</v>
      </c>
      <c r="H104" s="370" t="s">
        <v>122</v>
      </c>
    </row>
    <row r="105" spans="1:8" x14ac:dyDescent="0.25">
      <c r="A105" s="377">
        <v>45393</v>
      </c>
      <c r="B105" s="363" t="s">
        <v>2330</v>
      </c>
      <c r="C105" s="364">
        <v>19850</v>
      </c>
      <c r="D105" s="370" t="s">
        <v>122</v>
      </c>
      <c r="E105" s="370" t="s">
        <v>122</v>
      </c>
      <c r="F105" s="370" t="s">
        <v>122</v>
      </c>
      <c r="G105" s="370" t="s">
        <v>122</v>
      </c>
      <c r="H105" s="370" t="s">
        <v>122</v>
      </c>
    </row>
    <row r="106" spans="1:8" x14ac:dyDescent="0.25">
      <c r="A106" s="377">
        <v>45394</v>
      </c>
      <c r="B106" s="363" t="s">
        <v>2330</v>
      </c>
      <c r="C106" s="364">
        <v>19850</v>
      </c>
      <c r="D106" s="370" t="s">
        <v>2177</v>
      </c>
      <c r="E106" s="370">
        <v>61.15</v>
      </c>
      <c r="F106" s="370" t="s">
        <v>2180</v>
      </c>
      <c r="G106" s="370">
        <v>78.58</v>
      </c>
      <c r="H106" s="370" t="s">
        <v>122</v>
      </c>
    </row>
    <row r="107" spans="1:8" x14ac:dyDescent="0.25">
      <c r="A107" s="377">
        <v>45395</v>
      </c>
      <c r="B107" s="363" t="s">
        <v>2483</v>
      </c>
      <c r="C107" s="364">
        <v>19925</v>
      </c>
      <c r="D107" s="370" t="s">
        <v>122</v>
      </c>
      <c r="E107" s="370" t="s">
        <v>122</v>
      </c>
      <c r="F107" s="370" t="s">
        <v>2186</v>
      </c>
      <c r="G107" s="370">
        <v>42.84</v>
      </c>
      <c r="H107" s="370" t="s">
        <v>122</v>
      </c>
    </row>
    <row r="108" spans="1:8" x14ac:dyDescent="0.25">
      <c r="A108" s="377">
        <v>45396</v>
      </c>
      <c r="B108" s="363" t="s">
        <v>2483</v>
      </c>
      <c r="C108" s="364">
        <v>19925</v>
      </c>
      <c r="D108" s="370" t="s">
        <v>122</v>
      </c>
      <c r="E108" s="370" t="s">
        <v>122</v>
      </c>
      <c r="F108" s="370" t="s">
        <v>122</v>
      </c>
      <c r="G108" s="370" t="s">
        <v>122</v>
      </c>
      <c r="H108" s="370" t="s">
        <v>122</v>
      </c>
    </row>
    <row r="109" spans="1:8" x14ac:dyDescent="0.25">
      <c r="A109" s="377">
        <v>45397</v>
      </c>
      <c r="B109" s="363" t="s">
        <v>2330</v>
      </c>
      <c r="C109" s="364">
        <v>19850</v>
      </c>
      <c r="D109" s="370" t="s">
        <v>2177</v>
      </c>
      <c r="E109" s="370">
        <v>61.15</v>
      </c>
      <c r="F109" s="370" t="s">
        <v>2152</v>
      </c>
      <c r="G109" s="370">
        <v>32.270000000000003</v>
      </c>
      <c r="H109" s="370" t="s">
        <v>122</v>
      </c>
    </row>
    <row r="110" spans="1:8" x14ac:dyDescent="0.25">
      <c r="A110" s="377">
        <v>45398</v>
      </c>
      <c r="B110" s="363" t="s">
        <v>2351</v>
      </c>
      <c r="C110" s="364">
        <v>19700</v>
      </c>
      <c r="D110" s="370" t="s">
        <v>2180</v>
      </c>
      <c r="E110" s="370">
        <v>75.459999999999994</v>
      </c>
      <c r="F110" s="370" t="s">
        <v>2186</v>
      </c>
      <c r="G110" s="370">
        <v>42.66</v>
      </c>
      <c r="H110" s="370" t="s">
        <v>122</v>
      </c>
    </row>
    <row r="111" spans="1:8" x14ac:dyDescent="0.25">
      <c r="A111" s="377">
        <v>45399</v>
      </c>
      <c r="B111" s="363" t="s">
        <v>2331</v>
      </c>
      <c r="C111" s="364">
        <v>19500</v>
      </c>
      <c r="D111" s="370" t="s">
        <v>2726</v>
      </c>
      <c r="E111" s="370">
        <v>89.36</v>
      </c>
      <c r="F111" s="370" t="s">
        <v>2186</v>
      </c>
      <c r="G111" s="370">
        <v>42.53</v>
      </c>
      <c r="H111" s="370" t="s">
        <v>122</v>
      </c>
    </row>
    <row r="112" spans="1:8" x14ac:dyDescent="0.25">
      <c r="A112" s="377">
        <v>45400</v>
      </c>
      <c r="B112" s="363" t="s">
        <v>2332</v>
      </c>
      <c r="C112" s="364">
        <v>19200</v>
      </c>
      <c r="D112" s="370" t="s">
        <v>2544</v>
      </c>
      <c r="E112" s="370">
        <v>97.95</v>
      </c>
      <c r="F112" s="370" t="s">
        <v>2176</v>
      </c>
      <c r="G112" s="370">
        <v>67.7</v>
      </c>
      <c r="H112" s="370" t="s">
        <v>122</v>
      </c>
    </row>
    <row r="113" spans="1:8" x14ac:dyDescent="0.25">
      <c r="A113" s="377">
        <v>45401</v>
      </c>
      <c r="B113" s="363" t="s">
        <v>2353</v>
      </c>
      <c r="C113" s="364">
        <v>18425</v>
      </c>
      <c r="D113" s="370" t="s">
        <v>2544</v>
      </c>
      <c r="E113" s="370">
        <v>97.11</v>
      </c>
      <c r="F113" s="370" t="s">
        <v>2510</v>
      </c>
      <c r="G113" s="370">
        <v>81.91</v>
      </c>
      <c r="H113" s="370" t="s">
        <v>122</v>
      </c>
    </row>
    <row r="114" spans="1:8" x14ac:dyDescent="0.25">
      <c r="A114" s="377">
        <v>45402</v>
      </c>
      <c r="B114" s="363" t="s">
        <v>2335</v>
      </c>
      <c r="C114" s="364">
        <v>18000</v>
      </c>
      <c r="D114" s="370" t="s">
        <v>122</v>
      </c>
      <c r="E114" s="370" t="s">
        <v>122</v>
      </c>
      <c r="F114" s="370" t="s">
        <v>2510</v>
      </c>
      <c r="G114" s="370">
        <v>81.53</v>
      </c>
      <c r="H114" s="370" t="s">
        <v>122</v>
      </c>
    </row>
    <row r="115" spans="1:8" x14ac:dyDescent="0.25">
      <c r="A115" s="377">
        <v>45403</v>
      </c>
      <c r="B115" s="363" t="s">
        <v>2335</v>
      </c>
      <c r="C115" s="364">
        <v>18000</v>
      </c>
      <c r="D115" s="370" t="s">
        <v>122</v>
      </c>
      <c r="E115" s="370" t="s">
        <v>122</v>
      </c>
      <c r="F115" s="370" t="s">
        <v>122</v>
      </c>
      <c r="G115" s="370" t="s">
        <v>122</v>
      </c>
      <c r="H115" s="370" t="s">
        <v>122</v>
      </c>
    </row>
    <row r="116" spans="1:8" x14ac:dyDescent="0.25">
      <c r="A116" s="377">
        <v>45404</v>
      </c>
      <c r="B116" s="363" t="s">
        <v>2335</v>
      </c>
      <c r="C116" s="364">
        <v>18000</v>
      </c>
      <c r="D116" s="370" t="s">
        <v>122</v>
      </c>
      <c r="E116" s="370" t="s">
        <v>122</v>
      </c>
      <c r="F116" s="370" t="s">
        <v>122</v>
      </c>
      <c r="G116" s="370" t="s">
        <v>122</v>
      </c>
      <c r="H116" s="370" t="s">
        <v>122</v>
      </c>
    </row>
    <row r="117" spans="1:8" x14ac:dyDescent="0.25">
      <c r="A117" s="377">
        <v>45405</v>
      </c>
      <c r="B117" s="363" t="s">
        <v>2335</v>
      </c>
      <c r="C117" s="364">
        <v>18000</v>
      </c>
      <c r="D117" s="370" t="s">
        <v>122</v>
      </c>
      <c r="E117" s="370" t="s">
        <v>122</v>
      </c>
      <c r="F117" s="370" t="s">
        <v>122</v>
      </c>
      <c r="G117" s="370" t="s">
        <v>122</v>
      </c>
      <c r="H117" s="370" t="s">
        <v>122</v>
      </c>
    </row>
    <row r="118" spans="1:8" x14ac:dyDescent="0.25">
      <c r="A118" s="377">
        <v>45406</v>
      </c>
      <c r="B118" s="363" t="s">
        <v>2335</v>
      </c>
      <c r="C118" s="364">
        <v>18000</v>
      </c>
      <c r="D118" s="370" t="s">
        <v>2180</v>
      </c>
      <c r="E118" s="370">
        <v>73.73</v>
      </c>
      <c r="F118" s="370" t="s">
        <v>122</v>
      </c>
      <c r="G118" s="370" t="s">
        <v>122</v>
      </c>
      <c r="H118" s="370" t="s">
        <v>122</v>
      </c>
    </row>
    <row r="119" spans="1:8" x14ac:dyDescent="0.25">
      <c r="A119" s="377">
        <v>45407</v>
      </c>
      <c r="B119" s="363" t="s">
        <v>1846</v>
      </c>
      <c r="C119" s="364">
        <v>17600</v>
      </c>
      <c r="D119" s="370" t="s">
        <v>2726</v>
      </c>
      <c r="E119" s="370">
        <v>87.25</v>
      </c>
      <c r="F119" s="370" t="s">
        <v>2180</v>
      </c>
      <c r="G119" s="370">
        <v>76.430000000000007</v>
      </c>
      <c r="H119" s="370" t="s">
        <v>122</v>
      </c>
    </row>
    <row r="120" spans="1:8" x14ac:dyDescent="0.25">
      <c r="A120" s="377">
        <v>45408</v>
      </c>
      <c r="B120" s="363" t="s">
        <v>2895</v>
      </c>
      <c r="C120" s="364">
        <v>17500</v>
      </c>
      <c r="D120" s="370" t="s">
        <v>2544</v>
      </c>
      <c r="E120" s="370">
        <v>95.57</v>
      </c>
      <c r="F120" s="370" t="s">
        <v>2180</v>
      </c>
      <c r="G120" s="370">
        <v>75.95</v>
      </c>
      <c r="H120" s="370" t="s">
        <v>122</v>
      </c>
    </row>
    <row r="121" spans="1:8" x14ac:dyDescent="0.25">
      <c r="A121" s="377">
        <v>45409</v>
      </c>
      <c r="B121" s="363" t="s">
        <v>2338</v>
      </c>
      <c r="C121" s="364">
        <v>17250</v>
      </c>
      <c r="D121" s="370" t="s">
        <v>2544</v>
      </c>
      <c r="E121" s="370">
        <v>94.88</v>
      </c>
      <c r="F121" s="370" t="s">
        <v>2180</v>
      </c>
      <c r="G121" s="370">
        <v>75.459999999999994</v>
      </c>
      <c r="H121" s="370" t="s">
        <v>122</v>
      </c>
    </row>
    <row r="122" spans="1:8" x14ac:dyDescent="0.25">
      <c r="A122" s="377">
        <v>45410</v>
      </c>
      <c r="B122" s="363" t="s">
        <v>2572</v>
      </c>
      <c r="C122" s="364">
        <v>16900</v>
      </c>
      <c r="D122" s="370" t="s">
        <v>2544</v>
      </c>
      <c r="E122" s="370">
        <v>94.9</v>
      </c>
      <c r="F122" s="370" t="s">
        <v>2180</v>
      </c>
      <c r="G122" s="370">
        <v>74.97</v>
      </c>
      <c r="H122" s="370" t="s">
        <v>122</v>
      </c>
    </row>
    <row r="123" spans="1:8" x14ac:dyDescent="0.25">
      <c r="A123" s="377">
        <v>45411</v>
      </c>
      <c r="B123" s="363" t="s">
        <v>2341</v>
      </c>
      <c r="C123" s="364">
        <v>16700</v>
      </c>
      <c r="D123" s="370" t="s">
        <v>2544</v>
      </c>
      <c r="E123" s="370">
        <v>93.49</v>
      </c>
      <c r="F123" s="370" t="s">
        <v>2180</v>
      </c>
      <c r="G123" s="370">
        <v>7447</v>
      </c>
      <c r="H123" s="370" t="s">
        <v>122</v>
      </c>
    </row>
    <row r="124" spans="1:8" x14ac:dyDescent="0.25">
      <c r="A124" s="377">
        <v>45412</v>
      </c>
      <c r="B124" s="363" t="s">
        <v>2519</v>
      </c>
      <c r="C124" s="364">
        <v>16400</v>
      </c>
      <c r="D124" s="370" t="s">
        <v>122</v>
      </c>
      <c r="E124" s="370" t="s">
        <v>122</v>
      </c>
      <c r="F124" s="370" t="s">
        <v>2180</v>
      </c>
      <c r="G124" s="370">
        <v>73.73</v>
      </c>
      <c r="H124" s="370" t="s">
        <v>122</v>
      </c>
    </row>
    <row r="125" spans="1:8" x14ac:dyDescent="0.25">
      <c r="A125" s="377">
        <v>45413</v>
      </c>
      <c r="B125" s="363" t="s">
        <v>2896</v>
      </c>
      <c r="C125" s="364">
        <v>16200</v>
      </c>
      <c r="D125" s="370" t="s">
        <v>122</v>
      </c>
      <c r="E125" s="370" t="s">
        <v>122</v>
      </c>
      <c r="F125" s="370" t="s">
        <v>122</v>
      </c>
      <c r="G125" s="370" t="s">
        <v>122</v>
      </c>
      <c r="H125" s="370" t="s">
        <v>122</v>
      </c>
    </row>
    <row r="126" spans="1:8" x14ac:dyDescent="0.25">
      <c r="A126" s="377">
        <v>45414</v>
      </c>
      <c r="B126" s="363" t="s">
        <v>2896</v>
      </c>
      <c r="C126" s="364">
        <v>16200</v>
      </c>
      <c r="D126" s="370" t="s">
        <v>122</v>
      </c>
      <c r="E126" s="370" t="s">
        <v>122</v>
      </c>
      <c r="F126" s="370" t="s">
        <v>122</v>
      </c>
      <c r="G126" s="370" t="s">
        <v>122</v>
      </c>
      <c r="H126" s="370" t="s">
        <v>122</v>
      </c>
    </row>
    <row r="127" spans="1:8" x14ac:dyDescent="0.25">
      <c r="A127" s="377">
        <v>45415</v>
      </c>
      <c r="B127" s="363" t="s">
        <v>2896</v>
      </c>
      <c r="C127" s="364">
        <v>16200</v>
      </c>
      <c r="D127" s="370" t="s">
        <v>122</v>
      </c>
      <c r="E127" s="370" t="s">
        <v>122</v>
      </c>
      <c r="F127" s="370" t="s">
        <v>122</v>
      </c>
      <c r="G127" s="370" t="s">
        <v>122</v>
      </c>
      <c r="H127" s="370" t="s">
        <v>122</v>
      </c>
    </row>
    <row r="128" spans="1:8" x14ac:dyDescent="0.25">
      <c r="A128" s="377">
        <v>45416</v>
      </c>
      <c r="B128" s="363" t="s">
        <v>2896</v>
      </c>
      <c r="C128" s="364">
        <v>16200</v>
      </c>
      <c r="D128" s="370" t="s">
        <v>122</v>
      </c>
      <c r="E128" s="370" t="s">
        <v>122</v>
      </c>
      <c r="F128" s="370" t="s">
        <v>122</v>
      </c>
      <c r="G128" s="370" t="s">
        <v>122</v>
      </c>
      <c r="H128" s="370" t="s">
        <v>122</v>
      </c>
    </row>
    <row r="129" spans="1:8" x14ac:dyDescent="0.25">
      <c r="A129" s="377">
        <v>45417</v>
      </c>
      <c r="B129" s="363" t="s">
        <v>2364</v>
      </c>
      <c r="C129" s="364">
        <v>16100</v>
      </c>
      <c r="D129" s="370" t="s">
        <v>122</v>
      </c>
      <c r="E129" s="370" t="s">
        <v>122</v>
      </c>
      <c r="F129" s="370" t="s">
        <v>2509</v>
      </c>
      <c r="G129" s="370">
        <v>10.210000000000001</v>
      </c>
      <c r="H129" s="370" t="s">
        <v>122</v>
      </c>
    </row>
    <row r="130" spans="1:8" x14ac:dyDescent="0.25">
      <c r="A130" s="377">
        <v>45418</v>
      </c>
      <c r="B130" s="363" t="s">
        <v>2364</v>
      </c>
      <c r="C130" s="364">
        <v>16100</v>
      </c>
      <c r="D130" s="370" t="s">
        <v>2177</v>
      </c>
      <c r="E130" s="370">
        <v>56.73</v>
      </c>
      <c r="F130" s="370" t="s">
        <v>2544</v>
      </c>
      <c r="G130" s="370">
        <v>96.09</v>
      </c>
      <c r="H130" s="370" t="s">
        <v>122</v>
      </c>
    </row>
    <row r="131" spans="1:8" x14ac:dyDescent="0.25">
      <c r="A131" s="377">
        <v>45419</v>
      </c>
      <c r="B131" s="363" t="s">
        <v>2723</v>
      </c>
      <c r="C131" s="364">
        <v>15600</v>
      </c>
      <c r="D131" s="370" t="s">
        <v>2186</v>
      </c>
      <c r="E131" s="370">
        <v>38.1</v>
      </c>
      <c r="F131" s="370" t="s">
        <v>2544</v>
      </c>
      <c r="G131" s="370">
        <v>95.23</v>
      </c>
      <c r="H131" s="370" t="s">
        <v>122</v>
      </c>
    </row>
    <row r="132" spans="1:8" x14ac:dyDescent="0.25">
      <c r="A132" s="377">
        <v>45420</v>
      </c>
      <c r="B132" s="363" t="s">
        <v>2897</v>
      </c>
      <c r="C132" s="364">
        <v>15450</v>
      </c>
      <c r="D132" s="370" t="s">
        <v>2544</v>
      </c>
      <c r="E132" s="370">
        <v>90.26</v>
      </c>
      <c r="F132" s="370" t="s">
        <v>2544</v>
      </c>
      <c r="G132" s="370">
        <v>94.71</v>
      </c>
      <c r="H132" s="370" t="s">
        <v>122</v>
      </c>
    </row>
    <row r="133" spans="1:8" x14ac:dyDescent="0.25">
      <c r="A133" s="377">
        <v>45421</v>
      </c>
      <c r="B133" s="363" t="s">
        <v>2898</v>
      </c>
      <c r="C133" s="364">
        <v>14950</v>
      </c>
      <c r="D133" s="370" t="s">
        <v>2739</v>
      </c>
      <c r="E133" s="370">
        <v>105.2</v>
      </c>
      <c r="F133" s="370" t="s">
        <v>2544</v>
      </c>
      <c r="G133" s="370">
        <v>93.49</v>
      </c>
      <c r="H133" s="370" t="s">
        <v>122</v>
      </c>
    </row>
    <row r="134" spans="1:8" x14ac:dyDescent="0.25">
      <c r="A134" s="377">
        <v>45422</v>
      </c>
      <c r="B134" s="363" t="s">
        <v>2607</v>
      </c>
      <c r="C134" s="364">
        <v>14500</v>
      </c>
      <c r="D134" s="370" t="s">
        <v>2739</v>
      </c>
      <c r="E134" s="370">
        <v>103.84</v>
      </c>
      <c r="F134" s="370" t="s">
        <v>2544</v>
      </c>
      <c r="G134" s="370">
        <v>92.42</v>
      </c>
      <c r="H134" s="370" t="s">
        <v>122</v>
      </c>
    </row>
    <row r="135" spans="1:8" x14ac:dyDescent="0.25">
      <c r="A135" s="377">
        <v>45423</v>
      </c>
      <c r="B135" s="363" t="s">
        <v>2372</v>
      </c>
      <c r="C135" s="364">
        <v>13900</v>
      </c>
      <c r="D135" s="370" t="s">
        <v>2739</v>
      </c>
      <c r="E135" s="370">
        <v>102.46</v>
      </c>
      <c r="F135" s="370" t="s">
        <v>2544</v>
      </c>
      <c r="G135" s="370">
        <v>91.35</v>
      </c>
      <c r="H135" s="370" t="s">
        <v>122</v>
      </c>
    </row>
    <row r="136" spans="1:8" x14ac:dyDescent="0.25">
      <c r="A136" s="377">
        <v>45424</v>
      </c>
      <c r="B136" s="363" t="s">
        <v>2489</v>
      </c>
      <c r="C136" s="364">
        <v>13600</v>
      </c>
      <c r="D136" s="370" t="s">
        <v>2174</v>
      </c>
      <c r="E136" s="370">
        <v>44.96</v>
      </c>
      <c r="F136" s="370" t="s">
        <v>2544</v>
      </c>
      <c r="G136" s="370">
        <v>90.63</v>
      </c>
      <c r="H136" s="370" t="s">
        <v>122</v>
      </c>
    </row>
    <row r="137" spans="1:8" x14ac:dyDescent="0.25">
      <c r="A137" s="377">
        <v>45425</v>
      </c>
      <c r="B137" s="363" t="s">
        <v>2899</v>
      </c>
      <c r="C137" s="364">
        <v>13550</v>
      </c>
      <c r="D137" s="370" t="s">
        <v>122</v>
      </c>
      <c r="E137" s="370" t="s">
        <v>122</v>
      </c>
      <c r="F137" s="370" t="s">
        <v>122</v>
      </c>
      <c r="G137" s="370" t="s">
        <v>122</v>
      </c>
      <c r="H137" s="370" t="s">
        <v>122</v>
      </c>
    </row>
    <row r="138" spans="1:8" x14ac:dyDescent="0.25">
      <c r="A138" s="377">
        <v>45426</v>
      </c>
      <c r="B138" s="363" t="s">
        <v>2373</v>
      </c>
      <c r="C138" s="364">
        <v>13800</v>
      </c>
      <c r="D138" s="370" t="s">
        <v>122</v>
      </c>
      <c r="E138" s="370" t="s">
        <v>122</v>
      </c>
      <c r="F138" s="370" t="s">
        <v>122</v>
      </c>
      <c r="G138" s="370" t="s">
        <v>122</v>
      </c>
      <c r="H138" s="370" t="s">
        <v>122</v>
      </c>
    </row>
    <row r="139" spans="1:8" x14ac:dyDescent="0.25">
      <c r="A139" s="377">
        <v>45427</v>
      </c>
      <c r="B139" s="363" t="s">
        <v>2516</v>
      </c>
      <c r="C139" s="364">
        <v>15000</v>
      </c>
      <c r="D139" s="370" t="s">
        <v>122</v>
      </c>
      <c r="E139" s="370" t="s">
        <v>122</v>
      </c>
      <c r="F139" s="370" t="s">
        <v>122</v>
      </c>
      <c r="G139" s="370" t="s">
        <v>122</v>
      </c>
      <c r="H139" s="370" t="s">
        <v>122</v>
      </c>
    </row>
    <row r="140" spans="1:8" x14ac:dyDescent="0.25">
      <c r="A140" s="377">
        <v>45428</v>
      </c>
      <c r="B140" s="363" t="s">
        <v>2896</v>
      </c>
      <c r="C140" s="364">
        <v>16200</v>
      </c>
      <c r="D140" s="370" t="s">
        <v>122</v>
      </c>
      <c r="E140" s="370" t="s">
        <v>122</v>
      </c>
      <c r="F140" s="370" t="s">
        <v>122</v>
      </c>
      <c r="G140" s="370" t="s">
        <v>122</v>
      </c>
      <c r="H140" s="370" t="s">
        <v>122</v>
      </c>
    </row>
    <row r="141" spans="1:8" x14ac:dyDescent="0.25">
      <c r="A141" s="377">
        <v>45429</v>
      </c>
      <c r="B141" s="363" t="s">
        <v>2362</v>
      </c>
      <c r="C141" s="364">
        <v>16550</v>
      </c>
      <c r="D141" s="370" t="s">
        <v>122</v>
      </c>
      <c r="E141" s="370" t="s">
        <v>122</v>
      </c>
      <c r="F141" s="370" t="s">
        <v>122</v>
      </c>
      <c r="G141" s="370" t="s">
        <v>122</v>
      </c>
      <c r="H141" s="370" t="s">
        <v>122</v>
      </c>
    </row>
    <row r="142" spans="1:8" x14ac:dyDescent="0.25">
      <c r="A142" s="377">
        <v>45430</v>
      </c>
      <c r="B142" s="363" t="s">
        <v>2342</v>
      </c>
      <c r="C142" s="364">
        <v>16800</v>
      </c>
      <c r="D142" s="370" t="s">
        <v>122</v>
      </c>
      <c r="E142" s="370" t="s">
        <v>122</v>
      </c>
      <c r="F142" s="370" t="s">
        <v>122</v>
      </c>
      <c r="G142" s="370" t="s">
        <v>122</v>
      </c>
      <c r="H142" s="370" t="s">
        <v>122</v>
      </c>
    </row>
    <row r="143" spans="1:8" x14ac:dyDescent="0.25">
      <c r="A143" s="377">
        <v>45431</v>
      </c>
      <c r="B143" s="363" t="s">
        <v>2338</v>
      </c>
      <c r="C143" s="364">
        <v>17250</v>
      </c>
      <c r="D143" s="370" t="s">
        <v>122</v>
      </c>
      <c r="E143" s="370" t="s">
        <v>122</v>
      </c>
      <c r="F143" s="370" t="s">
        <v>122</v>
      </c>
      <c r="G143" s="370" t="s">
        <v>122</v>
      </c>
      <c r="H143" s="370" t="s">
        <v>122</v>
      </c>
    </row>
    <row r="144" spans="1:8" x14ac:dyDescent="0.25">
      <c r="A144" s="377">
        <v>45432</v>
      </c>
      <c r="B144" s="363" t="s">
        <v>1846</v>
      </c>
      <c r="C144" s="364">
        <v>17800</v>
      </c>
      <c r="D144" s="370" t="s">
        <v>122</v>
      </c>
      <c r="E144" s="370" t="s">
        <v>122</v>
      </c>
      <c r="F144" s="370" t="s">
        <v>122</v>
      </c>
      <c r="G144" s="370" t="s">
        <v>122</v>
      </c>
      <c r="H144" s="370" t="s">
        <v>122</v>
      </c>
    </row>
    <row r="145" spans="1:8" x14ac:dyDescent="0.25">
      <c r="A145" s="377">
        <v>45433</v>
      </c>
      <c r="B145" s="363" t="s">
        <v>1846</v>
      </c>
      <c r="C145" s="364">
        <v>17800</v>
      </c>
      <c r="D145" s="370" t="s">
        <v>122</v>
      </c>
      <c r="E145" s="370" t="s">
        <v>122</v>
      </c>
      <c r="F145" s="370" t="s">
        <v>2509</v>
      </c>
      <c r="G145" s="370">
        <v>10.6</v>
      </c>
      <c r="H145" s="370" t="s">
        <v>122</v>
      </c>
    </row>
    <row r="146" spans="1:8" x14ac:dyDescent="0.25">
      <c r="A146" s="377">
        <v>45434</v>
      </c>
      <c r="B146" s="363" t="s">
        <v>2335</v>
      </c>
      <c r="C146" s="364">
        <v>18000</v>
      </c>
      <c r="D146" s="370" t="s">
        <v>122</v>
      </c>
      <c r="E146" s="370" t="s">
        <v>122</v>
      </c>
      <c r="F146" s="370" t="s">
        <v>2509</v>
      </c>
      <c r="G146" s="370">
        <v>10.63</v>
      </c>
      <c r="H146" s="370" t="s">
        <v>122</v>
      </c>
    </row>
    <row r="147" spans="1:8" x14ac:dyDescent="0.25">
      <c r="A147" s="377">
        <v>45435</v>
      </c>
      <c r="B147" s="363" t="s">
        <v>2335</v>
      </c>
      <c r="C147" s="364">
        <v>18000</v>
      </c>
      <c r="D147" s="370" t="s">
        <v>122</v>
      </c>
      <c r="E147" s="370" t="s">
        <v>122</v>
      </c>
      <c r="F147" s="370" t="s">
        <v>2509</v>
      </c>
      <c r="G147" s="370"/>
      <c r="H147" s="370" t="s">
        <v>122</v>
      </c>
    </row>
    <row r="148" spans="1:8" x14ac:dyDescent="0.25">
      <c r="A148" s="377">
        <v>45436</v>
      </c>
      <c r="B148" s="363" t="s">
        <v>2353</v>
      </c>
      <c r="C148" s="364">
        <v>18425</v>
      </c>
      <c r="D148" s="370" t="s">
        <v>122</v>
      </c>
      <c r="E148" s="370" t="s">
        <v>122</v>
      </c>
      <c r="F148" s="370" t="s">
        <v>2509</v>
      </c>
      <c r="G148" s="370">
        <v>1068</v>
      </c>
      <c r="H148" s="370" t="s">
        <v>122</v>
      </c>
    </row>
    <row r="149" spans="1:8" x14ac:dyDescent="0.25">
      <c r="A149" s="377">
        <v>45437</v>
      </c>
      <c r="B149" s="363" t="s">
        <v>2333</v>
      </c>
      <c r="C149" s="364">
        <v>18600</v>
      </c>
      <c r="D149" s="370" t="s">
        <v>122</v>
      </c>
      <c r="E149" s="370" t="s">
        <v>122</v>
      </c>
      <c r="F149" s="370" t="s">
        <v>2509</v>
      </c>
      <c r="G149" s="370">
        <v>10.7</v>
      </c>
      <c r="H149" s="370" t="s">
        <v>122</v>
      </c>
    </row>
    <row r="150" spans="1:8" x14ac:dyDescent="0.25">
      <c r="A150" s="377">
        <v>45438</v>
      </c>
      <c r="B150" s="363" t="s">
        <v>2332</v>
      </c>
      <c r="C150" s="364">
        <v>19200</v>
      </c>
      <c r="D150" s="370" t="s">
        <v>122</v>
      </c>
      <c r="E150" s="370" t="s">
        <v>122</v>
      </c>
      <c r="F150" s="370" t="s">
        <v>2509</v>
      </c>
      <c r="G150" s="370">
        <v>10.76</v>
      </c>
      <c r="H150" s="370" t="s">
        <v>122</v>
      </c>
    </row>
    <row r="151" spans="1:8" x14ac:dyDescent="0.25">
      <c r="A151" s="377">
        <v>45439</v>
      </c>
      <c r="B151" s="363" t="s">
        <v>2484</v>
      </c>
      <c r="C151" s="364">
        <v>19250</v>
      </c>
      <c r="D151" s="370" t="s">
        <v>122</v>
      </c>
      <c r="E151" s="370" t="s">
        <v>122</v>
      </c>
      <c r="F151" s="370" t="s">
        <v>2509</v>
      </c>
      <c r="G151" s="370">
        <v>10.78</v>
      </c>
      <c r="H151" s="370" t="s">
        <v>122</v>
      </c>
    </row>
    <row r="152" spans="1:8" x14ac:dyDescent="0.25">
      <c r="A152" s="377">
        <v>45440</v>
      </c>
      <c r="B152" s="363" t="s">
        <v>2484</v>
      </c>
      <c r="C152" s="364">
        <v>19250</v>
      </c>
      <c r="D152" s="370" t="s">
        <v>122</v>
      </c>
      <c r="E152" s="370" t="s">
        <v>122</v>
      </c>
      <c r="F152" s="370" t="s">
        <v>2509</v>
      </c>
      <c r="G152" s="370">
        <v>10.78</v>
      </c>
      <c r="H152" s="370" t="s">
        <v>122</v>
      </c>
    </row>
    <row r="153" spans="1:8" x14ac:dyDescent="0.25">
      <c r="A153" s="377">
        <v>45441</v>
      </c>
      <c r="B153" s="363" t="s">
        <v>2352</v>
      </c>
      <c r="C153" s="364">
        <v>19300</v>
      </c>
      <c r="D153" s="370" t="s">
        <v>122</v>
      </c>
      <c r="E153" s="370" t="s">
        <v>122</v>
      </c>
      <c r="F153" s="370" t="s">
        <v>2509</v>
      </c>
      <c r="G153" s="370">
        <v>10.79</v>
      </c>
      <c r="H153" s="370" t="s">
        <v>122</v>
      </c>
    </row>
    <row r="154" spans="1:8" x14ac:dyDescent="0.25">
      <c r="A154" s="377">
        <v>45442</v>
      </c>
      <c r="B154" s="363" t="s">
        <v>2352</v>
      </c>
      <c r="C154" s="364">
        <v>19300</v>
      </c>
      <c r="D154" s="370" t="s">
        <v>2177</v>
      </c>
      <c r="E154" s="370">
        <v>60.56</v>
      </c>
      <c r="F154" s="370" t="s">
        <v>2726</v>
      </c>
      <c r="G154" s="370">
        <v>92.58</v>
      </c>
      <c r="H154" s="370" t="s">
        <v>122</v>
      </c>
    </row>
    <row r="155" spans="1:8" x14ac:dyDescent="0.25">
      <c r="A155" s="377">
        <v>45443</v>
      </c>
      <c r="B155" s="363" t="s">
        <v>2900</v>
      </c>
      <c r="C155" s="364">
        <v>19100</v>
      </c>
      <c r="D155" s="370" t="s">
        <v>2180</v>
      </c>
      <c r="E155" s="370">
        <v>74.59</v>
      </c>
      <c r="F155" s="370" t="s">
        <v>2726</v>
      </c>
      <c r="G155" s="370">
        <v>92.15</v>
      </c>
      <c r="H155" s="370" t="s">
        <v>122</v>
      </c>
    </row>
    <row r="156" spans="1:8" x14ac:dyDescent="0.25">
      <c r="A156" s="377">
        <v>45444</v>
      </c>
      <c r="B156" s="363" t="s">
        <v>2901</v>
      </c>
      <c r="C156" s="364">
        <v>18600</v>
      </c>
      <c r="D156" s="370" t="s">
        <v>2726</v>
      </c>
      <c r="E156" s="370">
        <v>88.16</v>
      </c>
      <c r="F156" s="370" t="s">
        <v>2726</v>
      </c>
      <c r="G156" s="370">
        <v>91.71</v>
      </c>
      <c r="H156" s="370" t="s">
        <v>122</v>
      </c>
    </row>
    <row r="157" spans="1:8" x14ac:dyDescent="0.25">
      <c r="A157" s="377">
        <v>45445</v>
      </c>
      <c r="B157" s="363" t="s">
        <v>2902</v>
      </c>
      <c r="C157" s="364">
        <v>18000</v>
      </c>
      <c r="D157" s="370" t="s">
        <v>2726</v>
      </c>
      <c r="E157" s="370">
        <v>87.55</v>
      </c>
      <c r="F157" s="370" t="s">
        <v>2726</v>
      </c>
      <c r="G157" s="370">
        <v>91.13</v>
      </c>
      <c r="H157" s="370" t="s">
        <v>122</v>
      </c>
    </row>
    <row r="158" spans="1:8" x14ac:dyDescent="0.25">
      <c r="A158" s="377">
        <v>45446</v>
      </c>
      <c r="B158" s="363" t="s">
        <v>2903</v>
      </c>
      <c r="C158" s="364">
        <v>17600</v>
      </c>
      <c r="D158" s="370" t="s">
        <v>2544</v>
      </c>
      <c r="E158" s="370">
        <v>95.92</v>
      </c>
      <c r="F158" s="370" t="s">
        <v>2726</v>
      </c>
      <c r="G158" s="370">
        <v>90.54</v>
      </c>
      <c r="H158" s="370" t="s">
        <v>122</v>
      </c>
    </row>
    <row r="159" spans="1:8" x14ac:dyDescent="0.25">
      <c r="A159" s="377">
        <v>45447</v>
      </c>
      <c r="B159" s="363" t="s">
        <v>2904</v>
      </c>
      <c r="C159" s="364">
        <v>17400</v>
      </c>
      <c r="D159" s="370" t="s">
        <v>2180</v>
      </c>
      <c r="E159" s="370">
        <v>72.709999999999994</v>
      </c>
      <c r="F159" s="370" t="s">
        <v>2726</v>
      </c>
      <c r="G159" s="370">
        <v>89.95</v>
      </c>
      <c r="H159" s="370" t="s">
        <v>122</v>
      </c>
    </row>
    <row r="160" spans="1:8" x14ac:dyDescent="0.25">
      <c r="A160" s="377">
        <v>45448</v>
      </c>
      <c r="B160" s="363" t="s">
        <v>2905</v>
      </c>
      <c r="C160" s="364">
        <v>17000</v>
      </c>
      <c r="D160" s="370" t="s">
        <v>2177</v>
      </c>
      <c r="E160" s="370">
        <v>58.87</v>
      </c>
      <c r="F160" s="370" t="s">
        <v>2726</v>
      </c>
      <c r="G160" s="370">
        <v>89.36</v>
      </c>
      <c r="H160" s="370" t="s">
        <v>122</v>
      </c>
    </row>
    <row r="161" spans="1:8" x14ac:dyDescent="0.25">
      <c r="A161" s="377">
        <v>45449</v>
      </c>
      <c r="B161" s="363" t="s">
        <v>2357</v>
      </c>
      <c r="C161" s="364">
        <v>16900</v>
      </c>
      <c r="D161" s="370" t="s">
        <v>122</v>
      </c>
      <c r="E161" s="370" t="s">
        <v>122</v>
      </c>
      <c r="F161" s="370" t="s">
        <v>122</v>
      </c>
      <c r="G161" s="370" t="s">
        <v>122</v>
      </c>
      <c r="H161" s="370" t="s">
        <v>122</v>
      </c>
    </row>
    <row r="162" spans="1:8" x14ac:dyDescent="0.25">
      <c r="A162" s="377">
        <v>45450</v>
      </c>
      <c r="B162" s="363" t="s">
        <v>2357</v>
      </c>
      <c r="C162" s="364">
        <v>16900</v>
      </c>
      <c r="D162" s="370" t="s">
        <v>122</v>
      </c>
      <c r="E162" s="370" t="s">
        <v>122</v>
      </c>
      <c r="F162" s="370" t="s">
        <v>122</v>
      </c>
      <c r="G162" s="370" t="s">
        <v>122</v>
      </c>
      <c r="H162" s="370" t="s">
        <v>122</v>
      </c>
    </row>
    <row r="163" spans="1:8" x14ac:dyDescent="0.25">
      <c r="A163" s="377">
        <v>45451</v>
      </c>
      <c r="B163" s="363" t="s">
        <v>2357</v>
      </c>
      <c r="C163" s="364">
        <v>16900</v>
      </c>
      <c r="D163" s="370" t="s">
        <v>122</v>
      </c>
      <c r="E163" s="370" t="s">
        <v>122</v>
      </c>
      <c r="F163" s="370" t="s">
        <v>122</v>
      </c>
      <c r="G163" s="370" t="s">
        <v>122</v>
      </c>
      <c r="H163" s="370" t="s">
        <v>122</v>
      </c>
    </row>
    <row r="164" spans="1:8" x14ac:dyDescent="0.25">
      <c r="A164" s="377">
        <v>45452</v>
      </c>
      <c r="B164" s="363" t="s">
        <v>2906</v>
      </c>
      <c r="C164" s="364">
        <v>16850</v>
      </c>
      <c r="D164" s="370" t="s">
        <v>2177</v>
      </c>
      <c r="E164" s="370">
        <v>58.07</v>
      </c>
      <c r="F164" s="370" t="s">
        <v>2510</v>
      </c>
      <c r="G164" s="370">
        <v>79.569999999999993</v>
      </c>
      <c r="H164" s="370" t="s">
        <v>122</v>
      </c>
    </row>
    <row r="165" spans="1:8" x14ac:dyDescent="0.25">
      <c r="A165" s="377">
        <v>45453</v>
      </c>
      <c r="B165" s="363" t="s">
        <v>2359</v>
      </c>
      <c r="C165" s="364">
        <v>16700</v>
      </c>
      <c r="D165" s="370" t="s">
        <v>2510</v>
      </c>
      <c r="E165" s="370">
        <v>75.91</v>
      </c>
      <c r="F165" s="370" t="s">
        <v>2510</v>
      </c>
      <c r="G165" s="370">
        <v>79.17</v>
      </c>
      <c r="H165" s="370" t="s">
        <v>122</v>
      </c>
    </row>
    <row r="166" spans="1:8" x14ac:dyDescent="0.25">
      <c r="A166" s="377">
        <v>45454</v>
      </c>
      <c r="B166" s="363" t="s">
        <v>2907</v>
      </c>
      <c r="C166" s="364">
        <v>16500</v>
      </c>
      <c r="D166" s="370" t="s">
        <v>2544</v>
      </c>
      <c r="E166" s="370">
        <v>92.78</v>
      </c>
      <c r="F166" s="370" t="s">
        <v>2510</v>
      </c>
      <c r="G166" s="370">
        <v>78.63</v>
      </c>
      <c r="H166" s="370" t="s">
        <v>122</v>
      </c>
    </row>
    <row r="167" spans="1:8" x14ac:dyDescent="0.25">
      <c r="A167" s="377">
        <v>45455</v>
      </c>
      <c r="B167" s="363" t="s">
        <v>2908</v>
      </c>
      <c r="C167" s="364">
        <v>16100</v>
      </c>
      <c r="D167" s="370" t="s">
        <v>2731</v>
      </c>
      <c r="E167" s="370">
        <v>100.08</v>
      </c>
      <c r="F167" s="370" t="s">
        <v>2510</v>
      </c>
      <c r="G167" s="370">
        <v>77.97</v>
      </c>
      <c r="H167" s="370" t="s">
        <v>122</v>
      </c>
    </row>
    <row r="168" spans="1:8" x14ac:dyDescent="0.25">
      <c r="A168" s="377">
        <v>45456</v>
      </c>
      <c r="B168" s="363" t="s">
        <v>2909</v>
      </c>
      <c r="C168" s="364">
        <v>15600</v>
      </c>
      <c r="D168" s="370" t="s">
        <v>2731</v>
      </c>
      <c r="E168" s="370">
        <v>99.28</v>
      </c>
      <c r="F168" s="370" t="s">
        <v>2510</v>
      </c>
      <c r="G168" s="370">
        <v>77.290000000000006</v>
      </c>
      <c r="H168" s="370" t="s">
        <v>122</v>
      </c>
    </row>
    <row r="169" spans="1:8" x14ac:dyDescent="0.25">
      <c r="A169" s="377">
        <v>45457</v>
      </c>
      <c r="B169" s="363" t="s">
        <v>2910</v>
      </c>
      <c r="C169" s="364">
        <v>15200</v>
      </c>
      <c r="D169" s="370" t="s">
        <v>2726</v>
      </c>
      <c r="E169" s="370">
        <v>81.569999999999993</v>
      </c>
      <c r="F169" s="370" t="s">
        <v>2976</v>
      </c>
      <c r="G169" s="370">
        <v>85.4</v>
      </c>
      <c r="H169" s="370" t="s">
        <v>122</v>
      </c>
    </row>
    <row r="170" spans="1:8" x14ac:dyDescent="0.25">
      <c r="A170" s="377">
        <v>45458</v>
      </c>
      <c r="B170" s="363" t="s">
        <v>2911</v>
      </c>
      <c r="C170" s="364">
        <v>14950</v>
      </c>
      <c r="D170" s="370" t="s">
        <v>2180</v>
      </c>
      <c r="E170" s="370">
        <v>68.39</v>
      </c>
      <c r="F170" s="370" t="s">
        <v>2544</v>
      </c>
      <c r="G170" s="370">
        <v>93.49</v>
      </c>
      <c r="H170" s="370" t="s">
        <v>122</v>
      </c>
    </row>
    <row r="171" spans="1:8" x14ac:dyDescent="0.25">
      <c r="A171" s="377">
        <v>45459</v>
      </c>
      <c r="B171" s="363" t="s">
        <v>2576</v>
      </c>
      <c r="C171" s="364">
        <v>14700</v>
      </c>
      <c r="D171" s="370" t="s">
        <v>122</v>
      </c>
      <c r="E171" s="370" t="s">
        <v>122</v>
      </c>
      <c r="F171" s="370" t="s">
        <v>2544</v>
      </c>
      <c r="G171" s="370">
        <v>93.13</v>
      </c>
      <c r="H171" s="370" t="s">
        <v>122</v>
      </c>
    </row>
    <row r="172" spans="1:8" x14ac:dyDescent="0.25">
      <c r="A172" s="377">
        <v>45460</v>
      </c>
      <c r="B172" s="363" t="s">
        <v>2576</v>
      </c>
      <c r="C172" s="364">
        <v>14700</v>
      </c>
      <c r="D172" s="370" t="s">
        <v>122</v>
      </c>
      <c r="E172" s="370" t="s">
        <v>122</v>
      </c>
      <c r="F172" s="370" t="s">
        <v>122</v>
      </c>
      <c r="G172" s="370" t="s">
        <v>122</v>
      </c>
      <c r="H172" s="370" t="s">
        <v>122</v>
      </c>
    </row>
    <row r="173" spans="1:8" x14ac:dyDescent="0.25">
      <c r="A173" s="377">
        <v>45461</v>
      </c>
      <c r="B173" s="363" t="s">
        <v>2576</v>
      </c>
      <c r="C173" s="364">
        <v>14700</v>
      </c>
      <c r="D173" s="370" t="s">
        <v>122</v>
      </c>
      <c r="E173" s="370" t="s">
        <v>122</v>
      </c>
      <c r="F173" s="371" t="s">
        <v>122</v>
      </c>
      <c r="G173" s="370" t="s">
        <v>122</v>
      </c>
      <c r="H173" s="370" t="s">
        <v>122</v>
      </c>
    </row>
    <row r="174" spans="1:8" x14ac:dyDescent="0.25">
      <c r="A174" s="377">
        <v>45462</v>
      </c>
      <c r="B174" s="363" t="s">
        <v>2576</v>
      </c>
      <c r="C174" s="364">
        <v>14700</v>
      </c>
      <c r="D174" s="370" t="s">
        <v>122</v>
      </c>
      <c r="E174" s="370" t="s">
        <v>122</v>
      </c>
      <c r="F174" s="370" t="s">
        <v>122</v>
      </c>
      <c r="G174" s="370" t="s">
        <v>122</v>
      </c>
      <c r="H174" s="370" t="s">
        <v>122</v>
      </c>
    </row>
    <row r="175" spans="1:8" x14ac:dyDescent="0.25">
      <c r="A175" s="377">
        <v>45463</v>
      </c>
      <c r="B175" s="363" t="s">
        <v>2607</v>
      </c>
      <c r="C175" s="364">
        <v>14500</v>
      </c>
      <c r="D175" s="370" t="s">
        <v>2544</v>
      </c>
      <c r="E175" s="370">
        <v>88.05</v>
      </c>
      <c r="F175" s="370" t="s">
        <v>2739</v>
      </c>
      <c r="G175" s="370">
        <v>109.17</v>
      </c>
      <c r="H175" s="370" t="s">
        <v>122</v>
      </c>
    </row>
    <row r="176" spans="1:8" x14ac:dyDescent="0.25">
      <c r="A176" s="377">
        <v>45464</v>
      </c>
      <c r="B176" s="363" t="s">
        <v>2577</v>
      </c>
      <c r="C176" s="364">
        <v>14000</v>
      </c>
      <c r="D176" s="370" t="s">
        <v>2731</v>
      </c>
      <c r="E176" s="370">
        <v>95.19</v>
      </c>
      <c r="F176" s="370" t="s">
        <v>2739</v>
      </c>
      <c r="G176" s="370">
        <v>108.3</v>
      </c>
      <c r="H176" s="370" t="s">
        <v>122</v>
      </c>
    </row>
    <row r="177" spans="1:8" x14ac:dyDescent="0.25">
      <c r="A177" s="377">
        <v>45465</v>
      </c>
      <c r="B177" s="363" t="s">
        <v>2912</v>
      </c>
      <c r="C177" s="364">
        <v>13650</v>
      </c>
      <c r="D177" s="370" t="s">
        <v>2739</v>
      </c>
      <c r="E177" s="370">
        <v>101.53</v>
      </c>
      <c r="F177" s="370" t="s">
        <v>2739</v>
      </c>
      <c r="G177" s="370">
        <v>106.98</v>
      </c>
      <c r="H177" s="370" t="s">
        <v>122</v>
      </c>
    </row>
    <row r="178" spans="1:8" x14ac:dyDescent="0.25">
      <c r="A178" s="377">
        <v>45466</v>
      </c>
      <c r="B178" s="363" t="s">
        <v>2491</v>
      </c>
      <c r="C178" s="364">
        <v>13125</v>
      </c>
      <c r="D178" s="370" t="s">
        <v>2739</v>
      </c>
      <c r="E178" s="370">
        <v>100.12</v>
      </c>
      <c r="F178" s="370" t="s">
        <v>2739</v>
      </c>
      <c r="G178" s="370">
        <v>105.65</v>
      </c>
      <c r="H178" s="370" t="s">
        <v>122</v>
      </c>
    </row>
    <row r="179" spans="1:8" x14ac:dyDescent="0.25">
      <c r="A179" s="377">
        <v>45467</v>
      </c>
      <c r="B179" s="363" t="s">
        <v>2378</v>
      </c>
      <c r="C179" s="364">
        <v>12700</v>
      </c>
      <c r="D179" s="370" t="s">
        <v>2739</v>
      </c>
      <c r="E179" s="370">
        <v>98.69</v>
      </c>
      <c r="F179" s="370" t="s">
        <v>2739</v>
      </c>
      <c r="G179" s="370">
        <v>104.29</v>
      </c>
      <c r="H179" s="370" t="s">
        <v>122</v>
      </c>
    </row>
    <row r="180" spans="1:8" x14ac:dyDescent="0.25">
      <c r="A180" s="377">
        <v>45468</v>
      </c>
      <c r="B180" s="363" t="s">
        <v>2913</v>
      </c>
      <c r="C180" s="364">
        <v>12350</v>
      </c>
      <c r="D180" s="370" t="s">
        <v>2726</v>
      </c>
      <c r="E180" s="370">
        <v>75.11</v>
      </c>
      <c r="F180" s="370" t="s">
        <v>2739</v>
      </c>
      <c r="G180" s="370">
        <v>102.92</v>
      </c>
      <c r="H180" s="370" t="s">
        <v>122</v>
      </c>
    </row>
    <row r="181" spans="1:8" x14ac:dyDescent="0.25">
      <c r="A181" s="377">
        <v>45469</v>
      </c>
      <c r="B181" s="363" t="s">
        <v>2410</v>
      </c>
      <c r="C181" s="364">
        <v>12250</v>
      </c>
      <c r="D181" s="370" t="s">
        <v>122</v>
      </c>
      <c r="E181" s="370" t="s">
        <v>122</v>
      </c>
      <c r="F181" s="370" t="s">
        <v>122</v>
      </c>
      <c r="G181" s="370" t="s">
        <v>122</v>
      </c>
      <c r="H181" s="370" t="s">
        <v>122</v>
      </c>
    </row>
    <row r="182" spans="1:8" x14ac:dyDescent="0.25">
      <c r="A182" s="377">
        <v>45470</v>
      </c>
      <c r="B182" s="363" t="s">
        <v>2410</v>
      </c>
      <c r="C182" s="364">
        <v>12250</v>
      </c>
      <c r="D182" s="370" t="s">
        <v>122</v>
      </c>
      <c r="E182" s="370" t="s">
        <v>122</v>
      </c>
      <c r="F182" s="370" t="s">
        <v>122</v>
      </c>
      <c r="G182" s="370" t="s">
        <v>122</v>
      </c>
      <c r="H182" s="370" t="s">
        <v>122</v>
      </c>
    </row>
    <row r="183" spans="1:8" x14ac:dyDescent="0.25">
      <c r="A183" s="377">
        <v>45471</v>
      </c>
      <c r="B183" s="363" t="s">
        <v>2410</v>
      </c>
      <c r="C183" s="364">
        <v>12250</v>
      </c>
      <c r="D183" s="370" t="s">
        <v>122</v>
      </c>
      <c r="E183" s="370" t="s">
        <v>122</v>
      </c>
      <c r="F183" s="370" t="s">
        <v>122</v>
      </c>
      <c r="G183" s="370" t="s">
        <v>122</v>
      </c>
      <c r="H183" s="370" t="s">
        <v>122</v>
      </c>
    </row>
    <row r="184" spans="1:8" x14ac:dyDescent="0.25">
      <c r="A184" s="377">
        <v>45472</v>
      </c>
      <c r="B184" s="363" t="s">
        <v>2410</v>
      </c>
      <c r="C184" s="364">
        <v>12250</v>
      </c>
      <c r="D184" s="370" t="s">
        <v>122</v>
      </c>
      <c r="E184" s="370" t="s">
        <v>122</v>
      </c>
      <c r="F184" s="370" t="s">
        <v>122</v>
      </c>
      <c r="G184" s="370" t="s">
        <v>122</v>
      </c>
      <c r="H184" s="370" t="s">
        <v>122</v>
      </c>
    </row>
    <row r="185" spans="1:8" x14ac:dyDescent="0.25">
      <c r="A185" s="377">
        <v>45473</v>
      </c>
      <c r="B185" s="363" t="s">
        <v>2513</v>
      </c>
      <c r="C185" s="364">
        <v>12200</v>
      </c>
      <c r="D185" s="370" t="s">
        <v>2726</v>
      </c>
      <c r="E185" s="370">
        <v>74.75</v>
      </c>
      <c r="F185" s="370" t="s">
        <v>2726</v>
      </c>
      <c r="G185" s="370">
        <v>78.91</v>
      </c>
      <c r="H185" s="370" t="s">
        <v>122</v>
      </c>
    </row>
    <row r="186" spans="1:8" x14ac:dyDescent="0.25">
      <c r="A186" s="377">
        <v>45474</v>
      </c>
      <c r="B186" s="363" t="s">
        <v>2914</v>
      </c>
      <c r="C186" s="364">
        <v>11800</v>
      </c>
      <c r="D186" s="370" t="s">
        <v>2738</v>
      </c>
      <c r="E186" s="370">
        <v>84.88</v>
      </c>
      <c r="F186" s="370" t="s">
        <v>2726</v>
      </c>
      <c r="G186" s="370">
        <v>78.23</v>
      </c>
      <c r="H186" s="370" t="s">
        <v>122</v>
      </c>
    </row>
    <row r="187" spans="1:8" x14ac:dyDescent="0.25">
      <c r="A187" s="377">
        <v>45475</v>
      </c>
      <c r="B187" s="363" t="s">
        <v>2915</v>
      </c>
      <c r="C187" s="364">
        <v>11450</v>
      </c>
      <c r="D187" s="370" t="s">
        <v>2738</v>
      </c>
      <c r="E187" s="370">
        <v>84.02</v>
      </c>
      <c r="F187" s="370" t="s">
        <v>2739</v>
      </c>
      <c r="G187" s="370">
        <v>100.12</v>
      </c>
      <c r="H187" s="370" t="s">
        <v>122</v>
      </c>
    </row>
    <row r="188" spans="1:8" x14ac:dyDescent="0.25">
      <c r="A188" s="377">
        <v>45476</v>
      </c>
      <c r="B188" s="363" t="s">
        <v>2916</v>
      </c>
      <c r="C188" s="364">
        <v>11200</v>
      </c>
      <c r="D188" s="370" t="s">
        <v>2977</v>
      </c>
      <c r="E188" s="370">
        <v>99.91</v>
      </c>
      <c r="F188" s="370" t="s">
        <v>2739</v>
      </c>
      <c r="G188" s="257">
        <v>99.17</v>
      </c>
      <c r="H188" s="370" t="s">
        <v>122</v>
      </c>
    </row>
    <row r="189" spans="1:8" x14ac:dyDescent="0.25">
      <c r="A189" s="377">
        <v>45477</v>
      </c>
      <c r="B189" s="363" t="s">
        <v>2917</v>
      </c>
      <c r="C189" s="364">
        <v>10750</v>
      </c>
      <c r="D189" s="370" t="s">
        <v>2977</v>
      </c>
      <c r="E189" s="370">
        <v>98.22</v>
      </c>
      <c r="F189" s="370" t="s">
        <v>2739</v>
      </c>
      <c r="G189" s="370">
        <v>97.73</v>
      </c>
      <c r="H189" s="370" t="s">
        <v>122</v>
      </c>
    </row>
    <row r="190" spans="1:8" x14ac:dyDescent="0.25">
      <c r="A190" s="377">
        <v>45478</v>
      </c>
      <c r="B190" s="363" t="s">
        <v>2623</v>
      </c>
      <c r="C190" s="364">
        <v>10500</v>
      </c>
      <c r="D190" s="370" t="s">
        <v>2977</v>
      </c>
      <c r="E190" s="370">
        <v>97.08</v>
      </c>
      <c r="F190" s="370" t="s">
        <v>2739</v>
      </c>
      <c r="G190" s="370">
        <v>96.75</v>
      </c>
      <c r="H190" s="370" t="s">
        <v>122</v>
      </c>
    </row>
    <row r="191" spans="1:8" x14ac:dyDescent="0.25">
      <c r="A191" s="377">
        <v>45479</v>
      </c>
      <c r="B191" s="363" t="s">
        <v>2918</v>
      </c>
      <c r="C191" s="364">
        <v>10250</v>
      </c>
      <c r="D191" s="370" t="s">
        <v>122</v>
      </c>
      <c r="E191" s="370" t="s">
        <v>122</v>
      </c>
      <c r="F191" s="370" t="s">
        <v>122</v>
      </c>
      <c r="G191" s="370" t="s">
        <v>122</v>
      </c>
      <c r="H191" s="370" t="s">
        <v>122</v>
      </c>
    </row>
    <row r="192" spans="1:8" x14ac:dyDescent="0.25">
      <c r="A192" s="377">
        <v>45480</v>
      </c>
      <c r="B192" s="363" t="s">
        <v>2918</v>
      </c>
      <c r="C192" s="364">
        <v>10250</v>
      </c>
      <c r="D192" s="370" t="s">
        <v>122</v>
      </c>
      <c r="E192" s="370" t="s">
        <v>122</v>
      </c>
      <c r="F192" s="370" t="s">
        <v>122</v>
      </c>
      <c r="G192" s="370" t="s">
        <v>122</v>
      </c>
      <c r="H192" s="370" t="s">
        <v>122</v>
      </c>
    </row>
    <row r="193" spans="1:8" x14ac:dyDescent="0.25">
      <c r="A193" s="377">
        <v>45481</v>
      </c>
      <c r="B193" s="363" t="s">
        <v>2918</v>
      </c>
      <c r="C193" s="364">
        <v>10250</v>
      </c>
      <c r="D193" s="370" t="s">
        <v>122</v>
      </c>
      <c r="E193" s="370" t="s">
        <v>122</v>
      </c>
      <c r="F193" s="370" t="s">
        <v>122</v>
      </c>
      <c r="G193" s="370" t="s">
        <v>122</v>
      </c>
      <c r="H193" s="370" t="s">
        <v>122</v>
      </c>
    </row>
    <row r="194" spans="1:8" x14ac:dyDescent="0.25">
      <c r="A194" s="377">
        <v>45482</v>
      </c>
      <c r="B194" s="363" t="s">
        <v>2918</v>
      </c>
      <c r="C194" s="364">
        <v>10250</v>
      </c>
      <c r="D194" s="370" t="s">
        <v>122</v>
      </c>
      <c r="E194" s="370" t="s">
        <v>122</v>
      </c>
      <c r="F194" s="370" t="s">
        <v>122</v>
      </c>
      <c r="G194" s="370" t="s">
        <v>122</v>
      </c>
      <c r="H194" s="370" t="s">
        <v>122</v>
      </c>
    </row>
    <row r="195" spans="1:8" x14ac:dyDescent="0.25">
      <c r="A195" s="377">
        <v>45483</v>
      </c>
      <c r="B195" s="363" t="s">
        <v>2919</v>
      </c>
      <c r="C195" s="364">
        <v>10200</v>
      </c>
      <c r="D195" s="370" t="s">
        <v>2726</v>
      </c>
      <c r="E195" s="370">
        <v>69.2</v>
      </c>
      <c r="F195" s="370" t="s">
        <v>2726</v>
      </c>
      <c r="G195" s="370">
        <v>73.680000000000007</v>
      </c>
      <c r="H195" s="370" t="s">
        <v>122</v>
      </c>
    </row>
    <row r="196" spans="1:8" x14ac:dyDescent="0.25">
      <c r="A196" s="377">
        <v>45484</v>
      </c>
      <c r="B196" s="363" t="s">
        <v>2920</v>
      </c>
      <c r="C196" s="364">
        <v>10000</v>
      </c>
      <c r="D196" s="370" t="s">
        <v>2177</v>
      </c>
      <c r="E196" s="370">
        <v>47.16</v>
      </c>
      <c r="F196" s="370" t="s">
        <v>122</v>
      </c>
      <c r="G196" s="370" t="s">
        <v>122</v>
      </c>
      <c r="H196" s="370" t="s">
        <v>122</v>
      </c>
    </row>
    <row r="197" spans="1:8" x14ac:dyDescent="0.25">
      <c r="A197" s="377">
        <v>45485</v>
      </c>
      <c r="B197" s="363" t="s">
        <v>2921</v>
      </c>
      <c r="C197" s="364">
        <v>9900</v>
      </c>
      <c r="D197" s="370" t="s">
        <v>122</v>
      </c>
      <c r="E197" s="370" t="s">
        <v>122</v>
      </c>
      <c r="F197" s="370" t="s">
        <v>122</v>
      </c>
      <c r="G197" s="370" t="s">
        <v>122</v>
      </c>
      <c r="H197" s="370" t="s">
        <v>122</v>
      </c>
    </row>
    <row r="198" spans="1:8" x14ac:dyDescent="0.25">
      <c r="A198" s="377">
        <v>45486</v>
      </c>
      <c r="B198" s="363" t="s">
        <v>2921</v>
      </c>
      <c r="C198" s="364">
        <v>9900</v>
      </c>
      <c r="D198" s="370" t="s">
        <v>122</v>
      </c>
      <c r="E198" s="370" t="s">
        <v>122</v>
      </c>
      <c r="F198" s="370" t="s">
        <v>122</v>
      </c>
      <c r="G198" s="370" t="s">
        <v>122</v>
      </c>
      <c r="H198" s="370" t="s">
        <v>122</v>
      </c>
    </row>
    <row r="199" spans="1:8" x14ac:dyDescent="0.25">
      <c r="A199" s="377">
        <v>45487</v>
      </c>
      <c r="B199" s="363" t="s">
        <v>2921</v>
      </c>
      <c r="C199" s="364">
        <v>9900</v>
      </c>
      <c r="D199" s="370" t="s">
        <v>122</v>
      </c>
      <c r="E199" s="370" t="s">
        <v>122</v>
      </c>
      <c r="F199" s="370" t="s">
        <v>122</v>
      </c>
      <c r="G199" s="370" t="s">
        <v>122</v>
      </c>
      <c r="H199" s="370" t="s">
        <v>122</v>
      </c>
    </row>
    <row r="200" spans="1:8" x14ac:dyDescent="0.25">
      <c r="A200" s="377">
        <v>45488</v>
      </c>
      <c r="B200" s="363" t="s">
        <v>2921</v>
      </c>
      <c r="C200" s="364">
        <v>9900</v>
      </c>
      <c r="D200" s="370" t="s">
        <v>122</v>
      </c>
      <c r="E200" s="370" t="s">
        <v>122</v>
      </c>
      <c r="F200" s="370" t="s">
        <v>122</v>
      </c>
      <c r="G200" s="370" t="s">
        <v>122</v>
      </c>
      <c r="H200" s="370" t="s">
        <v>122</v>
      </c>
    </row>
    <row r="201" spans="1:8" x14ac:dyDescent="0.25">
      <c r="A201" s="377">
        <v>45489</v>
      </c>
      <c r="B201" s="363" t="s">
        <v>2922</v>
      </c>
      <c r="C201" s="364">
        <v>9850</v>
      </c>
      <c r="D201" s="370" t="s">
        <v>122</v>
      </c>
      <c r="E201" s="370" t="s">
        <v>122</v>
      </c>
      <c r="F201" s="370" t="s">
        <v>122</v>
      </c>
      <c r="G201" s="370" t="s">
        <v>122</v>
      </c>
      <c r="H201" s="370" t="s">
        <v>122</v>
      </c>
    </row>
    <row r="202" spans="1:8" x14ac:dyDescent="0.25">
      <c r="A202" s="377">
        <v>45490</v>
      </c>
      <c r="B202" s="363" t="s">
        <v>2922</v>
      </c>
      <c r="C202" s="364">
        <v>9850</v>
      </c>
      <c r="D202" s="370" t="s">
        <v>122</v>
      </c>
      <c r="E202" s="370" t="s">
        <v>122</v>
      </c>
      <c r="F202" s="370" t="s">
        <v>122</v>
      </c>
      <c r="G202" s="370" t="s">
        <v>122</v>
      </c>
      <c r="H202" s="370" t="s">
        <v>122</v>
      </c>
    </row>
    <row r="203" spans="1:8" x14ac:dyDescent="0.25">
      <c r="A203" s="377">
        <v>45491</v>
      </c>
      <c r="B203" s="363" t="s">
        <v>2922</v>
      </c>
      <c r="C203" s="364">
        <v>9850</v>
      </c>
      <c r="D203" s="370" t="s">
        <v>122</v>
      </c>
      <c r="E203" s="370" t="s">
        <v>122</v>
      </c>
      <c r="F203" s="370" t="s">
        <v>122</v>
      </c>
      <c r="G203" s="370" t="s">
        <v>122</v>
      </c>
      <c r="H203" s="370" t="s">
        <v>122</v>
      </c>
    </row>
    <row r="204" spans="1:8" x14ac:dyDescent="0.25">
      <c r="A204" s="377">
        <v>45492</v>
      </c>
      <c r="B204" s="363" t="s">
        <v>2922</v>
      </c>
      <c r="C204" s="364">
        <v>9850</v>
      </c>
      <c r="D204" s="370" t="s">
        <v>122</v>
      </c>
      <c r="E204" s="370" t="s">
        <v>122</v>
      </c>
      <c r="F204" s="370" t="s">
        <v>122</v>
      </c>
      <c r="G204" s="370" t="s">
        <v>122</v>
      </c>
      <c r="H204" s="370" t="s">
        <v>122</v>
      </c>
    </row>
    <row r="205" spans="1:8" x14ac:dyDescent="0.25">
      <c r="A205" s="377">
        <v>45493</v>
      </c>
      <c r="B205" s="363" t="s">
        <v>2775</v>
      </c>
      <c r="C205" s="364">
        <v>9800</v>
      </c>
      <c r="D205" s="370" t="s">
        <v>122</v>
      </c>
      <c r="E205" s="370" t="s">
        <v>122</v>
      </c>
      <c r="F205" s="370" t="s">
        <v>122</v>
      </c>
      <c r="G205" s="370" t="s">
        <v>122</v>
      </c>
      <c r="H205" s="370" t="s">
        <v>122</v>
      </c>
    </row>
    <row r="206" spans="1:8" x14ac:dyDescent="0.25">
      <c r="A206" s="377">
        <v>45494</v>
      </c>
      <c r="B206" s="363" t="s">
        <v>2775</v>
      </c>
      <c r="C206" s="364">
        <v>9800</v>
      </c>
      <c r="D206" s="370" t="s">
        <v>122</v>
      </c>
      <c r="E206" s="370" t="s">
        <v>122</v>
      </c>
      <c r="F206" s="370" t="s">
        <v>122</v>
      </c>
      <c r="G206" s="370" t="s">
        <v>122</v>
      </c>
      <c r="H206" s="370" t="s">
        <v>122</v>
      </c>
    </row>
    <row r="207" spans="1:8" x14ac:dyDescent="0.25">
      <c r="A207" s="377">
        <v>45495</v>
      </c>
      <c r="B207" s="363" t="s">
        <v>2775</v>
      </c>
      <c r="C207" s="364">
        <v>9800</v>
      </c>
      <c r="D207" s="370" t="s">
        <v>122</v>
      </c>
      <c r="E207" s="370" t="s">
        <v>122</v>
      </c>
      <c r="F207" s="370" t="s">
        <v>122</v>
      </c>
      <c r="G207" s="370" t="s">
        <v>122</v>
      </c>
      <c r="H207" s="370" t="s">
        <v>122</v>
      </c>
    </row>
    <row r="208" spans="1:8" x14ac:dyDescent="0.25">
      <c r="A208" s="377">
        <v>45496</v>
      </c>
      <c r="B208" s="363" t="s">
        <v>2776</v>
      </c>
      <c r="C208" s="364">
        <v>9700</v>
      </c>
      <c r="D208" s="370" t="s">
        <v>122</v>
      </c>
      <c r="E208" s="370" t="s">
        <v>122</v>
      </c>
      <c r="F208" s="370" t="s">
        <v>122</v>
      </c>
      <c r="G208" s="370" t="s">
        <v>122</v>
      </c>
      <c r="H208" s="370" t="s">
        <v>122</v>
      </c>
    </row>
    <row r="209" spans="1:8" x14ac:dyDescent="0.25">
      <c r="A209" s="377">
        <v>45497</v>
      </c>
      <c r="B209" s="363" t="s">
        <v>2775</v>
      </c>
      <c r="C209" s="364">
        <v>9700</v>
      </c>
      <c r="D209" s="370" t="s">
        <v>122</v>
      </c>
      <c r="E209" s="370" t="s">
        <v>122</v>
      </c>
      <c r="F209" s="370" t="s">
        <v>122</v>
      </c>
      <c r="G209" s="370" t="s">
        <v>122</v>
      </c>
      <c r="H209" s="370" t="s">
        <v>122</v>
      </c>
    </row>
    <row r="210" spans="1:8" x14ac:dyDescent="0.25">
      <c r="A210" s="377">
        <v>45498</v>
      </c>
      <c r="B210" s="363" t="s">
        <v>2923</v>
      </c>
      <c r="C210" s="364">
        <v>9650</v>
      </c>
      <c r="D210" s="370" t="s">
        <v>122</v>
      </c>
      <c r="E210" s="370" t="s">
        <v>122</v>
      </c>
      <c r="F210" s="370" t="s">
        <v>122</v>
      </c>
      <c r="G210" s="370" t="s">
        <v>122</v>
      </c>
      <c r="H210" s="370" t="s">
        <v>122</v>
      </c>
    </row>
    <row r="211" spans="1:8" x14ac:dyDescent="0.25">
      <c r="A211" s="377">
        <v>45499</v>
      </c>
      <c r="B211" s="363" t="s">
        <v>2923</v>
      </c>
      <c r="C211" s="364">
        <v>9650</v>
      </c>
      <c r="D211" s="370" t="s">
        <v>122</v>
      </c>
      <c r="E211" s="370" t="s">
        <v>122</v>
      </c>
      <c r="F211" s="370" t="s">
        <v>122</v>
      </c>
      <c r="G211" s="370" t="s">
        <v>122</v>
      </c>
      <c r="H211" s="370" t="s">
        <v>122</v>
      </c>
    </row>
    <row r="212" spans="1:8" x14ac:dyDescent="0.25">
      <c r="A212" s="377">
        <v>45500</v>
      </c>
      <c r="B212" s="363" t="s">
        <v>2923</v>
      </c>
      <c r="C212" s="364">
        <v>9650</v>
      </c>
      <c r="D212" s="370" t="s">
        <v>122</v>
      </c>
      <c r="E212" s="370" t="s">
        <v>122</v>
      </c>
      <c r="F212" s="370" t="s">
        <v>122</v>
      </c>
      <c r="G212" s="370" t="s">
        <v>122</v>
      </c>
      <c r="H212" s="370" t="s">
        <v>122</v>
      </c>
    </row>
    <row r="213" spans="1:8" x14ac:dyDescent="0.25">
      <c r="A213" s="377">
        <v>45501</v>
      </c>
      <c r="B213" s="363" t="s">
        <v>2923</v>
      </c>
      <c r="C213" s="364">
        <v>9650</v>
      </c>
      <c r="D213" s="370" t="s">
        <v>122</v>
      </c>
      <c r="E213" s="370" t="s">
        <v>122</v>
      </c>
      <c r="F213" s="370" t="s">
        <v>122</v>
      </c>
      <c r="G213" s="370" t="s">
        <v>122</v>
      </c>
      <c r="H213" s="370" t="s">
        <v>122</v>
      </c>
    </row>
    <row r="214" spans="1:8" x14ac:dyDescent="0.25">
      <c r="A214" s="377">
        <v>45502</v>
      </c>
      <c r="B214" s="363" t="s">
        <v>2924</v>
      </c>
      <c r="C214" s="364">
        <v>9550</v>
      </c>
      <c r="D214" s="370" t="s">
        <v>122</v>
      </c>
      <c r="E214" s="370" t="s">
        <v>122</v>
      </c>
      <c r="F214" s="370" t="s">
        <v>122</v>
      </c>
      <c r="G214" s="370" t="s">
        <v>122</v>
      </c>
      <c r="H214" s="370" t="s">
        <v>122</v>
      </c>
    </row>
    <row r="215" spans="1:8" x14ac:dyDescent="0.25">
      <c r="A215" s="377">
        <v>45503</v>
      </c>
      <c r="B215" s="363" t="s">
        <v>2924</v>
      </c>
      <c r="C215" s="364">
        <v>9550</v>
      </c>
      <c r="D215" s="370" t="s">
        <v>122</v>
      </c>
      <c r="E215" s="370" t="s">
        <v>122</v>
      </c>
      <c r="F215" s="370" t="s">
        <v>122</v>
      </c>
      <c r="G215" s="370" t="s">
        <v>122</v>
      </c>
      <c r="H215" s="370" t="s">
        <v>122</v>
      </c>
    </row>
    <row r="216" spans="1:8" x14ac:dyDescent="0.25">
      <c r="A216" s="377">
        <v>45504</v>
      </c>
      <c r="B216" s="363" t="s">
        <v>2925</v>
      </c>
      <c r="C216" s="364">
        <v>9500</v>
      </c>
      <c r="D216" s="370" t="s">
        <v>122</v>
      </c>
      <c r="E216" s="370" t="s">
        <v>122</v>
      </c>
      <c r="F216" s="370" t="s">
        <v>122</v>
      </c>
      <c r="G216" s="370" t="s">
        <v>122</v>
      </c>
      <c r="H216" s="370" t="s">
        <v>122</v>
      </c>
    </row>
    <row r="217" spans="1:8" x14ac:dyDescent="0.25">
      <c r="A217" s="377">
        <v>45505</v>
      </c>
      <c r="B217" s="363" t="s">
        <v>2777</v>
      </c>
      <c r="C217" s="364">
        <v>9500</v>
      </c>
      <c r="D217" s="370" t="s">
        <v>122</v>
      </c>
      <c r="E217" s="370" t="s">
        <v>122</v>
      </c>
      <c r="F217" s="370" t="s">
        <v>122</v>
      </c>
      <c r="G217" s="370" t="s">
        <v>122</v>
      </c>
      <c r="H217" s="370" t="s">
        <v>122</v>
      </c>
    </row>
    <row r="218" spans="1:8" x14ac:dyDescent="0.25">
      <c r="A218" s="377">
        <v>45506</v>
      </c>
      <c r="B218" s="363" t="s">
        <v>2926</v>
      </c>
      <c r="C218" s="364">
        <v>9450</v>
      </c>
      <c r="D218" s="370" t="s">
        <v>122</v>
      </c>
      <c r="E218" s="370" t="s">
        <v>122</v>
      </c>
      <c r="F218" s="370" t="s">
        <v>122</v>
      </c>
      <c r="G218" s="370" t="s">
        <v>122</v>
      </c>
      <c r="H218" s="370" t="s">
        <v>122</v>
      </c>
    </row>
    <row r="219" spans="1:8" x14ac:dyDescent="0.25">
      <c r="A219" s="377">
        <v>45507</v>
      </c>
      <c r="B219" s="363" t="s">
        <v>2926</v>
      </c>
      <c r="C219" s="364">
        <v>9450</v>
      </c>
      <c r="D219" s="370" t="s">
        <v>122</v>
      </c>
      <c r="E219" s="370" t="s">
        <v>122</v>
      </c>
      <c r="F219" s="370" t="s">
        <v>122</v>
      </c>
      <c r="G219" s="370" t="s">
        <v>122</v>
      </c>
      <c r="H219" s="370" t="s">
        <v>122</v>
      </c>
    </row>
    <row r="220" spans="1:8" x14ac:dyDescent="0.25">
      <c r="A220" s="377">
        <v>45508</v>
      </c>
      <c r="B220" s="363" t="s">
        <v>2926</v>
      </c>
      <c r="C220" s="364">
        <v>9450</v>
      </c>
      <c r="D220" s="370" t="s">
        <v>122</v>
      </c>
      <c r="E220" s="370" t="s">
        <v>122</v>
      </c>
      <c r="F220" s="370" t="s">
        <v>122</v>
      </c>
      <c r="G220" s="370" t="s">
        <v>122</v>
      </c>
      <c r="H220" s="370" t="s">
        <v>122</v>
      </c>
    </row>
    <row r="221" spans="1:8" x14ac:dyDescent="0.25">
      <c r="A221" s="377">
        <v>45509</v>
      </c>
      <c r="B221" s="363" t="s">
        <v>2927</v>
      </c>
      <c r="C221" s="364">
        <v>9350</v>
      </c>
      <c r="D221" s="370" t="s">
        <v>122</v>
      </c>
      <c r="E221" s="370" t="s">
        <v>122</v>
      </c>
      <c r="F221" s="370" t="s">
        <v>122</v>
      </c>
      <c r="G221" s="370" t="s">
        <v>122</v>
      </c>
      <c r="H221" s="370" t="s">
        <v>122</v>
      </c>
    </row>
    <row r="222" spans="1:8" x14ac:dyDescent="0.25">
      <c r="A222" s="377">
        <v>45510</v>
      </c>
      <c r="B222" s="363" t="s">
        <v>2927</v>
      </c>
      <c r="C222" s="364">
        <v>9350</v>
      </c>
      <c r="D222" s="370" t="s">
        <v>122</v>
      </c>
      <c r="E222" s="370" t="s">
        <v>122</v>
      </c>
      <c r="F222" s="370" t="s">
        <v>122</v>
      </c>
      <c r="G222" s="370" t="s">
        <v>122</v>
      </c>
      <c r="H222" s="370" t="s">
        <v>122</v>
      </c>
    </row>
    <row r="223" spans="1:8" x14ac:dyDescent="0.25">
      <c r="A223" s="377">
        <v>45511</v>
      </c>
      <c r="B223" s="363" t="s">
        <v>2927</v>
      </c>
      <c r="C223" s="364">
        <v>9350</v>
      </c>
      <c r="D223" s="370" t="s">
        <v>122</v>
      </c>
      <c r="E223" s="370" t="s">
        <v>122</v>
      </c>
      <c r="F223" s="370" t="s">
        <v>122</v>
      </c>
      <c r="G223" s="370" t="s">
        <v>122</v>
      </c>
      <c r="H223" s="370" t="s">
        <v>122</v>
      </c>
    </row>
    <row r="224" spans="1:8" x14ac:dyDescent="0.25">
      <c r="A224" s="377">
        <v>45512</v>
      </c>
      <c r="B224" s="363" t="s">
        <v>2928</v>
      </c>
      <c r="C224" s="364">
        <v>9300</v>
      </c>
      <c r="D224" s="370" t="s">
        <v>122</v>
      </c>
      <c r="E224" s="370" t="s">
        <v>122</v>
      </c>
      <c r="F224" s="370" t="s">
        <v>122</v>
      </c>
      <c r="G224" s="370" t="s">
        <v>122</v>
      </c>
      <c r="H224" s="370" t="s">
        <v>122</v>
      </c>
    </row>
    <row r="225" spans="1:8" x14ac:dyDescent="0.25">
      <c r="A225" s="377">
        <v>45513</v>
      </c>
      <c r="B225" s="363" t="s">
        <v>2929</v>
      </c>
      <c r="C225" s="364">
        <v>9250</v>
      </c>
      <c r="D225" s="370" t="s">
        <v>122</v>
      </c>
      <c r="E225" s="370" t="s">
        <v>122</v>
      </c>
      <c r="F225" s="370" t="s">
        <v>2161</v>
      </c>
      <c r="G225" s="370" t="s">
        <v>122</v>
      </c>
      <c r="H225" s="370" t="s">
        <v>122</v>
      </c>
    </row>
    <row r="226" spans="1:8" x14ac:dyDescent="0.25">
      <c r="A226" s="377">
        <v>45514</v>
      </c>
      <c r="B226" s="363" t="s">
        <v>2930</v>
      </c>
      <c r="C226" s="364">
        <v>9200</v>
      </c>
      <c r="D226" s="370" t="s">
        <v>122</v>
      </c>
      <c r="E226" s="370" t="s">
        <v>122</v>
      </c>
      <c r="F226" s="370" t="s">
        <v>2161</v>
      </c>
      <c r="G226" s="370" t="s">
        <v>122</v>
      </c>
      <c r="H226" s="370" t="s">
        <v>122</v>
      </c>
    </row>
    <row r="227" spans="1:8" x14ac:dyDescent="0.25">
      <c r="A227" s="377">
        <v>45515</v>
      </c>
      <c r="B227" s="363" t="s">
        <v>2930</v>
      </c>
      <c r="C227" s="364">
        <v>9200</v>
      </c>
      <c r="D227" s="370" t="s">
        <v>122</v>
      </c>
      <c r="E227" s="370" t="s">
        <v>122</v>
      </c>
      <c r="F227" s="370" t="s">
        <v>2161</v>
      </c>
      <c r="G227" s="370" t="s">
        <v>122</v>
      </c>
      <c r="H227" s="370" t="s">
        <v>122</v>
      </c>
    </row>
    <row r="228" spans="1:8" x14ac:dyDescent="0.25">
      <c r="A228" s="377">
        <v>45516</v>
      </c>
      <c r="B228" s="363" t="s">
        <v>2930</v>
      </c>
      <c r="C228" s="364">
        <v>9200</v>
      </c>
      <c r="D228" s="370" t="s">
        <v>122</v>
      </c>
      <c r="E228" s="370" t="s">
        <v>122</v>
      </c>
      <c r="F228" s="370" t="s">
        <v>2161</v>
      </c>
      <c r="G228" s="370" t="s">
        <v>122</v>
      </c>
      <c r="H228" s="370" t="s">
        <v>122</v>
      </c>
    </row>
    <row r="229" spans="1:8" x14ac:dyDescent="0.25">
      <c r="A229" s="377">
        <v>45517</v>
      </c>
      <c r="B229" s="363" t="s">
        <v>2931</v>
      </c>
      <c r="C229" s="364">
        <v>9100</v>
      </c>
      <c r="D229" s="370" t="s">
        <v>122</v>
      </c>
      <c r="E229" s="370" t="s">
        <v>122</v>
      </c>
      <c r="F229" s="370" t="s">
        <v>2161</v>
      </c>
      <c r="G229" s="370" t="s">
        <v>122</v>
      </c>
      <c r="H229" s="370" t="s">
        <v>122</v>
      </c>
    </row>
    <row r="230" spans="1:8" x14ac:dyDescent="0.25">
      <c r="A230" s="377">
        <v>45518</v>
      </c>
      <c r="B230" s="363" t="s">
        <v>2931</v>
      </c>
      <c r="C230" s="364">
        <v>9100</v>
      </c>
      <c r="D230" s="370" t="s">
        <v>122</v>
      </c>
      <c r="E230" s="370" t="s">
        <v>122</v>
      </c>
      <c r="F230" s="370" t="s">
        <v>2161</v>
      </c>
      <c r="G230" s="370" t="s">
        <v>122</v>
      </c>
      <c r="H230" s="370" t="s">
        <v>122</v>
      </c>
    </row>
    <row r="231" spans="1:8" x14ac:dyDescent="0.25">
      <c r="A231" s="377">
        <v>45519</v>
      </c>
      <c r="B231" s="363" t="s">
        <v>2779</v>
      </c>
      <c r="C231" s="364">
        <v>9000</v>
      </c>
      <c r="D231" s="370" t="s">
        <v>122</v>
      </c>
      <c r="E231" s="370" t="s">
        <v>122</v>
      </c>
      <c r="F231" s="370" t="s">
        <v>2161</v>
      </c>
      <c r="G231" s="370" t="s">
        <v>122</v>
      </c>
      <c r="H231" s="370" t="s">
        <v>122</v>
      </c>
    </row>
    <row r="232" spans="1:8" x14ac:dyDescent="0.25">
      <c r="A232" s="377">
        <v>45520</v>
      </c>
      <c r="B232" s="363" t="s">
        <v>2779</v>
      </c>
      <c r="C232" s="364">
        <v>9000</v>
      </c>
      <c r="D232" s="370" t="s">
        <v>122</v>
      </c>
      <c r="E232" s="370" t="s">
        <v>122</v>
      </c>
      <c r="F232" s="370" t="s">
        <v>2161</v>
      </c>
      <c r="G232" s="370" t="s">
        <v>122</v>
      </c>
      <c r="H232" s="370" t="s">
        <v>122</v>
      </c>
    </row>
    <row r="233" spans="1:8" x14ac:dyDescent="0.25">
      <c r="A233" s="377">
        <v>45521</v>
      </c>
      <c r="B233" s="363" t="s">
        <v>2779</v>
      </c>
      <c r="C233" s="364">
        <v>9000</v>
      </c>
      <c r="D233" s="370" t="s">
        <v>122</v>
      </c>
      <c r="E233" s="370" t="s">
        <v>122</v>
      </c>
      <c r="F233" s="370" t="s">
        <v>2161</v>
      </c>
      <c r="G233" s="370" t="s">
        <v>122</v>
      </c>
      <c r="H233" s="370" t="s">
        <v>122</v>
      </c>
    </row>
    <row r="234" spans="1:8" x14ac:dyDescent="0.25">
      <c r="A234" s="377">
        <v>45522</v>
      </c>
      <c r="B234" s="363" t="s">
        <v>2779</v>
      </c>
      <c r="C234" s="364">
        <v>9000</v>
      </c>
      <c r="D234" s="370" t="s">
        <v>122</v>
      </c>
      <c r="E234" s="370" t="s">
        <v>122</v>
      </c>
      <c r="F234" s="370" t="s">
        <v>2161</v>
      </c>
      <c r="G234" s="370" t="s">
        <v>122</v>
      </c>
      <c r="H234" s="370" t="s">
        <v>122</v>
      </c>
    </row>
    <row r="235" spans="1:8" x14ac:dyDescent="0.25">
      <c r="A235" s="377">
        <v>45523</v>
      </c>
      <c r="B235" s="363" t="s">
        <v>2779</v>
      </c>
      <c r="C235" s="364">
        <v>9000</v>
      </c>
      <c r="D235" s="370" t="s">
        <v>122</v>
      </c>
      <c r="E235" s="370" t="s">
        <v>122</v>
      </c>
      <c r="F235" s="370" t="s">
        <v>2161</v>
      </c>
      <c r="G235" s="370" t="s">
        <v>122</v>
      </c>
      <c r="H235" s="370" t="s">
        <v>122</v>
      </c>
    </row>
    <row r="236" spans="1:8" x14ac:dyDescent="0.25">
      <c r="A236" s="377">
        <v>45524</v>
      </c>
      <c r="B236" s="363" t="s">
        <v>2932</v>
      </c>
      <c r="C236" s="364">
        <v>8950</v>
      </c>
      <c r="D236" s="370" t="s">
        <v>122</v>
      </c>
      <c r="E236" s="370" t="s">
        <v>122</v>
      </c>
      <c r="F236" s="370" t="s">
        <v>2161</v>
      </c>
      <c r="G236" s="370" t="s">
        <v>122</v>
      </c>
      <c r="H236" s="370" t="s">
        <v>122</v>
      </c>
    </row>
    <row r="237" spans="1:8" x14ac:dyDescent="0.25">
      <c r="A237" s="377">
        <v>45525</v>
      </c>
      <c r="B237" s="363" t="s">
        <v>2932</v>
      </c>
      <c r="C237" s="364">
        <v>8950</v>
      </c>
      <c r="D237" s="370" t="s">
        <v>122</v>
      </c>
      <c r="E237" s="370" t="s">
        <v>122</v>
      </c>
      <c r="F237" s="370" t="s">
        <v>2161</v>
      </c>
      <c r="G237" s="370" t="s">
        <v>122</v>
      </c>
      <c r="H237" s="370" t="s">
        <v>122</v>
      </c>
    </row>
    <row r="238" spans="1:8" x14ac:dyDescent="0.25">
      <c r="A238" s="377">
        <v>45526</v>
      </c>
      <c r="B238" s="363" t="s">
        <v>2933</v>
      </c>
      <c r="C238" s="364">
        <v>8900</v>
      </c>
      <c r="D238" s="370" t="s">
        <v>122</v>
      </c>
      <c r="E238" s="370" t="s">
        <v>122</v>
      </c>
      <c r="F238" s="370" t="s">
        <v>2161</v>
      </c>
      <c r="G238" s="370" t="s">
        <v>122</v>
      </c>
      <c r="H238" s="370" t="s">
        <v>122</v>
      </c>
    </row>
    <row r="239" spans="1:8" x14ac:dyDescent="0.25">
      <c r="A239" s="377">
        <v>45527</v>
      </c>
      <c r="B239" s="363" t="s">
        <v>2933</v>
      </c>
      <c r="C239" s="364">
        <v>8900</v>
      </c>
      <c r="D239" s="370" t="s">
        <v>122</v>
      </c>
      <c r="E239" s="370" t="s">
        <v>122</v>
      </c>
      <c r="F239" s="370" t="s">
        <v>2161</v>
      </c>
      <c r="G239" s="370" t="s">
        <v>122</v>
      </c>
      <c r="H239" s="370" t="s">
        <v>122</v>
      </c>
    </row>
    <row r="240" spans="1:8" x14ac:dyDescent="0.25">
      <c r="A240" s="377">
        <v>45528</v>
      </c>
      <c r="B240" s="363" t="s">
        <v>2933</v>
      </c>
      <c r="C240" s="364">
        <v>8900</v>
      </c>
      <c r="D240" s="370" t="s">
        <v>122</v>
      </c>
      <c r="E240" s="370" t="s">
        <v>122</v>
      </c>
      <c r="F240" s="370" t="s">
        <v>2161</v>
      </c>
      <c r="G240" s="370" t="s">
        <v>122</v>
      </c>
      <c r="H240" s="370" t="s">
        <v>122</v>
      </c>
    </row>
    <row r="241" spans="1:8" x14ac:dyDescent="0.25">
      <c r="A241" s="377">
        <v>45529</v>
      </c>
      <c r="B241" s="363" t="s">
        <v>2933</v>
      </c>
      <c r="C241" s="364">
        <v>8900</v>
      </c>
      <c r="D241" s="370" t="s">
        <v>122</v>
      </c>
      <c r="E241" s="370" t="s">
        <v>122</v>
      </c>
      <c r="F241" s="370" t="s">
        <v>2161</v>
      </c>
      <c r="G241" s="370" t="s">
        <v>122</v>
      </c>
      <c r="H241" s="370" t="s">
        <v>122</v>
      </c>
    </row>
    <row r="242" spans="1:8" x14ac:dyDescent="0.25">
      <c r="A242" s="377">
        <v>45530</v>
      </c>
      <c r="B242" s="363" t="s">
        <v>2933</v>
      </c>
      <c r="C242" s="364">
        <v>8900</v>
      </c>
      <c r="D242" s="370" t="s">
        <v>122</v>
      </c>
      <c r="E242" s="370" t="s">
        <v>122</v>
      </c>
      <c r="F242" s="370" t="s">
        <v>2161</v>
      </c>
      <c r="G242" s="370" t="s">
        <v>122</v>
      </c>
      <c r="H242" s="370" t="s">
        <v>122</v>
      </c>
    </row>
    <row r="243" spans="1:8" x14ac:dyDescent="0.25">
      <c r="A243" s="377">
        <v>45531</v>
      </c>
      <c r="B243" s="363" t="s">
        <v>2934</v>
      </c>
      <c r="C243" s="368">
        <v>8800</v>
      </c>
      <c r="D243" s="370" t="s">
        <v>122</v>
      </c>
      <c r="E243" s="370" t="s">
        <v>122</v>
      </c>
      <c r="F243" s="370" t="s">
        <v>2161</v>
      </c>
      <c r="G243" s="370" t="s">
        <v>122</v>
      </c>
      <c r="H243" s="370" t="s">
        <v>122</v>
      </c>
    </row>
    <row r="244" spans="1:8" x14ac:dyDescent="0.25">
      <c r="A244" s="377">
        <v>45532</v>
      </c>
      <c r="B244" s="363" t="s">
        <v>2934</v>
      </c>
      <c r="C244" s="368">
        <v>8800</v>
      </c>
      <c r="D244" s="370" t="s">
        <v>122</v>
      </c>
      <c r="E244" s="370" t="s">
        <v>122</v>
      </c>
      <c r="F244" s="370" t="s">
        <v>2161</v>
      </c>
      <c r="G244" s="370" t="s">
        <v>122</v>
      </c>
      <c r="H244" s="370" t="s">
        <v>122</v>
      </c>
    </row>
    <row r="245" spans="1:8" x14ac:dyDescent="0.25">
      <c r="A245" s="377">
        <v>45533</v>
      </c>
      <c r="B245" s="363" t="s">
        <v>2934</v>
      </c>
      <c r="C245" s="368">
        <v>8800</v>
      </c>
      <c r="D245" s="370" t="s">
        <v>122</v>
      </c>
      <c r="E245" s="370" t="s">
        <v>122</v>
      </c>
      <c r="F245" s="370" t="s">
        <v>2161</v>
      </c>
      <c r="G245" s="370" t="s">
        <v>122</v>
      </c>
      <c r="H245" s="370" t="s">
        <v>122</v>
      </c>
    </row>
    <row r="246" spans="1:8" x14ac:dyDescent="0.25">
      <c r="A246" s="377">
        <v>45534</v>
      </c>
      <c r="B246" s="363" t="s">
        <v>2935</v>
      </c>
      <c r="C246" s="364">
        <v>8750</v>
      </c>
      <c r="D246" s="370" t="s">
        <v>122</v>
      </c>
      <c r="E246" s="370" t="s">
        <v>122</v>
      </c>
      <c r="F246" s="370" t="s">
        <v>122</v>
      </c>
      <c r="G246" s="370" t="s">
        <v>122</v>
      </c>
      <c r="H246" s="370" t="s">
        <v>122</v>
      </c>
    </row>
    <row r="247" spans="1:8" x14ac:dyDescent="0.25">
      <c r="A247" s="377">
        <v>45535</v>
      </c>
      <c r="B247" s="363" t="s">
        <v>2935</v>
      </c>
      <c r="C247" s="364">
        <v>8750</v>
      </c>
      <c r="D247" s="370" t="s">
        <v>122</v>
      </c>
      <c r="E247" s="370" t="s">
        <v>122</v>
      </c>
      <c r="F247" s="370" t="s">
        <v>122</v>
      </c>
      <c r="G247" s="370" t="s">
        <v>122</v>
      </c>
      <c r="H247" s="370" t="s">
        <v>122</v>
      </c>
    </row>
    <row r="248" spans="1:8" x14ac:dyDescent="0.25">
      <c r="A248" s="377">
        <v>45536</v>
      </c>
      <c r="B248" s="363" t="s">
        <v>2935</v>
      </c>
      <c r="C248" s="364">
        <v>8750</v>
      </c>
      <c r="D248" s="370" t="s">
        <v>122</v>
      </c>
      <c r="E248" s="370" t="s">
        <v>122</v>
      </c>
      <c r="F248" s="370" t="s">
        <v>122</v>
      </c>
      <c r="G248" s="370" t="s">
        <v>122</v>
      </c>
      <c r="H248" s="370" t="s">
        <v>122</v>
      </c>
    </row>
    <row r="249" spans="1:8" x14ac:dyDescent="0.25">
      <c r="A249" s="377">
        <v>45537</v>
      </c>
      <c r="B249" s="363" t="s">
        <v>2935</v>
      </c>
      <c r="C249" s="364">
        <v>8750</v>
      </c>
      <c r="D249" s="370" t="s">
        <v>122</v>
      </c>
      <c r="E249" s="370" t="s">
        <v>122</v>
      </c>
      <c r="F249" s="370" t="s">
        <v>122</v>
      </c>
      <c r="G249" s="370" t="s">
        <v>122</v>
      </c>
      <c r="H249" s="370" t="s">
        <v>122</v>
      </c>
    </row>
    <row r="250" spans="1:8" x14ac:dyDescent="0.25">
      <c r="A250" s="377">
        <v>45538</v>
      </c>
      <c r="B250" s="363" t="s">
        <v>2935</v>
      </c>
      <c r="C250" s="364">
        <v>8750</v>
      </c>
      <c r="D250" s="370" t="s">
        <v>122</v>
      </c>
      <c r="E250" s="370" t="s">
        <v>122</v>
      </c>
      <c r="F250" s="370" t="s">
        <v>122</v>
      </c>
      <c r="G250" s="370" t="s">
        <v>122</v>
      </c>
      <c r="H250" s="370" t="s">
        <v>122</v>
      </c>
    </row>
    <row r="251" spans="1:8" x14ac:dyDescent="0.25">
      <c r="A251" s="377">
        <v>45539</v>
      </c>
      <c r="B251" s="363" t="s">
        <v>2935</v>
      </c>
      <c r="C251" s="364">
        <v>8750</v>
      </c>
      <c r="D251" s="370" t="s">
        <v>122</v>
      </c>
      <c r="E251" s="370" t="s">
        <v>122</v>
      </c>
      <c r="F251" s="370" t="s">
        <v>122</v>
      </c>
      <c r="G251" s="370" t="s">
        <v>122</v>
      </c>
      <c r="H251" s="370" t="s">
        <v>122</v>
      </c>
    </row>
    <row r="252" spans="1:8" x14ac:dyDescent="0.25">
      <c r="A252" s="377">
        <v>45540</v>
      </c>
      <c r="B252" s="363" t="s">
        <v>2935</v>
      </c>
      <c r="C252" s="364">
        <v>8750</v>
      </c>
      <c r="D252" s="370" t="s">
        <v>122</v>
      </c>
      <c r="E252" s="370" t="s">
        <v>122</v>
      </c>
      <c r="F252" s="370" t="s">
        <v>122</v>
      </c>
      <c r="G252" s="370" t="s">
        <v>122</v>
      </c>
      <c r="H252" s="370" t="s">
        <v>122</v>
      </c>
    </row>
    <row r="253" spans="1:8" x14ac:dyDescent="0.25">
      <c r="A253" s="377">
        <v>45541</v>
      </c>
      <c r="B253" s="363" t="s">
        <v>2935</v>
      </c>
      <c r="C253" s="364">
        <v>8750</v>
      </c>
      <c r="D253" s="370" t="s">
        <v>122</v>
      </c>
      <c r="E253" s="370" t="s">
        <v>122</v>
      </c>
      <c r="F253" s="370" t="s">
        <v>122</v>
      </c>
      <c r="G253" s="370" t="s">
        <v>122</v>
      </c>
      <c r="H253" s="370" t="s">
        <v>122</v>
      </c>
    </row>
    <row r="254" spans="1:8" x14ac:dyDescent="0.25">
      <c r="A254" s="377">
        <v>45542</v>
      </c>
      <c r="B254" s="363" t="s">
        <v>2936</v>
      </c>
      <c r="C254" s="364">
        <v>8600</v>
      </c>
      <c r="D254" s="370" t="s">
        <v>122</v>
      </c>
      <c r="E254" s="370" t="s">
        <v>122</v>
      </c>
      <c r="F254" s="370" t="s">
        <v>2161</v>
      </c>
      <c r="G254" s="370" t="s">
        <v>122</v>
      </c>
      <c r="H254" s="370" t="s">
        <v>122</v>
      </c>
    </row>
    <row r="255" spans="1:8" x14ac:dyDescent="0.25">
      <c r="A255" s="377">
        <v>45543</v>
      </c>
      <c r="B255" s="363" t="s">
        <v>2936</v>
      </c>
      <c r="C255" s="364">
        <v>8600</v>
      </c>
      <c r="D255" s="370" t="s">
        <v>122</v>
      </c>
      <c r="E255" s="370" t="s">
        <v>122</v>
      </c>
      <c r="F255" s="370" t="s">
        <v>2161</v>
      </c>
      <c r="G255" s="370" t="s">
        <v>122</v>
      </c>
      <c r="H255" s="370" t="s">
        <v>122</v>
      </c>
    </row>
    <row r="256" spans="1:8" x14ac:dyDescent="0.25">
      <c r="A256" s="377">
        <v>45544</v>
      </c>
      <c r="B256" s="363" t="s">
        <v>1789</v>
      </c>
      <c r="C256" s="364">
        <v>8500</v>
      </c>
      <c r="D256" s="370" t="s">
        <v>122</v>
      </c>
      <c r="E256" s="370" t="s">
        <v>122</v>
      </c>
      <c r="F256" s="370" t="s">
        <v>2161</v>
      </c>
      <c r="G256" s="370" t="s">
        <v>122</v>
      </c>
      <c r="H256" s="370" t="s">
        <v>122</v>
      </c>
    </row>
    <row r="257" spans="1:8" x14ac:dyDescent="0.25">
      <c r="A257" s="377">
        <v>45545</v>
      </c>
      <c r="B257" s="363" t="s">
        <v>1789</v>
      </c>
      <c r="C257" s="364">
        <v>8500</v>
      </c>
      <c r="D257" s="370" t="s">
        <v>122</v>
      </c>
      <c r="E257" s="370" t="s">
        <v>122</v>
      </c>
      <c r="F257" s="370" t="s">
        <v>2161</v>
      </c>
      <c r="G257" s="370" t="s">
        <v>122</v>
      </c>
      <c r="H257" s="370" t="s">
        <v>122</v>
      </c>
    </row>
    <row r="258" spans="1:8" x14ac:dyDescent="0.25">
      <c r="A258" s="377">
        <v>45546</v>
      </c>
      <c r="B258" s="363" t="s">
        <v>1789</v>
      </c>
      <c r="C258" s="364">
        <v>8500</v>
      </c>
      <c r="D258" s="370" t="s">
        <v>122</v>
      </c>
      <c r="E258" s="370" t="s">
        <v>122</v>
      </c>
      <c r="F258" s="370" t="s">
        <v>2161</v>
      </c>
      <c r="G258" s="370" t="s">
        <v>122</v>
      </c>
      <c r="H258" s="370" t="s">
        <v>122</v>
      </c>
    </row>
    <row r="259" spans="1:8" x14ac:dyDescent="0.25">
      <c r="A259" s="377">
        <v>45547</v>
      </c>
      <c r="B259" s="363" t="s">
        <v>1789</v>
      </c>
      <c r="C259" s="364">
        <v>8500</v>
      </c>
      <c r="D259" s="370" t="s">
        <v>122</v>
      </c>
      <c r="E259" s="370" t="s">
        <v>122</v>
      </c>
      <c r="F259" s="370" t="s">
        <v>2161</v>
      </c>
      <c r="G259" s="370" t="s">
        <v>122</v>
      </c>
      <c r="H259" s="370" t="s">
        <v>122</v>
      </c>
    </row>
    <row r="260" spans="1:8" x14ac:dyDescent="0.25">
      <c r="A260" s="377">
        <v>45548</v>
      </c>
      <c r="B260" s="363" t="s">
        <v>2937</v>
      </c>
      <c r="C260" s="364">
        <v>8400</v>
      </c>
      <c r="D260" s="370" t="s">
        <v>122</v>
      </c>
      <c r="E260" s="370" t="s">
        <v>122</v>
      </c>
      <c r="F260" s="370" t="s">
        <v>2161</v>
      </c>
      <c r="G260" s="370" t="s">
        <v>122</v>
      </c>
      <c r="H260" s="370" t="s">
        <v>122</v>
      </c>
    </row>
    <row r="261" spans="1:8" x14ac:dyDescent="0.25">
      <c r="A261" s="377">
        <v>45549</v>
      </c>
      <c r="B261" s="363" t="s">
        <v>2937</v>
      </c>
      <c r="C261" s="364">
        <v>8400</v>
      </c>
      <c r="D261" s="370" t="s">
        <v>122</v>
      </c>
      <c r="E261" s="370" t="s">
        <v>122</v>
      </c>
      <c r="F261" s="370" t="s">
        <v>2161</v>
      </c>
      <c r="G261" s="370" t="s">
        <v>122</v>
      </c>
      <c r="H261" s="370" t="s">
        <v>122</v>
      </c>
    </row>
    <row r="262" spans="1:8" x14ac:dyDescent="0.25">
      <c r="A262" s="377">
        <v>45550</v>
      </c>
      <c r="B262" s="363" t="s">
        <v>2937</v>
      </c>
      <c r="C262" s="364">
        <v>8400</v>
      </c>
      <c r="D262" s="370" t="s">
        <v>122</v>
      </c>
      <c r="E262" s="370" t="s">
        <v>122</v>
      </c>
      <c r="F262" s="370" t="s">
        <v>2161</v>
      </c>
      <c r="G262" s="370" t="s">
        <v>122</v>
      </c>
      <c r="H262" s="370" t="s">
        <v>122</v>
      </c>
    </row>
    <row r="263" spans="1:8" x14ac:dyDescent="0.25">
      <c r="A263" s="377">
        <v>45551</v>
      </c>
      <c r="B263" s="363" t="s">
        <v>2938</v>
      </c>
      <c r="C263" s="364">
        <v>8300</v>
      </c>
      <c r="D263" s="370" t="s">
        <v>122</v>
      </c>
      <c r="E263" s="370" t="s">
        <v>122</v>
      </c>
      <c r="F263" s="370" t="s">
        <v>2161</v>
      </c>
      <c r="G263" s="370" t="s">
        <v>122</v>
      </c>
      <c r="H263" s="370" t="s">
        <v>122</v>
      </c>
    </row>
    <row r="264" spans="1:8" x14ac:dyDescent="0.25">
      <c r="A264" s="377">
        <v>45552</v>
      </c>
      <c r="B264" s="363" t="s">
        <v>2938</v>
      </c>
      <c r="C264" s="364">
        <v>8300</v>
      </c>
      <c r="D264" s="370" t="s">
        <v>122</v>
      </c>
      <c r="E264" s="370" t="s">
        <v>122</v>
      </c>
      <c r="F264" s="370" t="s">
        <v>2161</v>
      </c>
      <c r="G264" s="370" t="s">
        <v>122</v>
      </c>
      <c r="H264" s="370" t="s">
        <v>122</v>
      </c>
    </row>
    <row r="265" spans="1:8" x14ac:dyDescent="0.25">
      <c r="A265" s="377">
        <v>45553</v>
      </c>
      <c r="B265" s="363" t="s">
        <v>2938</v>
      </c>
      <c r="C265" s="364">
        <v>8300</v>
      </c>
      <c r="D265" s="370" t="s">
        <v>122</v>
      </c>
      <c r="E265" s="370" t="s">
        <v>122</v>
      </c>
      <c r="F265" s="370" t="s">
        <v>2161</v>
      </c>
      <c r="G265" s="370" t="s">
        <v>122</v>
      </c>
      <c r="H265" s="370" t="s">
        <v>122</v>
      </c>
    </row>
    <row r="266" spans="1:8" x14ac:dyDescent="0.25">
      <c r="A266" s="377">
        <v>45554</v>
      </c>
      <c r="B266" s="363" t="s">
        <v>2939</v>
      </c>
      <c r="C266" s="364">
        <v>8250</v>
      </c>
      <c r="D266" s="370" t="s">
        <v>122</v>
      </c>
      <c r="E266" s="370" t="s">
        <v>122</v>
      </c>
      <c r="F266" s="370" t="s">
        <v>2161</v>
      </c>
      <c r="G266" s="370" t="s">
        <v>122</v>
      </c>
      <c r="H266" s="370" t="s">
        <v>122</v>
      </c>
    </row>
    <row r="267" spans="1:8" x14ac:dyDescent="0.25">
      <c r="A267" s="377">
        <v>45555</v>
      </c>
      <c r="B267" s="363" t="s">
        <v>2939</v>
      </c>
      <c r="C267" s="364">
        <v>8250</v>
      </c>
      <c r="D267" s="370" t="s">
        <v>122</v>
      </c>
      <c r="E267" s="370" t="s">
        <v>122</v>
      </c>
      <c r="F267" s="370" t="s">
        <v>2161</v>
      </c>
      <c r="G267" s="370" t="s">
        <v>122</v>
      </c>
      <c r="H267" s="370" t="s">
        <v>122</v>
      </c>
    </row>
    <row r="268" spans="1:8" x14ac:dyDescent="0.25">
      <c r="A268" s="377">
        <v>45556</v>
      </c>
      <c r="B268" s="363" t="s">
        <v>2939</v>
      </c>
      <c r="C268" s="364">
        <v>8250</v>
      </c>
      <c r="D268" s="370" t="s">
        <v>122</v>
      </c>
      <c r="E268" s="370" t="s">
        <v>122</v>
      </c>
      <c r="F268" s="370" t="s">
        <v>2161</v>
      </c>
      <c r="G268" s="370" t="s">
        <v>122</v>
      </c>
      <c r="H268" s="370" t="s">
        <v>122</v>
      </c>
    </row>
    <row r="269" spans="1:8" x14ac:dyDescent="0.25">
      <c r="A269" s="377">
        <v>45557</v>
      </c>
      <c r="B269" s="363" t="s">
        <v>2939</v>
      </c>
      <c r="C269" s="364">
        <v>8250</v>
      </c>
      <c r="D269" s="370" t="s">
        <v>122</v>
      </c>
      <c r="E269" s="370" t="s">
        <v>122</v>
      </c>
      <c r="F269" s="370" t="s">
        <v>2161</v>
      </c>
      <c r="G269" s="370" t="s">
        <v>122</v>
      </c>
      <c r="H269" s="370" t="s">
        <v>122</v>
      </c>
    </row>
    <row r="270" spans="1:8" x14ac:dyDescent="0.25">
      <c r="A270" s="377">
        <v>45558</v>
      </c>
      <c r="B270" s="363" t="s">
        <v>2939</v>
      </c>
      <c r="C270" s="364">
        <v>8250</v>
      </c>
      <c r="D270" s="370" t="s">
        <v>122</v>
      </c>
      <c r="E270" s="370" t="s">
        <v>122</v>
      </c>
      <c r="F270" s="370" t="s">
        <v>2161</v>
      </c>
      <c r="G270" s="370" t="s">
        <v>122</v>
      </c>
      <c r="H270" s="370" t="s">
        <v>122</v>
      </c>
    </row>
    <row r="271" spans="1:8" x14ac:dyDescent="0.25">
      <c r="A271" s="377">
        <v>45559</v>
      </c>
      <c r="B271" s="363" t="s">
        <v>2940</v>
      </c>
      <c r="C271" s="364">
        <v>8200</v>
      </c>
      <c r="D271" s="370" t="s">
        <v>122</v>
      </c>
      <c r="E271" s="370" t="s">
        <v>122</v>
      </c>
      <c r="F271" s="370" t="s">
        <v>2161</v>
      </c>
      <c r="G271" s="370" t="s">
        <v>122</v>
      </c>
      <c r="H271" s="370" t="s">
        <v>122</v>
      </c>
    </row>
    <row r="272" spans="1:8" x14ac:dyDescent="0.25">
      <c r="A272" s="377">
        <v>45560</v>
      </c>
      <c r="B272" s="363" t="s">
        <v>2940</v>
      </c>
      <c r="C272" s="364">
        <v>8200</v>
      </c>
      <c r="D272" s="370" t="s">
        <v>122</v>
      </c>
      <c r="E272" s="370" t="s">
        <v>122</v>
      </c>
      <c r="F272" s="370" t="s">
        <v>2161</v>
      </c>
      <c r="G272" s="370" t="s">
        <v>122</v>
      </c>
      <c r="H272" s="370" t="s">
        <v>122</v>
      </c>
    </row>
    <row r="273" spans="1:8" x14ac:dyDescent="0.25">
      <c r="A273" s="377">
        <v>45561</v>
      </c>
      <c r="B273" s="363" t="s">
        <v>2940</v>
      </c>
      <c r="C273" s="364">
        <v>8201</v>
      </c>
      <c r="D273" s="370" t="s">
        <v>122</v>
      </c>
      <c r="E273" s="370" t="s">
        <v>122</v>
      </c>
      <c r="F273" s="370" t="s">
        <v>2161</v>
      </c>
      <c r="G273" s="370" t="s">
        <v>122</v>
      </c>
      <c r="H273" s="370" t="s">
        <v>122</v>
      </c>
    </row>
    <row r="274" spans="1:8" x14ac:dyDescent="0.25">
      <c r="A274" s="377">
        <v>45562</v>
      </c>
      <c r="B274" s="363" t="s">
        <v>2940</v>
      </c>
      <c r="C274" s="364">
        <v>8202</v>
      </c>
      <c r="D274" s="370" t="s">
        <v>122</v>
      </c>
      <c r="E274" s="370" t="s">
        <v>122</v>
      </c>
      <c r="F274" s="370" t="s">
        <v>2161</v>
      </c>
      <c r="G274" s="370" t="s">
        <v>122</v>
      </c>
      <c r="H274" s="370" t="s">
        <v>122</v>
      </c>
    </row>
    <row r="275" spans="1:8" x14ac:dyDescent="0.25">
      <c r="A275" s="377">
        <v>45563</v>
      </c>
      <c r="B275" s="363" t="s">
        <v>2940</v>
      </c>
      <c r="C275" s="364">
        <v>8203</v>
      </c>
      <c r="D275" s="370" t="s">
        <v>122</v>
      </c>
      <c r="E275" s="370" t="s">
        <v>122</v>
      </c>
      <c r="F275" s="370" t="s">
        <v>2161</v>
      </c>
      <c r="G275" s="370" t="s">
        <v>122</v>
      </c>
      <c r="H275" s="370" t="s">
        <v>122</v>
      </c>
    </row>
    <row r="276" spans="1:8" x14ac:dyDescent="0.25">
      <c r="A276" s="377">
        <v>45564</v>
      </c>
      <c r="B276" s="363" t="s">
        <v>2940</v>
      </c>
      <c r="C276" s="364">
        <v>8204</v>
      </c>
      <c r="D276" s="370" t="s">
        <v>122</v>
      </c>
      <c r="E276" s="370" t="s">
        <v>122</v>
      </c>
      <c r="F276" s="370" t="s">
        <v>2161</v>
      </c>
      <c r="G276" s="370" t="s">
        <v>122</v>
      </c>
      <c r="H276" s="370" t="s">
        <v>122</v>
      </c>
    </row>
    <row r="277" spans="1:8" x14ac:dyDescent="0.25">
      <c r="A277" s="377">
        <v>45565</v>
      </c>
      <c r="B277" s="363" t="s">
        <v>2940</v>
      </c>
      <c r="C277" s="364">
        <v>8205</v>
      </c>
      <c r="D277" s="370" t="s">
        <v>122</v>
      </c>
      <c r="E277" s="370" t="s">
        <v>122</v>
      </c>
      <c r="F277" s="370" t="s">
        <v>2161</v>
      </c>
      <c r="G277" s="370" t="s">
        <v>122</v>
      </c>
      <c r="H277" s="370" t="s">
        <v>122</v>
      </c>
    </row>
    <row r="278" spans="1:8" x14ac:dyDescent="0.25">
      <c r="A278" s="377">
        <v>45566</v>
      </c>
      <c r="B278" s="363" t="s">
        <v>2404</v>
      </c>
      <c r="C278" s="364">
        <v>8000</v>
      </c>
      <c r="D278" s="370" t="s">
        <v>122</v>
      </c>
      <c r="E278" s="370" t="s">
        <v>122</v>
      </c>
      <c r="F278" s="370" t="s">
        <v>2161</v>
      </c>
      <c r="G278" s="370" t="s">
        <v>122</v>
      </c>
      <c r="H278" s="370" t="s">
        <v>122</v>
      </c>
    </row>
    <row r="279" spans="1:8" x14ac:dyDescent="0.25">
      <c r="A279" s="377">
        <v>45567</v>
      </c>
      <c r="B279" s="363" t="s">
        <v>2405</v>
      </c>
      <c r="C279" s="364">
        <v>7900</v>
      </c>
      <c r="D279" s="370" t="s">
        <v>122</v>
      </c>
      <c r="E279" s="370" t="s">
        <v>122</v>
      </c>
      <c r="F279" s="370" t="s">
        <v>2161</v>
      </c>
      <c r="G279" s="370" t="s">
        <v>122</v>
      </c>
      <c r="H279" s="370" t="s">
        <v>122</v>
      </c>
    </row>
    <row r="280" spans="1:8" x14ac:dyDescent="0.25">
      <c r="A280" s="377">
        <v>45568</v>
      </c>
      <c r="B280" s="363" t="s">
        <v>2405</v>
      </c>
      <c r="C280" s="364">
        <v>7900</v>
      </c>
      <c r="D280" s="370" t="s">
        <v>122</v>
      </c>
      <c r="E280" s="370" t="s">
        <v>122</v>
      </c>
      <c r="F280" s="370" t="s">
        <v>2161</v>
      </c>
      <c r="G280" s="370" t="s">
        <v>122</v>
      </c>
      <c r="H280" s="370" t="s">
        <v>122</v>
      </c>
    </row>
    <row r="281" spans="1:8" x14ac:dyDescent="0.25">
      <c r="A281" s="377">
        <v>45569</v>
      </c>
      <c r="B281" s="363" t="s">
        <v>2405</v>
      </c>
      <c r="C281" s="364">
        <v>7900</v>
      </c>
      <c r="D281" s="370" t="s">
        <v>122</v>
      </c>
      <c r="E281" s="370" t="s">
        <v>122</v>
      </c>
      <c r="F281" s="370" t="s">
        <v>2161</v>
      </c>
      <c r="G281" s="370" t="s">
        <v>122</v>
      </c>
      <c r="H281" s="370" t="s">
        <v>122</v>
      </c>
    </row>
    <row r="282" spans="1:8" x14ac:dyDescent="0.25">
      <c r="A282" s="377">
        <v>45570</v>
      </c>
      <c r="B282" s="363" t="s">
        <v>2405</v>
      </c>
      <c r="C282" s="364">
        <v>7900</v>
      </c>
      <c r="D282" s="370" t="s">
        <v>122</v>
      </c>
      <c r="E282" s="370" t="s">
        <v>122</v>
      </c>
      <c r="F282" s="370" t="s">
        <v>2161</v>
      </c>
      <c r="G282" s="370" t="s">
        <v>122</v>
      </c>
      <c r="H282" s="370" t="s">
        <v>122</v>
      </c>
    </row>
    <row r="283" spans="1:8" x14ac:dyDescent="0.25">
      <c r="A283" s="377">
        <v>45571</v>
      </c>
      <c r="B283" s="363" t="s">
        <v>2405</v>
      </c>
      <c r="C283" s="364">
        <v>7900</v>
      </c>
      <c r="D283" s="370" t="s">
        <v>122</v>
      </c>
      <c r="E283" s="370" t="s">
        <v>122</v>
      </c>
      <c r="F283" s="370" t="s">
        <v>2161</v>
      </c>
      <c r="G283" s="370" t="s">
        <v>122</v>
      </c>
      <c r="H283" s="370" t="s">
        <v>122</v>
      </c>
    </row>
    <row r="284" spans="1:8" x14ac:dyDescent="0.25">
      <c r="A284" s="377">
        <v>45572</v>
      </c>
      <c r="B284" s="363" t="s">
        <v>2405</v>
      </c>
      <c r="C284" s="364">
        <v>7900</v>
      </c>
      <c r="D284" s="370" t="s">
        <v>122</v>
      </c>
      <c r="E284" s="370" t="s">
        <v>122</v>
      </c>
      <c r="F284" s="370" t="s">
        <v>2161</v>
      </c>
      <c r="G284" s="370" t="s">
        <v>122</v>
      </c>
      <c r="H284" s="370" t="s">
        <v>122</v>
      </c>
    </row>
    <row r="285" spans="1:8" x14ac:dyDescent="0.25">
      <c r="A285" s="377">
        <v>45573</v>
      </c>
      <c r="B285" s="363" t="s">
        <v>2405</v>
      </c>
      <c r="C285" s="364">
        <v>7900</v>
      </c>
      <c r="D285" s="370" t="s">
        <v>122</v>
      </c>
      <c r="E285" s="370" t="s">
        <v>122</v>
      </c>
      <c r="F285" s="370" t="s">
        <v>2161</v>
      </c>
      <c r="G285" s="370" t="s">
        <v>122</v>
      </c>
      <c r="H285" s="370" t="s">
        <v>122</v>
      </c>
    </row>
    <row r="286" spans="1:8" x14ac:dyDescent="0.25">
      <c r="A286" s="377">
        <v>45574</v>
      </c>
      <c r="B286" s="363" t="s">
        <v>2405</v>
      </c>
      <c r="C286" s="364">
        <v>7900</v>
      </c>
      <c r="D286" s="370" t="s">
        <v>122</v>
      </c>
      <c r="E286" s="370" t="s">
        <v>122</v>
      </c>
      <c r="F286" s="370" t="s">
        <v>2161</v>
      </c>
      <c r="G286" s="370" t="s">
        <v>122</v>
      </c>
      <c r="H286" s="370" t="s">
        <v>122</v>
      </c>
    </row>
    <row r="287" spans="1:8" x14ac:dyDescent="0.25">
      <c r="A287" s="377">
        <v>45575</v>
      </c>
      <c r="B287" s="363" t="s">
        <v>2405</v>
      </c>
      <c r="C287" s="364">
        <v>7900</v>
      </c>
      <c r="D287" s="370" t="s">
        <v>122</v>
      </c>
      <c r="E287" s="370" t="s">
        <v>122</v>
      </c>
      <c r="F287" s="370" t="s">
        <v>2161</v>
      </c>
      <c r="G287" s="370" t="s">
        <v>122</v>
      </c>
      <c r="H287" s="370" t="s">
        <v>122</v>
      </c>
    </row>
    <row r="288" spans="1:8" x14ac:dyDescent="0.25">
      <c r="A288" s="377">
        <v>45576</v>
      </c>
      <c r="B288" s="363" t="s">
        <v>2405</v>
      </c>
      <c r="C288" s="364">
        <v>7900</v>
      </c>
      <c r="D288" s="370" t="s">
        <v>122</v>
      </c>
      <c r="E288" s="370" t="s">
        <v>122</v>
      </c>
      <c r="F288" s="370" t="s">
        <v>2161</v>
      </c>
      <c r="G288" s="370" t="s">
        <v>122</v>
      </c>
      <c r="H288" s="370" t="s">
        <v>122</v>
      </c>
    </row>
    <row r="289" spans="1:8" x14ac:dyDescent="0.25">
      <c r="A289" s="377">
        <v>45577</v>
      </c>
      <c r="B289" s="363" t="s">
        <v>2941</v>
      </c>
      <c r="C289" s="364">
        <v>7800</v>
      </c>
      <c r="D289" s="370" t="s">
        <v>122</v>
      </c>
      <c r="E289" s="370" t="s">
        <v>122</v>
      </c>
      <c r="F289" s="370" t="s">
        <v>2161</v>
      </c>
      <c r="G289" s="370" t="s">
        <v>122</v>
      </c>
      <c r="H289" s="370" t="s">
        <v>122</v>
      </c>
    </row>
    <row r="290" spans="1:8" x14ac:dyDescent="0.25">
      <c r="A290" s="377">
        <v>45578</v>
      </c>
      <c r="B290" s="363" t="s">
        <v>2941</v>
      </c>
      <c r="C290" s="364">
        <v>7800</v>
      </c>
      <c r="D290" s="370" t="s">
        <v>122</v>
      </c>
      <c r="E290" s="370" t="s">
        <v>122</v>
      </c>
      <c r="F290" s="370" t="s">
        <v>2161</v>
      </c>
      <c r="G290" s="370" t="s">
        <v>122</v>
      </c>
      <c r="H290" s="370" t="s">
        <v>122</v>
      </c>
    </row>
    <row r="291" spans="1:8" x14ac:dyDescent="0.25">
      <c r="A291" s="377">
        <v>45579</v>
      </c>
      <c r="B291" s="363" t="s">
        <v>2941</v>
      </c>
      <c r="C291" s="364">
        <v>7800</v>
      </c>
      <c r="D291" s="370" t="s">
        <v>122</v>
      </c>
      <c r="E291" s="370" t="s">
        <v>122</v>
      </c>
      <c r="F291" s="370" t="s">
        <v>2161</v>
      </c>
      <c r="G291" s="370" t="s">
        <v>122</v>
      </c>
      <c r="H291" s="370" t="s">
        <v>122</v>
      </c>
    </row>
    <row r="292" spans="1:8" x14ac:dyDescent="0.25">
      <c r="A292" s="377">
        <v>45580</v>
      </c>
      <c r="B292" s="363" t="s">
        <v>2942</v>
      </c>
      <c r="C292" s="364">
        <v>7700</v>
      </c>
      <c r="D292" s="370" t="s">
        <v>122</v>
      </c>
      <c r="E292" s="370" t="s">
        <v>122</v>
      </c>
      <c r="F292" s="370" t="s">
        <v>2161</v>
      </c>
      <c r="G292" s="370" t="s">
        <v>122</v>
      </c>
      <c r="H292" s="370" t="s">
        <v>122</v>
      </c>
    </row>
    <row r="293" spans="1:8" x14ac:dyDescent="0.25">
      <c r="A293" s="377">
        <v>45581</v>
      </c>
      <c r="B293" s="363" t="s">
        <v>2942</v>
      </c>
      <c r="C293" s="364">
        <v>7700</v>
      </c>
      <c r="D293" s="370" t="s">
        <v>122</v>
      </c>
      <c r="E293" s="370" t="s">
        <v>122</v>
      </c>
      <c r="F293" s="370" t="s">
        <v>2161</v>
      </c>
      <c r="G293" s="370" t="s">
        <v>122</v>
      </c>
      <c r="H293" s="370" t="s">
        <v>122</v>
      </c>
    </row>
    <row r="294" spans="1:8" x14ac:dyDescent="0.25">
      <c r="A294" s="377">
        <v>45582</v>
      </c>
      <c r="B294" s="363" t="s">
        <v>2942</v>
      </c>
      <c r="C294" s="364">
        <v>7700</v>
      </c>
      <c r="D294" s="370" t="s">
        <v>122</v>
      </c>
      <c r="E294" s="370" t="s">
        <v>122</v>
      </c>
      <c r="F294" s="370" t="s">
        <v>2161</v>
      </c>
      <c r="G294" s="370" t="s">
        <v>122</v>
      </c>
      <c r="H294" s="370" t="s">
        <v>122</v>
      </c>
    </row>
    <row r="295" spans="1:8" x14ac:dyDescent="0.25">
      <c r="A295" s="377">
        <v>45583</v>
      </c>
      <c r="B295" s="363" t="s">
        <v>2942</v>
      </c>
      <c r="C295" s="364">
        <v>7700</v>
      </c>
      <c r="D295" s="370" t="s">
        <v>122</v>
      </c>
      <c r="E295" s="370" t="s">
        <v>122</v>
      </c>
      <c r="F295" s="370" t="s">
        <v>2161</v>
      </c>
      <c r="G295" s="370" t="s">
        <v>122</v>
      </c>
      <c r="H295" s="370" t="s">
        <v>122</v>
      </c>
    </row>
    <row r="296" spans="1:8" x14ac:dyDescent="0.25">
      <c r="A296" s="377">
        <v>45584</v>
      </c>
      <c r="B296" s="363" t="s">
        <v>2942</v>
      </c>
      <c r="C296" s="364">
        <v>7700</v>
      </c>
      <c r="D296" s="370" t="s">
        <v>122</v>
      </c>
      <c r="E296" s="370" t="s">
        <v>122</v>
      </c>
      <c r="F296" s="370" t="s">
        <v>2161</v>
      </c>
      <c r="G296" s="370" t="s">
        <v>122</v>
      </c>
      <c r="H296" s="370" t="s">
        <v>122</v>
      </c>
    </row>
    <row r="297" spans="1:8" x14ac:dyDescent="0.25">
      <c r="A297" s="377">
        <v>45585</v>
      </c>
      <c r="B297" s="363" t="s">
        <v>2942</v>
      </c>
      <c r="C297" s="364">
        <v>7700</v>
      </c>
      <c r="D297" s="370" t="s">
        <v>122</v>
      </c>
      <c r="E297" s="370" t="s">
        <v>122</v>
      </c>
      <c r="F297" s="370" t="s">
        <v>2161</v>
      </c>
      <c r="G297" s="370" t="s">
        <v>122</v>
      </c>
      <c r="H297" s="370" t="s">
        <v>122</v>
      </c>
    </row>
    <row r="298" spans="1:8" x14ac:dyDescent="0.25">
      <c r="A298" s="377">
        <v>45586</v>
      </c>
      <c r="B298" s="363" t="s">
        <v>2942</v>
      </c>
      <c r="C298" s="364">
        <v>7700</v>
      </c>
      <c r="D298" s="370" t="s">
        <v>122</v>
      </c>
      <c r="E298" s="370" t="s">
        <v>122</v>
      </c>
      <c r="F298" s="370" t="s">
        <v>2161</v>
      </c>
      <c r="G298" s="370" t="s">
        <v>122</v>
      </c>
      <c r="H298" s="370" t="s">
        <v>122</v>
      </c>
    </row>
    <row r="299" spans="1:8" x14ac:dyDescent="0.25">
      <c r="A299" s="377">
        <v>45587</v>
      </c>
      <c r="B299" s="363" t="s">
        <v>2942</v>
      </c>
      <c r="C299" s="364">
        <v>7700</v>
      </c>
      <c r="D299" s="370" t="s">
        <v>122</v>
      </c>
      <c r="E299" s="370" t="s">
        <v>122</v>
      </c>
      <c r="F299" s="370" t="s">
        <v>2161</v>
      </c>
      <c r="G299" s="370" t="s">
        <v>122</v>
      </c>
      <c r="H299" s="370" t="s">
        <v>122</v>
      </c>
    </row>
    <row r="300" spans="1:8" x14ac:dyDescent="0.25">
      <c r="A300" s="377">
        <v>45588</v>
      </c>
      <c r="B300" s="363" t="s">
        <v>2942</v>
      </c>
      <c r="C300" s="364">
        <v>7700</v>
      </c>
      <c r="D300" s="370" t="s">
        <v>122</v>
      </c>
      <c r="E300" s="370" t="s">
        <v>122</v>
      </c>
      <c r="F300" s="370" t="s">
        <v>2161</v>
      </c>
      <c r="G300" s="370" t="s">
        <v>122</v>
      </c>
      <c r="H300" s="370" t="s">
        <v>122</v>
      </c>
    </row>
    <row r="301" spans="1:8" x14ac:dyDescent="0.25">
      <c r="A301" s="377">
        <v>45589</v>
      </c>
      <c r="B301" s="363" t="s">
        <v>2942</v>
      </c>
      <c r="C301" s="364">
        <v>7700</v>
      </c>
      <c r="D301" s="370" t="s">
        <v>122</v>
      </c>
      <c r="E301" s="370" t="s">
        <v>122</v>
      </c>
      <c r="F301" s="370" t="s">
        <v>2161</v>
      </c>
      <c r="G301" s="370" t="s">
        <v>122</v>
      </c>
      <c r="H301" s="370" t="s">
        <v>122</v>
      </c>
    </row>
    <row r="302" spans="1:8" x14ac:dyDescent="0.25">
      <c r="A302" s="377">
        <v>45590</v>
      </c>
      <c r="B302" s="363" t="s">
        <v>2942</v>
      </c>
      <c r="C302" s="364">
        <v>7700</v>
      </c>
      <c r="D302" s="370" t="s">
        <v>122</v>
      </c>
      <c r="E302" s="370" t="s">
        <v>122</v>
      </c>
      <c r="F302" s="370" t="s">
        <v>2161</v>
      </c>
      <c r="G302" s="370" t="s">
        <v>122</v>
      </c>
      <c r="H302" s="370" t="s">
        <v>122</v>
      </c>
    </row>
    <row r="303" spans="1:8" x14ac:dyDescent="0.25">
      <c r="A303" s="377">
        <v>45591</v>
      </c>
      <c r="B303" s="363" t="s">
        <v>2942</v>
      </c>
      <c r="C303" s="364">
        <v>7700</v>
      </c>
      <c r="D303" s="370" t="s">
        <v>122</v>
      </c>
      <c r="E303" s="370" t="s">
        <v>122</v>
      </c>
      <c r="F303" s="370" t="s">
        <v>2161</v>
      </c>
      <c r="G303" s="370" t="s">
        <v>122</v>
      </c>
      <c r="H303" s="370" t="s">
        <v>122</v>
      </c>
    </row>
    <row r="304" spans="1:8" x14ac:dyDescent="0.25">
      <c r="A304" s="377">
        <v>45592</v>
      </c>
      <c r="B304" s="363" t="s">
        <v>2942</v>
      </c>
      <c r="C304" s="364">
        <v>7700</v>
      </c>
      <c r="D304" s="370" t="s">
        <v>122</v>
      </c>
      <c r="E304" s="370" t="s">
        <v>122</v>
      </c>
      <c r="F304" s="370" t="s">
        <v>2161</v>
      </c>
      <c r="G304" s="370" t="s">
        <v>122</v>
      </c>
      <c r="H304" s="370" t="s">
        <v>122</v>
      </c>
    </row>
    <row r="305" spans="1:8" x14ac:dyDescent="0.25">
      <c r="A305" s="377">
        <v>45593</v>
      </c>
      <c r="B305" s="363" t="s">
        <v>2942</v>
      </c>
      <c r="C305" s="364">
        <v>7700</v>
      </c>
      <c r="D305" s="370" t="s">
        <v>122</v>
      </c>
      <c r="E305" s="370" t="s">
        <v>122</v>
      </c>
      <c r="F305" s="370" t="s">
        <v>2161</v>
      </c>
      <c r="G305" s="370" t="s">
        <v>122</v>
      </c>
      <c r="H305" s="370" t="s">
        <v>122</v>
      </c>
    </row>
    <row r="306" spans="1:8" x14ac:dyDescent="0.25">
      <c r="A306" s="377">
        <v>45594</v>
      </c>
      <c r="B306" s="363" t="s">
        <v>2942</v>
      </c>
      <c r="C306" s="364">
        <v>7700</v>
      </c>
      <c r="D306" s="370" t="s">
        <v>122</v>
      </c>
      <c r="E306" s="370" t="s">
        <v>122</v>
      </c>
      <c r="F306" s="370" t="s">
        <v>2161</v>
      </c>
      <c r="G306" s="370" t="s">
        <v>122</v>
      </c>
      <c r="H306" s="370" t="s">
        <v>122</v>
      </c>
    </row>
    <row r="307" spans="1:8" x14ac:dyDescent="0.25">
      <c r="A307" s="377">
        <v>45595</v>
      </c>
      <c r="B307" s="363" t="s">
        <v>2942</v>
      </c>
      <c r="C307" s="364">
        <v>7700</v>
      </c>
      <c r="D307" s="370" t="s">
        <v>122</v>
      </c>
      <c r="E307" s="370" t="s">
        <v>122</v>
      </c>
      <c r="F307" s="370" t="s">
        <v>2161</v>
      </c>
      <c r="G307" s="370" t="s">
        <v>122</v>
      </c>
      <c r="H307" s="370" t="s">
        <v>122</v>
      </c>
    </row>
    <row r="308" spans="1:8" x14ac:dyDescent="0.25">
      <c r="A308" s="377">
        <v>45596</v>
      </c>
      <c r="B308" s="363" t="s">
        <v>2942</v>
      </c>
      <c r="C308" s="364">
        <v>7700</v>
      </c>
      <c r="D308" s="370" t="s">
        <v>122</v>
      </c>
      <c r="E308" s="370" t="s">
        <v>122</v>
      </c>
      <c r="F308" s="370" t="s">
        <v>2161</v>
      </c>
      <c r="G308" s="370" t="s">
        <v>122</v>
      </c>
      <c r="H308" s="370" t="s">
        <v>122</v>
      </c>
    </row>
    <row r="309" spans="1:8" x14ac:dyDescent="0.25">
      <c r="A309" s="377">
        <v>45597</v>
      </c>
      <c r="B309" s="363" t="s">
        <v>2942</v>
      </c>
      <c r="C309" s="364">
        <v>7700</v>
      </c>
      <c r="D309" s="370" t="s">
        <v>122</v>
      </c>
      <c r="E309" s="370" t="s">
        <v>122</v>
      </c>
      <c r="F309" s="370" t="s">
        <v>2161</v>
      </c>
      <c r="G309" s="370" t="s">
        <v>122</v>
      </c>
      <c r="H309" s="370" t="s">
        <v>122</v>
      </c>
    </row>
    <row r="310" spans="1:8" x14ac:dyDescent="0.25">
      <c r="A310" s="377">
        <v>45598</v>
      </c>
      <c r="B310" s="363" t="s">
        <v>2942</v>
      </c>
      <c r="C310" s="364">
        <v>7700</v>
      </c>
      <c r="D310" s="370" t="s">
        <v>122</v>
      </c>
      <c r="E310" s="370" t="s">
        <v>122</v>
      </c>
      <c r="F310" s="370" t="s">
        <v>2161</v>
      </c>
      <c r="G310" s="370" t="s">
        <v>122</v>
      </c>
      <c r="H310" s="370" t="s">
        <v>122</v>
      </c>
    </row>
    <row r="311" spans="1:8" x14ac:dyDescent="0.25">
      <c r="A311" s="377">
        <v>45599</v>
      </c>
      <c r="B311" s="363" t="s">
        <v>2942</v>
      </c>
      <c r="C311" s="364">
        <v>7700</v>
      </c>
      <c r="D311" s="370" t="s">
        <v>122</v>
      </c>
      <c r="E311" s="370" t="s">
        <v>122</v>
      </c>
      <c r="F311" s="370" t="s">
        <v>2161</v>
      </c>
      <c r="G311" s="370" t="s">
        <v>122</v>
      </c>
      <c r="H311" s="370" t="s">
        <v>122</v>
      </c>
    </row>
    <row r="312" spans="1:8" x14ac:dyDescent="0.25">
      <c r="A312" s="377">
        <v>45600</v>
      </c>
      <c r="B312" s="363" t="s">
        <v>2943</v>
      </c>
      <c r="C312" s="364">
        <v>8400</v>
      </c>
      <c r="D312" s="370" t="s">
        <v>122</v>
      </c>
      <c r="E312" s="370" t="s">
        <v>122</v>
      </c>
      <c r="F312" s="370" t="s">
        <v>2161</v>
      </c>
      <c r="G312" s="370" t="s">
        <v>122</v>
      </c>
      <c r="H312" s="370" t="s">
        <v>122</v>
      </c>
    </row>
    <row r="313" spans="1:8" x14ac:dyDescent="0.25">
      <c r="A313" s="377">
        <v>45601</v>
      </c>
      <c r="B313" s="363" t="s">
        <v>2934</v>
      </c>
      <c r="C313" s="364">
        <v>8800</v>
      </c>
      <c r="D313" s="370" t="s">
        <v>122</v>
      </c>
      <c r="E313" s="370" t="s">
        <v>122</v>
      </c>
      <c r="F313" s="370" t="s">
        <v>2161</v>
      </c>
      <c r="G313" s="370" t="s">
        <v>122</v>
      </c>
      <c r="H313" s="370" t="s">
        <v>122</v>
      </c>
    </row>
    <row r="314" spans="1:8" x14ac:dyDescent="0.25">
      <c r="A314" s="377">
        <v>45602</v>
      </c>
      <c r="B314" s="363" t="s">
        <v>2934</v>
      </c>
      <c r="C314" s="364">
        <v>8800</v>
      </c>
      <c r="D314" s="370" t="s">
        <v>122</v>
      </c>
      <c r="E314" s="370" t="s">
        <v>122</v>
      </c>
      <c r="F314" s="370" t="s">
        <v>2161</v>
      </c>
      <c r="G314" s="370" t="s">
        <v>122</v>
      </c>
      <c r="H314" s="370" t="s">
        <v>122</v>
      </c>
    </row>
    <row r="315" spans="1:8" x14ac:dyDescent="0.25">
      <c r="A315" s="377">
        <v>45603</v>
      </c>
      <c r="B315" s="363" t="s">
        <v>2944</v>
      </c>
      <c r="C315" s="364">
        <v>8850</v>
      </c>
      <c r="D315" s="370" t="s">
        <v>2732</v>
      </c>
      <c r="E315" s="381" t="s">
        <v>122</v>
      </c>
      <c r="F315" s="370"/>
      <c r="G315" s="370"/>
      <c r="H315" s="370" t="s">
        <v>122</v>
      </c>
    </row>
    <row r="316" spans="1:8" x14ac:dyDescent="0.25">
      <c r="A316" s="377">
        <v>45604</v>
      </c>
      <c r="B316" s="363" t="s">
        <v>2944</v>
      </c>
      <c r="C316" s="364">
        <v>8850</v>
      </c>
      <c r="D316" s="370" t="s">
        <v>2177</v>
      </c>
      <c r="E316" s="381" t="s">
        <v>122</v>
      </c>
      <c r="F316" s="370" t="s">
        <v>2731</v>
      </c>
      <c r="G316" s="381"/>
      <c r="H316" s="370" t="s">
        <v>122</v>
      </c>
    </row>
    <row r="317" spans="1:8" x14ac:dyDescent="0.25">
      <c r="A317" s="377">
        <v>45605</v>
      </c>
      <c r="B317" s="363" t="s">
        <v>2779</v>
      </c>
      <c r="C317" s="364">
        <v>9000</v>
      </c>
      <c r="D317" s="370" t="s">
        <v>2177</v>
      </c>
      <c r="E317" s="370">
        <v>44.58</v>
      </c>
      <c r="F317" s="370" t="s">
        <v>2731</v>
      </c>
      <c r="G317" s="370">
        <v>62.65</v>
      </c>
      <c r="H317" s="370" t="s">
        <v>122</v>
      </c>
    </row>
    <row r="318" spans="1:8" x14ac:dyDescent="0.25">
      <c r="A318" s="377">
        <v>45606</v>
      </c>
      <c r="B318" s="363" t="s">
        <v>2932</v>
      </c>
      <c r="C318" s="364">
        <v>8950</v>
      </c>
      <c r="D318" s="370" t="s">
        <v>2726</v>
      </c>
      <c r="E318" s="370">
        <v>64</v>
      </c>
      <c r="F318" s="370" t="s">
        <v>2731</v>
      </c>
      <c r="G318" s="370">
        <v>82.17</v>
      </c>
      <c r="H318" s="370" t="s">
        <v>122</v>
      </c>
    </row>
    <row r="319" spans="1:8" x14ac:dyDescent="0.25">
      <c r="A319" s="377">
        <v>45607</v>
      </c>
      <c r="B319" s="363" t="s">
        <v>2932</v>
      </c>
      <c r="C319" s="364">
        <v>8950</v>
      </c>
      <c r="D319" s="370" t="s">
        <v>122</v>
      </c>
      <c r="E319" s="370" t="s">
        <v>122</v>
      </c>
      <c r="F319" s="370" t="s">
        <v>2731</v>
      </c>
      <c r="G319" s="370">
        <v>82.17</v>
      </c>
      <c r="H319" s="370" t="s">
        <v>122</v>
      </c>
    </row>
    <row r="320" spans="1:8" x14ac:dyDescent="0.25">
      <c r="A320" s="377">
        <v>45608</v>
      </c>
      <c r="B320" s="363" t="s">
        <v>2945</v>
      </c>
      <c r="C320" s="364">
        <v>8650</v>
      </c>
      <c r="D320" s="370" t="s">
        <v>2726</v>
      </c>
      <c r="E320" s="370">
        <v>62.74</v>
      </c>
      <c r="F320" s="370" t="s">
        <v>2731</v>
      </c>
      <c r="G320" s="370">
        <v>80.7</v>
      </c>
      <c r="H320" s="370" t="s">
        <v>122</v>
      </c>
    </row>
    <row r="321" spans="1:8" x14ac:dyDescent="0.25">
      <c r="A321" s="377">
        <v>45609</v>
      </c>
      <c r="B321" s="363" t="s">
        <v>2946</v>
      </c>
      <c r="C321" s="364">
        <v>8450</v>
      </c>
      <c r="D321" s="370" t="s">
        <v>2180</v>
      </c>
      <c r="E321" s="370">
        <v>52.82</v>
      </c>
      <c r="F321" s="370" t="s">
        <v>2731</v>
      </c>
      <c r="G321" s="370">
        <v>79.709999999999994</v>
      </c>
      <c r="H321" s="370" t="s">
        <v>122</v>
      </c>
    </row>
    <row r="322" spans="1:8" x14ac:dyDescent="0.25">
      <c r="A322" s="377">
        <v>45610</v>
      </c>
      <c r="B322" s="363" t="s">
        <v>2947</v>
      </c>
      <c r="C322" s="364">
        <v>8300</v>
      </c>
      <c r="D322" s="370" t="s">
        <v>2180</v>
      </c>
      <c r="E322" s="370">
        <v>52.11</v>
      </c>
      <c r="F322" s="370" t="s">
        <v>2731</v>
      </c>
      <c r="G322" s="370">
        <v>79.209999999999994</v>
      </c>
      <c r="H322" s="370" t="s">
        <v>122</v>
      </c>
    </row>
    <row r="323" spans="1:8" x14ac:dyDescent="0.25">
      <c r="A323" s="377">
        <v>45611</v>
      </c>
      <c r="B323" s="363" t="s">
        <v>2948</v>
      </c>
      <c r="C323" s="364">
        <v>8250</v>
      </c>
      <c r="D323" s="370" t="s">
        <v>2180</v>
      </c>
      <c r="E323" s="370"/>
      <c r="F323" s="370" t="s">
        <v>2731</v>
      </c>
      <c r="G323" s="370"/>
      <c r="H323" s="370" t="s">
        <v>122</v>
      </c>
    </row>
    <row r="324" spans="1:8" x14ac:dyDescent="0.25">
      <c r="A324" s="377">
        <v>45612</v>
      </c>
      <c r="B324" s="363" t="s">
        <v>2949</v>
      </c>
      <c r="C324" s="364">
        <v>8100</v>
      </c>
      <c r="D324" s="370" t="s">
        <v>2177</v>
      </c>
      <c r="E324" s="370">
        <v>41.84</v>
      </c>
      <c r="F324" s="370" t="s">
        <v>2731</v>
      </c>
      <c r="G324" s="370">
        <v>77.69</v>
      </c>
      <c r="H324" s="370" t="s">
        <v>122</v>
      </c>
    </row>
    <row r="325" spans="1:8" x14ac:dyDescent="0.25">
      <c r="A325" s="377">
        <v>45613</v>
      </c>
      <c r="B325" s="363" t="s">
        <v>2405</v>
      </c>
      <c r="C325" s="364">
        <v>7900</v>
      </c>
      <c r="D325" s="370" t="s">
        <v>2177</v>
      </c>
      <c r="E325" s="370">
        <v>41.27</v>
      </c>
      <c r="F325" s="370" t="s">
        <v>2731</v>
      </c>
      <c r="G325" s="370">
        <v>76.650000000000006</v>
      </c>
      <c r="H325" s="370" t="s">
        <v>122</v>
      </c>
    </row>
    <row r="326" spans="1:8" x14ac:dyDescent="0.25">
      <c r="A326" s="377">
        <v>45614</v>
      </c>
      <c r="B326" s="363" t="s">
        <v>2941</v>
      </c>
      <c r="C326" s="364">
        <v>7800</v>
      </c>
      <c r="D326" s="370" t="s">
        <v>2973</v>
      </c>
      <c r="E326" s="370">
        <v>34.630000000000003</v>
      </c>
      <c r="F326" s="370" t="s">
        <v>2731</v>
      </c>
      <c r="G326" s="370">
        <v>76.13</v>
      </c>
      <c r="H326" s="370" t="s">
        <v>122</v>
      </c>
    </row>
    <row r="327" spans="1:8" x14ac:dyDescent="0.25">
      <c r="A327" s="377">
        <v>45615</v>
      </c>
      <c r="B327" s="363" t="s">
        <v>2950</v>
      </c>
      <c r="C327" s="364">
        <v>7650</v>
      </c>
      <c r="D327" s="370" t="s">
        <v>2174</v>
      </c>
      <c r="E327" s="370">
        <v>34.15</v>
      </c>
      <c r="F327" s="370" t="s">
        <v>2731</v>
      </c>
      <c r="G327" s="370">
        <v>75.08</v>
      </c>
      <c r="H327" s="370" t="s">
        <v>122</v>
      </c>
    </row>
    <row r="328" spans="1:8" x14ac:dyDescent="0.25">
      <c r="A328" s="377">
        <v>45616</v>
      </c>
      <c r="B328" s="363" t="s">
        <v>2951</v>
      </c>
      <c r="C328" s="364">
        <v>7500</v>
      </c>
      <c r="D328" s="370" t="s">
        <v>2174</v>
      </c>
      <c r="E328" s="370">
        <v>33.909999999999997</v>
      </c>
      <c r="F328" s="370" t="s">
        <v>2731</v>
      </c>
      <c r="G328" s="370">
        <v>74.540000000000006</v>
      </c>
      <c r="H328" s="370" t="s">
        <v>122</v>
      </c>
    </row>
    <row r="329" spans="1:8" x14ac:dyDescent="0.25">
      <c r="A329" s="377">
        <v>45617</v>
      </c>
      <c r="B329" s="363" t="s">
        <v>2952</v>
      </c>
      <c r="C329" s="364">
        <v>7425</v>
      </c>
      <c r="D329" s="370" t="s">
        <v>2179</v>
      </c>
      <c r="E329" s="381"/>
      <c r="F329" s="370" t="s">
        <v>2731</v>
      </c>
      <c r="G329" s="381"/>
      <c r="H329" s="370" t="s">
        <v>122</v>
      </c>
    </row>
    <row r="330" spans="1:8" x14ac:dyDescent="0.25">
      <c r="A330" s="377">
        <v>45618</v>
      </c>
      <c r="B330" s="363" t="s">
        <v>2953</v>
      </c>
      <c r="C330" s="364">
        <v>7300</v>
      </c>
      <c r="D330" s="370" t="s">
        <v>2739</v>
      </c>
      <c r="E330" s="370">
        <v>7068</v>
      </c>
      <c r="F330" s="370" t="s">
        <v>2731</v>
      </c>
      <c r="G330" s="370">
        <v>72.92</v>
      </c>
      <c r="H330" s="370" t="s">
        <v>122</v>
      </c>
    </row>
    <row r="331" spans="1:8" x14ac:dyDescent="0.25">
      <c r="A331" s="377">
        <v>45619</v>
      </c>
      <c r="B331" s="363" t="s">
        <v>2954</v>
      </c>
      <c r="C331" s="364">
        <v>7100</v>
      </c>
      <c r="D331" s="370" t="s">
        <v>2977</v>
      </c>
      <c r="E331" s="370">
        <v>73.56</v>
      </c>
      <c r="F331" s="370" t="s">
        <v>2731</v>
      </c>
      <c r="G331" s="370">
        <v>71.819999999999993</v>
      </c>
      <c r="H331" s="370" t="s">
        <v>122</v>
      </c>
    </row>
    <row r="332" spans="1:8" x14ac:dyDescent="0.25">
      <c r="A332" s="377">
        <v>45620</v>
      </c>
      <c r="B332" s="363" t="s">
        <v>2955</v>
      </c>
      <c r="C332" s="364">
        <v>7000</v>
      </c>
      <c r="D332" s="370" t="s">
        <v>2977</v>
      </c>
      <c r="E332" s="370">
        <v>72.8</v>
      </c>
      <c r="F332" s="370" t="s">
        <v>2177</v>
      </c>
      <c r="G332" s="370">
        <v>41.84</v>
      </c>
      <c r="H332" s="370" t="s">
        <v>122</v>
      </c>
    </row>
    <row r="333" spans="1:8" x14ac:dyDescent="0.25">
      <c r="A333" s="377">
        <v>45621</v>
      </c>
      <c r="B333" s="363" t="s">
        <v>2405</v>
      </c>
      <c r="C333" s="364">
        <v>7900</v>
      </c>
      <c r="D333" s="370" t="s">
        <v>2544</v>
      </c>
      <c r="E333" s="370">
        <v>64.8</v>
      </c>
      <c r="F333" s="370" t="s">
        <v>2508</v>
      </c>
      <c r="G333" s="370">
        <v>15.55</v>
      </c>
      <c r="H333" s="370" t="s">
        <v>122</v>
      </c>
    </row>
    <row r="334" spans="1:8" x14ac:dyDescent="0.25">
      <c r="A334" s="377">
        <v>45622</v>
      </c>
      <c r="B334" s="363" t="s">
        <v>2956</v>
      </c>
      <c r="C334" s="364">
        <v>9600</v>
      </c>
      <c r="D334" s="370" t="s">
        <v>122</v>
      </c>
      <c r="E334" s="370" t="s">
        <v>122</v>
      </c>
      <c r="F334" s="370" t="s">
        <v>122</v>
      </c>
      <c r="G334" s="370" t="s">
        <v>122</v>
      </c>
      <c r="H334" s="370" t="s">
        <v>122</v>
      </c>
    </row>
    <row r="335" spans="1:8" x14ac:dyDescent="0.25">
      <c r="A335" s="377">
        <v>45623</v>
      </c>
      <c r="B335" s="363" t="s">
        <v>2957</v>
      </c>
      <c r="C335" s="364">
        <v>13700</v>
      </c>
      <c r="D335" s="370" t="s">
        <v>122</v>
      </c>
      <c r="E335" s="370" t="s">
        <v>122</v>
      </c>
      <c r="F335" s="370" t="s">
        <v>122</v>
      </c>
      <c r="G335" s="370" t="s">
        <v>122</v>
      </c>
      <c r="H335" s="370" t="s">
        <v>122</v>
      </c>
    </row>
    <row r="336" spans="1:8" x14ac:dyDescent="0.25">
      <c r="A336" s="377">
        <v>45624</v>
      </c>
      <c r="B336" s="363" t="s">
        <v>2958</v>
      </c>
      <c r="C336" s="364">
        <v>21000</v>
      </c>
      <c r="D336" s="370" t="s">
        <v>122</v>
      </c>
      <c r="E336" s="370" t="s">
        <v>122</v>
      </c>
      <c r="F336" s="370" t="s">
        <v>122</v>
      </c>
      <c r="G336" s="370" t="s">
        <v>122</v>
      </c>
      <c r="H336" s="370" t="s">
        <v>122</v>
      </c>
    </row>
    <row r="337" spans="1:8" x14ac:dyDescent="0.25">
      <c r="A337" s="377">
        <v>45625</v>
      </c>
      <c r="B337" s="363" t="s">
        <v>2959</v>
      </c>
      <c r="C337" s="364">
        <v>25500</v>
      </c>
      <c r="D337" s="370" t="s">
        <v>122</v>
      </c>
      <c r="E337" s="370" t="s">
        <v>122</v>
      </c>
      <c r="F337" s="370" t="s">
        <v>122</v>
      </c>
      <c r="G337" s="370" t="s">
        <v>122</v>
      </c>
      <c r="H337" s="370" t="s">
        <v>122</v>
      </c>
    </row>
    <row r="338" spans="1:8" x14ac:dyDescent="0.25">
      <c r="A338" s="377">
        <v>45626</v>
      </c>
      <c r="B338" s="363" t="s">
        <v>2960</v>
      </c>
      <c r="C338" s="364">
        <v>27500</v>
      </c>
      <c r="D338" s="370" t="s">
        <v>122</v>
      </c>
      <c r="E338" s="370" t="s">
        <v>122</v>
      </c>
      <c r="F338" s="370" t="s">
        <v>122</v>
      </c>
      <c r="G338" s="370" t="s">
        <v>122</v>
      </c>
      <c r="H338" s="370" t="s">
        <v>122</v>
      </c>
    </row>
    <row r="339" spans="1:8" x14ac:dyDescent="0.25">
      <c r="A339" s="377">
        <v>45627</v>
      </c>
      <c r="B339" s="363" t="s">
        <v>2961</v>
      </c>
      <c r="C339" s="364">
        <v>28400</v>
      </c>
      <c r="D339" s="370"/>
      <c r="E339" s="370"/>
      <c r="F339" s="370"/>
      <c r="G339" s="370"/>
      <c r="H339" s="370" t="s">
        <v>122</v>
      </c>
    </row>
    <row r="340" spans="1:8" x14ac:dyDescent="0.25">
      <c r="A340" s="377">
        <v>45628</v>
      </c>
      <c r="B340" s="363" t="s">
        <v>2758</v>
      </c>
      <c r="C340" s="364">
        <v>28500</v>
      </c>
      <c r="D340" s="370" t="s">
        <v>2180</v>
      </c>
      <c r="E340" s="370">
        <v>83.6</v>
      </c>
      <c r="F340" s="370" t="s">
        <v>2152</v>
      </c>
      <c r="G340" s="370">
        <v>35.25</v>
      </c>
      <c r="H340" s="370" t="s">
        <v>122</v>
      </c>
    </row>
    <row r="341" spans="1:8" x14ac:dyDescent="0.25">
      <c r="A341" s="377">
        <v>45629</v>
      </c>
      <c r="B341" s="363" t="s">
        <v>2758</v>
      </c>
      <c r="C341" s="364">
        <v>28500</v>
      </c>
      <c r="D341" s="370" t="s">
        <v>2180</v>
      </c>
      <c r="E341" s="370">
        <v>83.6</v>
      </c>
      <c r="F341" s="370" t="s">
        <v>2152</v>
      </c>
      <c r="G341" s="370">
        <v>35.25</v>
      </c>
      <c r="H341" s="370" t="s">
        <v>122</v>
      </c>
    </row>
    <row r="342" spans="1:8" x14ac:dyDescent="0.25">
      <c r="A342" s="377">
        <v>45630</v>
      </c>
      <c r="B342" s="363" t="s">
        <v>2758</v>
      </c>
      <c r="C342" s="364">
        <v>28500</v>
      </c>
      <c r="D342" s="370" t="s">
        <v>2177</v>
      </c>
      <c r="E342" s="370">
        <v>67.41</v>
      </c>
      <c r="F342" s="370" t="s">
        <v>2152</v>
      </c>
      <c r="G342" s="370">
        <v>35.25</v>
      </c>
      <c r="H342" s="370" t="s">
        <v>122</v>
      </c>
    </row>
    <row r="343" spans="1:8" x14ac:dyDescent="0.25">
      <c r="A343" s="377">
        <v>45631</v>
      </c>
      <c r="B343" s="363" t="s">
        <v>2758</v>
      </c>
      <c r="C343" s="364">
        <v>28500</v>
      </c>
      <c r="D343" s="370" t="s">
        <v>2177</v>
      </c>
      <c r="E343" s="370">
        <v>67.41</v>
      </c>
      <c r="F343" s="370" t="s">
        <v>2179</v>
      </c>
      <c r="G343" s="370">
        <v>80.66</v>
      </c>
      <c r="H343" s="370" t="s">
        <v>122</v>
      </c>
    </row>
    <row r="344" spans="1:8" x14ac:dyDescent="0.25">
      <c r="A344" s="377">
        <v>45632</v>
      </c>
      <c r="B344" s="363" t="s">
        <v>2758</v>
      </c>
      <c r="C344" s="364">
        <v>28500</v>
      </c>
      <c r="D344" s="370" t="s">
        <v>2175</v>
      </c>
      <c r="E344" s="370">
        <v>50.95</v>
      </c>
      <c r="F344" s="370" t="s">
        <v>2179</v>
      </c>
      <c r="G344" s="370">
        <v>80.66</v>
      </c>
      <c r="H344" s="370" t="s">
        <v>122</v>
      </c>
    </row>
    <row r="345" spans="1:8" x14ac:dyDescent="0.25">
      <c r="A345" s="377">
        <v>45633</v>
      </c>
      <c r="B345" s="363" t="s">
        <v>2758</v>
      </c>
      <c r="C345" s="364">
        <v>28500</v>
      </c>
      <c r="D345" s="370" t="s">
        <v>2175</v>
      </c>
      <c r="E345" s="370">
        <v>50.95</v>
      </c>
      <c r="F345" s="370" t="s">
        <v>2510</v>
      </c>
      <c r="G345" s="370">
        <v>91.73</v>
      </c>
      <c r="H345" s="370" t="s">
        <v>122</v>
      </c>
    </row>
    <row r="346" spans="1:8" x14ac:dyDescent="0.25">
      <c r="A346" s="377">
        <v>45634</v>
      </c>
      <c r="B346" s="363" t="s">
        <v>2758</v>
      </c>
      <c r="C346" s="364">
        <v>28500</v>
      </c>
      <c r="D346" s="370" t="s">
        <v>2175</v>
      </c>
      <c r="E346" s="370">
        <v>50.95</v>
      </c>
      <c r="F346" s="370" t="s">
        <v>2510</v>
      </c>
      <c r="G346" s="370">
        <v>91.73</v>
      </c>
      <c r="H346" s="370" t="s">
        <v>122</v>
      </c>
    </row>
    <row r="347" spans="1:8" x14ac:dyDescent="0.25">
      <c r="A347" s="377">
        <v>45635</v>
      </c>
      <c r="B347" s="363" t="s">
        <v>2961</v>
      </c>
      <c r="C347" s="364">
        <v>28400</v>
      </c>
      <c r="D347" s="370" t="s">
        <v>2175</v>
      </c>
      <c r="E347" s="370">
        <v>50.82</v>
      </c>
      <c r="F347" s="370" t="s">
        <v>2510</v>
      </c>
      <c r="G347" s="379">
        <v>91.5</v>
      </c>
      <c r="H347" s="370" t="s">
        <v>122</v>
      </c>
    </row>
    <row r="348" spans="1:8" x14ac:dyDescent="0.25">
      <c r="A348" s="377">
        <v>45636</v>
      </c>
      <c r="B348" s="363" t="s">
        <v>2961</v>
      </c>
      <c r="C348" s="364">
        <v>28400</v>
      </c>
      <c r="D348" s="370" t="s">
        <v>122</v>
      </c>
      <c r="E348" s="370" t="s">
        <v>122</v>
      </c>
      <c r="F348" s="370" t="s">
        <v>122</v>
      </c>
      <c r="G348" s="370" t="s">
        <v>122</v>
      </c>
      <c r="H348" s="370" t="s">
        <v>122</v>
      </c>
    </row>
    <row r="349" spans="1:8" x14ac:dyDescent="0.25">
      <c r="A349" s="377">
        <v>45637</v>
      </c>
      <c r="B349" s="363" t="s">
        <v>2962</v>
      </c>
      <c r="C349" s="364">
        <v>28300</v>
      </c>
      <c r="D349" s="370" t="s">
        <v>122</v>
      </c>
      <c r="E349" s="370" t="s">
        <v>122</v>
      </c>
      <c r="F349" s="370" t="s">
        <v>122</v>
      </c>
      <c r="G349" s="370" t="s">
        <v>122</v>
      </c>
      <c r="H349" s="370" t="s">
        <v>122</v>
      </c>
    </row>
    <row r="350" spans="1:8" x14ac:dyDescent="0.25">
      <c r="A350" s="377">
        <v>45638</v>
      </c>
      <c r="B350" s="363" t="s">
        <v>2962</v>
      </c>
      <c r="C350" s="364">
        <v>28300</v>
      </c>
      <c r="D350" s="370" t="s">
        <v>122</v>
      </c>
      <c r="E350" s="370" t="s">
        <v>122</v>
      </c>
      <c r="F350" s="370" t="s">
        <v>122</v>
      </c>
      <c r="G350" s="370" t="s">
        <v>122</v>
      </c>
      <c r="H350" s="370" t="s">
        <v>122</v>
      </c>
    </row>
    <row r="351" spans="1:8" x14ac:dyDescent="0.25">
      <c r="A351" s="377">
        <v>45639</v>
      </c>
      <c r="B351" s="363" t="s">
        <v>2963</v>
      </c>
      <c r="C351" s="364">
        <v>33800</v>
      </c>
      <c r="D351" s="370" t="s">
        <v>122</v>
      </c>
      <c r="E351" s="370" t="s">
        <v>122</v>
      </c>
      <c r="F351" s="370" t="s">
        <v>122</v>
      </c>
      <c r="G351" s="370" t="s">
        <v>122</v>
      </c>
      <c r="H351" s="370" t="s">
        <v>122</v>
      </c>
    </row>
    <row r="352" spans="1:8" x14ac:dyDescent="0.25">
      <c r="A352" s="377">
        <v>45640</v>
      </c>
      <c r="B352" s="363" t="s">
        <v>2830</v>
      </c>
      <c r="C352" s="364" t="s">
        <v>2831</v>
      </c>
      <c r="D352" s="370" t="s">
        <v>122</v>
      </c>
      <c r="E352" s="370" t="s">
        <v>122</v>
      </c>
      <c r="F352" s="370" t="s">
        <v>122</v>
      </c>
      <c r="G352" s="370" t="s">
        <v>122</v>
      </c>
      <c r="H352" s="370" t="s">
        <v>122</v>
      </c>
    </row>
    <row r="353" spans="1:8" x14ac:dyDescent="0.25">
      <c r="A353" s="377">
        <v>45641</v>
      </c>
      <c r="B353" s="363" t="s">
        <v>2964</v>
      </c>
      <c r="C353" s="364" t="s">
        <v>2965</v>
      </c>
      <c r="D353" s="370" t="s">
        <v>122</v>
      </c>
      <c r="E353" s="370" t="s">
        <v>122</v>
      </c>
      <c r="F353" s="370" t="s">
        <v>122</v>
      </c>
      <c r="G353" s="370" t="s">
        <v>122</v>
      </c>
      <c r="H353" s="370" t="s">
        <v>122</v>
      </c>
    </row>
    <row r="354" spans="1:8" x14ac:dyDescent="0.25">
      <c r="A354" s="377">
        <v>45642</v>
      </c>
      <c r="B354" s="363" t="s">
        <v>2966</v>
      </c>
      <c r="C354" s="364" t="s">
        <v>2967</v>
      </c>
      <c r="D354" s="370" t="s">
        <v>2508</v>
      </c>
      <c r="E354" s="370">
        <v>24.68</v>
      </c>
      <c r="F354" s="370" t="s">
        <v>2509</v>
      </c>
      <c r="G354" s="370">
        <v>13.2</v>
      </c>
      <c r="H354" s="370" t="s">
        <v>122</v>
      </c>
    </row>
    <row r="355" spans="1:8" x14ac:dyDescent="0.25">
      <c r="A355" s="377">
        <v>45643</v>
      </c>
      <c r="B355" s="363" t="s">
        <v>2966</v>
      </c>
      <c r="C355" s="364" t="s">
        <v>2967</v>
      </c>
      <c r="D355" s="370" t="s">
        <v>2508</v>
      </c>
      <c r="E355" s="370">
        <v>24.68</v>
      </c>
      <c r="F355" s="370" t="s">
        <v>2509</v>
      </c>
      <c r="G355" s="370">
        <v>13.2</v>
      </c>
      <c r="H355" s="370" t="s">
        <v>122</v>
      </c>
    </row>
    <row r="356" spans="1:8" x14ac:dyDescent="0.25">
      <c r="A356" s="377">
        <v>45644</v>
      </c>
      <c r="B356" s="363" t="s">
        <v>2855</v>
      </c>
      <c r="C356" s="364" t="s">
        <v>2837</v>
      </c>
      <c r="D356" s="370" t="s">
        <v>2508</v>
      </c>
      <c r="E356" s="370">
        <v>24.68</v>
      </c>
      <c r="F356" s="370" t="s">
        <v>2509</v>
      </c>
      <c r="G356" s="370">
        <v>13.2</v>
      </c>
      <c r="H356" s="370" t="s">
        <v>122</v>
      </c>
    </row>
    <row r="357" spans="1:8" x14ac:dyDescent="0.25">
      <c r="A357" s="377">
        <v>45645</v>
      </c>
      <c r="B357" s="363" t="s">
        <v>2968</v>
      </c>
      <c r="C357" s="364" t="s">
        <v>2969</v>
      </c>
      <c r="D357" s="370" t="s">
        <v>2508</v>
      </c>
      <c r="E357" s="370">
        <v>24.68</v>
      </c>
      <c r="F357" s="370" t="s">
        <v>2509</v>
      </c>
      <c r="G357" s="370">
        <v>13.2</v>
      </c>
      <c r="H357" s="370" t="s">
        <v>122</v>
      </c>
    </row>
    <row r="358" spans="1:8" x14ac:dyDescent="0.25">
      <c r="A358" s="377">
        <v>45646</v>
      </c>
      <c r="B358" s="363" t="s">
        <v>2856</v>
      </c>
      <c r="C358" s="364" t="s">
        <v>2857</v>
      </c>
      <c r="D358" s="370" t="s">
        <v>2152</v>
      </c>
      <c r="E358" s="370">
        <v>37.24</v>
      </c>
      <c r="F358" s="370" t="s">
        <v>2186</v>
      </c>
      <c r="G358" s="370">
        <v>51.39</v>
      </c>
      <c r="H358" s="370" t="s">
        <v>122</v>
      </c>
    </row>
    <row r="359" spans="1:8" x14ac:dyDescent="0.25">
      <c r="A359" s="377">
        <v>45647</v>
      </c>
      <c r="B359" s="363" t="s">
        <v>2846</v>
      </c>
      <c r="C359" s="364" t="s">
        <v>2847</v>
      </c>
      <c r="D359" s="370" t="s">
        <v>2152</v>
      </c>
      <c r="E359" s="370">
        <v>37.24</v>
      </c>
      <c r="F359" s="370" t="s">
        <v>2186</v>
      </c>
      <c r="G359" s="370">
        <v>51.39</v>
      </c>
      <c r="H359" s="370" t="s">
        <v>122</v>
      </c>
    </row>
    <row r="360" spans="1:8" x14ac:dyDescent="0.25">
      <c r="A360" s="377">
        <v>45648</v>
      </c>
      <c r="B360" s="363" t="s">
        <v>2830</v>
      </c>
      <c r="C360" s="364" t="s">
        <v>2831</v>
      </c>
      <c r="D360" s="370" t="s">
        <v>2174</v>
      </c>
      <c r="E360" s="370">
        <v>79.260000000000005</v>
      </c>
      <c r="F360" s="370" t="s">
        <v>2177</v>
      </c>
      <c r="G360" s="370">
        <v>76.39</v>
      </c>
      <c r="H360" s="370" t="s">
        <v>122</v>
      </c>
    </row>
    <row r="361" spans="1:8" x14ac:dyDescent="0.25">
      <c r="A361" s="377">
        <v>45649</v>
      </c>
      <c r="B361" s="363" t="s">
        <v>2830</v>
      </c>
      <c r="C361" s="364" t="s">
        <v>2831</v>
      </c>
      <c r="D361" s="370" t="s">
        <v>2174</v>
      </c>
      <c r="E361" s="370">
        <v>79.260000000000005</v>
      </c>
      <c r="F361" s="370" t="s">
        <v>2177</v>
      </c>
      <c r="G361" s="370">
        <v>76.39</v>
      </c>
      <c r="H361" s="370" t="s">
        <v>122</v>
      </c>
    </row>
    <row r="362" spans="1:8" x14ac:dyDescent="0.25">
      <c r="A362" s="377">
        <v>45650</v>
      </c>
      <c r="B362" s="363" t="s">
        <v>2846</v>
      </c>
      <c r="C362" s="364" t="s">
        <v>2847</v>
      </c>
      <c r="D362" s="370" t="s">
        <v>2174</v>
      </c>
      <c r="E362" s="370">
        <v>61.27</v>
      </c>
      <c r="F362" s="370" t="s">
        <v>2177</v>
      </c>
      <c r="G362" s="370">
        <v>76.39</v>
      </c>
      <c r="H362" s="370" t="s">
        <v>122</v>
      </c>
    </row>
    <row r="363" spans="1:8" x14ac:dyDescent="0.25">
      <c r="A363" s="377">
        <v>45651</v>
      </c>
      <c r="B363" s="363" t="s">
        <v>2846</v>
      </c>
      <c r="C363" s="364" t="s">
        <v>2847</v>
      </c>
      <c r="D363" s="370" t="s">
        <v>2174</v>
      </c>
      <c r="E363" s="370">
        <v>61.27</v>
      </c>
      <c r="F363" s="370" t="s">
        <v>2177</v>
      </c>
      <c r="G363" s="370">
        <v>76.39</v>
      </c>
      <c r="H363" s="370" t="s">
        <v>122</v>
      </c>
    </row>
    <row r="364" spans="1:8" x14ac:dyDescent="0.25">
      <c r="A364" s="377">
        <v>45652</v>
      </c>
      <c r="B364" s="363" t="s">
        <v>2850</v>
      </c>
      <c r="C364" s="364" t="s">
        <v>2970</v>
      </c>
      <c r="D364" s="370" t="s">
        <v>2174</v>
      </c>
      <c r="E364" s="370">
        <v>61.27</v>
      </c>
      <c r="F364" s="370" t="s">
        <v>2177</v>
      </c>
      <c r="G364" s="370">
        <v>76.39</v>
      </c>
      <c r="H364" s="370" t="s">
        <v>122</v>
      </c>
    </row>
    <row r="365" spans="1:8" x14ac:dyDescent="0.25">
      <c r="A365" s="377">
        <v>45653</v>
      </c>
      <c r="B365" s="363" t="s">
        <v>2804</v>
      </c>
      <c r="C365" s="368">
        <v>38416</v>
      </c>
      <c r="D365" s="370" t="s">
        <v>2177</v>
      </c>
      <c r="E365" s="370">
        <v>73.489999999999995</v>
      </c>
      <c r="F365" s="370" t="s">
        <v>2177</v>
      </c>
      <c r="G365" s="370">
        <v>76.39</v>
      </c>
      <c r="H365" s="370" t="s">
        <v>122</v>
      </c>
    </row>
    <row r="366" spans="1:8" x14ac:dyDescent="0.25">
      <c r="A366" s="377">
        <v>45654</v>
      </c>
      <c r="B366" s="363" t="s">
        <v>2858</v>
      </c>
      <c r="C366" s="368">
        <v>38281.5</v>
      </c>
      <c r="D366" s="370" t="s">
        <v>2177</v>
      </c>
      <c r="E366" s="370">
        <v>73.41</v>
      </c>
      <c r="F366" s="370" t="s">
        <v>2177</v>
      </c>
      <c r="G366" s="370">
        <v>76.31</v>
      </c>
      <c r="H366" s="370" t="s">
        <v>122</v>
      </c>
    </row>
    <row r="367" spans="1:8" x14ac:dyDescent="0.25">
      <c r="A367" s="377">
        <v>45655</v>
      </c>
      <c r="B367" s="363" t="s">
        <v>2859</v>
      </c>
      <c r="C367" s="364">
        <v>38010.5</v>
      </c>
      <c r="D367" s="370" t="s">
        <v>2177</v>
      </c>
      <c r="E367" s="370">
        <v>72.48</v>
      </c>
      <c r="F367" s="370" t="s">
        <v>2177</v>
      </c>
      <c r="G367" s="370">
        <v>75.11</v>
      </c>
      <c r="H367" s="370" t="s">
        <v>122</v>
      </c>
    </row>
    <row r="368" spans="1:8" x14ac:dyDescent="0.25">
      <c r="A368" s="377">
        <v>45656</v>
      </c>
      <c r="B368" s="363" t="s">
        <v>2860</v>
      </c>
      <c r="C368" s="364">
        <v>37739.5</v>
      </c>
      <c r="D368" s="370" t="s">
        <v>122</v>
      </c>
      <c r="E368" s="370" t="s">
        <v>122</v>
      </c>
      <c r="F368" s="370" t="s">
        <v>122</v>
      </c>
      <c r="G368" s="370" t="s">
        <v>122</v>
      </c>
      <c r="H368" s="370" t="s">
        <v>122</v>
      </c>
    </row>
    <row r="369" spans="1:8" x14ac:dyDescent="0.25">
      <c r="A369" s="377">
        <v>45657</v>
      </c>
      <c r="B369" s="363" t="s">
        <v>2804</v>
      </c>
      <c r="C369" s="364">
        <v>38416</v>
      </c>
      <c r="D369" s="370" t="s">
        <v>122</v>
      </c>
      <c r="E369" s="370" t="s">
        <v>122</v>
      </c>
      <c r="F369" s="370" t="s">
        <v>122</v>
      </c>
      <c r="G369" s="370" t="s">
        <v>122</v>
      </c>
      <c r="H369" s="370" t="s">
        <v>122</v>
      </c>
    </row>
  </sheetData>
  <mergeCells count="6">
    <mergeCell ref="A1:H1"/>
    <mergeCell ref="A2:A3"/>
    <mergeCell ref="B2:B3"/>
    <mergeCell ref="C2:C3"/>
    <mergeCell ref="D2:G2"/>
    <mergeCell ref="H2:H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69"/>
  <sheetViews>
    <sheetView topLeftCell="A22" zoomScale="98" zoomScaleNormal="98" workbookViewId="0">
      <selection activeCell="N13" sqref="N13"/>
    </sheetView>
  </sheetViews>
  <sheetFormatPr defaultRowHeight="15" x14ac:dyDescent="0.25"/>
  <cols>
    <col min="1" max="1" width="10.140625" bestFit="1" customWidth="1"/>
    <col min="2" max="2" width="10.85546875" bestFit="1" customWidth="1"/>
    <col min="3" max="3" width="11" bestFit="1" customWidth="1"/>
    <col min="8" max="8" width="14" customWidth="1"/>
  </cols>
  <sheetData>
    <row r="1" spans="1:8" ht="24" thickBot="1" x14ac:dyDescent="0.3">
      <c r="A1" s="498" t="s">
        <v>2978</v>
      </c>
      <c r="B1" s="498"/>
      <c r="C1" s="498"/>
      <c r="D1" s="510"/>
      <c r="E1" s="510"/>
      <c r="F1" s="510"/>
      <c r="G1" s="510"/>
      <c r="H1" s="510"/>
    </row>
    <row r="2" spans="1:8" ht="27" customHeight="1" x14ac:dyDescent="0.25">
      <c r="A2" s="485" t="s">
        <v>1761</v>
      </c>
      <c r="B2" s="476" t="s">
        <v>2671</v>
      </c>
      <c r="C2" s="476" t="s">
        <v>2674</v>
      </c>
      <c r="D2" s="511" t="s">
        <v>2294</v>
      </c>
      <c r="E2" s="511"/>
      <c r="F2" s="511"/>
      <c r="G2" s="511"/>
      <c r="H2" s="512" t="s">
        <v>3112</v>
      </c>
    </row>
    <row r="3" spans="1:8" ht="33.75" customHeight="1" thickBot="1" x14ac:dyDescent="0.3">
      <c r="A3" s="486"/>
      <c r="B3" s="477"/>
      <c r="C3" s="477"/>
      <c r="D3" s="85" t="s">
        <v>1774</v>
      </c>
      <c r="E3" s="372" t="s">
        <v>735</v>
      </c>
      <c r="F3" s="85" t="s">
        <v>1775</v>
      </c>
      <c r="G3" s="372" t="s">
        <v>735</v>
      </c>
      <c r="H3" s="513"/>
    </row>
    <row r="4" spans="1:8" ht="21.75" customHeight="1" x14ac:dyDescent="0.25">
      <c r="A4" s="377">
        <v>45658</v>
      </c>
      <c r="B4" s="363" t="s">
        <v>2981</v>
      </c>
      <c r="C4" s="364" t="s">
        <v>2980</v>
      </c>
      <c r="D4" s="370" t="s">
        <v>122</v>
      </c>
      <c r="E4" s="370" t="s">
        <v>122</v>
      </c>
      <c r="F4" s="370" t="s">
        <v>122</v>
      </c>
      <c r="G4" s="370" t="s">
        <v>122</v>
      </c>
      <c r="H4" s="370">
        <v>4851</v>
      </c>
    </row>
    <row r="5" spans="1:8" ht="21.75" customHeight="1" x14ac:dyDescent="0.25">
      <c r="A5" s="377">
        <v>45659</v>
      </c>
      <c r="B5" s="363" t="s">
        <v>2979</v>
      </c>
      <c r="C5" s="364" t="s">
        <v>3002</v>
      </c>
      <c r="D5" s="378" t="s">
        <v>122</v>
      </c>
      <c r="E5" s="370" t="s">
        <v>122</v>
      </c>
      <c r="F5" s="370" t="s">
        <v>122</v>
      </c>
      <c r="G5" s="370" t="s">
        <v>122</v>
      </c>
      <c r="H5" s="370">
        <v>5191.5600000000004</v>
      </c>
    </row>
    <row r="6" spans="1:8" ht="21.75" customHeight="1" x14ac:dyDescent="0.25">
      <c r="A6" s="377">
        <v>45660</v>
      </c>
      <c r="B6" s="363" t="s">
        <v>2982</v>
      </c>
      <c r="C6" s="364" t="s">
        <v>2810</v>
      </c>
      <c r="D6" s="370" t="s">
        <v>2508</v>
      </c>
      <c r="E6" s="370">
        <v>24.68</v>
      </c>
      <c r="F6" s="370" t="s">
        <v>2174</v>
      </c>
      <c r="G6" s="370">
        <v>63.54</v>
      </c>
      <c r="H6" s="370">
        <v>3508.56</v>
      </c>
    </row>
    <row r="7" spans="1:8" ht="21.75" customHeight="1" x14ac:dyDescent="0.25">
      <c r="A7" s="377">
        <v>45661</v>
      </c>
      <c r="B7" s="363" t="s">
        <v>2983</v>
      </c>
      <c r="C7" s="364" t="s">
        <v>2806</v>
      </c>
      <c r="D7" s="370" t="s">
        <v>2174</v>
      </c>
      <c r="E7" s="370">
        <v>61.27</v>
      </c>
      <c r="F7" s="370" t="s">
        <v>2174</v>
      </c>
      <c r="G7" s="370">
        <v>63.54</v>
      </c>
      <c r="H7" s="370">
        <v>2352.2399999999998</v>
      </c>
    </row>
    <row r="8" spans="1:8" ht="21.75" customHeight="1" x14ac:dyDescent="0.25">
      <c r="A8" s="377">
        <v>45662</v>
      </c>
      <c r="B8" s="363" t="s">
        <v>2984</v>
      </c>
      <c r="C8" s="364" t="s">
        <v>2831</v>
      </c>
      <c r="D8" s="370" t="s">
        <v>2174</v>
      </c>
      <c r="E8" s="370">
        <v>61.27</v>
      </c>
      <c r="F8" s="370" t="s">
        <v>2174</v>
      </c>
      <c r="G8" s="370">
        <v>63.54</v>
      </c>
      <c r="H8" s="370">
        <v>1067.22</v>
      </c>
    </row>
    <row r="9" spans="1:8" ht="21.75" customHeight="1" x14ac:dyDescent="0.25">
      <c r="A9" s="377">
        <v>45663</v>
      </c>
      <c r="B9" s="363" t="s">
        <v>2984</v>
      </c>
      <c r="C9" s="364" t="s">
        <v>2831</v>
      </c>
      <c r="D9" s="370" t="s">
        <v>2174</v>
      </c>
      <c r="E9" s="370">
        <v>61.27</v>
      </c>
      <c r="F9" s="370" t="s">
        <v>2174</v>
      </c>
      <c r="G9" s="370">
        <v>63.54</v>
      </c>
      <c r="H9" s="370">
        <v>411.9</v>
      </c>
    </row>
    <row r="10" spans="1:8" ht="21.75" customHeight="1" x14ac:dyDescent="0.25">
      <c r="A10" s="377">
        <v>45664</v>
      </c>
      <c r="B10" s="363" t="s">
        <v>2984</v>
      </c>
      <c r="C10" s="364" t="s">
        <v>2831</v>
      </c>
      <c r="D10" s="370" t="s">
        <v>2174</v>
      </c>
      <c r="E10" s="370">
        <v>61.27</v>
      </c>
      <c r="F10" s="370" t="s">
        <v>2174</v>
      </c>
      <c r="G10" s="370">
        <v>63.54</v>
      </c>
      <c r="H10" s="370">
        <v>411.9</v>
      </c>
    </row>
    <row r="11" spans="1:8" ht="21.75" customHeight="1" x14ac:dyDescent="0.25">
      <c r="A11" s="377">
        <v>45665</v>
      </c>
      <c r="B11" s="363" t="s">
        <v>2986</v>
      </c>
      <c r="C11" s="364" t="s">
        <v>2851</v>
      </c>
      <c r="D11" s="370" t="s">
        <v>122</v>
      </c>
      <c r="E11" s="370" t="s">
        <v>122</v>
      </c>
      <c r="F11" s="370" t="s">
        <v>122</v>
      </c>
      <c r="G11" s="370" t="s">
        <v>122</v>
      </c>
      <c r="H11" s="370">
        <v>145.63</v>
      </c>
    </row>
    <row r="12" spans="1:8" ht="21.75" customHeight="1" x14ac:dyDescent="0.25">
      <c r="A12" s="377">
        <v>45666</v>
      </c>
      <c r="B12" s="363" t="s">
        <v>2986</v>
      </c>
      <c r="C12" s="364" t="s">
        <v>2851</v>
      </c>
      <c r="D12" s="370" t="s">
        <v>122</v>
      </c>
      <c r="E12" s="370" t="s">
        <v>122</v>
      </c>
      <c r="F12" s="370" t="s">
        <v>122</v>
      </c>
      <c r="G12" s="370" t="s">
        <v>122</v>
      </c>
      <c r="H12" s="370">
        <v>145.63</v>
      </c>
    </row>
    <row r="13" spans="1:8" ht="21.75" customHeight="1" x14ac:dyDescent="0.25">
      <c r="A13" s="377">
        <v>45667</v>
      </c>
      <c r="B13" s="363" t="s">
        <v>2986</v>
      </c>
      <c r="C13" s="364" t="s">
        <v>2985</v>
      </c>
      <c r="D13" s="370" t="s">
        <v>2174</v>
      </c>
      <c r="E13" s="370">
        <v>61.27</v>
      </c>
      <c r="F13" s="370" t="s">
        <v>2179</v>
      </c>
      <c r="G13" s="370">
        <v>84.37</v>
      </c>
      <c r="H13" s="370">
        <v>145.63</v>
      </c>
    </row>
    <row r="14" spans="1:8" ht="21.75" customHeight="1" x14ac:dyDescent="0.25">
      <c r="A14" s="377">
        <v>45668</v>
      </c>
      <c r="B14" s="363" t="s">
        <v>2987</v>
      </c>
      <c r="C14" s="364" t="s">
        <v>2837</v>
      </c>
      <c r="D14" s="370" t="s">
        <v>122</v>
      </c>
      <c r="E14" s="370" t="s">
        <v>122</v>
      </c>
      <c r="F14" s="370" t="s">
        <v>122</v>
      </c>
      <c r="G14" s="370" t="s">
        <v>122</v>
      </c>
      <c r="H14" s="370">
        <v>2720.52</v>
      </c>
    </row>
    <row r="15" spans="1:8" ht="21.75" customHeight="1" x14ac:dyDescent="0.25">
      <c r="A15" s="377">
        <v>45669</v>
      </c>
      <c r="B15" s="363" t="s">
        <v>2983</v>
      </c>
      <c r="C15" s="364" t="s">
        <v>2806</v>
      </c>
      <c r="D15" s="370" t="s">
        <v>2732</v>
      </c>
      <c r="E15" s="370">
        <v>68.42</v>
      </c>
      <c r="F15" s="370" t="s">
        <v>2179</v>
      </c>
      <c r="G15" s="370">
        <v>84.37</v>
      </c>
      <c r="H15" s="370">
        <v>2680.92</v>
      </c>
    </row>
    <row r="16" spans="1:8" ht="21.75" customHeight="1" x14ac:dyDescent="0.25">
      <c r="A16" s="377">
        <v>45670</v>
      </c>
      <c r="B16" s="363" t="s">
        <v>2988</v>
      </c>
      <c r="C16" s="364" t="s">
        <v>2814</v>
      </c>
      <c r="D16" s="370" t="s">
        <v>2176</v>
      </c>
      <c r="E16" s="370">
        <v>82.42</v>
      </c>
      <c r="F16" s="370" t="s">
        <v>2179</v>
      </c>
      <c r="G16" s="370">
        <v>84.37</v>
      </c>
      <c r="H16" s="370">
        <v>2203.7399999999998</v>
      </c>
    </row>
    <row r="17" spans="1:8" ht="21.75" customHeight="1" x14ac:dyDescent="0.25">
      <c r="A17" s="377">
        <v>45671</v>
      </c>
      <c r="B17" s="363" t="s">
        <v>2984</v>
      </c>
      <c r="C17" s="364" t="s">
        <v>2831</v>
      </c>
      <c r="D17" s="370" t="s">
        <v>2180</v>
      </c>
      <c r="E17" s="370"/>
      <c r="F17" s="370" t="s">
        <v>2179</v>
      </c>
      <c r="G17" s="370">
        <v>84.37</v>
      </c>
      <c r="H17" s="370">
        <v>845.46</v>
      </c>
    </row>
    <row r="18" spans="1:8" ht="21.75" customHeight="1" x14ac:dyDescent="0.25">
      <c r="A18" s="377">
        <v>45672</v>
      </c>
      <c r="B18" s="363" t="s">
        <v>2981</v>
      </c>
      <c r="C18" s="364" t="s">
        <v>2980</v>
      </c>
      <c r="D18" s="370" t="s">
        <v>2152</v>
      </c>
      <c r="E18" s="370">
        <v>37.24</v>
      </c>
      <c r="F18" s="370" t="s">
        <v>2179</v>
      </c>
      <c r="G18" s="370">
        <v>84.37</v>
      </c>
      <c r="H18" s="370">
        <v>5181.66</v>
      </c>
    </row>
    <row r="19" spans="1:8" ht="21.75" customHeight="1" x14ac:dyDescent="0.25">
      <c r="A19" s="377">
        <v>45673</v>
      </c>
      <c r="B19" s="363" t="s">
        <v>2989</v>
      </c>
      <c r="C19" s="364" t="s">
        <v>3111</v>
      </c>
      <c r="D19" s="370" t="s">
        <v>2152</v>
      </c>
      <c r="E19" s="370">
        <v>37.24</v>
      </c>
      <c r="F19" s="370" t="s">
        <v>2179</v>
      </c>
      <c r="G19" s="370">
        <v>84.37</v>
      </c>
      <c r="H19" s="370">
        <v>6882.48</v>
      </c>
    </row>
    <row r="20" spans="1:8" ht="21.75" customHeight="1" x14ac:dyDescent="0.25">
      <c r="A20" s="377">
        <v>45674</v>
      </c>
      <c r="B20" s="363" t="s">
        <v>2990</v>
      </c>
      <c r="C20" s="364" t="s">
        <v>2817</v>
      </c>
      <c r="D20" s="370" t="s">
        <v>2727</v>
      </c>
      <c r="E20" s="370">
        <v>18.72</v>
      </c>
      <c r="F20" s="370" t="s">
        <v>122</v>
      </c>
      <c r="G20" s="370" t="s">
        <v>122</v>
      </c>
      <c r="H20" s="370">
        <v>5096.5200000000004</v>
      </c>
    </row>
    <row r="21" spans="1:8" ht="21.75" customHeight="1" x14ac:dyDescent="0.25">
      <c r="A21" s="377">
        <v>45675</v>
      </c>
      <c r="B21" s="363" t="s">
        <v>2982</v>
      </c>
      <c r="C21" s="364" t="s">
        <v>2810</v>
      </c>
      <c r="D21" s="370" t="s">
        <v>2727</v>
      </c>
      <c r="E21" s="370">
        <v>18.72</v>
      </c>
      <c r="F21" s="370" t="s">
        <v>122</v>
      </c>
      <c r="G21" s="370" t="s">
        <v>122</v>
      </c>
      <c r="H21" s="370">
        <v>4482.72</v>
      </c>
    </row>
    <row r="22" spans="1:8" ht="21.75" customHeight="1" x14ac:dyDescent="0.25">
      <c r="A22" s="377">
        <v>45676</v>
      </c>
      <c r="B22" s="363" t="s">
        <v>2994</v>
      </c>
      <c r="C22" s="364" t="s">
        <v>2996</v>
      </c>
      <c r="D22" s="370" t="s">
        <v>122</v>
      </c>
      <c r="E22" s="370" t="s">
        <v>122</v>
      </c>
      <c r="F22" s="370" t="s">
        <v>122</v>
      </c>
      <c r="G22" s="370" t="s">
        <v>122</v>
      </c>
      <c r="H22" s="370">
        <v>142.41999999999999</v>
      </c>
    </row>
    <row r="23" spans="1:8" ht="21.75" customHeight="1" x14ac:dyDescent="0.25">
      <c r="A23" s="377">
        <v>45677</v>
      </c>
      <c r="B23" s="363" t="s">
        <v>2994</v>
      </c>
      <c r="C23" s="364" t="s">
        <v>2996</v>
      </c>
      <c r="D23" s="370" t="s">
        <v>122</v>
      </c>
      <c r="E23" s="370" t="s">
        <v>122</v>
      </c>
      <c r="F23" s="370" t="s">
        <v>122</v>
      </c>
      <c r="G23" s="370" t="s">
        <v>122</v>
      </c>
      <c r="H23" s="370">
        <v>14242.14</v>
      </c>
    </row>
    <row r="24" spans="1:8" ht="21.75" customHeight="1" x14ac:dyDescent="0.25">
      <c r="A24" s="377">
        <v>45678</v>
      </c>
      <c r="B24" s="363" t="s">
        <v>2989</v>
      </c>
      <c r="C24" s="364" t="s">
        <v>3001</v>
      </c>
      <c r="D24" s="370" t="s">
        <v>122</v>
      </c>
      <c r="E24" s="370" t="s">
        <v>122</v>
      </c>
      <c r="F24" s="370" t="s">
        <v>122</v>
      </c>
      <c r="G24" s="370" t="s">
        <v>122</v>
      </c>
      <c r="H24" s="370">
        <v>9646.56</v>
      </c>
    </row>
    <row r="25" spans="1:8" ht="21.75" customHeight="1" x14ac:dyDescent="0.25">
      <c r="A25" s="377">
        <v>45679</v>
      </c>
      <c r="B25" s="363" t="s">
        <v>2982</v>
      </c>
      <c r="C25" s="364" t="s">
        <v>2997</v>
      </c>
      <c r="D25" s="370" t="s">
        <v>122</v>
      </c>
      <c r="E25" s="370" t="s">
        <v>122</v>
      </c>
      <c r="F25" s="370" t="s">
        <v>122</v>
      </c>
      <c r="G25" s="370" t="s">
        <v>122</v>
      </c>
      <c r="H25" s="370">
        <v>7832.88</v>
      </c>
    </row>
    <row r="26" spans="1:8" ht="21.75" customHeight="1" x14ac:dyDescent="0.25">
      <c r="A26" s="377">
        <v>45680</v>
      </c>
      <c r="B26" s="363" t="s">
        <v>2982</v>
      </c>
      <c r="C26" s="364" t="s">
        <v>2810</v>
      </c>
      <c r="D26" s="370" t="s">
        <v>122</v>
      </c>
      <c r="E26" s="370" t="s">
        <v>122</v>
      </c>
      <c r="F26" s="370" t="s">
        <v>122</v>
      </c>
      <c r="G26" s="370" t="s">
        <v>122</v>
      </c>
      <c r="H26" s="370">
        <v>7832.88</v>
      </c>
    </row>
    <row r="27" spans="1:8" ht="21.75" customHeight="1" x14ac:dyDescent="0.25">
      <c r="A27" s="377">
        <v>45681</v>
      </c>
      <c r="B27" s="363" t="s">
        <v>2988</v>
      </c>
      <c r="C27" s="364" t="s">
        <v>2814</v>
      </c>
      <c r="D27" s="370" t="s">
        <v>122</v>
      </c>
      <c r="E27" s="370" t="s">
        <v>122</v>
      </c>
      <c r="F27" s="370" t="s">
        <v>122</v>
      </c>
      <c r="G27" s="370" t="s">
        <v>122</v>
      </c>
      <c r="H27" s="370">
        <v>6088.5</v>
      </c>
    </row>
    <row r="28" spans="1:8" ht="21.75" customHeight="1" x14ac:dyDescent="0.25">
      <c r="A28" s="377">
        <v>45682</v>
      </c>
      <c r="B28" s="363" t="s">
        <v>2991</v>
      </c>
      <c r="C28" s="364">
        <v>38416</v>
      </c>
      <c r="D28" s="370" t="s">
        <v>2508</v>
      </c>
      <c r="E28" s="370" t="s">
        <v>122</v>
      </c>
      <c r="F28" s="370" t="s">
        <v>122</v>
      </c>
      <c r="G28" s="370" t="s">
        <v>122</v>
      </c>
      <c r="H28" s="370" t="s">
        <v>122</v>
      </c>
    </row>
    <row r="29" spans="1:8" ht="21.75" customHeight="1" x14ac:dyDescent="0.25">
      <c r="A29" s="377">
        <v>45683</v>
      </c>
      <c r="B29" s="363" t="s">
        <v>2992</v>
      </c>
      <c r="C29" s="364" t="s">
        <v>2857</v>
      </c>
      <c r="D29" s="370" t="s">
        <v>2508</v>
      </c>
      <c r="E29" s="370">
        <v>24.68</v>
      </c>
      <c r="F29" s="370" t="s">
        <v>2509</v>
      </c>
      <c r="G29" s="370"/>
      <c r="H29" s="370">
        <v>803.88</v>
      </c>
    </row>
    <row r="30" spans="1:8" ht="21.75" customHeight="1" x14ac:dyDescent="0.25">
      <c r="A30" s="377">
        <v>45684</v>
      </c>
      <c r="B30" s="363" t="s">
        <v>2993</v>
      </c>
      <c r="C30" s="364" t="s">
        <v>2998</v>
      </c>
      <c r="D30" s="370" t="s">
        <v>2174</v>
      </c>
      <c r="E30" s="370">
        <v>61.27</v>
      </c>
      <c r="F30" s="370" t="s">
        <v>2174</v>
      </c>
      <c r="G30" s="370">
        <v>63.54</v>
      </c>
      <c r="H30" s="370">
        <v>1005.84</v>
      </c>
    </row>
    <row r="31" spans="1:8" ht="21.75" customHeight="1" x14ac:dyDescent="0.25">
      <c r="A31" s="377">
        <v>45685</v>
      </c>
      <c r="B31" s="363" t="s">
        <v>2993</v>
      </c>
      <c r="C31" s="364" t="s">
        <v>2999</v>
      </c>
      <c r="D31" s="370" t="s">
        <v>2177</v>
      </c>
      <c r="E31" s="370">
        <v>73.489999999999995</v>
      </c>
      <c r="F31" s="370" t="s">
        <v>2174</v>
      </c>
      <c r="G31" s="370">
        <v>63.54</v>
      </c>
      <c r="H31" s="370">
        <v>1005.84</v>
      </c>
    </row>
    <row r="32" spans="1:8" ht="21.75" customHeight="1" x14ac:dyDescent="0.25">
      <c r="A32" s="377">
        <v>45686</v>
      </c>
      <c r="B32" s="363" t="s">
        <v>2993</v>
      </c>
      <c r="C32" s="364" t="s">
        <v>2998</v>
      </c>
      <c r="D32" s="370" t="s">
        <v>2177</v>
      </c>
      <c r="E32" s="370">
        <v>73.489999999999995</v>
      </c>
      <c r="F32" s="370" t="s">
        <v>2188</v>
      </c>
      <c r="G32" s="370">
        <v>63.54</v>
      </c>
      <c r="H32" s="370">
        <v>508.2</v>
      </c>
    </row>
    <row r="33" spans="1:8" ht="21.75" customHeight="1" x14ac:dyDescent="0.25">
      <c r="A33" s="377">
        <v>45687</v>
      </c>
      <c r="B33" s="363" t="s">
        <v>2992</v>
      </c>
      <c r="C33" s="364" t="s">
        <v>2857</v>
      </c>
      <c r="D33" s="370" t="s">
        <v>2177</v>
      </c>
      <c r="E33" s="370">
        <v>73.489999999999995</v>
      </c>
      <c r="F33" s="370" t="s">
        <v>2174</v>
      </c>
      <c r="G33" s="370">
        <v>63.54</v>
      </c>
      <c r="H33" s="370">
        <v>803.88</v>
      </c>
    </row>
    <row r="34" spans="1:8" ht="21.75" customHeight="1" x14ac:dyDescent="0.25">
      <c r="A34" s="377">
        <v>45688</v>
      </c>
      <c r="B34" s="363" t="s">
        <v>2995</v>
      </c>
      <c r="C34" s="364" t="s">
        <v>3000</v>
      </c>
      <c r="D34" s="370" t="s">
        <v>2174</v>
      </c>
      <c r="E34" s="370">
        <v>61.27</v>
      </c>
      <c r="F34" s="370" t="s">
        <v>2174</v>
      </c>
      <c r="G34" s="370">
        <v>63.54</v>
      </c>
      <c r="H34" s="370">
        <v>2007.72</v>
      </c>
    </row>
    <row r="35" spans="1:8" ht="21.75" customHeight="1" x14ac:dyDescent="0.25">
      <c r="A35" s="377">
        <v>45689</v>
      </c>
      <c r="B35" s="375" t="s">
        <v>2995</v>
      </c>
      <c r="C35" s="373" t="s">
        <v>3000</v>
      </c>
      <c r="D35" s="370" t="s">
        <v>2174</v>
      </c>
      <c r="E35" s="370">
        <v>61.27</v>
      </c>
      <c r="F35" s="370" t="s">
        <v>2174</v>
      </c>
      <c r="G35" s="370">
        <v>63.54</v>
      </c>
      <c r="H35" s="370">
        <v>2007.72</v>
      </c>
    </row>
    <row r="36" spans="1:8" ht="21.75" customHeight="1" x14ac:dyDescent="0.25">
      <c r="A36" s="377">
        <v>45690</v>
      </c>
      <c r="B36" s="375" t="s">
        <v>2983</v>
      </c>
      <c r="C36" s="373" t="s">
        <v>3019</v>
      </c>
      <c r="D36" s="370" t="s">
        <v>2174</v>
      </c>
      <c r="E36" s="370">
        <v>61.27</v>
      </c>
      <c r="F36" s="370" t="s">
        <v>2174</v>
      </c>
      <c r="G36" s="370">
        <v>63.54</v>
      </c>
      <c r="H36" s="370">
        <v>1688.94</v>
      </c>
    </row>
    <row r="37" spans="1:8" ht="21.75" customHeight="1" x14ac:dyDescent="0.25">
      <c r="A37" s="377">
        <v>45691</v>
      </c>
      <c r="B37" s="375" t="s">
        <v>2988</v>
      </c>
      <c r="C37" s="373" t="s">
        <v>2814</v>
      </c>
      <c r="D37" s="370" t="s">
        <v>2174</v>
      </c>
      <c r="E37" s="370">
        <v>61.27</v>
      </c>
      <c r="F37" s="370" t="s">
        <v>2174</v>
      </c>
      <c r="G37" s="370">
        <v>63.54</v>
      </c>
      <c r="H37" s="370">
        <v>1219.68</v>
      </c>
    </row>
    <row r="38" spans="1:8" ht="21.75" customHeight="1" x14ac:dyDescent="0.25">
      <c r="A38" s="377">
        <v>45692</v>
      </c>
      <c r="B38" s="375" t="s">
        <v>2993</v>
      </c>
      <c r="C38" s="373" t="s">
        <v>2998</v>
      </c>
      <c r="D38" s="370" t="s">
        <v>2174</v>
      </c>
      <c r="E38" s="370">
        <v>61.27</v>
      </c>
      <c r="F38" s="370" t="s">
        <v>2174</v>
      </c>
      <c r="G38" s="370">
        <v>63.54</v>
      </c>
      <c r="H38" s="370">
        <v>1005.84</v>
      </c>
    </row>
    <row r="39" spans="1:8" ht="21.75" customHeight="1" x14ac:dyDescent="0.25">
      <c r="A39" s="377">
        <v>45693</v>
      </c>
      <c r="B39" s="375" t="s">
        <v>3003</v>
      </c>
      <c r="C39" s="374" t="s">
        <v>2849</v>
      </c>
      <c r="D39" s="370" t="s">
        <v>2180</v>
      </c>
      <c r="E39" s="379">
        <v>90.3</v>
      </c>
      <c r="F39" s="370" t="s">
        <v>2174</v>
      </c>
      <c r="G39" s="370">
        <v>63.54</v>
      </c>
      <c r="H39" s="370">
        <v>619.74</v>
      </c>
    </row>
    <row r="40" spans="1:8" ht="21.75" customHeight="1" x14ac:dyDescent="0.25">
      <c r="A40" s="377">
        <v>45694</v>
      </c>
      <c r="B40" s="375" t="s">
        <v>3004</v>
      </c>
      <c r="C40" s="373" t="s">
        <v>2847</v>
      </c>
      <c r="D40" s="370" t="s">
        <v>2180</v>
      </c>
      <c r="E40" s="379">
        <v>90.3</v>
      </c>
      <c r="F40" s="370" t="s">
        <v>2174</v>
      </c>
      <c r="G40" s="370">
        <v>63.54</v>
      </c>
      <c r="H40" s="370">
        <v>267.3</v>
      </c>
    </row>
    <row r="41" spans="1:8" ht="21.75" customHeight="1" x14ac:dyDescent="0.25">
      <c r="A41" s="377">
        <v>45695</v>
      </c>
      <c r="B41" s="375" t="s">
        <v>3005</v>
      </c>
      <c r="C41" s="373" t="s">
        <v>3020</v>
      </c>
      <c r="D41" s="370" t="s">
        <v>2180</v>
      </c>
      <c r="E41" s="379">
        <v>90.3</v>
      </c>
      <c r="F41" s="370" t="s">
        <v>2174</v>
      </c>
      <c r="G41" s="370">
        <v>63.54</v>
      </c>
      <c r="H41" s="370">
        <v>51.48</v>
      </c>
    </row>
    <row r="42" spans="1:8" ht="21.75" customHeight="1" x14ac:dyDescent="0.25">
      <c r="A42" s="377">
        <v>45696</v>
      </c>
      <c r="B42" s="375" t="s">
        <v>3006</v>
      </c>
      <c r="C42" s="373">
        <v>38281</v>
      </c>
      <c r="D42" s="370" t="s">
        <v>122</v>
      </c>
      <c r="E42" s="370" t="s">
        <v>122</v>
      </c>
      <c r="F42" s="370" t="s">
        <v>122</v>
      </c>
      <c r="G42" s="370" t="s">
        <v>122</v>
      </c>
      <c r="H42" s="370" t="s">
        <v>122</v>
      </c>
    </row>
    <row r="43" spans="1:8" ht="21.75" customHeight="1" x14ac:dyDescent="0.25">
      <c r="A43" s="377">
        <v>45697</v>
      </c>
      <c r="B43" s="375" t="s">
        <v>3006</v>
      </c>
      <c r="C43" s="373">
        <v>38281</v>
      </c>
      <c r="D43" s="370" t="s">
        <v>122</v>
      </c>
      <c r="E43" s="370" t="s">
        <v>122</v>
      </c>
      <c r="F43" s="370" t="s">
        <v>2509</v>
      </c>
      <c r="G43" s="370"/>
      <c r="H43" s="370" t="s">
        <v>122</v>
      </c>
    </row>
    <row r="44" spans="1:8" ht="21.75" customHeight="1" x14ac:dyDescent="0.25">
      <c r="A44" s="377">
        <v>45698</v>
      </c>
      <c r="B44" s="375" t="s">
        <v>3006</v>
      </c>
      <c r="C44" s="373">
        <v>38281</v>
      </c>
      <c r="D44" s="370" t="s">
        <v>122</v>
      </c>
      <c r="E44" s="370" t="s">
        <v>122</v>
      </c>
      <c r="F44" s="370" t="s">
        <v>2509</v>
      </c>
      <c r="G44" s="370"/>
      <c r="H44" s="370" t="s">
        <v>122</v>
      </c>
    </row>
    <row r="45" spans="1:8" ht="21.75" customHeight="1" x14ac:dyDescent="0.25">
      <c r="A45" s="377">
        <v>45699</v>
      </c>
      <c r="B45" s="375" t="s">
        <v>3006</v>
      </c>
      <c r="C45" s="373">
        <v>38281</v>
      </c>
      <c r="D45" s="370" t="s">
        <v>2177</v>
      </c>
      <c r="E45" s="370">
        <v>73.319999999999993</v>
      </c>
      <c r="F45" s="370" t="s">
        <v>2180</v>
      </c>
      <c r="G45" s="370">
        <v>95.19</v>
      </c>
      <c r="H45" s="370" t="s">
        <v>122</v>
      </c>
    </row>
    <row r="46" spans="1:8" ht="21.75" customHeight="1" x14ac:dyDescent="0.25">
      <c r="A46" s="377">
        <v>45700</v>
      </c>
      <c r="B46" s="375" t="s">
        <v>3007</v>
      </c>
      <c r="C46" s="376">
        <v>38146</v>
      </c>
      <c r="D46" s="370" t="s">
        <v>2180</v>
      </c>
      <c r="E46" s="370">
        <v>90.09</v>
      </c>
      <c r="F46" s="370" t="s">
        <v>2510</v>
      </c>
      <c r="G46" s="370">
        <v>100.95</v>
      </c>
      <c r="H46" s="370" t="s">
        <v>122</v>
      </c>
    </row>
    <row r="47" spans="1:8" ht="21.75" customHeight="1" x14ac:dyDescent="0.25">
      <c r="A47" s="377">
        <v>45701</v>
      </c>
      <c r="B47" s="375" t="s">
        <v>3008</v>
      </c>
      <c r="C47" s="376">
        <v>37875.5</v>
      </c>
      <c r="D47" s="370" t="s">
        <v>2180</v>
      </c>
      <c r="E47" s="370">
        <v>89.99</v>
      </c>
      <c r="F47" s="370" t="s">
        <v>2510</v>
      </c>
      <c r="G47" s="370">
        <v>100.75</v>
      </c>
      <c r="H47" s="370" t="s">
        <v>122</v>
      </c>
    </row>
    <row r="48" spans="1:8" ht="21.75" customHeight="1" x14ac:dyDescent="0.25">
      <c r="A48" s="377">
        <v>45702</v>
      </c>
      <c r="B48" s="375" t="s">
        <v>3009</v>
      </c>
      <c r="C48" s="373">
        <v>37604</v>
      </c>
      <c r="D48" s="370" t="s">
        <v>2180</v>
      </c>
      <c r="E48" s="370">
        <v>89.78</v>
      </c>
      <c r="F48" s="370" t="s">
        <v>2510</v>
      </c>
      <c r="G48" s="370">
        <v>100.55</v>
      </c>
      <c r="H48" s="370" t="s">
        <v>122</v>
      </c>
    </row>
    <row r="49" spans="1:8" ht="21.75" customHeight="1" x14ac:dyDescent="0.25">
      <c r="A49" s="377">
        <v>45703</v>
      </c>
      <c r="B49" s="375" t="s">
        <v>3010</v>
      </c>
      <c r="C49" s="376">
        <v>37197.5</v>
      </c>
      <c r="D49" s="370" t="s">
        <v>2180</v>
      </c>
      <c r="E49" s="370">
        <v>89.47</v>
      </c>
      <c r="F49" s="370" t="s">
        <v>2510</v>
      </c>
      <c r="G49" s="370">
        <v>100.35</v>
      </c>
      <c r="H49" s="370" t="s">
        <v>122</v>
      </c>
    </row>
    <row r="50" spans="1:8" ht="21.75" customHeight="1" x14ac:dyDescent="0.25">
      <c r="A50" s="377">
        <v>45704</v>
      </c>
      <c r="B50" s="375" t="s">
        <v>3011</v>
      </c>
      <c r="C50" s="373">
        <v>36927</v>
      </c>
      <c r="D50" s="370" t="s">
        <v>2176</v>
      </c>
      <c r="E50" s="370">
        <v>77.72</v>
      </c>
      <c r="F50" s="370" t="s">
        <v>2510</v>
      </c>
      <c r="G50" s="370">
        <v>100.01</v>
      </c>
      <c r="H50" s="370" t="s">
        <v>122</v>
      </c>
    </row>
    <row r="51" spans="1:8" ht="21.75" customHeight="1" x14ac:dyDescent="0.25">
      <c r="A51" s="377">
        <v>45705</v>
      </c>
      <c r="B51" s="375" t="s">
        <v>3012</v>
      </c>
      <c r="C51" s="376">
        <v>36656.5</v>
      </c>
      <c r="D51" s="370" t="s">
        <v>2152</v>
      </c>
      <c r="E51" s="370">
        <v>36.369999999999997</v>
      </c>
      <c r="F51" s="370" t="s">
        <v>2510</v>
      </c>
      <c r="G51" s="379">
        <v>99.8</v>
      </c>
      <c r="H51" s="370" t="s">
        <v>122</v>
      </c>
    </row>
    <row r="52" spans="1:8" ht="21.75" customHeight="1" x14ac:dyDescent="0.25">
      <c r="A52" s="377">
        <v>45706</v>
      </c>
      <c r="B52" s="375" t="s">
        <v>2523</v>
      </c>
      <c r="C52" s="376">
        <v>36385.5</v>
      </c>
      <c r="D52" s="370" t="s">
        <v>122</v>
      </c>
      <c r="E52" s="370" t="s">
        <v>122</v>
      </c>
      <c r="F52" s="370" t="s">
        <v>2510</v>
      </c>
      <c r="G52" s="370">
        <v>99.57</v>
      </c>
      <c r="H52" s="370" t="s">
        <v>122</v>
      </c>
    </row>
    <row r="53" spans="1:8" ht="21.75" customHeight="1" x14ac:dyDescent="0.25">
      <c r="A53" s="377">
        <v>45707</v>
      </c>
      <c r="B53" s="375" t="s">
        <v>2523</v>
      </c>
      <c r="C53" s="376">
        <v>36385.5</v>
      </c>
      <c r="D53" s="370" t="s">
        <v>122</v>
      </c>
      <c r="E53" s="370" t="s">
        <v>122</v>
      </c>
      <c r="F53" s="370" t="s">
        <v>2509</v>
      </c>
      <c r="G53" s="370"/>
      <c r="H53" s="370" t="s">
        <v>122</v>
      </c>
    </row>
    <row r="54" spans="1:8" ht="21.75" customHeight="1" x14ac:dyDescent="0.25">
      <c r="A54" s="377">
        <v>45708</v>
      </c>
      <c r="B54" s="375" t="s">
        <v>3013</v>
      </c>
      <c r="C54" s="373">
        <v>36250</v>
      </c>
      <c r="D54" s="370" t="s">
        <v>122</v>
      </c>
      <c r="E54" s="370" t="s">
        <v>122</v>
      </c>
      <c r="F54" s="370" t="s">
        <v>122</v>
      </c>
      <c r="G54" s="370" t="s">
        <v>122</v>
      </c>
      <c r="H54" s="370" t="s">
        <v>122</v>
      </c>
    </row>
    <row r="55" spans="1:8" ht="21.75" customHeight="1" x14ac:dyDescent="0.25">
      <c r="A55" s="377">
        <v>45709</v>
      </c>
      <c r="B55" s="375" t="s">
        <v>3013</v>
      </c>
      <c r="C55" s="373">
        <v>36250</v>
      </c>
      <c r="D55" s="370" t="s">
        <v>2174</v>
      </c>
      <c r="E55" s="370">
        <v>59.86</v>
      </c>
      <c r="F55" s="370" t="s">
        <v>2510</v>
      </c>
      <c r="G55" s="370">
        <v>99.47</v>
      </c>
      <c r="H55" s="370" t="s">
        <v>122</v>
      </c>
    </row>
    <row r="56" spans="1:8" ht="21.75" customHeight="1" x14ac:dyDescent="0.25">
      <c r="A56" s="377">
        <v>45710</v>
      </c>
      <c r="B56" s="375" t="s">
        <v>3014</v>
      </c>
      <c r="C56" s="373">
        <v>36000</v>
      </c>
      <c r="D56" s="370" t="s">
        <v>2180</v>
      </c>
      <c r="E56" s="370">
        <v>88.64</v>
      </c>
      <c r="F56" s="370" t="s">
        <v>2510</v>
      </c>
      <c r="G56" s="370"/>
      <c r="H56" s="370" t="s">
        <v>122</v>
      </c>
    </row>
    <row r="57" spans="1:8" ht="21.75" customHeight="1" x14ac:dyDescent="0.25">
      <c r="A57" s="377">
        <v>45711</v>
      </c>
      <c r="B57" s="375" t="s">
        <v>3015</v>
      </c>
      <c r="C57" s="373">
        <v>35250</v>
      </c>
      <c r="D57" s="370" t="s">
        <v>2180</v>
      </c>
      <c r="E57" s="370">
        <v>88.33</v>
      </c>
      <c r="F57" s="370" t="s">
        <v>2510</v>
      </c>
      <c r="G57" s="370"/>
      <c r="H57" s="370" t="s">
        <v>122</v>
      </c>
    </row>
    <row r="58" spans="1:8" ht="21.75" customHeight="1" x14ac:dyDescent="0.25">
      <c r="A58" s="377">
        <v>45712</v>
      </c>
      <c r="B58" s="375" t="s">
        <v>3016</v>
      </c>
      <c r="C58" s="373">
        <v>34250</v>
      </c>
      <c r="D58" s="370" t="s">
        <v>2180</v>
      </c>
      <c r="E58" s="370">
        <v>87.91</v>
      </c>
      <c r="F58" s="370" t="s">
        <v>2510</v>
      </c>
      <c r="G58" s="370">
        <v>96.21</v>
      </c>
      <c r="H58" s="370" t="s">
        <v>122</v>
      </c>
    </row>
    <row r="59" spans="1:8" ht="21.75" customHeight="1" x14ac:dyDescent="0.25">
      <c r="A59" s="377">
        <v>45713</v>
      </c>
      <c r="B59" s="375" t="s">
        <v>2162</v>
      </c>
      <c r="C59" s="373">
        <v>33800</v>
      </c>
      <c r="D59" s="370" t="s">
        <v>2180</v>
      </c>
      <c r="E59" s="370">
        <v>87.49</v>
      </c>
      <c r="F59" s="370" t="s">
        <v>2510</v>
      </c>
      <c r="G59" s="370">
        <v>95.77</v>
      </c>
      <c r="H59" s="370" t="s">
        <v>122</v>
      </c>
    </row>
    <row r="60" spans="1:8" ht="21.75" customHeight="1" x14ac:dyDescent="0.25">
      <c r="A60" s="377">
        <v>45714</v>
      </c>
      <c r="B60" s="375" t="s">
        <v>3017</v>
      </c>
      <c r="C60" s="373">
        <v>33000</v>
      </c>
      <c r="D60" s="370" t="s">
        <v>2180</v>
      </c>
      <c r="E60" s="370">
        <v>87.07</v>
      </c>
      <c r="F60" s="370" t="s">
        <v>2510</v>
      </c>
      <c r="G60" s="370">
        <v>95.33</v>
      </c>
      <c r="H60" s="370" t="s">
        <v>122</v>
      </c>
    </row>
    <row r="61" spans="1:8" ht="21.75" customHeight="1" x14ac:dyDescent="0.25">
      <c r="A61" s="377">
        <v>45715</v>
      </c>
      <c r="B61" s="375" t="s">
        <v>3018</v>
      </c>
      <c r="C61" s="373">
        <v>33500</v>
      </c>
      <c r="D61" s="370" t="s">
        <v>122</v>
      </c>
      <c r="E61" s="370" t="s">
        <v>122</v>
      </c>
      <c r="F61" s="370" t="s">
        <v>122</v>
      </c>
      <c r="G61" s="370" t="s">
        <v>122</v>
      </c>
      <c r="H61" s="370" t="s">
        <v>122</v>
      </c>
    </row>
    <row r="62" spans="1:8" ht="21.75" customHeight="1" x14ac:dyDescent="0.25">
      <c r="A62" s="377">
        <v>45716</v>
      </c>
      <c r="B62" s="375" t="s">
        <v>2162</v>
      </c>
      <c r="C62" s="373">
        <v>33800</v>
      </c>
      <c r="D62" s="370" t="s">
        <v>122</v>
      </c>
      <c r="E62" s="370" t="s">
        <v>122</v>
      </c>
      <c r="F62" s="370" t="s">
        <v>122</v>
      </c>
      <c r="G62" s="370" t="s">
        <v>122</v>
      </c>
      <c r="H62" s="370" t="s">
        <v>122</v>
      </c>
    </row>
    <row r="63" spans="1:8" ht="21.75" customHeight="1" x14ac:dyDescent="0.25">
      <c r="A63" s="377">
        <v>45717</v>
      </c>
      <c r="B63" s="375" t="s">
        <v>2529</v>
      </c>
      <c r="C63" s="373">
        <v>37333</v>
      </c>
      <c r="D63" s="370" t="s">
        <v>122</v>
      </c>
      <c r="E63" s="370" t="s">
        <v>122</v>
      </c>
      <c r="F63" s="370" t="s">
        <v>122</v>
      </c>
      <c r="G63" s="370" t="s">
        <v>122</v>
      </c>
      <c r="H63" s="370" t="s">
        <v>122</v>
      </c>
    </row>
    <row r="64" spans="1:8" ht="21.75" customHeight="1" x14ac:dyDescent="0.25">
      <c r="A64" s="377">
        <v>45718</v>
      </c>
      <c r="B64" s="375" t="s">
        <v>2988</v>
      </c>
      <c r="C64" s="376" t="s">
        <v>2814</v>
      </c>
      <c r="D64" s="370" t="s">
        <v>122</v>
      </c>
      <c r="E64" s="370" t="s">
        <v>122</v>
      </c>
      <c r="F64" s="370" t="s">
        <v>2509</v>
      </c>
      <c r="G64" s="370"/>
      <c r="H64" s="370">
        <v>1223.6400000000001</v>
      </c>
    </row>
    <row r="65" spans="1:8" ht="21.75" customHeight="1" x14ac:dyDescent="0.25">
      <c r="A65" s="377">
        <v>45719</v>
      </c>
      <c r="B65" s="375" t="s">
        <v>2982</v>
      </c>
      <c r="C65" s="376" t="s">
        <v>2810</v>
      </c>
      <c r="D65" s="370" t="s">
        <v>122</v>
      </c>
      <c r="E65" s="370" t="s">
        <v>122</v>
      </c>
      <c r="F65" s="370"/>
      <c r="G65" s="370"/>
      <c r="H65" s="370">
        <v>2843.28</v>
      </c>
    </row>
    <row r="66" spans="1:8" ht="21.75" customHeight="1" x14ac:dyDescent="0.25">
      <c r="A66" s="377">
        <v>45720</v>
      </c>
      <c r="B66" s="375" t="s">
        <v>3021</v>
      </c>
      <c r="C66" s="376" t="s">
        <v>3026</v>
      </c>
      <c r="D66" s="370" t="s">
        <v>122</v>
      </c>
      <c r="E66" s="370" t="s">
        <v>122</v>
      </c>
      <c r="F66" s="370" t="s">
        <v>122</v>
      </c>
      <c r="G66" s="370" t="s">
        <v>122</v>
      </c>
      <c r="H66" s="370">
        <v>2554.1999999999998</v>
      </c>
    </row>
    <row r="67" spans="1:8" ht="21.75" customHeight="1" x14ac:dyDescent="0.25">
      <c r="A67" s="377">
        <v>45721</v>
      </c>
      <c r="B67" s="375" t="s">
        <v>2983</v>
      </c>
      <c r="C67" s="376" t="s">
        <v>2806</v>
      </c>
      <c r="D67" s="370"/>
      <c r="E67" s="370"/>
      <c r="F67" s="370"/>
      <c r="G67" s="370"/>
      <c r="H67" s="370">
        <v>1688.94</v>
      </c>
    </row>
    <row r="68" spans="1:8" ht="21.75" customHeight="1" x14ac:dyDescent="0.25">
      <c r="A68" s="377">
        <v>45722</v>
      </c>
      <c r="B68" s="375" t="s">
        <v>3022</v>
      </c>
      <c r="C68" s="376" t="s">
        <v>2814</v>
      </c>
      <c r="D68" s="370" t="s">
        <v>122</v>
      </c>
      <c r="E68" s="370" t="s">
        <v>122</v>
      </c>
      <c r="F68" s="370" t="s">
        <v>122</v>
      </c>
      <c r="G68" s="370" t="s">
        <v>122</v>
      </c>
      <c r="H68" s="370">
        <v>1219.68</v>
      </c>
    </row>
    <row r="69" spans="1:8" ht="21.75" customHeight="1" x14ac:dyDescent="0.25">
      <c r="A69" s="377">
        <v>45723</v>
      </c>
      <c r="B69" s="375" t="s">
        <v>2993</v>
      </c>
      <c r="C69" s="373" t="s">
        <v>2998</v>
      </c>
      <c r="D69" s="370" t="s">
        <v>2727</v>
      </c>
      <c r="E69" s="370">
        <v>18.72</v>
      </c>
      <c r="F69" s="370"/>
      <c r="G69" s="370"/>
      <c r="H69" s="370">
        <v>1005.84</v>
      </c>
    </row>
    <row r="70" spans="1:8" ht="21.75" customHeight="1" x14ac:dyDescent="0.25">
      <c r="A70" s="377">
        <v>45724</v>
      </c>
      <c r="B70" s="375" t="s">
        <v>2992</v>
      </c>
      <c r="C70" s="376" t="s">
        <v>2857</v>
      </c>
      <c r="D70" s="370" t="s">
        <v>2727</v>
      </c>
      <c r="E70" s="370"/>
      <c r="F70" s="370" t="s">
        <v>2509</v>
      </c>
      <c r="G70" s="370"/>
      <c r="H70" s="370" t="s">
        <v>122</v>
      </c>
    </row>
    <row r="71" spans="1:8" ht="21.75" customHeight="1" x14ac:dyDescent="0.25">
      <c r="A71" s="377">
        <v>45725</v>
      </c>
      <c r="B71" s="375" t="s">
        <v>2992</v>
      </c>
      <c r="C71" s="376" t="s">
        <v>2857</v>
      </c>
      <c r="D71" s="370" t="s">
        <v>2727</v>
      </c>
      <c r="E71" s="370"/>
      <c r="F71" s="370" t="s">
        <v>2509</v>
      </c>
      <c r="G71" s="370"/>
      <c r="H71" s="370" t="s">
        <v>122</v>
      </c>
    </row>
    <row r="72" spans="1:8" ht="21.75" customHeight="1" x14ac:dyDescent="0.25">
      <c r="A72" s="377">
        <v>45726</v>
      </c>
      <c r="B72" s="375" t="s">
        <v>3003</v>
      </c>
      <c r="C72" s="373" t="s">
        <v>2849</v>
      </c>
      <c r="D72" s="370" t="s">
        <v>122</v>
      </c>
      <c r="E72" s="370"/>
      <c r="F72" s="370" t="s">
        <v>2509</v>
      </c>
      <c r="G72" s="370"/>
      <c r="H72" s="370">
        <v>619.74</v>
      </c>
    </row>
    <row r="73" spans="1:8" ht="21.75" customHeight="1" x14ac:dyDescent="0.25">
      <c r="A73" s="377">
        <v>45727</v>
      </c>
      <c r="B73" s="375" t="s">
        <v>2992</v>
      </c>
      <c r="C73" s="373" t="s">
        <v>2857</v>
      </c>
      <c r="D73" s="370" t="s">
        <v>122</v>
      </c>
      <c r="E73" s="370" t="s">
        <v>122</v>
      </c>
      <c r="F73" s="370" t="s">
        <v>2509</v>
      </c>
      <c r="G73" s="370"/>
      <c r="H73" s="370">
        <v>803.88</v>
      </c>
    </row>
    <row r="74" spans="1:8" ht="21.75" customHeight="1" x14ac:dyDescent="0.25">
      <c r="A74" s="377">
        <v>45728</v>
      </c>
      <c r="B74" s="375" t="s">
        <v>2983</v>
      </c>
      <c r="C74" s="373" t="s">
        <v>2806</v>
      </c>
      <c r="D74" s="370" t="s">
        <v>122</v>
      </c>
      <c r="E74" s="370" t="s">
        <v>122</v>
      </c>
      <c r="F74" s="370" t="s">
        <v>2509</v>
      </c>
      <c r="G74" s="370"/>
      <c r="H74" s="370">
        <v>1688.94</v>
      </c>
    </row>
    <row r="75" spans="1:8" ht="21.75" customHeight="1" x14ac:dyDescent="0.25">
      <c r="A75" s="377">
        <v>45729</v>
      </c>
      <c r="B75" s="375" t="s">
        <v>2995</v>
      </c>
      <c r="C75" s="373" t="s">
        <v>3000</v>
      </c>
      <c r="D75" s="370" t="s">
        <v>122</v>
      </c>
      <c r="E75" s="370" t="s">
        <v>122</v>
      </c>
      <c r="F75" s="370" t="s">
        <v>2509</v>
      </c>
      <c r="G75" s="370"/>
      <c r="H75" s="370">
        <v>2007.72</v>
      </c>
    </row>
    <row r="76" spans="1:8" ht="21.75" customHeight="1" x14ac:dyDescent="0.25">
      <c r="A76" s="377">
        <v>45730</v>
      </c>
      <c r="B76" s="375" t="s">
        <v>2995</v>
      </c>
      <c r="C76" s="373" t="s">
        <v>3000</v>
      </c>
      <c r="D76" s="370" t="s">
        <v>122</v>
      </c>
      <c r="E76" s="370" t="s">
        <v>122</v>
      </c>
      <c r="F76" s="370" t="s">
        <v>2509</v>
      </c>
      <c r="G76" s="370"/>
      <c r="H76" s="370">
        <v>2007.72</v>
      </c>
    </row>
    <row r="77" spans="1:8" ht="21.75" customHeight="1" x14ac:dyDescent="0.25">
      <c r="A77" s="377">
        <v>45731</v>
      </c>
      <c r="B77" s="375" t="s">
        <v>2995</v>
      </c>
      <c r="C77" s="373" t="s">
        <v>3000</v>
      </c>
      <c r="D77" s="370" t="s">
        <v>122</v>
      </c>
      <c r="E77" s="370" t="s">
        <v>122</v>
      </c>
      <c r="F77" s="370" t="s">
        <v>2509</v>
      </c>
      <c r="G77" s="370"/>
      <c r="H77" s="370">
        <v>2007.72</v>
      </c>
    </row>
    <row r="78" spans="1:8" ht="21.75" customHeight="1" x14ac:dyDescent="0.25">
      <c r="A78" s="377">
        <v>45732</v>
      </c>
      <c r="B78" s="375" t="s">
        <v>2995</v>
      </c>
      <c r="C78" s="373" t="s">
        <v>3000</v>
      </c>
      <c r="D78" s="370" t="s">
        <v>122</v>
      </c>
      <c r="E78" s="370" t="s">
        <v>122</v>
      </c>
      <c r="F78" s="370" t="s">
        <v>2509</v>
      </c>
      <c r="G78" s="370"/>
      <c r="H78" s="370">
        <v>2007.72</v>
      </c>
    </row>
    <row r="79" spans="1:8" ht="21.75" customHeight="1" x14ac:dyDescent="0.25">
      <c r="A79" s="377">
        <v>45733</v>
      </c>
      <c r="B79" s="375" t="s">
        <v>2983</v>
      </c>
      <c r="C79" s="373" t="s">
        <v>2806</v>
      </c>
      <c r="D79" s="370" t="s">
        <v>122</v>
      </c>
      <c r="E79" s="370" t="s">
        <v>122</v>
      </c>
      <c r="F79" s="370" t="s">
        <v>2509</v>
      </c>
      <c r="G79" s="370"/>
      <c r="H79" s="370">
        <v>1688.94</v>
      </c>
    </row>
    <row r="80" spans="1:8" ht="21.75" customHeight="1" x14ac:dyDescent="0.25">
      <c r="A80" s="377">
        <v>45734</v>
      </c>
      <c r="B80" s="375" t="s">
        <v>2983</v>
      </c>
      <c r="C80" s="373" t="s">
        <v>2806</v>
      </c>
      <c r="D80" s="370" t="s">
        <v>122</v>
      </c>
      <c r="E80" s="370" t="s">
        <v>122</v>
      </c>
      <c r="F80" s="370" t="s">
        <v>2509</v>
      </c>
      <c r="G80" s="370"/>
      <c r="H80" s="370">
        <v>1688.94</v>
      </c>
    </row>
    <row r="81" spans="1:8" ht="21.75" customHeight="1" x14ac:dyDescent="0.25">
      <c r="A81" s="377">
        <v>45735</v>
      </c>
      <c r="B81" s="375" t="s">
        <v>3023</v>
      </c>
      <c r="C81" s="373" t="s">
        <v>2969</v>
      </c>
      <c r="D81" s="370"/>
      <c r="E81" s="370"/>
      <c r="F81" s="370" t="s">
        <v>2509</v>
      </c>
      <c r="G81" s="370"/>
      <c r="H81" s="370">
        <v>1506.78</v>
      </c>
    </row>
    <row r="82" spans="1:8" ht="21.75" customHeight="1" x14ac:dyDescent="0.25">
      <c r="A82" s="377">
        <v>45736</v>
      </c>
      <c r="B82" s="375" t="s">
        <v>3023</v>
      </c>
      <c r="C82" s="373" t="s">
        <v>3028</v>
      </c>
      <c r="D82" s="370"/>
      <c r="E82" s="370"/>
      <c r="F82" s="370" t="s">
        <v>2509</v>
      </c>
      <c r="G82" s="370"/>
      <c r="H82" s="370">
        <v>1506.78</v>
      </c>
    </row>
    <row r="83" spans="1:8" ht="21.75" customHeight="1" x14ac:dyDescent="0.25">
      <c r="A83" s="377">
        <v>45737</v>
      </c>
      <c r="B83" s="375" t="s">
        <v>2988</v>
      </c>
      <c r="C83" s="373" t="s">
        <v>2814</v>
      </c>
      <c r="D83" s="370"/>
      <c r="E83" s="370"/>
      <c r="F83" s="370" t="s">
        <v>2509</v>
      </c>
      <c r="G83" s="370"/>
      <c r="H83" s="370">
        <v>1219.68</v>
      </c>
    </row>
    <row r="84" spans="1:8" ht="21.75" customHeight="1" x14ac:dyDescent="0.25">
      <c r="A84" s="377">
        <v>45738</v>
      </c>
      <c r="B84" s="375" t="s">
        <v>2993</v>
      </c>
      <c r="C84" s="364" t="s">
        <v>2998</v>
      </c>
      <c r="D84" s="370"/>
      <c r="E84" s="370"/>
      <c r="F84" s="370" t="s">
        <v>2509</v>
      </c>
      <c r="G84" s="370"/>
      <c r="H84" s="370">
        <v>1005.84</v>
      </c>
    </row>
    <row r="85" spans="1:8" ht="21.75" customHeight="1" x14ac:dyDescent="0.25">
      <c r="A85" s="377">
        <v>45739</v>
      </c>
      <c r="B85" s="375" t="s">
        <v>2992</v>
      </c>
      <c r="C85" s="364" t="s">
        <v>2857</v>
      </c>
      <c r="D85" s="370" t="s">
        <v>2152</v>
      </c>
      <c r="E85" s="370">
        <v>37.24</v>
      </c>
      <c r="F85" s="370" t="s">
        <v>2196</v>
      </c>
      <c r="G85" s="370">
        <v>89.19</v>
      </c>
      <c r="H85" s="370">
        <v>1005.84</v>
      </c>
    </row>
    <row r="86" spans="1:8" ht="21.75" customHeight="1" x14ac:dyDescent="0.25">
      <c r="A86" s="377">
        <v>45740</v>
      </c>
      <c r="B86" s="375" t="s">
        <v>2984</v>
      </c>
      <c r="C86" s="364" t="s">
        <v>2831</v>
      </c>
      <c r="D86" s="370" t="s">
        <v>2507</v>
      </c>
      <c r="E86" s="370">
        <v>37.24</v>
      </c>
      <c r="F86" s="370" t="s">
        <v>2179</v>
      </c>
      <c r="G86" s="370">
        <v>89.19</v>
      </c>
      <c r="H86" s="370">
        <v>803.88</v>
      </c>
    </row>
    <row r="87" spans="1:8" ht="21.75" customHeight="1" x14ac:dyDescent="0.25">
      <c r="A87" s="377">
        <v>45741</v>
      </c>
      <c r="B87" s="375" t="s">
        <v>3005</v>
      </c>
      <c r="C87" s="364" t="s">
        <v>3020</v>
      </c>
      <c r="D87" s="370" t="s">
        <v>2152</v>
      </c>
      <c r="E87" s="370">
        <v>37.24</v>
      </c>
      <c r="F87" s="370" t="s">
        <v>2179</v>
      </c>
      <c r="G87" s="370">
        <v>89.19</v>
      </c>
      <c r="H87" s="370">
        <v>51.48</v>
      </c>
    </row>
    <row r="88" spans="1:8" ht="21.75" customHeight="1" x14ac:dyDescent="0.25">
      <c r="A88" s="377">
        <v>45742</v>
      </c>
      <c r="B88" s="375" t="s">
        <v>3007</v>
      </c>
      <c r="C88" s="364">
        <v>38146</v>
      </c>
      <c r="D88" s="370" t="s">
        <v>2175</v>
      </c>
      <c r="E88" s="379">
        <v>55.3</v>
      </c>
      <c r="F88" s="370" t="s">
        <v>2179</v>
      </c>
      <c r="G88" s="370">
        <v>88.99</v>
      </c>
      <c r="H88" s="370" t="s">
        <v>122</v>
      </c>
    </row>
    <row r="89" spans="1:8" ht="21.75" customHeight="1" x14ac:dyDescent="0.25">
      <c r="A89" s="377">
        <v>45743</v>
      </c>
      <c r="B89" s="375" t="s">
        <v>3024</v>
      </c>
      <c r="C89" s="367">
        <v>37739.5</v>
      </c>
      <c r="D89" s="370" t="s">
        <v>2177</v>
      </c>
      <c r="E89" s="370"/>
      <c r="F89" s="370" t="s">
        <v>2179</v>
      </c>
      <c r="G89" s="370"/>
      <c r="H89" s="370" t="s">
        <v>122</v>
      </c>
    </row>
    <row r="90" spans="1:8" ht="21.75" customHeight="1" x14ac:dyDescent="0.25">
      <c r="A90" s="377">
        <v>45744</v>
      </c>
      <c r="B90" s="375" t="s">
        <v>2529</v>
      </c>
      <c r="C90" s="364">
        <v>37333</v>
      </c>
      <c r="D90" s="370" t="s">
        <v>2726</v>
      </c>
      <c r="E90" s="370">
        <v>106.74</v>
      </c>
      <c r="F90" s="370" t="s">
        <v>2179</v>
      </c>
      <c r="G90" s="370">
        <v>88.43</v>
      </c>
      <c r="H90" s="370" t="s">
        <v>122</v>
      </c>
    </row>
    <row r="91" spans="1:8" ht="21.75" customHeight="1" x14ac:dyDescent="0.25">
      <c r="A91" s="377">
        <v>45745</v>
      </c>
      <c r="B91" s="375" t="s">
        <v>3011</v>
      </c>
      <c r="C91" s="368">
        <v>36927</v>
      </c>
      <c r="D91" s="370" t="s">
        <v>2726</v>
      </c>
      <c r="E91" s="370">
        <v>106.31</v>
      </c>
      <c r="F91" s="370" t="s">
        <v>2179</v>
      </c>
      <c r="G91" s="370">
        <v>88.16</v>
      </c>
      <c r="H91" s="370" t="s">
        <v>122</v>
      </c>
    </row>
    <row r="92" spans="1:8" ht="21.75" customHeight="1" x14ac:dyDescent="0.25">
      <c r="A92" s="377">
        <v>45746</v>
      </c>
      <c r="B92" s="375" t="s">
        <v>3025</v>
      </c>
      <c r="C92" s="368">
        <v>36656.5</v>
      </c>
      <c r="D92" s="370" t="s">
        <v>2726</v>
      </c>
      <c r="E92" s="370">
        <v>106.21</v>
      </c>
      <c r="F92" s="370" t="s">
        <v>2179</v>
      </c>
      <c r="G92" s="370">
        <v>87.98</v>
      </c>
      <c r="H92" s="370" t="s">
        <v>122</v>
      </c>
    </row>
    <row r="93" spans="1:8" ht="21.75" customHeight="1" x14ac:dyDescent="0.25">
      <c r="A93" s="377">
        <v>45747</v>
      </c>
      <c r="B93" s="375" t="s">
        <v>2523</v>
      </c>
      <c r="C93" s="368">
        <v>36385.5</v>
      </c>
      <c r="D93" s="370" t="s">
        <v>2544</v>
      </c>
      <c r="E93" s="370">
        <v>117.07</v>
      </c>
      <c r="F93" s="370" t="s">
        <v>2179</v>
      </c>
      <c r="G93" s="370">
        <v>87.78</v>
      </c>
      <c r="H93" s="370" t="s">
        <v>122</v>
      </c>
    </row>
    <row r="94" spans="1:8" ht="21.75" customHeight="1" x14ac:dyDescent="0.25">
      <c r="A94" s="377">
        <v>45748</v>
      </c>
      <c r="B94" s="375" t="s">
        <v>3029</v>
      </c>
      <c r="C94" s="364">
        <v>36000</v>
      </c>
      <c r="D94" s="370" t="s">
        <v>2544</v>
      </c>
      <c r="E94" s="370">
        <v>116.79</v>
      </c>
      <c r="F94" s="370" t="s">
        <v>2179</v>
      </c>
      <c r="G94" s="370">
        <v>87.59</v>
      </c>
      <c r="H94" s="370" t="s">
        <v>122</v>
      </c>
    </row>
    <row r="95" spans="1:8" ht="21.75" customHeight="1" x14ac:dyDescent="0.25">
      <c r="A95" s="377">
        <v>45749</v>
      </c>
      <c r="B95" s="363" t="s">
        <v>3030</v>
      </c>
      <c r="C95" s="364">
        <v>35750</v>
      </c>
      <c r="D95" s="370" t="s">
        <v>2544</v>
      </c>
      <c r="E95" s="370">
        <v>116.64</v>
      </c>
      <c r="F95" s="370" t="s">
        <v>2179</v>
      </c>
      <c r="G95" s="379">
        <v>87.5</v>
      </c>
      <c r="H95" s="370">
        <v>1</v>
      </c>
    </row>
    <row r="96" spans="1:8" ht="21.75" customHeight="1" x14ac:dyDescent="0.25">
      <c r="A96" s="377">
        <v>45750</v>
      </c>
      <c r="B96" s="363" t="s">
        <v>3015</v>
      </c>
      <c r="C96" s="364">
        <v>35250</v>
      </c>
      <c r="D96" s="370" t="s">
        <v>2544</v>
      </c>
      <c r="E96" s="370">
        <v>116.36</v>
      </c>
      <c r="F96" s="370" t="s">
        <v>2179</v>
      </c>
      <c r="G96" s="370">
        <v>87.3</v>
      </c>
      <c r="H96" s="370">
        <v>42</v>
      </c>
    </row>
    <row r="97" spans="1:8" ht="21.75" customHeight="1" x14ac:dyDescent="0.25">
      <c r="A97" s="377">
        <v>45751</v>
      </c>
      <c r="B97" s="363" t="s">
        <v>3031</v>
      </c>
      <c r="C97" s="364">
        <v>34500</v>
      </c>
      <c r="D97" s="370" t="s">
        <v>2726</v>
      </c>
      <c r="E97" s="370">
        <v>104.36</v>
      </c>
      <c r="F97" s="370" t="s">
        <v>2179</v>
      </c>
      <c r="G97" s="370">
        <v>87.03</v>
      </c>
      <c r="H97" s="370" t="s">
        <v>122</v>
      </c>
    </row>
    <row r="98" spans="1:8" ht="21.75" customHeight="1" x14ac:dyDescent="0.25">
      <c r="A98" s="377">
        <v>45752</v>
      </c>
      <c r="B98" s="363" t="s">
        <v>3032</v>
      </c>
      <c r="C98" s="364">
        <v>34075</v>
      </c>
      <c r="D98" s="370" t="s">
        <v>2180</v>
      </c>
      <c r="E98" s="379">
        <v>87.8</v>
      </c>
      <c r="F98" s="370" t="s">
        <v>2179</v>
      </c>
      <c r="G98" s="370">
        <v>86.85</v>
      </c>
      <c r="H98" s="370" t="s">
        <v>122</v>
      </c>
    </row>
    <row r="99" spans="1:8" ht="21.75" customHeight="1" x14ac:dyDescent="0.25">
      <c r="A99" s="377">
        <v>45753</v>
      </c>
      <c r="B99" s="363" t="s">
        <v>3031</v>
      </c>
      <c r="C99" s="364">
        <v>34500</v>
      </c>
      <c r="D99" s="370" t="s">
        <v>2177</v>
      </c>
      <c r="E99" s="370">
        <v>70.92</v>
      </c>
      <c r="F99" s="370" t="s">
        <v>2179</v>
      </c>
      <c r="G99" s="370">
        <v>85.58</v>
      </c>
      <c r="H99" s="370" t="s">
        <v>122</v>
      </c>
    </row>
    <row r="100" spans="1:8" ht="21.75" customHeight="1" x14ac:dyDescent="0.25">
      <c r="A100" s="377">
        <v>45754</v>
      </c>
      <c r="B100" s="363" t="s">
        <v>3016</v>
      </c>
      <c r="C100" s="364">
        <v>34250</v>
      </c>
      <c r="D100" s="370" t="s">
        <v>2174</v>
      </c>
      <c r="E100" s="379">
        <v>59.3</v>
      </c>
      <c r="F100" s="370" t="s">
        <v>2544</v>
      </c>
      <c r="G100" s="370">
        <v>119.15</v>
      </c>
      <c r="H100" s="370" t="s">
        <v>122</v>
      </c>
    </row>
    <row r="101" spans="1:8" ht="21.75" customHeight="1" x14ac:dyDescent="0.25">
      <c r="A101" s="377">
        <v>45755</v>
      </c>
      <c r="B101" s="363" t="s">
        <v>3016</v>
      </c>
      <c r="C101" s="364">
        <v>34250</v>
      </c>
      <c r="D101" s="370" t="s">
        <v>2174</v>
      </c>
      <c r="E101" s="379">
        <v>59.3</v>
      </c>
      <c r="F101" s="370" t="s">
        <v>2180</v>
      </c>
      <c r="G101" s="379">
        <v>90.3</v>
      </c>
      <c r="H101" s="370" t="s">
        <v>122</v>
      </c>
    </row>
    <row r="102" spans="1:8" ht="21.75" customHeight="1" x14ac:dyDescent="0.25">
      <c r="A102" s="377">
        <v>45756</v>
      </c>
      <c r="B102" s="363" t="s">
        <v>3033</v>
      </c>
      <c r="C102" s="364">
        <v>33900</v>
      </c>
      <c r="D102" s="370" t="s">
        <v>2174</v>
      </c>
      <c r="E102" s="370">
        <v>59.17</v>
      </c>
      <c r="F102" s="370" t="s">
        <v>2180</v>
      </c>
      <c r="G102" s="370">
        <v>90.09</v>
      </c>
      <c r="H102" s="370" t="s">
        <v>122</v>
      </c>
    </row>
    <row r="103" spans="1:8" ht="21.75" customHeight="1" x14ac:dyDescent="0.25">
      <c r="A103" s="377">
        <v>45757</v>
      </c>
      <c r="B103" s="363" t="s">
        <v>3034</v>
      </c>
      <c r="C103" s="364">
        <v>33850</v>
      </c>
      <c r="D103" s="370" t="s">
        <v>2177</v>
      </c>
      <c r="E103" s="370">
        <v>70.58</v>
      </c>
      <c r="F103" s="370" t="s">
        <v>2177</v>
      </c>
      <c r="G103" s="379">
        <v>72.900000000000006</v>
      </c>
      <c r="H103" s="370" t="s">
        <v>122</v>
      </c>
    </row>
    <row r="104" spans="1:8" ht="21.75" customHeight="1" x14ac:dyDescent="0.25">
      <c r="A104" s="377">
        <v>45758</v>
      </c>
      <c r="B104" s="363" t="s">
        <v>2162</v>
      </c>
      <c r="C104" s="364">
        <v>33800</v>
      </c>
      <c r="D104" s="370" t="s">
        <v>2177</v>
      </c>
      <c r="E104" s="379">
        <v>70.5</v>
      </c>
      <c r="F104" s="370" t="s">
        <v>2177</v>
      </c>
      <c r="G104" s="370">
        <v>72.48</v>
      </c>
      <c r="H104" s="370" t="s">
        <v>122</v>
      </c>
    </row>
    <row r="105" spans="1:8" ht="21.75" customHeight="1" x14ac:dyDescent="0.25">
      <c r="A105" s="377">
        <v>45759</v>
      </c>
      <c r="B105" s="363" t="s">
        <v>3035</v>
      </c>
      <c r="C105" s="364">
        <v>33650</v>
      </c>
      <c r="D105" s="370" t="s">
        <v>2177</v>
      </c>
      <c r="E105" s="370">
        <v>70.42</v>
      </c>
      <c r="F105" s="370" t="s">
        <v>2530</v>
      </c>
      <c r="G105" s="370">
        <v>42.86</v>
      </c>
      <c r="H105" s="370" t="s">
        <v>122</v>
      </c>
    </row>
    <row r="106" spans="1:8" ht="21.75" customHeight="1" x14ac:dyDescent="0.25">
      <c r="A106" s="377">
        <v>45760</v>
      </c>
      <c r="B106" s="363" t="s">
        <v>3036</v>
      </c>
      <c r="C106" s="364">
        <v>33250</v>
      </c>
      <c r="D106" s="370" t="s">
        <v>2174</v>
      </c>
      <c r="E106" s="379">
        <v>58.82</v>
      </c>
      <c r="F106" s="370" t="s">
        <v>2530</v>
      </c>
      <c r="G106" s="370">
        <v>42.76</v>
      </c>
      <c r="H106" s="370" t="s">
        <v>122</v>
      </c>
    </row>
    <row r="107" spans="1:8" ht="21.75" customHeight="1" x14ac:dyDescent="0.25">
      <c r="A107" s="377">
        <v>45761</v>
      </c>
      <c r="B107" s="363" t="s">
        <v>2234</v>
      </c>
      <c r="C107" s="364">
        <v>32900</v>
      </c>
      <c r="D107" s="370" t="s">
        <v>2732</v>
      </c>
      <c r="E107" s="370">
        <v>64.39</v>
      </c>
      <c r="F107" s="370" t="s">
        <v>2530</v>
      </c>
      <c r="G107" s="370">
        <v>42.76</v>
      </c>
      <c r="H107" s="370" t="s">
        <v>122</v>
      </c>
    </row>
    <row r="108" spans="1:8" ht="21.75" customHeight="1" x14ac:dyDescent="0.25">
      <c r="A108" s="377">
        <v>45762</v>
      </c>
      <c r="B108" s="363" t="s">
        <v>2213</v>
      </c>
      <c r="C108" s="364">
        <v>32700</v>
      </c>
      <c r="D108" s="370" t="s">
        <v>2732</v>
      </c>
      <c r="E108" s="370">
        <v>64.239999999999995</v>
      </c>
      <c r="F108" s="370" t="s">
        <v>2510</v>
      </c>
      <c r="G108" s="370">
        <v>42.52</v>
      </c>
      <c r="H108" s="370" t="s">
        <v>122</v>
      </c>
    </row>
    <row r="109" spans="1:8" ht="21.75" customHeight="1" x14ac:dyDescent="0.25">
      <c r="A109" s="377">
        <v>45763</v>
      </c>
      <c r="B109" s="363" t="s">
        <v>2233</v>
      </c>
      <c r="C109" s="364">
        <v>32500</v>
      </c>
      <c r="D109" s="370" t="s">
        <v>2180</v>
      </c>
      <c r="E109" s="370">
        <v>86.53</v>
      </c>
      <c r="F109" s="370" t="s">
        <v>2510</v>
      </c>
      <c r="G109" s="379">
        <v>95</v>
      </c>
      <c r="H109" s="370" t="s">
        <v>122</v>
      </c>
    </row>
    <row r="110" spans="1:8" ht="21.75" customHeight="1" x14ac:dyDescent="0.25">
      <c r="A110" s="377">
        <v>45764</v>
      </c>
      <c r="B110" s="363" t="s">
        <v>2181</v>
      </c>
      <c r="C110" s="364">
        <v>32100</v>
      </c>
      <c r="D110" s="370" t="s">
        <v>2180</v>
      </c>
      <c r="E110" s="370">
        <v>86.21</v>
      </c>
      <c r="F110" s="370" t="s">
        <v>2510</v>
      </c>
      <c r="G110" s="370">
        <v>94.77</v>
      </c>
      <c r="H110" s="370" t="s">
        <v>122</v>
      </c>
    </row>
    <row r="111" spans="1:8" ht="21.75" customHeight="1" x14ac:dyDescent="0.25">
      <c r="A111" s="377">
        <v>45765</v>
      </c>
      <c r="B111" s="363" t="s">
        <v>2155</v>
      </c>
      <c r="C111" s="364">
        <v>32000</v>
      </c>
      <c r="D111" s="370" t="s">
        <v>2180</v>
      </c>
      <c r="E111" s="370">
        <v>85.99</v>
      </c>
      <c r="F111" s="370" t="s">
        <v>2510</v>
      </c>
      <c r="G111" s="370">
        <v>94.44</v>
      </c>
      <c r="H111" s="370" t="s">
        <v>122</v>
      </c>
    </row>
    <row r="112" spans="1:8" ht="21.75" customHeight="1" x14ac:dyDescent="0.25">
      <c r="A112" s="377">
        <v>45766</v>
      </c>
      <c r="B112" s="363" t="s">
        <v>2219</v>
      </c>
      <c r="C112" s="368">
        <v>31312.5</v>
      </c>
      <c r="D112" s="370" t="s">
        <v>2180</v>
      </c>
      <c r="E112" s="370">
        <v>85.67</v>
      </c>
      <c r="F112" s="370" t="s">
        <v>2510</v>
      </c>
      <c r="G112" s="370">
        <v>94.22</v>
      </c>
      <c r="H112" s="370" t="s">
        <v>122</v>
      </c>
    </row>
    <row r="113" spans="1:8" ht="21.75" customHeight="1" x14ac:dyDescent="0.25">
      <c r="A113" s="377">
        <v>45767</v>
      </c>
      <c r="B113" s="363" t="s">
        <v>2184</v>
      </c>
      <c r="C113" s="364">
        <v>30750</v>
      </c>
      <c r="D113" s="370" t="s">
        <v>122</v>
      </c>
      <c r="E113" s="370" t="s">
        <v>122</v>
      </c>
      <c r="F113" s="370" t="s">
        <v>2509</v>
      </c>
      <c r="G113" s="370">
        <v>93.88</v>
      </c>
      <c r="H113" s="370" t="s">
        <v>122</v>
      </c>
    </row>
    <row r="114" spans="1:8" ht="21.75" customHeight="1" x14ac:dyDescent="0.25">
      <c r="A114" s="377">
        <v>45768</v>
      </c>
      <c r="B114" s="363" t="s">
        <v>2184</v>
      </c>
      <c r="C114" s="364">
        <v>30750</v>
      </c>
      <c r="D114" s="370" t="s">
        <v>122</v>
      </c>
      <c r="E114" s="370" t="s">
        <v>122</v>
      </c>
      <c r="F114" s="370" t="s">
        <v>2509</v>
      </c>
      <c r="G114" s="370"/>
      <c r="H114" s="370" t="s">
        <v>122</v>
      </c>
    </row>
    <row r="115" spans="1:8" ht="21.75" customHeight="1" x14ac:dyDescent="0.25">
      <c r="A115" s="377">
        <v>45769</v>
      </c>
      <c r="B115" s="363" t="s">
        <v>2157</v>
      </c>
      <c r="C115" s="364">
        <v>31125</v>
      </c>
      <c r="D115" s="370" t="s">
        <v>122</v>
      </c>
      <c r="E115" s="370" t="s">
        <v>122</v>
      </c>
      <c r="F115" s="370" t="s">
        <v>2509</v>
      </c>
      <c r="G115" s="370"/>
      <c r="H115" s="370" t="s">
        <v>122</v>
      </c>
    </row>
    <row r="116" spans="1:8" ht="21.75" customHeight="1" x14ac:dyDescent="0.25">
      <c r="A116" s="377">
        <v>45770</v>
      </c>
      <c r="B116" s="363" t="s">
        <v>2219</v>
      </c>
      <c r="C116" s="368">
        <v>31312.5</v>
      </c>
      <c r="D116" s="370" t="s">
        <v>2177</v>
      </c>
      <c r="E116" s="370">
        <v>69.06</v>
      </c>
      <c r="F116" s="370" t="s">
        <v>2175</v>
      </c>
      <c r="G116" s="370">
        <v>53.69</v>
      </c>
      <c r="H116" s="370" t="s">
        <v>122</v>
      </c>
    </row>
    <row r="117" spans="1:8" ht="21.75" customHeight="1" x14ac:dyDescent="0.25">
      <c r="A117" s="377">
        <v>45771</v>
      </c>
      <c r="B117" s="363" t="s">
        <v>2163</v>
      </c>
      <c r="C117" s="364">
        <v>31750</v>
      </c>
      <c r="D117" s="370" t="s">
        <v>2180</v>
      </c>
      <c r="E117" s="370">
        <v>85.89</v>
      </c>
      <c r="F117" s="370" t="s">
        <v>2175</v>
      </c>
      <c r="G117" s="370">
        <v>53.81</v>
      </c>
      <c r="H117" s="370" t="s">
        <v>122</v>
      </c>
    </row>
    <row r="118" spans="1:8" ht="21.75" customHeight="1" x14ac:dyDescent="0.25">
      <c r="A118" s="377">
        <v>45772</v>
      </c>
      <c r="B118" s="363" t="s">
        <v>2156</v>
      </c>
      <c r="C118" s="364">
        <v>31500</v>
      </c>
      <c r="D118" s="370" t="s">
        <v>2730</v>
      </c>
      <c r="E118" s="370">
        <v>96.73</v>
      </c>
      <c r="F118" s="370" t="s">
        <v>2732</v>
      </c>
      <c r="G118" s="370">
        <v>65.39</v>
      </c>
      <c r="H118" s="370" t="s">
        <v>122</v>
      </c>
    </row>
    <row r="119" spans="1:8" ht="21.75" customHeight="1" x14ac:dyDescent="0.25">
      <c r="A119" s="377">
        <v>45773</v>
      </c>
      <c r="B119" s="363" t="s">
        <v>2215</v>
      </c>
      <c r="C119" s="364">
        <v>32050</v>
      </c>
      <c r="D119" s="370" t="s">
        <v>2730</v>
      </c>
      <c r="E119" s="370">
        <v>97.09</v>
      </c>
      <c r="F119" s="370" t="s">
        <v>2179</v>
      </c>
      <c r="G119" s="370">
        <v>82.93</v>
      </c>
      <c r="H119" s="370" t="s">
        <v>122</v>
      </c>
    </row>
    <row r="120" spans="1:8" ht="21.75" customHeight="1" x14ac:dyDescent="0.25">
      <c r="A120" s="377">
        <v>45774</v>
      </c>
      <c r="B120" s="363" t="s">
        <v>2154</v>
      </c>
      <c r="C120" s="364">
        <v>32600</v>
      </c>
      <c r="D120" s="370" t="s">
        <v>2179</v>
      </c>
      <c r="E120" s="370">
        <v>81.06</v>
      </c>
      <c r="F120" s="370" t="s">
        <v>2179</v>
      </c>
      <c r="G120" s="370">
        <v>83.41</v>
      </c>
      <c r="H120" s="370" t="s">
        <v>122</v>
      </c>
    </row>
    <row r="121" spans="1:8" ht="21.75" customHeight="1" x14ac:dyDescent="0.25">
      <c r="A121" s="377">
        <v>45775</v>
      </c>
      <c r="B121" s="363" t="s">
        <v>3013</v>
      </c>
      <c r="C121" s="364">
        <v>36250</v>
      </c>
      <c r="D121" s="370" t="s">
        <v>2179</v>
      </c>
      <c r="E121" s="370">
        <v>83.02</v>
      </c>
      <c r="F121" s="370" t="s">
        <v>2179</v>
      </c>
      <c r="G121" s="370">
        <v>99.47</v>
      </c>
      <c r="H121" s="370" t="s">
        <v>122</v>
      </c>
    </row>
    <row r="122" spans="1:8" ht="21.75" customHeight="1" x14ac:dyDescent="0.25">
      <c r="A122" s="377">
        <v>45776</v>
      </c>
      <c r="B122" s="363" t="s">
        <v>2528</v>
      </c>
      <c r="C122" s="364">
        <v>37604</v>
      </c>
      <c r="D122" s="370" t="s">
        <v>122</v>
      </c>
      <c r="E122" s="370" t="s">
        <v>122</v>
      </c>
      <c r="F122" s="370" t="s">
        <v>122</v>
      </c>
      <c r="G122" s="370" t="s">
        <v>122</v>
      </c>
      <c r="H122" s="370" t="s">
        <v>122</v>
      </c>
    </row>
    <row r="123" spans="1:8" ht="21.75" customHeight="1" x14ac:dyDescent="0.25">
      <c r="A123" s="377">
        <v>45777</v>
      </c>
      <c r="B123" s="363" t="s">
        <v>2992</v>
      </c>
      <c r="C123" s="364" t="s">
        <v>2857</v>
      </c>
      <c r="D123" s="370" t="s">
        <v>122</v>
      </c>
      <c r="E123" s="370" t="s">
        <v>122</v>
      </c>
      <c r="F123" s="370" t="s">
        <v>122</v>
      </c>
      <c r="G123" s="370" t="s">
        <v>122</v>
      </c>
      <c r="H123" s="370">
        <v>803.88</v>
      </c>
    </row>
    <row r="124" spans="1:8" ht="21.75" customHeight="1" x14ac:dyDescent="0.25">
      <c r="A124" s="377">
        <v>45778</v>
      </c>
      <c r="B124" s="363" t="s">
        <v>2989</v>
      </c>
      <c r="C124" s="364" t="s">
        <v>3039</v>
      </c>
      <c r="D124" s="370" t="s">
        <v>2186</v>
      </c>
      <c r="E124" s="370">
        <v>49.67</v>
      </c>
      <c r="F124" s="370" t="s">
        <v>2152</v>
      </c>
      <c r="G124" s="371">
        <v>38.43</v>
      </c>
      <c r="H124" s="370">
        <v>5223.24</v>
      </c>
    </row>
    <row r="125" spans="1:8" ht="21.75" customHeight="1" x14ac:dyDescent="0.25">
      <c r="A125" s="377">
        <v>45779</v>
      </c>
      <c r="B125" s="363" t="s">
        <v>2981</v>
      </c>
      <c r="C125" s="364" t="s">
        <v>2980</v>
      </c>
      <c r="D125" s="370" t="s">
        <v>2186</v>
      </c>
      <c r="E125" s="370">
        <v>49.67</v>
      </c>
      <c r="F125" s="370" t="s">
        <v>2152</v>
      </c>
      <c r="G125" s="370">
        <v>38.43</v>
      </c>
      <c r="H125" s="370">
        <v>4180.29</v>
      </c>
    </row>
    <row r="126" spans="1:8" ht="21.75" customHeight="1" x14ac:dyDescent="0.25">
      <c r="A126" s="377">
        <v>45780</v>
      </c>
      <c r="B126" s="363" t="s">
        <v>3021</v>
      </c>
      <c r="C126" s="364" t="s">
        <v>3040</v>
      </c>
      <c r="D126" s="370" t="s">
        <v>2177</v>
      </c>
      <c r="E126" s="370">
        <v>73.489999999999995</v>
      </c>
      <c r="F126" s="370" t="s">
        <v>2152</v>
      </c>
      <c r="G126" s="370">
        <v>38.43</v>
      </c>
      <c r="H126" s="370">
        <v>2554.1999999999998</v>
      </c>
    </row>
    <row r="127" spans="1:8" ht="21.75" customHeight="1" x14ac:dyDescent="0.25">
      <c r="A127" s="377">
        <v>45781</v>
      </c>
      <c r="B127" s="363" t="s">
        <v>3023</v>
      </c>
      <c r="C127" s="364" t="s">
        <v>2969</v>
      </c>
      <c r="D127" s="370" t="s">
        <v>2177</v>
      </c>
      <c r="E127" s="370">
        <v>73.489999999999995</v>
      </c>
      <c r="F127" s="370" t="s">
        <v>2152</v>
      </c>
      <c r="G127" s="370">
        <v>38.43</v>
      </c>
      <c r="H127" s="370">
        <v>1449.36</v>
      </c>
    </row>
    <row r="128" spans="1:8" ht="21.75" customHeight="1" x14ac:dyDescent="0.25">
      <c r="A128" s="377">
        <v>45782</v>
      </c>
      <c r="B128" s="363" t="s">
        <v>2988</v>
      </c>
      <c r="C128" s="364" t="s">
        <v>2814</v>
      </c>
      <c r="D128" s="370" t="s">
        <v>2177</v>
      </c>
      <c r="E128" s="370">
        <v>73.489999999999995</v>
      </c>
      <c r="F128" s="370" t="s">
        <v>3044</v>
      </c>
      <c r="G128" s="370">
        <v>32.42</v>
      </c>
      <c r="H128" s="370">
        <v>1219.68</v>
      </c>
    </row>
    <row r="129" spans="1:8" ht="21.75" customHeight="1" x14ac:dyDescent="0.25">
      <c r="A129" s="377">
        <v>45783</v>
      </c>
      <c r="B129" s="363" t="s">
        <v>2992</v>
      </c>
      <c r="C129" s="364" t="s">
        <v>2857</v>
      </c>
      <c r="D129" s="370" t="s">
        <v>2177</v>
      </c>
      <c r="E129" s="370">
        <v>73.489999999999995</v>
      </c>
      <c r="F129" s="370" t="s">
        <v>2180</v>
      </c>
      <c r="G129" s="379">
        <v>107.9</v>
      </c>
      <c r="H129" s="370">
        <v>804.47</v>
      </c>
    </row>
    <row r="130" spans="1:8" ht="21.75" customHeight="1" x14ac:dyDescent="0.25">
      <c r="A130" s="377">
        <v>45784</v>
      </c>
      <c r="B130" s="363" t="s">
        <v>2992</v>
      </c>
      <c r="C130" s="364" t="s">
        <v>2857</v>
      </c>
      <c r="D130" s="370" t="s">
        <v>2177</v>
      </c>
      <c r="E130" s="370">
        <v>73.489999999999995</v>
      </c>
      <c r="F130" s="370" t="s">
        <v>2180</v>
      </c>
      <c r="G130" s="379">
        <v>107.9</v>
      </c>
      <c r="H130" s="370">
        <v>804.47</v>
      </c>
    </row>
    <row r="131" spans="1:8" ht="21.75" customHeight="1" x14ac:dyDescent="0.25">
      <c r="A131" s="377">
        <v>45785</v>
      </c>
      <c r="B131" s="363" t="s">
        <v>3037</v>
      </c>
      <c r="C131" s="364" t="s">
        <v>2831</v>
      </c>
      <c r="D131" s="370" t="s">
        <v>2177</v>
      </c>
      <c r="E131" s="370">
        <v>73.489999999999995</v>
      </c>
      <c r="F131" s="370" t="s">
        <v>2180</v>
      </c>
      <c r="G131" s="379">
        <v>107.9</v>
      </c>
      <c r="H131" s="370">
        <v>411.9</v>
      </c>
    </row>
    <row r="132" spans="1:8" ht="21.75" customHeight="1" x14ac:dyDescent="0.25">
      <c r="A132" s="377">
        <v>45786</v>
      </c>
      <c r="B132" s="363" t="s">
        <v>2986</v>
      </c>
      <c r="C132" s="364" t="s">
        <v>2851</v>
      </c>
      <c r="D132" s="370" t="s">
        <v>2177</v>
      </c>
      <c r="E132" s="370">
        <v>73.489999999999995</v>
      </c>
      <c r="F132" s="370" t="s">
        <v>2180</v>
      </c>
      <c r="G132" s="379">
        <v>107.9</v>
      </c>
      <c r="H132" s="370">
        <v>145.62899999999999</v>
      </c>
    </row>
    <row r="133" spans="1:8" ht="21.75" customHeight="1" x14ac:dyDescent="0.25">
      <c r="A133" s="377">
        <v>45787</v>
      </c>
      <c r="B133" s="363" t="s">
        <v>2991</v>
      </c>
      <c r="C133" s="364">
        <v>38416</v>
      </c>
      <c r="D133" s="370" t="s">
        <v>122</v>
      </c>
      <c r="E133" s="370" t="s">
        <v>122</v>
      </c>
      <c r="F133" s="370" t="s">
        <v>122</v>
      </c>
      <c r="G133" s="370" t="s">
        <v>122</v>
      </c>
      <c r="H133" s="370" t="s">
        <v>122</v>
      </c>
    </row>
    <row r="134" spans="1:8" ht="21.75" customHeight="1" x14ac:dyDescent="0.25">
      <c r="A134" s="377">
        <v>45788</v>
      </c>
      <c r="B134" s="363" t="s">
        <v>2991</v>
      </c>
      <c r="C134" s="364">
        <v>38416</v>
      </c>
      <c r="D134" s="370" t="s">
        <v>122</v>
      </c>
      <c r="E134" s="370" t="s">
        <v>122</v>
      </c>
      <c r="F134" s="370" t="s">
        <v>122</v>
      </c>
      <c r="G134" s="370" t="s">
        <v>122</v>
      </c>
      <c r="H134" s="370" t="s">
        <v>122</v>
      </c>
    </row>
    <row r="135" spans="1:8" ht="21.75" customHeight="1" x14ac:dyDescent="0.25">
      <c r="A135" s="377">
        <v>45789</v>
      </c>
      <c r="B135" s="363" t="s">
        <v>2991</v>
      </c>
      <c r="C135" s="364">
        <v>38416</v>
      </c>
      <c r="D135" s="370" t="s">
        <v>122</v>
      </c>
      <c r="E135" s="370" t="s">
        <v>122</v>
      </c>
      <c r="F135" s="370" t="s">
        <v>122</v>
      </c>
      <c r="G135" s="370" t="s">
        <v>122</v>
      </c>
      <c r="H135" s="370" t="s">
        <v>122</v>
      </c>
    </row>
    <row r="136" spans="1:8" ht="21.75" customHeight="1" x14ac:dyDescent="0.25">
      <c r="A136" s="377">
        <v>45790</v>
      </c>
      <c r="B136" s="363" t="s">
        <v>2991</v>
      </c>
      <c r="C136" s="364">
        <v>38416</v>
      </c>
      <c r="D136" s="370" t="s">
        <v>122</v>
      </c>
      <c r="E136" s="370" t="s">
        <v>122</v>
      </c>
      <c r="F136" s="370" t="s">
        <v>122</v>
      </c>
      <c r="G136" s="370" t="s">
        <v>122</v>
      </c>
      <c r="H136" s="370" t="s">
        <v>122</v>
      </c>
    </row>
    <row r="137" spans="1:8" ht="21.75" customHeight="1" x14ac:dyDescent="0.25">
      <c r="A137" s="377">
        <v>45791</v>
      </c>
      <c r="B137" s="363" t="s">
        <v>3006</v>
      </c>
      <c r="C137" s="364">
        <v>38281</v>
      </c>
      <c r="D137" s="370" t="s">
        <v>3042</v>
      </c>
      <c r="E137" s="370">
        <v>73.319999999999993</v>
      </c>
      <c r="F137" s="370" t="s">
        <v>2177</v>
      </c>
      <c r="G137" s="370">
        <v>76.31</v>
      </c>
      <c r="H137" s="370" t="s">
        <v>122</v>
      </c>
    </row>
    <row r="138" spans="1:8" ht="21.75" customHeight="1" x14ac:dyDescent="0.25">
      <c r="A138" s="377">
        <v>45792</v>
      </c>
      <c r="B138" s="363" t="s">
        <v>2527</v>
      </c>
      <c r="C138" s="368">
        <v>38010.5</v>
      </c>
      <c r="D138" s="370" t="s">
        <v>2180</v>
      </c>
      <c r="E138" s="370">
        <v>90.09</v>
      </c>
      <c r="F138" s="370" t="s">
        <v>2180</v>
      </c>
      <c r="G138" s="370">
        <v>107.55</v>
      </c>
      <c r="H138" s="370" t="s">
        <v>122</v>
      </c>
    </row>
    <row r="139" spans="1:8" ht="21.75" customHeight="1" x14ac:dyDescent="0.25">
      <c r="A139" s="377">
        <v>45793</v>
      </c>
      <c r="B139" s="363" t="s">
        <v>2527</v>
      </c>
      <c r="C139" s="368">
        <v>38010.5</v>
      </c>
      <c r="D139" s="370" t="s">
        <v>3043</v>
      </c>
      <c r="E139" s="370">
        <v>90.09</v>
      </c>
      <c r="F139" s="370" t="s">
        <v>2180</v>
      </c>
      <c r="G139" s="370">
        <v>107.55</v>
      </c>
      <c r="H139" s="370" t="s">
        <v>122</v>
      </c>
    </row>
    <row r="140" spans="1:8" ht="21.75" customHeight="1" x14ac:dyDescent="0.25">
      <c r="A140" s="377">
        <v>45794</v>
      </c>
      <c r="B140" s="363" t="s">
        <v>3008</v>
      </c>
      <c r="C140" s="364">
        <v>37875</v>
      </c>
      <c r="D140" s="370" t="s">
        <v>2180</v>
      </c>
      <c r="E140" s="370">
        <v>89.99</v>
      </c>
      <c r="F140" s="370" t="s">
        <v>2180</v>
      </c>
      <c r="G140" s="370">
        <v>107.44</v>
      </c>
      <c r="H140" s="370" t="s">
        <v>122</v>
      </c>
    </row>
    <row r="141" spans="1:8" ht="21.75" customHeight="1" x14ac:dyDescent="0.25">
      <c r="A141" s="377">
        <v>45795</v>
      </c>
      <c r="B141" s="363" t="s">
        <v>2986</v>
      </c>
      <c r="C141" s="364" t="s">
        <v>2851</v>
      </c>
      <c r="D141" s="370" t="s">
        <v>122</v>
      </c>
      <c r="E141" s="370" t="s">
        <v>122</v>
      </c>
      <c r="F141" s="370" t="s">
        <v>122</v>
      </c>
      <c r="G141" s="370" t="s">
        <v>122</v>
      </c>
      <c r="H141" s="370">
        <v>145.63</v>
      </c>
    </row>
    <row r="142" spans="1:8" ht="21.75" customHeight="1" x14ac:dyDescent="0.25">
      <c r="A142" s="377">
        <v>45796</v>
      </c>
      <c r="B142" s="363" t="s">
        <v>2984</v>
      </c>
      <c r="C142" s="364" t="s">
        <v>2831</v>
      </c>
      <c r="D142" s="370" t="s">
        <v>122</v>
      </c>
      <c r="E142" s="370" t="s">
        <v>122</v>
      </c>
      <c r="F142" s="370" t="s">
        <v>122</v>
      </c>
      <c r="G142" s="370" t="s">
        <v>122</v>
      </c>
      <c r="H142" s="370">
        <v>411.84</v>
      </c>
    </row>
    <row r="143" spans="1:8" ht="21.75" customHeight="1" x14ac:dyDescent="0.25">
      <c r="A143" s="377">
        <v>45797</v>
      </c>
      <c r="B143" s="363" t="s">
        <v>2992</v>
      </c>
      <c r="C143" s="364" t="s">
        <v>2857</v>
      </c>
      <c r="D143" s="370" t="s">
        <v>2174</v>
      </c>
      <c r="E143" s="370">
        <v>61.27</v>
      </c>
      <c r="F143" s="370" t="s">
        <v>2509</v>
      </c>
      <c r="G143" s="370"/>
      <c r="H143" s="370">
        <v>804.47</v>
      </c>
    </row>
    <row r="144" spans="1:8" ht="21.75" customHeight="1" x14ac:dyDescent="0.25">
      <c r="A144" s="377">
        <v>45798</v>
      </c>
      <c r="B144" s="363" t="s">
        <v>2992</v>
      </c>
      <c r="C144" s="364" t="s">
        <v>3027</v>
      </c>
      <c r="D144" s="370" t="s">
        <v>2188</v>
      </c>
      <c r="E144" s="370">
        <v>61.27</v>
      </c>
      <c r="F144" s="370" t="s">
        <v>2509</v>
      </c>
      <c r="G144" s="370"/>
      <c r="H144" s="370">
        <v>804.47</v>
      </c>
    </row>
    <row r="145" spans="1:8" ht="21.75" customHeight="1" x14ac:dyDescent="0.25">
      <c r="A145" s="377">
        <v>45799</v>
      </c>
      <c r="B145" s="363" t="s">
        <v>3003</v>
      </c>
      <c r="C145" s="364" t="s">
        <v>3041</v>
      </c>
      <c r="D145" s="370" t="s">
        <v>2177</v>
      </c>
      <c r="E145" s="370">
        <v>73.489999999999995</v>
      </c>
      <c r="F145" s="370" t="s">
        <v>2177</v>
      </c>
      <c r="G145" s="379">
        <v>84.2</v>
      </c>
      <c r="H145" s="370">
        <v>619.74</v>
      </c>
    </row>
    <row r="146" spans="1:8" ht="21.75" customHeight="1" x14ac:dyDescent="0.25">
      <c r="A146" s="377">
        <v>45800</v>
      </c>
      <c r="B146" s="363" t="s">
        <v>3003</v>
      </c>
      <c r="C146" s="364" t="s">
        <v>3041</v>
      </c>
      <c r="D146" s="370" t="s">
        <v>2177</v>
      </c>
      <c r="E146" s="370">
        <v>73.489999999999995</v>
      </c>
      <c r="F146" s="370" t="s">
        <v>2176</v>
      </c>
      <c r="G146" s="370">
        <v>82.42</v>
      </c>
      <c r="H146" s="370">
        <v>619.74</v>
      </c>
    </row>
    <row r="147" spans="1:8" ht="21.75" customHeight="1" x14ac:dyDescent="0.25">
      <c r="A147" s="377">
        <v>45801</v>
      </c>
      <c r="B147" s="363" t="s">
        <v>3004</v>
      </c>
      <c r="C147" s="364" t="s">
        <v>2847</v>
      </c>
      <c r="D147" s="370" t="s">
        <v>2510</v>
      </c>
      <c r="E147" s="370">
        <v>96.21</v>
      </c>
      <c r="F147" s="370" t="s">
        <v>2510</v>
      </c>
      <c r="G147" s="370">
        <v>101.18</v>
      </c>
      <c r="H147" s="370">
        <v>267.3</v>
      </c>
    </row>
    <row r="148" spans="1:8" ht="21.75" customHeight="1" x14ac:dyDescent="0.25">
      <c r="A148" s="377">
        <v>45802</v>
      </c>
      <c r="B148" s="363" t="s">
        <v>2991</v>
      </c>
      <c r="C148" s="364">
        <v>38416</v>
      </c>
      <c r="D148" s="370" t="s">
        <v>2510</v>
      </c>
      <c r="E148" s="370">
        <v>96.21</v>
      </c>
      <c r="F148" s="370" t="s">
        <v>3045</v>
      </c>
      <c r="G148" s="370">
        <v>101.18</v>
      </c>
      <c r="H148" s="370" t="s">
        <v>122</v>
      </c>
    </row>
    <row r="149" spans="1:8" ht="21.75" customHeight="1" x14ac:dyDescent="0.25">
      <c r="A149" s="377">
        <v>45803</v>
      </c>
      <c r="B149" s="363" t="s">
        <v>3008</v>
      </c>
      <c r="C149" s="364">
        <v>37875</v>
      </c>
      <c r="D149" s="370" t="s">
        <v>2179</v>
      </c>
      <c r="E149" s="370">
        <v>84.18</v>
      </c>
      <c r="F149" s="370" t="s">
        <v>2510</v>
      </c>
      <c r="G149" s="370">
        <v>100.75</v>
      </c>
      <c r="H149" s="370" t="s">
        <v>122</v>
      </c>
    </row>
    <row r="150" spans="1:8" ht="21.75" customHeight="1" x14ac:dyDescent="0.25">
      <c r="A150" s="377">
        <v>45804</v>
      </c>
      <c r="B150" s="363" t="s">
        <v>3038</v>
      </c>
      <c r="C150" s="368">
        <v>37468.5</v>
      </c>
      <c r="D150" s="370" t="s">
        <v>122</v>
      </c>
      <c r="E150" s="370"/>
      <c r="F150" s="370" t="s">
        <v>2544</v>
      </c>
      <c r="G150" s="370">
        <v>125.56</v>
      </c>
      <c r="H150" s="370" t="s">
        <v>122</v>
      </c>
    </row>
    <row r="151" spans="1:8" ht="21.75" customHeight="1" x14ac:dyDescent="0.25">
      <c r="A151" s="377">
        <v>45805</v>
      </c>
      <c r="B151" s="363" t="s">
        <v>2529</v>
      </c>
      <c r="C151" s="364">
        <v>37333</v>
      </c>
      <c r="D151" s="370" t="s">
        <v>122</v>
      </c>
      <c r="E151" s="370" t="s">
        <v>122</v>
      </c>
      <c r="F151" s="370" t="s">
        <v>122</v>
      </c>
      <c r="G151" s="370" t="s">
        <v>122</v>
      </c>
      <c r="H151" s="370" t="s">
        <v>122</v>
      </c>
    </row>
    <row r="152" spans="1:8" ht="21.75" customHeight="1" x14ac:dyDescent="0.25">
      <c r="A152" s="377">
        <v>45806</v>
      </c>
      <c r="B152" s="363" t="s">
        <v>2529</v>
      </c>
      <c r="C152" s="364">
        <v>37333</v>
      </c>
      <c r="D152" s="370" t="s">
        <v>122</v>
      </c>
      <c r="E152" s="370" t="s">
        <v>122</v>
      </c>
      <c r="F152" s="370" t="s">
        <v>122</v>
      </c>
      <c r="G152" s="370" t="s">
        <v>122</v>
      </c>
      <c r="H152" s="370" t="s">
        <v>122</v>
      </c>
    </row>
    <row r="153" spans="1:8" ht="21.75" customHeight="1" x14ac:dyDescent="0.25">
      <c r="A153" s="377">
        <v>45807</v>
      </c>
      <c r="B153" s="363" t="s">
        <v>2524</v>
      </c>
      <c r="C153" s="364">
        <v>37062</v>
      </c>
      <c r="D153" s="370" t="s">
        <v>122</v>
      </c>
      <c r="E153" s="370" t="s">
        <v>122</v>
      </c>
      <c r="F153" s="370" t="s">
        <v>122</v>
      </c>
      <c r="G153" s="370" t="s">
        <v>122</v>
      </c>
      <c r="H153" s="370" t="s">
        <v>122</v>
      </c>
    </row>
    <row r="154" spans="1:8" ht="21.75" customHeight="1" x14ac:dyDescent="0.25">
      <c r="A154" s="377">
        <v>45808</v>
      </c>
      <c r="B154" s="363" t="s">
        <v>2524</v>
      </c>
      <c r="C154" s="364">
        <v>37062</v>
      </c>
      <c r="D154" s="370" t="s">
        <v>3042</v>
      </c>
      <c r="E154" s="370">
        <v>71.989999999999995</v>
      </c>
      <c r="F154" s="370" t="s">
        <v>2177</v>
      </c>
      <c r="G154" s="370">
        <v>75.59</v>
      </c>
      <c r="H154" s="370" t="s">
        <v>122</v>
      </c>
    </row>
    <row r="155" spans="1:8" ht="21.75" customHeight="1" x14ac:dyDescent="0.25">
      <c r="A155" s="377">
        <v>45809</v>
      </c>
      <c r="B155" s="363" t="s">
        <v>2525</v>
      </c>
      <c r="C155" s="364">
        <v>36792</v>
      </c>
      <c r="D155" s="370" t="s">
        <v>2180</v>
      </c>
      <c r="E155" s="370">
        <v>89.17</v>
      </c>
      <c r="F155" s="370" t="s">
        <v>2180</v>
      </c>
      <c r="G155" s="370">
        <v>93.99</v>
      </c>
      <c r="H155" s="370" t="s">
        <v>122</v>
      </c>
    </row>
    <row r="156" spans="1:8" ht="21.75" customHeight="1" x14ac:dyDescent="0.25">
      <c r="A156" s="377">
        <v>45810</v>
      </c>
      <c r="B156" s="363" t="s">
        <v>2526</v>
      </c>
      <c r="C156" s="364">
        <v>36521</v>
      </c>
      <c r="D156" s="370" t="s">
        <v>2730</v>
      </c>
      <c r="E156" s="370">
        <v>100.34</v>
      </c>
      <c r="F156" s="370" t="s">
        <v>2510</v>
      </c>
      <c r="G156" s="370">
        <v>99.68</v>
      </c>
      <c r="H156" s="370" t="s">
        <v>122</v>
      </c>
    </row>
    <row r="157" spans="1:8" ht="21.75" customHeight="1" x14ac:dyDescent="0.25">
      <c r="A157" s="377">
        <v>45811</v>
      </c>
      <c r="B157" s="363" t="s">
        <v>3014</v>
      </c>
      <c r="C157" s="364">
        <v>36000</v>
      </c>
      <c r="D157" s="370" t="s">
        <v>2730</v>
      </c>
      <c r="E157" s="370">
        <v>99.99</v>
      </c>
      <c r="F157" s="370" t="s">
        <v>2510</v>
      </c>
      <c r="G157" s="370">
        <v>99.37</v>
      </c>
      <c r="H157" s="370" t="s">
        <v>122</v>
      </c>
    </row>
    <row r="158" spans="1:8" ht="21.75" customHeight="1" x14ac:dyDescent="0.25">
      <c r="A158" s="377">
        <v>45812</v>
      </c>
      <c r="B158" s="363" t="s">
        <v>3015</v>
      </c>
      <c r="C158" s="364">
        <v>35250</v>
      </c>
      <c r="D158" s="370" t="s">
        <v>2730</v>
      </c>
      <c r="E158" s="370">
        <v>99.63</v>
      </c>
      <c r="F158" s="370" t="s">
        <v>2510</v>
      </c>
      <c r="G158" s="370">
        <v>99.03</v>
      </c>
      <c r="H158" s="370" t="s">
        <v>122</v>
      </c>
    </row>
    <row r="159" spans="1:8" ht="21.75" customHeight="1" x14ac:dyDescent="0.25">
      <c r="A159" s="377">
        <v>45813</v>
      </c>
      <c r="B159" s="363" t="s">
        <v>3016</v>
      </c>
      <c r="C159" s="364">
        <v>34250</v>
      </c>
      <c r="D159" s="370" t="s">
        <v>2726</v>
      </c>
      <c r="E159" s="370">
        <v>104.22</v>
      </c>
      <c r="F159" s="370" t="s">
        <v>2510</v>
      </c>
      <c r="G159" s="370">
        <v>96.21</v>
      </c>
      <c r="H159" s="370" t="s">
        <v>122</v>
      </c>
    </row>
    <row r="160" spans="1:8" ht="21.75" customHeight="1" x14ac:dyDescent="0.25">
      <c r="A160" s="377">
        <v>45814</v>
      </c>
      <c r="B160" s="363" t="s">
        <v>2162</v>
      </c>
      <c r="C160" s="364">
        <v>33800</v>
      </c>
      <c r="D160" s="370" t="s">
        <v>2179</v>
      </c>
      <c r="E160" s="370">
        <v>81.849999999999994</v>
      </c>
      <c r="F160" s="370" t="s">
        <v>2510</v>
      </c>
      <c r="G160" s="370">
        <v>95.77</v>
      </c>
      <c r="H160" s="370" t="s">
        <v>122</v>
      </c>
    </row>
    <row r="161" spans="1:8" ht="21.75" customHeight="1" x14ac:dyDescent="0.25">
      <c r="A161" s="377">
        <v>45815</v>
      </c>
      <c r="B161" s="363" t="s">
        <v>3017</v>
      </c>
      <c r="C161" s="364">
        <v>33000</v>
      </c>
      <c r="D161" s="370" t="s">
        <v>2152</v>
      </c>
      <c r="E161" s="370">
        <v>35.58</v>
      </c>
      <c r="F161" s="370" t="s">
        <v>2726</v>
      </c>
      <c r="G161" s="370">
        <v>106.74</v>
      </c>
      <c r="H161" s="370" t="s">
        <v>122</v>
      </c>
    </row>
    <row r="162" spans="1:8" ht="21.75" customHeight="1" x14ac:dyDescent="0.25">
      <c r="A162" s="377">
        <v>45816</v>
      </c>
      <c r="B162" s="363" t="s">
        <v>3017</v>
      </c>
      <c r="C162" s="364">
        <v>33000</v>
      </c>
      <c r="D162" s="370" t="s">
        <v>122</v>
      </c>
      <c r="E162" s="370"/>
      <c r="F162" s="370" t="s">
        <v>122</v>
      </c>
      <c r="G162" s="370"/>
      <c r="H162" s="370" t="s">
        <v>122</v>
      </c>
    </row>
    <row r="163" spans="1:8" ht="21.75" customHeight="1" x14ac:dyDescent="0.25">
      <c r="A163" s="377">
        <v>45817</v>
      </c>
      <c r="B163" s="363" t="s">
        <v>2213</v>
      </c>
      <c r="C163" s="364">
        <v>32700</v>
      </c>
      <c r="D163" s="370" t="s">
        <v>2179</v>
      </c>
      <c r="E163" s="370">
        <v>81.16</v>
      </c>
      <c r="F163" s="370" t="s">
        <v>2177</v>
      </c>
      <c r="G163" s="370">
        <v>71.91</v>
      </c>
      <c r="H163" s="370" t="s">
        <v>122</v>
      </c>
    </row>
    <row r="164" spans="1:8" ht="21.75" customHeight="1" x14ac:dyDescent="0.25">
      <c r="A164" s="377">
        <v>45818</v>
      </c>
      <c r="B164" s="363" t="s">
        <v>2178</v>
      </c>
      <c r="C164" s="364">
        <v>32400</v>
      </c>
      <c r="D164" s="370" t="s">
        <v>2730</v>
      </c>
      <c r="E164" s="370">
        <v>97.46</v>
      </c>
      <c r="F164" s="370" t="s">
        <v>2179</v>
      </c>
      <c r="G164" s="370">
        <v>83.22</v>
      </c>
      <c r="H164" s="370" t="s">
        <v>122</v>
      </c>
    </row>
    <row r="165" spans="1:8" ht="21.75" customHeight="1" x14ac:dyDescent="0.25">
      <c r="A165" s="377">
        <v>45819</v>
      </c>
      <c r="B165" s="363" t="s">
        <v>3046</v>
      </c>
      <c r="C165" s="364">
        <v>32000</v>
      </c>
      <c r="D165" s="370" t="s">
        <v>2730</v>
      </c>
      <c r="E165" s="370">
        <v>96.97</v>
      </c>
      <c r="F165" s="370" t="s">
        <v>2179</v>
      </c>
      <c r="G165" s="370">
        <v>82.83</v>
      </c>
      <c r="H165" s="370" t="s">
        <v>122</v>
      </c>
    </row>
    <row r="166" spans="1:8" ht="21.75" customHeight="1" x14ac:dyDescent="0.25">
      <c r="A166" s="377">
        <v>45820</v>
      </c>
      <c r="B166" s="363" t="s">
        <v>2157</v>
      </c>
      <c r="C166" s="364">
        <v>31125</v>
      </c>
      <c r="D166" s="370" t="s">
        <v>2730</v>
      </c>
      <c r="E166" s="370">
        <v>96.48</v>
      </c>
      <c r="F166" s="370" t="s">
        <v>2510</v>
      </c>
      <c r="G166" s="370">
        <v>93.77</v>
      </c>
      <c r="H166" s="370" t="s">
        <v>122</v>
      </c>
    </row>
    <row r="167" spans="1:8" ht="21.75" customHeight="1" x14ac:dyDescent="0.25">
      <c r="A167" s="377">
        <v>45821</v>
      </c>
      <c r="B167" s="363" t="s">
        <v>2187</v>
      </c>
      <c r="C167" s="364">
        <v>30500</v>
      </c>
      <c r="D167" s="370" t="s">
        <v>2544</v>
      </c>
      <c r="E167" s="370">
        <v>112.04</v>
      </c>
      <c r="F167" s="370" t="s">
        <v>2510</v>
      </c>
      <c r="G167" s="370">
        <v>93.32</v>
      </c>
      <c r="H167" s="370" t="s">
        <v>122</v>
      </c>
    </row>
    <row r="168" spans="1:8" ht="21.75" customHeight="1" x14ac:dyDescent="0.25">
      <c r="A168" s="377">
        <v>45822</v>
      </c>
      <c r="B168" s="363" t="s">
        <v>3047</v>
      </c>
      <c r="C168" s="364">
        <v>30200</v>
      </c>
      <c r="D168" s="370" t="s">
        <v>2726</v>
      </c>
      <c r="E168" s="370">
        <v>100.84</v>
      </c>
      <c r="F168" s="370" t="s">
        <v>2510</v>
      </c>
      <c r="G168" s="370">
        <v>92.87</v>
      </c>
      <c r="H168" s="370" t="s">
        <v>122</v>
      </c>
    </row>
    <row r="169" spans="1:8" ht="21.75" customHeight="1" x14ac:dyDescent="0.25">
      <c r="A169" s="377">
        <v>45823</v>
      </c>
      <c r="B169" s="363" t="s">
        <v>2193</v>
      </c>
      <c r="C169" s="364">
        <v>30000</v>
      </c>
      <c r="D169" s="370" t="s">
        <v>122</v>
      </c>
      <c r="E169" s="370" t="s">
        <v>122</v>
      </c>
      <c r="F169" s="370" t="s">
        <v>2510</v>
      </c>
      <c r="G169" s="370">
        <v>92.64</v>
      </c>
      <c r="H169" s="370" t="s">
        <v>122</v>
      </c>
    </row>
    <row r="170" spans="1:8" ht="21.75" customHeight="1" x14ac:dyDescent="0.25">
      <c r="A170" s="377">
        <v>45824</v>
      </c>
      <c r="B170" s="363" t="s">
        <v>2193</v>
      </c>
      <c r="C170" s="364">
        <v>30000</v>
      </c>
      <c r="D170" s="370" t="s">
        <v>122</v>
      </c>
      <c r="E170" s="370" t="s">
        <v>122</v>
      </c>
      <c r="F170" s="370" t="s">
        <v>122</v>
      </c>
      <c r="G170" s="370" t="s">
        <v>122</v>
      </c>
      <c r="H170" s="370" t="s">
        <v>122</v>
      </c>
    </row>
    <row r="171" spans="1:8" ht="21.75" customHeight="1" x14ac:dyDescent="0.25">
      <c r="A171" s="377">
        <v>45825</v>
      </c>
      <c r="B171" s="363" t="s">
        <v>2193</v>
      </c>
      <c r="C171" s="364">
        <v>30000</v>
      </c>
      <c r="D171" s="370" t="s">
        <v>122</v>
      </c>
      <c r="E171" s="370" t="s">
        <v>122</v>
      </c>
      <c r="F171" s="370" t="s">
        <v>122</v>
      </c>
      <c r="G171" s="370" t="s">
        <v>122</v>
      </c>
      <c r="H171" s="370" t="s">
        <v>122</v>
      </c>
    </row>
    <row r="172" spans="1:8" ht="21.75" customHeight="1" x14ac:dyDescent="0.25">
      <c r="A172" s="377">
        <v>45826</v>
      </c>
      <c r="B172" s="363" t="s">
        <v>2193</v>
      </c>
      <c r="C172" s="364">
        <v>30000</v>
      </c>
      <c r="D172" s="370" t="s">
        <v>122</v>
      </c>
      <c r="E172" s="370" t="s">
        <v>122</v>
      </c>
      <c r="F172" s="370" t="s">
        <v>122</v>
      </c>
      <c r="G172" s="370" t="s">
        <v>122</v>
      </c>
      <c r="H172" s="370" t="s">
        <v>122</v>
      </c>
    </row>
    <row r="173" spans="1:8" ht="21.75" customHeight="1" x14ac:dyDescent="0.25">
      <c r="A173" s="377">
        <v>45827</v>
      </c>
      <c r="B173" s="363" t="s">
        <v>2193</v>
      </c>
      <c r="C173" s="364">
        <v>30000</v>
      </c>
      <c r="D173" s="370" t="s">
        <v>2179</v>
      </c>
      <c r="E173" s="370">
        <v>79.05</v>
      </c>
      <c r="F173" s="371" t="s">
        <v>2176</v>
      </c>
      <c r="G173" s="370">
        <v>75.819999999999993</v>
      </c>
      <c r="H173" s="370" t="s">
        <v>122</v>
      </c>
    </row>
    <row r="174" spans="1:8" ht="21.75" customHeight="1" x14ac:dyDescent="0.25">
      <c r="A174" s="377">
        <v>45828</v>
      </c>
      <c r="B174" s="363" t="s">
        <v>2158</v>
      </c>
      <c r="C174" s="364">
        <v>28850</v>
      </c>
      <c r="D174" s="370" t="s">
        <v>2726</v>
      </c>
      <c r="E174" s="370">
        <v>100.31</v>
      </c>
      <c r="F174" s="370" t="s">
        <v>2510</v>
      </c>
      <c r="G174" s="370">
        <v>92.41</v>
      </c>
      <c r="H174" s="370" t="s">
        <v>122</v>
      </c>
    </row>
    <row r="175" spans="1:8" ht="21.75" customHeight="1" x14ac:dyDescent="0.25">
      <c r="A175" s="377">
        <v>45829</v>
      </c>
      <c r="B175" s="363" t="s">
        <v>3048</v>
      </c>
      <c r="C175" s="364">
        <v>28675</v>
      </c>
      <c r="D175" s="370" t="s">
        <v>2544</v>
      </c>
      <c r="E175" s="370">
        <v>110.42</v>
      </c>
      <c r="F175" s="370" t="s">
        <v>2726</v>
      </c>
      <c r="G175" s="370">
        <v>103.06</v>
      </c>
      <c r="H175" s="370" t="s">
        <v>122</v>
      </c>
    </row>
    <row r="176" spans="1:8" ht="21.75" customHeight="1" x14ac:dyDescent="0.25">
      <c r="A176" s="377">
        <v>45830</v>
      </c>
      <c r="B176" s="363" t="s">
        <v>1902</v>
      </c>
      <c r="C176" s="364">
        <v>28500</v>
      </c>
      <c r="D176" s="370" t="s">
        <v>2731</v>
      </c>
      <c r="E176" s="370">
        <v>120.3</v>
      </c>
      <c r="F176" s="370" t="s">
        <v>2726</v>
      </c>
      <c r="G176" s="370">
        <v>102.67</v>
      </c>
      <c r="H176" s="370" t="s">
        <v>122</v>
      </c>
    </row>
    <row r="177" spans="1:8" ht="21.75" customHeight="1" x14ac:dyDescent="0.25">
      <c r="A177" s="377">
        <v>45831</v>
      </c>
      <c r="B177" s="363" t="s">
        <v>2200</v>
      </c>
      <c r="C177" s="364">
        <v>28300</v>
      </c>
      <c r="D177" s="370" t="s">
        <v>2731</v>
      </c>
      <c r="E177" s="370">
        <v>119.81</v>
      </c>
      <c r="F177" s="370" t="s">
        <v>2726</v>
      </c>
      <c r="G177" s="370">
        <v>102.28</v>
      </c>
      <c r="H177" s="370" t="s">
        <v>122</v>
      </c>
    </row>
    <row r="178" spans="1:8" ht="21.75" customHeight="1" x14ac:dyDescent="0.25">
      <c r="A178" s="377">
        <v>45832</v>
      </c>
      <c r="B178" s="363" t="s">
        <v>3049</v>
      </c>
      <c r="C178" s="364">
        <v>27925</v>
      </c>
      <c r="D178" s="370" t="s">
        <v>2731</v>
      </c>
      <c r="E178" s="370">
        <v>119.14</v>
      </c>
      <c r="F178" s="370" t="s">
        <v>2726</v>
      </c>
      <c r="G178" s="370">
        <v>101.76</v>
      </c>
      <c r="H178" s="370" t="s">
        <v>122</v>
      </c>
    </row>
    <row r="179" spans="1:8" ht="21.75" customHeight="1" x14ac:dyDescent="0.25">
      <c r="A179" s="377">
        <v>45833</v>
      </c>
      <c r="B179" s="363" t="s">
        <v>2206</v>
      </c>
      <c r="C179" s="364">
        <v>27250</v>
      </c>
      <c r="D179" s="370" t="s">
        <v>2510</v>
      </c>
      <c r="E179" s="370">
        <v>87.62</v>
      </c>
      <c r="F179" s="370" t="s">
        <v>2726</v>
      </c>
      <c r="G179" s="370">
        <v>101.24</v>
      </c>
      <c r="H179" s="370" t="s">
        <v>122</v>
      </c>
    </row>
    <row r="180" spans="1:8" ht="21.75" customHeight="1" x14ac:dyDescent="0.25">
      <c r="A180" s="377">
        <v>45834</v>
      </c>
      <c r="B180" s="363" t="s">
        <v>3050</v>
      </c>
      <c r="C180" s="364">
        <v>26625</v>
      </c>
      <c r="D180" s="370" t="s">
        <v>2179</v>
      </c>
      <c r="E180" s="370">
        <v>76.67</v>
      </c>
      <c r="F180" s="370" t="s">
        <v>2726</v>
      </c>
      <c r="G180" s="370">
        <v>100.71</v>
      </c>
      <c r="H180" s="370" t="s">
        <v>122</v>
      </c>
    </row>
    <row r="181" spans="1:8" ht="21.75" customHeight="1" x14ac:dyDescent="0.25">
      <c r="A181" s="377">
        <v>45835</v>
      </c>
      <c r="B181" s="363" t="s">
        <v>1932</v>
      </c>
      <c r="C181" s="364">
        <v>26000</v>
      </c>
      <c r="D181" s="370" t="s">
        <v>122</v>
      </c>
      <c r="E181" s="370" t="s">
        <v>122</v>
      </c>
      <c r="F181" s="370" t="s">
        <v>122</v>
      </c>
      <c r="G181" s="370" t="s">
        <v>122</v>
      </c>
      <c r="H181" s="370" t="s">
        <v>122</v>
      </c>
    </row>
    <row r="182" spans="1:8" ht="21.75" customHeight="1" x14ac:dyDescent="0.25">
      <c r="A182" s="377">
        <v>45836</v>
      </c>
      <c r="B182" s="363" t="s">
        <v>1932</v>
      </c>
      <c r="C182" s="364">
        <v>26000</v>
      </c>
      <c r="D182" s="370" t="s">
        <v>2179</v>
      </c>
      <c r="E182" s="370">
        <v>76.349999999999994</v>
      </c>
      <c r="F182" s="370" t="s">
        <v>2180</v>
      </c>
      <c r="G182" s="370">
        <v>84.26</v>
      </c>
      <c r="H182" s="370" t="s">
        <v>122</v>
      </c>
    </row>
    <row r="183" spans="1:8" ht="21.75" customHeight="1" x14ac:dyDescent="0.25">
      <c r="A183" s="377">
        <v>45837</v>
      </c>
      <c r="B183" s="363" t="s">
        <v>3051</v>
      </c>
      <c r="C183" s="364">
        <v>25775</v>
      </c>
      <c r="D183" s="370" t="s">
        <v>2730</v>
      </c>
      <c r="E183" s="370">
        <v>91.55</v>
      </c>
      <c r="F183" s="370" t="s">
        <v>2730</v>
      </c>
      <c r="G183" s="370">
        <v>94.61</v>
      </c>
      <c r="H183" s="370" t="s">
        <v>122</v>
      </c>
    </row>
    <row r="184" spans="1:8" ht="21.75" customHeight="1" x14ac:dyDescent="0.25">
      <c r="A184" s="377">
        <v>45838</v>
      </c>
      <c r="B184" s="363" t="s">
        <v>2241</v>
      </c>
      <c r="C184" s="364">
        <v>25450</v>
      </c>
      <c r="D184" s="370" t="s">
        <v>2840</v>
      </c>
      <c r="E184" s="370">
        <v>101.15</v>
      </c>
      <c r="F184" s="370" t="s">
        <v>2730</v>
      </c>
      <c r="G184" s="370">
        <v>94.11</v>
      </c>
      <c r="H184" s="370" t="s">
        <v>122</v>
      </c>
    </row>
    <row r="185" spans="1:8" ht="21.75" customHeight="1" x14ac:dyDescent="0.25">
      <c r="A185" s="377">
        <v>45839</v>
      </c>
      <c r="B185" s="363" t="s">
        <v>2242</v>
      </c>
      <c r="C185" s="364">
        <v>25100</v>
      </c>
      <c r="D185" s="370" t="s">
        <v>2731</v>
      </c>
      <c r="E185" s="370">
        <v>115.41</v>
      </c>
      <c r="F185" s="370" t="s">
        <v>2730</v>
      </c>
      <c r="G185" s="370">
        <v>93.06</v>
      </c>
      <c r="H185" s="370">
        <v>1063.6600000000001</v>
      </c>
    </row>
    <row r="186" spans="1:8" ht="21.75" customHeight="1" x14ac:dyDescent="0.25">
      <c r="A186" s="377">
        <v>45840</v>
      </c>
      <c r="B186" s="363" t="s">
        <v>1899</v>
      </c>
      <c r="C186" s="364">
        <v>24000</v>
      </c>
      <c r="D186" s="370" t="s">
        <v>2544</v>
      </c>
      <c r="E186" s="370">
        <v>104.76</v>
      </c>
      <c r="F186" s="370" t="s">
        <v>2726</v>
      </c>
      <c r="G186" s="370">
        <v>98.17</v>
      </c>
      <c r="H186" s="370">
        <v>415.8</v>
      </c>
    </row>
    <row r="187" spans="1:8" ht="21.75" customHeight="1" x14ac:dyDescent="0.25">
      <c r="A187" s="377">
        <v>45841</v>
      </c>
      <c r="B187" s="363" t="s">
        <v>3053</v>
      </c>
      <c r="C187" s="364">
        <v>22450</v>
      </c>
      <c r="D187" s="370" t="s">
        <v>2726</v>
      </c>
      <c r="E187" s="370">
        <v>94.29</v>
      </c>
      <c r="F187" s="370" t="s">
        <v>2726</v>
      </c>
      <c r="G187" s="370">
        <v>97.62</v>
      </c>
      <c r="H187" s="370">
        <v>269.97000000000003</v>
      </c>
    </row>
    <row r="188" spans="1:8" ht="21.75" customHeight="1" x14ac:dyDescent="0.25">
      <c r="A188" s="377">
        <v>45842</v>
      </c>
      <c r="B188" s="363" t="s">
        <v>3054</v>
      </c>
      <c r="C188" s="364">
        <v>22375</v>
      </c>
      <c r="D188" s="370" t="s">
        <v>122</v>
      </c>
      <c r="E188" s="370" t="s">
        <v>122</v>
      </c>
      <c r="F188" s="370" t="s">
        <v>2726</v>
      </c>
      <c r="G188" s="257">
        <v>97.21</v>
      </c>
      <c r="H188" s="370">
        <v>625</v>
      </c>
    </row>
    <row r="189" spans="1:8" ht="21.75" customHeight="1" x14ac:dyDescent="0.25">
      <c r="A189" s="377">
        <v>45843</v>
      </c>
      <c r="B189" s="363" t="s">
        <v>3054</v>
      </c>
      <c r="C189" s="364">
        <v>22375</v>
      </c>
      <c r="D189" s="370" t="s">
        <v>122</v>
      </c>
      <c r="E189" s="370" t="s">
        <v>122</v>
      </c>
      <c r="F189" s="370" t="s">
        <v>122</v>
      </c>
      <c r="G189" s="370" t="s">
        <v>122</v>
      </c>
      <c r="H189" s="370">
        <v>625</v>
      </c>
    </row>
    <row r="190" spans="1:8" ht="21.75" customHeight="1" x14ac:dyDescent="0.25">
      <c r="A190" s="377">
        <v>45844</v>
      </c>
      <c r="B190" s="363" t="s">
        <v>3054</v>
      </c>
      <c r="C190" s="364">
        <v>22375</v>
      </c>
      <c r="D190" s="370" t="s">
        <v>122</v>
      </c>
      <c r="E190" s="370" t="s">
        <v>122</v>
      </c>
      <c r="F190" s="370" t="s">
        <v>122</v>
      </c>
      <c r="G190" s="370" t="s">
        <v>122</v>
      </c>
      <c r="H190" s="370">
        <v>270</v>
      </c>
    </row>
    <row r="191" spans="1:8" ht="21.75" customHeight="1" x14ac:dyDescent="0.25">
      <c r="A191" s="377">
        <v>45845</v>
      </c>
      <c r="B191" s="363" t="s">
        <v>1935</v>
      </c>
      <c r="C191" s="364">
        <v>22350</v>
      </c>
      <c r="D191" s="370" t="s">
        <v>122</v>
      </c>
      <c r="E191" s="370" t="s">
        <v>122</v>
      </c>
      <c r="F191" s="370" t="s">
        <v>122</v>
      </c>
      <c r="G191" s="370" t="s">
        <v>122</v>
      </c>
      <c r="H191" s="370">
        <v>146.9556</v>
      </c>
    </row>
    <row r="192" spans="1:8" ht="21.75" customHeight="1" x14ac:dyDescent="0.25">
      <c r="A192" s="377">
        <v>45846</v>
      </c>
      <c r="B192" s="363" t="s">
        <v>1935</v>
      </c>
      <c r="C192" s="364">
        <v>22350</v>
      </c>
      <c r="D192" s="370" t="s">
        <v>2730</v>
      </c>
      <c r="E192" s="370">
        <v>88.79</v>
      </c>
      <c r="F192" s="370" t="s">
        <v>2730</v>
      </c>
      <c r="G192" s="370">
        <v>91.94</v>
      </c>
      <c r="H192" s="370">
        <v>269.97300000000001</v>
      </c>
    </row>
    <row r="193" spans="1:8" ht="21.75" customHeight="1" x14ac:dyDescent="0.25">
      <c r="A193" s="377">
        <v>45847</v>
      </c>
      <c r="B193" s="363" t="s">
        <v>2276</v>
      </c>
      <c r="C193" s="364">
        <v>22300</v>
      </c>
      <c r="D193" s="370" t="s">
        <v>2731</v>
      </c>
      <c r="E193" s="370">
        <v>112.44</v>
      </c>
      <c r="F193" s="370" t="s">
        <v>2726</v>
      </c>
      <c r="G193" s="370">
        <v>96.52</v>
      </c>
      <c r="H193" s="370">
        <v>2360.16</v>
      </c>
    </row>
    <row r="194" spans="1:8" ht="21.75" customHeight="1" x14ac:dyDescent="0.25">
      <c r="A194" s="377">
        <v>45848</v>
      </c>
      <c r="B194" s="363" t="s">
        <v>2277</v>
      </c>
      <c r="C194" s="364">
        <v>22000</v>
      </c>
      <c r="D194" s="370" t="s">
        <v>2731</v>
      </c>
      <c r="E194" s="370">
        <v>111.73</v>
      </c>
      <c r="F194" s="370" t="s">
        <v>2726</v>
      </c>
      <c r="G194" s="370">
        <v>95.97</v>
      </c>
      <c r="H194" s="370">
        <v>3977.82</v>
      </c>
    </row>
    <row r="195" spans="1:8" ht="21.75" customHeight="1" x14ac:dyDescent="0.25">
      <c r="A195" s="377">
        <v>45849</v>
      </c>
      <c r="B195" s="363" t="s">
        <v>3055</v>
      </c>
      <c r="C195" s="364">
        <v>21450</v>
      </c>
      <c r="D195" s="370" t="s">
        <v>2731</v>
      </c>
      <c r="E195" s="370">
        <v>110.84</v>
      </c>
      <c r="F195" s="370" t="s">
        <v>2726</v>
      </c>
      <c r="G195" s="370">
        <v>95.27</v>
      </c>
      <c r="H195" s="370">
        <v>8296.2000000000007</v>
      </c>
    </row>
    <row r="196" spans="1:8" ht="21.75" customHeight="1" x14ac:dyDescent="0.25">
      <c r="A196" s="377">
        <v>45850</v>
      </c>
      <c r="B196" s="363" t="s">
        <v>2250</v>
      </c>
      <c r="C196" s="364">
        <v>21000</v>
      </c>
      <c r="D196" s="370" t="s">
        <v>2726</v>
      </c>
      <c r="E196" s="370">
        <v>91.13</v>
      </c>
      <c r="F196" s="370" t="s">
        <v>2726</v>
      </c>
      <c r="G196" s="370">
        <v>94.57</v>
      </c>
      <c r="H196" s="370">
        <v>5906.34</v>
      </c>
    </row>
    <row r="197" spans="1:8" ht="21.75" customHeight="1" x14ac:dyDescent="0.25">
      <c r="A197" s="377">
        <v>45851</v>
      </c>
      <c r="B197" s="363" t="s">
        <v>2252</v>
      </c>
      <c r="C197" s="364">
        <v>20450</v>
      </c>
      <c r="D197" s="370" t="s">
        <v>2180</v>
      </c>
      <c r="E197" s="370">
        <v>76.19</v>
      </c>
      <c r="F197" s="370" t="s">
        <v>2726</v>
      </c>
      <c r="G197" s="370">
        <v>94.01</v>
      </c>
      <c r="H197" s="370">
        <v>2954.16</v>
      </c>
    </row>
    <row r="198" spans="1:8" ht="21.75" customHeight="1" x14ac:dyDescent="0.25">
      <c r="A198" s="377">
        <v>45852</v>
      </c>
      <c r="B198" s="363" t="s">
        <v>3056</v>
      </c>
      <c r="C198" s="364">
        <v>19925</v>
      </c>
      <c r="D198" s="370" t="s">
        <v>122</v>
      </c>
      <c r="E198" s="370" t="s">
        <v>122</v>
      </c>
      <c r="F198" s="370" t="s">
        <v>122</v>
      </c>
      <c r="G198" s="370" t="s">
        <v>122</v>
      </c>
      <c r="H198" s="370">
        <v>1884.96</v>
      </c>
    </row>
    <row r="199" spans="1:8" ht="21.75" customHeight="1" x14ac:dyDescent="0.25">
      <c r="A199" s="377">
        <v>45853</v>
      </c>
      <c r="B199" s="363" t="s">
        <v>3056</v>
      </c>
      <c r="C199" s="364">
        <v>19925</v>
      </c>
      <c r="D199" s="370" t="s">
        <v>122</v>
      </c>
      <c r="E199" s="370" t="s">
        <v>122</v>
      </c>
      <c r="F199" s="370" t="s">
        <v>122</v>
      </c>
      <c r="G199" s="370" t="s">
        <v>122</v>
      </c>
      <c r="H199" s="370">
        <v>811.8</v>
      </c>
    </row>
    <row r="200" spans="1:8" ht="21.75" customHeight="1" x14ac:dyDescent="0.25">
      <c r="A200" s="377">
        <v>45854</v>
      </c>
      <c r="B200" s="363" t="s">
        <v>3056</v>
      </c>
      <c r="C200" s="364">
        <v>19925</v>
      </c>
      <c r="D200" s="370" t="s">
        <v>122</v>
      </c>
      <c r="E200" s="370" t="s">
        <v>122</v>
      </c>
      <c r="F200" s="370" t="s">
        <v>122</v>
      </c>
      <c r="G200" s="370" t="s">
        <v>122</v>
      </c>
      <c r="H200" s="370">
        <v>811.8</v>
      </c>
    </row>
    <row r="201" spans="1:8" ht="21.75" customHeight="1" x14ac:dyDescent="0.25">
      <c r="A201" s="377">
        <v>45855</v>
      </c>
      <c r="B201" s="363" t="s">
        <v>1955</v>
      </c>
      <c r="C201" s="364">
        <v>19850</v>
      </c>
      <c r="D201" s="370" t="s">
        <v>122</v>
      </c>
      <c r="E201" s="370" t="s">
        <v>122</v>
      </c>
      <c r="F201" s="370" t="s">
        <v>122</v>
      </c>
      <c r="G201" s="370" t="s">
        <v>122</v>
      </c>
      <c r="H201" s="370">
        <v>624.99</v>
      </c>
    </row>
    <row r="202" spans="1:8" ht="21.75" customHeight="1" x14ac:dyDescent="0.25">
      <c r="A202" s="377">
        <v>45856</v>
      </c>
      <c r="B202" s="363" t="s">
        <v>1955</v>
      </c>
      <c r="C202" s="364">
        <v>19850</v>
      </c>
      <c r="D202" s="370" t="s">
        <v>2726</v>
      </c>
      <c r="E202" s="370">
        <v>89.95</v>
      </c>
      <c r="F202" s="370" t="s">
        <v>2510</v>
      </c>
      <c r="G202" s="370">
        <v>83.56</v>
      </c>
      <c r="H202" s="370">
        <v>269.97000000000003</v>
      </c>
    </row>
    <row r="203" spans="1:8" ht="21.75" customHeight="1" x14ac:dyDescent="0.25">
      <c r="A203" s="377">
        <v>45857</v>
      </c>
      <c r="B203" s="363" t="s">
        <v>3057</v>
      </c>
      <c r="C203" s="364">
        <v>19500</v>
      </c>
      <c r="D203" s="370" t="s">
        <v>2726</v>
      </c>
      <c r="E203" s="370">
        <v>89.36</v>
      </c>
      <c r="F203" s="370" t="s">
        <v>2510</v>
      </c>
      <c r="G203" s="370">
        <v>83.06</v>
      </c>
      <c r="H203" s="370">
        <v>269.97000000000003</v>
      </c>
    </row>
    <row r="204" spans="1:8" ht="21.75" customHeight="1" x14ac:dyDescent="0.25">
      <c r="A204" s="377">
        <v>45858</v>
      </c>
      <c r="B204" s="363" t="s">
        <v>3058</v>
      </c>
      <c r="C204" s="364">
        <v>19200</v>
      </c>
      <c r="D204" s="370" t="s">
        <v>2177</v>
      </c>
      <c r="E204" s="370">
        <v>60.37</v>
      </c>
      <c r="F204" s="370" t="s">
        <v>2510</v>
      </c>
      <c r="G204" s="370">
        <v>82.55</v>
      </c>
      <c r="H204" s="370">
        <v>146.96</v>
      </c>
    </row>
    <row r="205" spans="1:8" ht="21.75" customHeight="1" x14ac:dyDescent="0.25">
      <c r="A205" s="377">
        <v>45859</v>
      </c>
      <c r="B205" s="363" t="s">
        <v>3059</v>
      </c>
      <c r="C205" s="364">
        <v>18800</v>
      </c>
      <c r="D205" s="370" t="s">
        <v>2152</v>
      </c>
      <c r="E205" s="370">
        <v>30.62</v>
      </c>
      <c r="F205" s="370" t="s">
        <v>2179</v>
      </c>
      <c r="G205" s="370">
        <v>72.349999999999994</v>
      </c>
      <c r="H205" s="370" t="s">
        <v>122</v>
      </c>
    </row>
    <row r="206" spans="1:8" ht="21.75" customHeight="1" x14ac:dyDescent="0.25">
      <c r="A206" s="377">
        <v>45860</v>
      </c>
      <c r="B206" s="363" t="s">
        <v>3060</v>
      </c>
      <c r="C206" s="364">
        <v>18425</v>
      </c>
      <c r="D206" s="370" t="s">
        <v>122</v>
      </c>
      <c r="E206" s="370" t="s">
        <v>122</v>
      </c>
      <c r="F206" s="370" t="s">
        <v>122</v>
      </c>
      <c r="G206" s="370" t="s">
        <v>122</v>
      </c>
      <c r="H206" s="370" t="s">
        <v>122</v>
      </c>
    </row>
    <row r="207" spans="1:8" ht="21.75" customHeight="1" x14ac:dyDescent="0.25">
      <c r="A207" s="377">
        <v>45861</v>
      </c>
      <c r="B207" s="363" t="s">
        <v>2259</v>
      </c>
      <c r="C207" s="364">
        <v>18250</v>
      </c>
      <c r="D207" s="370" t="s">
        <v>122</v>
      </c>
      <c r="E207" s="370" t="s">
        <v>122</v>
      </c>
      <c r="F207" s="370" t="s">
        <v>122</v>
      </c>
      <c r="G207" s="370" t="s">
        <v>122</v>
      </c>
      <c r="H207" s="370" t="s">
        <v>122</v>
      </c>
    </row>
    <row r="208" spans="1:8" ht="21.75" customHeight="1" x14ac:dyDescent="0.25">
      <c r="A208" s="377">
        <v>45862</v>
      </c>
      <c r="B208" s="363" t="s">
        <v>2259</v>
      </c>
      <c r="C208" s="364">
        <v>18250</v>
      </c>
      <c r="D208" s="370" t="s">
        <v>122</v>
      </c>
      <c r="E208" s="370" t="s">
        <v>122</v>
      </c>
      <c r="F208" s="370" t="s">
        <v>122</v>
      </c>
      <c r="G208" s="370" t="s">
        <v>122</v>
      </c>
      <c r="H208" s="370" t="s">
        <v>122</v>
      </c>
    </row>
    <row r="209" spans="1:8" ht="21.75" customHeight="1" x14ac:dyDescent="0.25">
      <c r="A209" s="377">
        <v>45863</v>
      </c>
      <c r="B209" s="363" t="s">
        <v>3061</v>
      </c>
      <c r="C209" s="364">
        <v>18125</v>
      </c>
      <c r="D209" s="370" t="s">
        <v>122</v>
      </c>
      <c r="E209" s="370" t="s">
        <v>122</v>
      </c>
      <c r="F209" s="370" t="s">
        <v>122</v>
      </c>
      <c r="G209" s="370" t="s">
        <v>122</v>
      </c>
      <c r="H209" s="370" t="s">
        <v>122</v>
      </c>
    </row>
    <row r="210" spans="1:8" ht="21.75" customHeight="1" x14ac:dyDescent="0.25">
      <c r="A210" s="377">
        <v>45864</v>
      </c>
      <c r="B210" s="363" t="s">
        <v>3061</v>
      </c>
      <c r="C210" s="364">
        <v>18125</v>
      </c>
      <c r="D210" s="370" t="s">
        <v>122</v>
      </c>
      <c r="E210" s="370" t="s">
        <v>122</v>
      </c>
      <c r="F210" s="370" t="s">
        <v>122</v>
      </c>
      <c r="G210" s="370" t="s">
        <v>122</v>
      </c>
      <c r="H210" s="370" t="s">
        <v>122</v>
      </c>
    </row>
    <row r="211" spans="1:8" ht="21.75" customHeight="1" x14ac:dyDescent="0.25">
      <c r="A211" s="377">
        <v>45865</v>
      </c>
      <c r="B211" s="363" t="s">
        <v>3061</v>
      </c>
      <c r="C211" s="364">
        <v>18125</v>
      </c>
      <c r="D211" s="370" t="s">
        <v>122</v>
      </c>
      <c r="E211" s="370" t="s">
        <v>122</v>
      </c>
      <c r="F211" s="370" t="s">
        <v>122</v>
      </c>
      <c r="G211" s="370" t="s">
        <v>122</v>
      </c>
      <c r="H211" s="370" t="s">
        <v>122</v>
      </c>
    </row>
    <row r="212" spans="1:8" ht="21.75" customHeight="1" x14ac:dyDescent="0.25">
      <c r="A212" s="377">
        <v>45866</v>
      </c>
      <c r="B212" s="363" t="s">
        <v>3061</v>
      </c>
      <c r="C212" s="364">
        <v>18125</v>
      </c>
      <c r="D212" s="370" t="s">
        <v>122</v>
      </c>
      <c r="E212" s="370" t="s">
        <v>122</v>
      </c>
      <c r="F212" s="370" t="s">
        <v>122</v>
      </c>
      <c r="G212" s="370" t="s">
        <v>122</v>
      </c>
      <c r="H212" s="370" t="s">
        <v>122</v>
      </c>
    </row>
    <row r="213" spans="1:8" ht="21.75" customHeight="1" x14ac:dyDescent="0.25">
      <c r="A213" s="377">
        <v>45867</v>
      </c>
      <c r="B213" s="363" t="s">
        <v>3062</v>
      </c>
      <c r="C213" s="364">
        <v>18000</v>
      </c>
      <c r="D213" s="370" t="s">
        <v>122</v>
      </c>
      <c r="E213" s="370" t="s">
        <v>122</v>
      </c>
      <c r="F213" s="370" t="s">
        <v>122</v>
      </c>
      <c r="G213" s="370" t="s">
        <v>122</v>
      </c>
      <c r="H213" s="370" t="s">
        <v>122</v>
      </c>
    </row>
    <row r="214" spans="1:8" ht="21.75" customHeight="1" x14ac:dyDescent="0.25">
      <c r="A214" s="377">
        <v>45868</v>
      </c>
      <c r="B214" s="363" t="s">
        <v>3063</v>
      </c>
      <c r="C214" s="364">
        <v>17900</v>
      </c>
      <c r="D214" s="370" t="s">
        <v>122</v>
      </c>
      <c r="E214" s="370" t="s">
        <v>122</v>
      </c>
      <c r="F214" s="370" t="s">
        <v>122</v>
      </c>
      <c r="G214" s="370" t="s">
        <v>122</v>
      </c>
      <c r="H214" s="370" t="s">
        <v>122</v>
      </c>
    </row>
    <row r="215" spans="1:8" ht="21.75" customHeight="1" x14ac:dyDescent="0.25">
      <c r="A215" s="377">
        <v>45869</v>
      </c>
      <c r="B215" s="363" t="s">
        <v>1919</v>
      </c>
      <c r="C215" s="364">
        <v>17800</v>
      </c>
      <c r="D215" s="370" t="s">
        <v>122</v>
      </c>
      <c r="E215" s="370" t="s">
        <v>122</v>
      </c>
      <c r="F215" s="370" t="s">
        <v>122</v>
      </c>
      <c r="G215" s="370" t="s">
        <v>122</v>
      </c>
      <c r="H215" s="370" t="s">
        <v>122</v>
      </c>
    </row>
    <row r="216" spans="1:8" ht="21.75" customHeight="1" x14ac:dyDescent="0.25">
      <c r="A216" s="377">
        <v>45870</v>
      </c>
      <c r="B216" s="363" t="s">
        <v>1919</v>
      </c>
      <c r="C216" s="364">
        <v>17800</v>
      </c>
      <c r="D216" s="370" t="s">
        <v>122</v>
      </c>
      <c r="E216" s="370" t="s">
        <v>122</v>
      </c>
      <c r="F216" s="370" t="s">
        <v>122</v>
      </c>
      <c r="G216" s="370" t="s">
        <v>122</v>
      </c>
      <c r="H216" s="370" t="s">
        <v>122</v>
      </c>
    </row>
    <row r="217" spans="1:8" ht="21.75" customHeight="1" x14ac:dyDescent="0.25">
      <c r="A217" s="377">
        <v>45871</v>
      </c>
      <c r="B217" s="363" t="s">
        <v>1919</v>
      </c>
      <c r="C217" s="364">
        <v>17800</v>
      </c>
      <c r="D217" s="370" t="s">
        <v>122</v>
      </c>
      <c r="E217" s="370" t="s">
        <v>122</v>
      </c>
      <c r="F217" s="370" t="s">
        <v>122</v>
      </c>
      <c r="G217" s="370" t="s">
        <v>122</v>
      </c>
      <c r="H217" s="370" t="s">
        <v>122</v>
      </c>
    </row>
    <row r="218" spans="1:8" ht="21.75" customHeight="1" x14ac:dyDescent="0.25">
      <c r="A218" s="377">
        <v>45872</v>
      </c>
      <c r="B218" s="363" t="s">
        <v>1919</v>
      </c>
      <c r="C218" s="364">
        <v>17800</v>
      </c>
      <c r="D218" s="370" t="s">
        <v>122</v>
      </c>
      <c r="E218" s="370" t="s">
        <v>122</v>
      </c>
      <c r="F218" s="370" t="s">
        <v>122</v>
      </c>
      <c r="G218" s="370" t="s">
        <v>122</v>
      </c>
      <c r="H218" s="370" t="s">
        <v>122</v>
      </c>
    </row>
    <row r="219" spans="1:8" ht="21.75" customHeight="1" x14ac:dyDescent="0.25">
      <c r="A219" s="377">
        <v>45873</v>
      </c>
      <c r="B219" s="363" t="s">
        <v>3063</v>
      </c>
      <c r="C219" s="364">
        <v>17900</v>
      </c>
      <c r="D219" s="370" t="s">
        <v>122</v>
      </c>
      <c r="E219" s="370" t="s">
        <v>122</v>
      </c>
      <c r="F219" s="370" t="s">
        <v>122</v>
      </c>
      <c r="G219" s="370" t="s">
        <v>122</v>
      </c>
      <c r="H219" s="370" t="s">
        <v>122</v>
      </c>
    </row>
    <row r="220" spans="1:8" ht="21.75" customHeight="1" x14ac:dyDescent="0.25">
      <c r="A220" s="377">
        <v>45874</v>
      </c>
      <c r="B220" s="363" t="s">
        <v>3063</v>
      </c>
      <c r="C220" s="364">
        <v>17900</v>
      </c>
      <c r="D220" s="370" t="s">
        <v>122</v>
      </c>
      <c r="E220" s="370" t="s">
        <v>122</v>
      </c>
      <c r="F220" s="370" t="s">
        <v>122</v>
      </c>
      <c r="G220" s="370" t="s">
        <v>122</v>
      </c>
      <c r="H220" s="370" t="s">
        <v>122</v>
      </c>
    </row>
    <row r="221" spans="1:8" ht="21.75" customHeight="1" x14ac:dyDescent="0.25">
      <c r="A221" s="377">
        <v>45875</v>
      </c>
      <c r="B221" s="363" t="s">
        <v>3063</v>
      </c>
      <c r="C221" s="364">
        <v>17900</v>
      </c>
      <c r="D221" s="370" t="s">
        <v>122</v>
      </c>
      <c r="E221" s="370" t="s">
        <v>122</v>
      </c>
      <c r="F221" s="370" t="s">
        <v>122</v>
      </c>
      <c r="G221" s="370" t="s">
        <v>122</v>
      </c>
      <c r="H221" s="370" t="s">
        <v>122</v>
      </c>
    </row>
    <row r="222" spans="1:8" ht="21.75" customHeight="1" x14ac:dyDescent="0.25">
      <c r="A222" s="377">
        <v>45876</v>
      </c>
      <c r="B222" s="363" t="s">
        <v>1919</v>
      </c>
      <c r="C222" s="364">
        <v>17800</v>
      </c>
      <c r="D222" s="370" t="s">
        <v>122</v>
      </c>
      <c r="E222" s="370" t="s">
        <v>122</v>
      </c>
      <c r="F222" s="370" t="s">
        <v>122</v>
      </c>
      <c r="G222" s="370" t="s">
        <v>122</v>
      </c>
      <c r="H222" s="370" t="s">
        <v>122</v>
      </c>
    </row>
    <row r="223" spans="1:8" ht="21.75" customHeight="1" x14ac:dyDescent="0.25">
      <c r="A223" s="377">
        <v>45877</v>
      </c>
      <c r="B223" s="363" t="s">
        <v>1919</v>
      </c>
      <c r="C223" s="364">
        <v>17800</v>
      </c>
      <c r="D223" s="370" t="s">
        <v>122</v>
      </c>
      <c r="E223" s="370" t="s">
        <v>122</v>
      </c>
      <c r="F223" s="370" t="s">
        <v>122</v>
      </c>
      <c r="G223" s="370" t="s">
        <v>122</v>
      </c>
      <c r="H223" s="370" t="s">
        <v>122</v>
      </c>
    </row>
    <row r="224" spans="1:8" ht="21.75" customHeight="1" x14ac:dyDescent="0.25">
      <c r="A224" s="377">
        <v>45878</v>
      </c>
      <c r="B224" s="363" t="s">
        <v>3064</v>
      </c>
      <c r="C224" s="364">
        <v>17700</v>
      </c>
      <c r="D224" s="370" t="s">
        <v>122</v>
      </c>
      <c r="E224" s="370" t="s">
        <v>122</v>
      </c>
      <c r="F224" s="370" t="s">
        <v>122</v>
      </c>
      <c r="G224" s="370" t="s">
        <v>122</v>
      </c>
      <c r="H224" s="370" t="s">
        <v>122</v>
      </c>
    </row>
    <row r="225" spans="1:8" ht="21.75" customHeight="1" x14ac:dyDescent="0.25">
      <c r="A225" s="377">
        <v>45879</v>
      </c>
      <c r="B225" s="363" t="s">
        <v>3064</v>
      </c>
      <c r="C225" s="364">
        <v>17700</v>
      </c>
      <c r="D225" s="370" t="s">
        <v>122</v>
      </c>
      <c r="E225" s="370" t="s">
        <v>122</v>
      </c>
      <c r="F225" s="370" t="s">
        <v>122</v>
      </c>
      <c r="G225" s="370" t="s">
        <v>122</v>
      </c>
      <c r="H225" s="370" t="s">
        <v>122</v>
      </c>
    </row>
    <row r="226" spans="1:8" ht="21.75" customHeight="1" x14ac:dyDescent="0.25">
      <c r="A226" s="377">
        <v>45880</v>
      </c>
      <c r="B226" s="363" t="s">
        <v>3065</v>
      </c>
      <c r="C226" s="364">
        <v>17600</v>
      </c>
      <c r="D226" s="370" t="s">
        <v>122</v>
      </c>
      <c r="E226" s="380" t="s">
        <v>122</v>
      </c>
      <c r="F226" s="370" t="s">
        <v>122</v>
      </c>
      <c r="G226" s="370" t="s">
        <v>122</v>
      </c>
      <c r="H226" s="370" t="s">
        <v>122</v>
      </c>
    </row>
    <row r="227" spans="1:8" ht="21.75" customHeight="1" x14ac:dyDescent="0.25">
      <c r="A227" s="377">
        <v>45881</v>
      </c>
      <c r="B227" s="363" t="s">
        <v>3065</v>
      </c>
      <c r="C227" s="364">
        <v>17600</v>
      </c>
      <c r="D227" s="370" t="s">
        <v>122</v>
      </c>
      <c r="E227" s="370" t="s">
        <v>122</v>
      </c>
      <c r="F227" s="370" t="s">
        <v>122</v>
      </c>
      <c r="G227" s="370" t="s">
        <v>122</v>
      </c>
      <c r="H227" s="370" t="s">
        <v>122</v>
      </c>
    </row>
    <row r="228" spans="1:8" ht="21.75" customHeight="1" x14ac:dyDescent="0.25">
      <c r="A228" s="377">
        <v>45882</v>
      </c>
      <c r="B228" s="363" t="s">
        <v>3065</v>
      </c>
      <c r="C228" s="364">
        <v>17600</v>
      </c>
      <c r="D228" s="370" t="s">
        <v>122</v>
      </c>
      <c r="E228" s="370" t="s">
        <v>122</v>
      </c>
      <c r="F228" s="370" t="s">
        <v>122</v>
      </c>
      <c r="G228" s="370" t="s">
        <v>122</v>
      </c>
      <c r="H228" s="370" t="s">
        <v>122</v>
      </c>
    </row>
    <row r="229" spans="1:8" ht="21.75" customHeight="1" x14ac:dyDescent="0.25">
      <c r="A229" s="377">
        <v>45883</v>
      </c>
      <c r="B229" s="363" t="s">
        <v>3066</v>
      </c>
      <c r="C229" s="364">
        <v>17500</v>
      </c>
      <c r="D229" s="370" t="s">
        <v>122</v>
      </c>
      <c r="E229" s="370" t="s">
        <v>122</v>
      </c>
      <c r="F229" s="370" t="s">
        <v>122</v>
      </c>
      <c r="G229" s="370" t="s">
        <v>122</v>
      </c>
      <c r="H229" s="370" t="s">
        <v>122</v>
      </c>
    </row>
    <row r="230" spans="1:8" ht="21.75" customHeight="1" x14ac:dyDescent="0.25">
      <c r="A230" s="377">
        <v>45884</v>
      </c>
      <c r="B230" s="363" t="s">
        <v>2260</v>
      </c>
      <c r="C230" s="364">
        <v>17500</v>
      </c>
      <c r="D230" s="370" t="s">
        <v>122</v>
      </c>
      <c r="E230" s="370" t="s">
        <v>122</v>
      </c>
      <c r="F230" s="370" t="s">
        <v>122</v>
      </c>
      <c r="G230" s="370" t="s">
        <v>122</v>
      </c>
      <c r="H230" s="370" t="s">
        <v>122</v>
      </c>
    </row>
    <row r="231" spans="1:8" ht="21.75" customHeight="1" x14ac:dyDescent="0.25">
      <c r="A231" s="377">
        <v>45885</v>
      </c>
      <c r="B231" s="363" t="s">
        <v>3067</v>
      </c>
      <c r="C231" s="364">
        <v>17450</v>
      </c>
      <c r="D231" s="370" t="s">
        <v>122</v>
      </c>
      <c r="E231" s="370" t="s">
        <v>122</v>
      </c>
      <c r="F231" s="370" t="s">
        <v>122</v>
      </c>
      <c r="G231" s="370" t="s">
        <v>122</v>
      </c>
      <c r="H231" s="370" t="s">
        <v>122</v>
      </c>
    </row>
    <row r="232" spans="1:8" ht="21.75" customHeight="1" x14ac:dyDescent="0.25">
      <c r="A232" s="377">
        <v>45886</v>
      </c>
      <c r="B232" s="363" t="s">
        <v>3067</v>
      </c>
      <c r="C232" s="364">
        <v>17450</v>
      </c>
      <c r="D232" s="370" t="s">
        <v>122</v>
      </c>
      <c r="E232" s="370" t="s">
        <v>122</v>
      </c>
      <c r="F232" s="370" t="s">
        <v>122</v>
      </c>
      <c r="G232" s="370" t="s">
        <v>122</v>
      </c>
      <c r="H232" s="370" t="s">
        <v>122</v>
      </c>
    </row>
    <row r="233" spans="1:8" ht="21.75" customHeight="1" x14ac:dyDescent="0.25">
      <c r="A233" s="377">
        <v>45887</v>
      </c>
      <c r="B233" s="363" t="s">
        <v>1920</v>
      </c>
      <c r="C233" s="364">
        <v>17400</v>
      </c>
      <c r="D233" s="370" t="s">
        <v>122</v>
      </c>
      <c r="E233" s="370" t="s">
        <v>122</v>
      </c>
      <c r="F233" s="370" t="s">
        <v>122</v>
      </c>
      <c r="G233" s="370" t="s">
        <v>122</v>
      </c>
      <c r="H233" s="370" t="s">
        <v>122</v>
      </c>
    </row>
    <row r="234" spans="1:8" ht="21.75" customHeight="1" x14ac:dyDescent="0.25">
      <c r="A234" s="377">
        <v>45888</v>
      </c>
      <c r="B234" s="363" t="s">
        <v>1920</v>
      </c>
      <c r="C234" s="364">
        <v>17400</v>
      </c>
      <c r="D234" s="370" t="s">
        <v>122</v>
      </c>
      <c r="E234" s="370" t="s">
        <v>122</v>
      </c>
      <c r="F234" s="370" t="s">
        <v>122</v>
      </c>
      <c r="G234" s="370" t="s">
        <v>122</v>
      </c>
      <c r="H234" s="370" t="s">
        <v>122</v>
      </c>
    </row>
    <row r="235" spans="1:8" ht="21.75" customHeight="1" x14ac:dyDescent="0.25">
      <c r="A235" s="377">
        <v>45889</v>
      </c>
      <c r="B235" s="363" t="s">
        <v>1920</v>
      </c>
      <c r="C235" s="364">
        <v>17400</v>
      </c>
      <c r="D235" s="370" t="s">
        <v>122</v>
      </c>
      <c r="E235" s="370" t="s">
        <v>122</v>
      </c>
      <c r="F235" s="370" t="s">
        <v>122</v>
      </c>
      <c r="G235" s="370" t="s">
        <v>122</v>
      </c>
      <c r="H235" s="370" t="s">
        <v>122</v>
      </c>
    </row>
    <row r="236" spans="1:8" ht="21.75" customHeight="1" x14ac:dyDescent="0.25">
      <c r="A236" s="377">
        <v>45890</v>
      </c>
      <c r="B236" s="363" t="s">
        <v>3068</v>
      </c>
      <c r="C236" s="364">
        <v>17325</v>
      </c>
      <c r="D236" s="370" t="s">
        <v>122</v>
      </c>
      <c r="E236" s="370" t="s">
        <v>122</v>
      </c>
      <c r="F236" s="370" t="s">
        <v>122</v>
      </c>
      <c r="G236" s="370" t="s">
        <v>122</v>
      </c>
      <c r="H236" s="370" t="s">
        <v>122</v>
      </c>
    </row>
    <row r="237" spans="1:8" ht="21.75" customHeight="1" x14ac:dyDescent="0.25">
      <c r="A237" s="377">
        <v>45891</v>
      </c>
      <c r="B237" s="363" t="s">
        <v>2026</v>
      </c>
      <c r="C237" s="364">
        <v>17250</v>
      </c>
      <c r="D237" s="370" t="s">
        <v>122</v>
      </c>
      <c r="E237" s="370" t="s">
        <v>122</v>
      </c>
      <c r="F237" s="370" t="s">
        <v>122</v>
      </c>
      <c r="G237" s="370" t="s">
        <v>122</v>
      </c>
      <c r="H237" s="370" t="s">
        <v>122</v>
      </c>
    </row>
    <row r="238" spans="1:8" ht="21.75" customHeight="1" x14ac:dyDescent="0.25">
      <c r="A238" s="377">
        <v>45892</v>
      </c>
      <c r="B238" s="363" t="s">
        <v>2026</v>
      </c>
      <c r="C238" s="364">
        <v>17250</v>
      </c>
      <c r="D238" s="370" t="s">
        <v>122</v>
      </c>
      <c r="E238" s="370" t="s">
        <v>122</v>
      </c>
      <c r="F238" s="370" t="s">
        <v>122</v>
      </c>
      <c r="G238" s="370" t="s">
        <v>122</v>
      </c>
      <c r="H238" s="370" t="s">
        <v>122</v>
      </c>
    </row>
    <row r="239" spans="1:8" ht="21.75" customHeight="1" x14ac:dyDescent="0.25">
      <c r="A239" s="377">
        <v>45893</v>
      </c>
      <c r="B239" s="363" t="s">
        <v>2026</v>
      </c>
      <c r="C239" s="364">
        <v>17250</v>
      </c>
      <c r="D239" s="370" t="s">
        <v>122</v>
      </c>
      <c r="E239" s="370" t="s">
        <v>122</v>
      </c>
      <c r="F239" s="370" t="s">
        <v>122</v>
      </c>
      <c r="G239" s="370" t="s">
        <v>122</v>
      </c>
      <c r="H239" s="370" t="s">
        <v>122</v>
      </c>
    </row>
    <row r="240" spans="1:8" ht="21.75" customHeight="1" x14ac:dyDescent="0.25">
      <c r="A240" s="377">
        <v>45894</v>
      </c>
      <c r="B240" s="363" t="s">
        <v>1921</v>
      </c>
      <c r="C240" s="364">
        <v>17000</v>
      </c>
      <c r="D240" s="370" t="s">
        <v>122</v>
      </c>
      <c r="E240" s="370" t="s">
        <v>122</v>
      </c>
      <c r="F240" s="370" t="s">
        <v>122</v>
      </c>
      <c r="G240" s="370" t="s">
        <v>122</v>
      </c>
      <c r="H240" s="370" t="s">
        <v>122</v>
      </c>
    </row>
    <row r="241" spans="1:8" ht="21.75" customHeight="1" x14ac:dyDescent="0.25">
      <c r="A241" s="377">
        <v>45895</v>
      </c>
      <c r="B241" s="363" t="s">
        <v>1921</v>
      </c>
      <c r="C241" s="364">
        <v>17000</v>
      </c>
      <c r="D241" s="370" t="s">
        <v>122</v>
      </c>
      <c r="E241" s="370" t="s">
        <v>122</v>
      </c>
      <c r="F241" s="370" t="s">
        <v>122</v>
      </c>
      <c r="G241" s="370" t="s">
        <v>122</v>
      </c>
      <c r="H241" s="370" t="s">
        <v>122</v>
      </c>
    </row>
    <row r="242" spans="1:8" ht="21.75" customHeight="1" x14ac:dyDescent="0.25">
      <c r="A242" s="377">
        <v>45896</v>
      </c>
      <c r="B242" s="363" t="s">
        <v>1921</v>
      </c>
      <c r="C242" s="364">
        <v>17000</v>
      </c>
      <c r="D242" s="370" t="s">
        <v>122</v>
      </c>
      <c r="E242" s="370" t="s">
        <v>122</v>
      </c>
      <c r="F242" s="370" t="s">
        <v>122</v>
      </c>
      <c r="G242" s="370" t="s">
        <v>122</v>
      </c>
      <c r="H242" s="370" t="s">
        <v>122</v>
      </c>
    </row>
    <row r="243" spans="1:8" ht="21.75" customHeight="1" x14ac:dyDescent="0.25">
      <c r="A243" s="377">
        <v>45897</v>
      </c>
      <c r="B243" s="363" t="s">
        <v>3069</v>
      </c>
      <c r="C243" s="364">
        <v>16950</v>
      </c>
      <c r="D243" s="370" t="s">
        <v>122</v>
      </c>
      <c r="E243" s="370" t="s">
        <v>122</v>
      </c>
      <c r="F243" s="370" t="s">
        <v>122</v>
      </c>
      <c r="G243" s="370" t="s">
        <v>122</v>
      </c>
      <c r="H243" s="370" t="s">
        <v>122</v>
      </c>
    </row>
    <row r="244" spans="1:8" ht="21.75" customHeight="1" x14ac:dyDescent="0.25">
      <c r="A244" s="377">
        <v>45898</v>
      </c>
      <c r="B244" s="363" t="s">
        <v>3069</v>
      </c>
      <c r="C244" s="364">
        <v>16950</v>
      </c>
      <c r="D244" s="370" t="s">
        <v>122</v>
      </c>
      <c r="E244" s="370" t="s">
        <v>122</v>
      </c>
      <c r="F244" s="370" t="s">
        <v>122</v>
      </c>
      <c r="G244" s="370" t="s">
        <v>122</v>
      </c>
      <c r="H244" s="370" t="s">
        <v>122</v>
      </c>
    </row>
    <row r="245" spans="1:8" ht="21.75" customHeight="1" x14ac:dyDescent="0.25">
      <c r="A245" s="377">
        <v>45899</v>
      </c>
      <c r="B245" s="363" t="s">
        <v>2029</v>
      </c>
      <c r="C245" s="364">
        <v>16900</v>
      </c>
      <c r="D245" s="370" t="s">
        <v>122</v>
      </c>
      <c r="E245" s="370" t="s">
        <v>122</v>
      </c>
      <c r="F245" s="370" t="s">
        <v>122</v>
      </c>
      <c r="G245" s="370" t="s">
        <v>122</v>
      </c>
      <c r="H245" s="370" t="s">
        <v>122</v>
      </c>
    </row>
    <row r="246" spans="1:8" ht="21.75" customHeight="1" x14ac:dyDescent="0.25">
      <c r="A246" s="377">
        <v>45900</v>
      </c>
      <c r="B246" s="363" t="s">
        <v>2029</v>
      </c>
      <c r="C246" s="364">
        <v>16900</v>
      </c>
      <c r="D246" s="370" t="s">
        <v>122</v>
      </c>
      <c r="E246" s="370" t="s">
        <v>122</v>
      </c>
      <c r="F246" s="370" t="s">
        <v>122</v>
      </c>
      <c r="G246" s="370" t="s">
        <v>122</v>
      </c>
      <c r="H246" s="370" t="s">
        <v>122</v>
      </c>
    </row>
    <row r="247" spans="1:8" ht="21.75" customHeight="1" x14ac:dyDescent="0.25">
      <c r="A247" s="377">
        <v>45901</v>
      </c>
      <c r="B247" s="363" t="s">
        <v>3070</v>
      </c>
      <c r="C247" s="364">
        <v>16850</v>
      </c>
      <c r="D247" s="370" t="s">
        <v>122</v>
      </c>
      <c r="E247" s="370" t="s">
        <v>122</v>
      </c>
      <c r="F247" s="370" t="s">
        <v>122</v>
      </c>
      <c r="G247" s="370" t="s">
        <v>122</v>
      </c>
      <c r="H247" s="370" t="s">
        <v>122</v>
      </c>
    </row>
    <row r="248" spans="1:8" ht="21.75" customHeight="1" x14ac:dyDescent="0.25">
      <c r="A248" s="377">
        <v>45902</v>
      </c>
      <c r="B248" s="363" t="s">
        <v>3070</v>
      </c>
      <c r="C248" s="364">
        <v>16850</v>
      </c>
      <c r="D248" s="370" t="s">
        <v>122</v>
      </c>
      <c r="E248" s="370" t="s">
        <v>122</v>
      </c>
      <c r="F248" s="370" t="s">
        <v>122</v>
      </c>
      <c r="G248" s="370" t="s">
        <v>122</v>
      </c>
      <c r="H248" s="370" t="s">
        <v>122</v>
      </c>
    </row>
    <row r="249" spans="1:8" ht="21.75" customHeight="1" x14ac:dyDescent="0.25">
      <c r="A249" s="377">
        <v>45903</v>
      </c>
      <c r="B249" s="363" t="s">
        <v>1922</v>
      </c>
      <c r="C249" s="364">
        <v>16800</v>
      </c>
      <c r="D249" s="370" t="s">
        <v>122</v>
      </c>
      <c r="E249" s="370" t="s">
        <v>122</v>
      </c>
      <c r="F249" s="370" t="s">
        <v>122</v>
      </c>
      <c r="G249" s="370" t="s">
        <v>122</v>
      </c>
      <c r="H249" s="370" t="s">
        <v>122</v>
      </c>
    </row>
    <row r="250" spans="1:8" ht="21.75" customHeight="1" x14ac:dyDescent="0.25">
      <c r="A250" s="377">
        <v>45904</v>
      </c>
      <c r="B250" s="363" t="s">
        <v>3071</v>
      </c>
      <c r="C250" s="364">
        <v>16750</v>
      </c>
      <c r="D250" s="370" t="s">
        <v>122</v>
      </c>
      <c r="E250" s="370" t="s">
        <v>122</v>
      </c>
      <c r="F250" s="370" t="s">
        <v>122</v>
      </c>
      <c r="G250" s="370" t="s">
        <v>122</v>
      </c>
      <c r="H250" s="370" t="s">
        <v>122</v>
      </c>
    </row>
    <row r="251" spans="1:8" ht="21.75" customHeight="1" x14ac:dyDescent="0.25">
      <c r="A251" s="377">
        <v>45905</v>
      </c>
      <c r="B251" s="363" t="s">
        <v>3071</v>
      </c>
      <c r="C251" s="364">
        <v>16750</v>
      </c>
      <c r="D251" s="370" t="s">
        <v>122</v>
      </c>
      <c r="E251" s="370" t="s">
        <v>122</v>
      </c>
      <c r="F251" s="370" t="s">
        <v>122</v>
      </c>
      <c r="G251" s="370" t="s">
        <v>122</v>
      </c>
      <c r="H251" s="370" t="s">
        <v>122</v>
      </c>
    </row>
    <row r="252" spans="1:8" ht="21.75" customHeight="1" x14ac:dyDescent="0.25">
      <c r="A252" s="377">
        <v>45906</v>
      </c>
      <c r="B252" s="363" t="s">
        <v>2030</v>
      </c>
      <c r="C252" s="364">
        <v>16700</v>
      </c>
      <c r="D252" s="370" t="s">
        <v>122</v>
      </c>
      <c r="E252" s="370" t="s">
        <v>122</v>
      </c>
      <c r="F252" s="370" t="s">
        <v>122</v>
      </c>
      <c r="G252" s="370" t="s">
        <v>122</v>
      </c>
      <c r="H252" s="370" t="s">
        <v>122</v>
      </c>
    </row>
    <row r="253" spans="1:8" ht="21.75" customHeight="1" x14ac:dyDescent="0.25">
      <c r="A253" s="377">
        <v>45907</v>
      </c>
      <c r="B253" s="363" t="s">
        <v>2030</v>
      </c>
      <c r="C253" s="364">
        <v>16700</v>
      </c>
      <c r="D253" s="370" t="s">
        <v>122</v>
      </c>
      <c r="E253" s="370" t="s">
        <v>122</v>
      </c>
      <c r="F253" s="370" t="s">
        <v>122</v>
      </c>
      <c r="G253" s="370" t="s">
        <v>122</v>
      </c>
      <c r="H253" s="370" t="s">
        <v>122</v>
      </c>
    </row>
    <row r="254" spans="1:8" ht="21.75" customHeight="1" x14ac:dyDescent="0.25">
      <c r="A254" s="377">
        <v>45908</v>
      </c>
      <c r="B254" s="363" t="s">
        <v>3072</v>
      </c>
      <c r="C254" s="364">
        <v>16650</v>
      </c>
      <c r="D254" s="370" t="s">
        <v>122</v>
      </c>
      <c r="E254" s="370" t="s">
        <v>122</v>
      </c>
      <c r="F254" s="370" t="s">
        <v>122</v>
      </c>
      <c r="G254" s="370" t="s">
        <v>122</v>
      </c>
      <c r="H254" s="370" t="s">
        <v>122</v>
      </c>
    </row>
    <row r="255" spans="1:8" ht="21.75" customHeight="1" x14ac:dyDescent="0.25">
      <c r="A255" s="377">
        <v>45909</v>
      </c>
      <c r="B255" s="363" t="s">
        <v>3072</v>
      </c>
      <c r="C255" s="364">
        <v>16650</v>
      </c>
      <c r="D255" s="370" t="s">
        <v>122</v>
      </c>
      <c r="E255" s="370" t="s">
        <v>122</v>
      </c>
      <c r="F255" s="370" t="s">
        <v>122</v>
      </c>
      <c r="G255" s="370" t="s">
        <v>122</v>
      </c>
      <c r="H255" s="370" t="s">
        <v>122</v>
      </c>
    </row>
    <row r="256" spans="1:8" ht="21.75" customHeight="1" x14ac:dyDescent="0.25">
      <c r="A256" s="377">
        <v>45910</v>
      </c>
      <c r="B256" s="363" t="s">
        <v>1923</v>
      </c>
      <c r="C256" s="364">
        <v>16600</v>
      </c>
      <c r="D256" s="370" t="s">
        <v>122</v>
      </c>
      <c r="E256" s="370" t="s">
        <v>122</v>
      </c>
      <c r="F256" s="370" t="s">
        <v>122</v>
      </c>
      <c r="G256" s="370" t="s">
        <v>122</v>
      </c>
      <c r="H256" s="370" t="s">
        <v>122</v>
      </c>
    </row>
    <row r="257" spans="1:8" ht="21.75" customHeight="1" x14ac:dyDescent="0.25">
      <c r="A257" s="377">
        <v>45911</v>
      </c>
      <c r="B257" s="363" t="s">
        <v>1923</v>
      </c>
      <c r="C257" s="364">
        <v>16600</v>
      </c>
      <c r="D257" s="370" t="s">
        <v>122</v>
      </c>
      <c r="E257" s="370" t="s">
        <v>122</v>
      </c>
      <c r="F257" s="370" t="s">
        <v>122</v>
      </c>
      <c r="G257" s="370" t="s">
        <v>122</v>
      </c>
      <c r="H257" s="370" t="s">
        <v>122</v>
      </c>
    </row>
    <row r="258" spans="1:8" ht="21.75" customHeight="1" x14ac:dyDescent="0.25">
      <c r="A258" s="377">
        <v>45912</v>
      </c>
      <c r="B258" s="363" t="s">
        <v>1923</v>
      </c>
      <c r="C258" s="364">
        <v>16600</v>
      </c>
      <c r="D258" s="370" t="s">
        <v>122</v>
      </c>
      <c r="E258" s="370" t="s">
        <v>122</v>
      </c>
      <c r="F258" s="370" t="s">
        <v>122</v>
      </c>
      <c r="G258" s="370" t="s">
        <v>122</v>
      </c>
      <c r="H258" s="370" t="s">
        <v>122</v>
      </c>
    </row>
    <row r="259" spans="1:8" ht="21.75" customHeight="1" x14ac:dyDescent="0.25">
      <c r="A259" s="377">
        <v>45913</v>
      </c>
      <c r="B259" s="363" t="s">
        <v>1923</v>
      </c>
      <c r="C259" s="364">
        <v>16600</v>
      </c>
      <c r="D259" s="370" t="s">
        <v>122</v>
      </c>
      <c r="E259" s="370" t="s">
        <v>122</v>
      </c>
      <c r="F259" s="370" t="s">
        <v>122</v>
      </c>
      <c r="G259" s="370" t="s">
        <v>122</v>
      </c>
      <c r="H259" s="370" t="s">
        <v>122</v>
      </c>
    </row>
    <row r="260" spans="1:8" ht="21.75" customHeight="1" x14ac:dyDescent="0.25">
      <c r="A260" s="377">
        <v>45914</v>
      </c>
      <c r="B260" s="363" t="s">
        <v>1923</v>
      </c>
      <c r="C260" s="364">
        <v>16600</v>
      </c>
      <c r="D260" s="370" t="s">
        <v>122</v>
      </c>
      <c r="E260" s="370" t="s">
        <v>122</v>
      </c>
      <c r="F260" s="370" t="s">
        <v>122</v>
      </c>
      <c r="G260" s="370" t="s">
        <v>122</v>
      </c>
      <c r="H260" s="370" t="s">
        <v>122</v>
      </c>
    </row>
    <row r="261" spans="1:8" ht="21.75" customHeight="1" x14ac:dyDescent="0.25">
      <c r="A261" s="377">
        <v>45915</v>
      </c>
      <c r="B261" s="363" t="s">
        <v>3073</v>
      </c>
      <c r="C261" s="364">
        <v>16550</v>
      </c>
      <c r="D261" s="370" t="s">
        <v>122</v>
      </c>
      <c r="E261" s="370" t="s">
        <v>122</v>
      </c>
      <c r="F261" s="370" t="s">
        <v>122</v>
      </c>
      <c r="G261" s="370" t="s">
        <v>122</v>
      </c>
      <c r="H261" s="370" t="s">
        <v>122</v>
      </c>
    </row>
    <row r="262" spans="1:8" ht="21.75" customHeight="1" x14ac:dyDescent="0.25">
      <c r="A262" s="377">
        <v>45916</v>
      </c>
      <c r="B262" s="363" t="s">
        <v>2031</v>
      </c>
      <c r="C262" s="364">
        <v>16500</v>
      </c>
      <c r="D262" s="370" t="s">
        <v>122</v>
      </c>
      <c r="E262" s="370" t="s">
        <v>122</v>
      </c>
      <c r="F262" s="370" t="s">
        <v>122</v>
      </c>
      <c r="G262" s="370" t="s">
        <v>122</v>
      </c>
      <c r="H262" s="370" t="s">
        <v>122</v>
      </c>
    </row>
    <row r="263" spans="1:8" ht="21.75" customHeight="1" x14ac:dyDescent="0.25">
      <c r="A263" s="377">
        <v>45917</v>
      </c>
      <c r="B263" s="363" t="s">
        <v>3074</v>
      </c>
      <c r="C263" s="364">
        <v>16450</v>
      </c>
      <c r="D263" s="370" t="s">
        <v>122</v>
      </c>
      <c r="E263" s="370" t="s">
        <v>122</v>
      </c>
      <c r="F263" s="370" t="s">
        <v>122</v>
      </c>
      <c r="G263" s="370" t="s">
        <v>122</v>
      </c>
      <c r="H263" s="370" t="s">
        <v>122</v>
      </c>
    </row>
    <row r="264" spans="1:8" ht="21.75" customHeight="1" x14ac:dyDescent="0.25">
      <c r="A264" s="377">
        <v>45918</v>
      </c>
      <c r="B264" s="363" t="s">
        <v>3074</v>
      </c>
      <c r="C264" s="364">
        <v>16450</v>
      </c>
      <c r="D264" s="370" t="s">
        <v>122</v>
      </c>
      <c r="E264" s="370" t="s">
        <v>122</v>
      </c>
      <c r="F264" s="370" t="s">
        <v>122</v>
      </c>
      <c r="G264" s="370" t="s">
        <v>122</v>
      </c>
      <c r="H264" s="370" t="s">
        <v>122</v>
      </c>
    </row>
    <row r="265" spans="1:8" ht="21.75" customHeight="1" x14ac:dyDescent="0.25">
      <c r="A265" s="377">
        <v>45919</v>
      </c>
      <c r="B265" s="363" t="s">
        <v>1924</v>
      </c>
      <c r="C265" s="364">
        <v>16400</v>
      </c>
      <c r="D265" s="370" t="s">
        <v>122</v>
      </c>
      <c r="E265" s="370" t="s">
        <v>122</v>
      </c>
      <c r="F265" s="370" t="s">
        <v>122</v>
      </c>
      <c r="G265" s="370" t="s">
        <v>122</v>
      </c>
      <c r="H265" s="370" t="s">
        <v>122</v>
      </c>
    </row>
    <row r="266" spans="1:8" ht="21.75" customHeight="1" x14ac:dyDescent="0.25">
      <c r="A266" s="377">
        <v>45920</v>
      </c>
      <c r="B266" s="363" t="s">
        <v>1924</v>
      </c>
      <c r="C266" s="364">
        <v>16400</v>
      </c>
      <c r="D266" s="370" t="s">
        <v>122</v>
      </c>
      <c r="E266" s="370" t="s">
        <v>122</v>
      </c>
      <c r="F266" s="370" t="s">
        <v>122</v>
      </c>
      <c r="G266" s="370" t="s">
        <v>122</v>
      </c>
      <c r="H266" s="370" t="s">
        <v>122</v>
      </c>
    </row>
    <row r="267" spans="1:8" ht="21.75" customHeight="1" x14ac:dyDescent="0.25">
      <c r="A267" s="377">
        <v>45921</v>
      </c>
      <c r="B267" s="363" t="s">
        <v>3075</v>
      </c>
      <c r="C267" s="364">
        <v>16300</v>
      </c>
      <c r="D267" s="370" t="s">
        <v>122</v>
      </c>
      <c r="E267" s="370" t="s">
        <v>122</v>
      </c>
      <c r="F267" s="370" t="s">
        <v>122</v>
      </c>
      <c r="G267" s="370" t="s">
        <v>122</v>
      </c>
      <c r="H267" s="370" t="s">
        <v>122</v>
      </c>
    </row>
    <row r="268" spans="1:8" ht="21.75" customHeight="1" x14ac:dyDescent="0.25">
      <c r="A268" s="377">
        <v>45922</v>
      </c>
      <c r="B268" s="363" t="s">
        <v>3075</v>
      </c>
      <c r="C268" s="364">
        <v>16300</v>
      </c>
      <c r="D268" s="370" t="s">
        <v>122</v>
      </c>
      <c r="E268" s="370" t="s">
        <v>122</v>
      </c>
      <c r="F268" s="370" t="s">
        <v>122</v>
      </c>
      <c r="G268" s="370" t="s">
        <v>122</v>
      </c>
      <c r="H268" s="370" t="s">
        <v>122</v>
      </c>
    </row>
    <row r="269" spans="1:8" ht="21.75" customHeight="1" x14ac:dyDescent="0.25">
      <c r="A269" s="377">
        <v>45923</v>
      </c>
      <c r="B269" s="363" t="s">
        <v>2032</v>
      </c>
      <c r="C269" s="364">
        <v>16200</v>
      </c>
      <c r="D269" s="370" t="s">
        <v>2180</v>
      </c>
      <c r="E269" s="370">
        <v>70.25</v>
      </c>
      <c r="F269" s="370" t="s">
        <v>122</v>
      </c>
      <c r="G269" s="370" t="s">
        <v>122</v>
      </c>
      <c r="H269" s="370" t="s">
        <v>122</v>
      </c>
    </row>
    <row r="270" spans="1:8" ht="21.75" customHeight="1" x14ac:dyDescent="0.25">
      <c r="A270" s="377">
        <v>45924</v>
      </c>
      <c r="B270" s="363" t="s">
        <v>2261</v>
      </c>
      <c r="C270" s="364">
        <v>16000</v>
      </c>
      <c r="D270" s="370" t="s">
        <v>2737</v>
      </c>
      <c r="E270" s="370">
        <v>83.19</v>
      </c>
      <c r="F270" s="370" t="s">
        <v>2152</v>
      </c>
      <c r="G270" s="370">
        <v>30.19</v>
      </c>
      <c r="H270" s="370" t="s">
        <v>122</v>
      </c>
    </row>
    <row r="271" spans="1:8" ht="21.75" customHeight="1" x14ac:dyDescent="0.25">
      <c r="A271" s="377">
        <v>45925</v>
      </c>
      <c r="B271" s="363" t="s">
        <v>3076</v>
      </c>
      <c r="C271" s="364">
        <v>15675</v>
      </c>
      <c r="D271" s="370" t="s">
        <v>2544</v>
      </c>
      <c r="E271" s="370">
        <v>90.99</v>
      </c>
      <c r="F271" s="370" t="s">
        <v>2510</v>
      </c>
      <c r="G271" s="370">
        <v>77.430000000000007</v>
      </c>
      <c r="H271" s="370" t="s">
        <v>122</v>
      </c>
    </row>
    <row r="272" spans="1:8" ht="21.75" customHeight="1" x14ac:dyDescent="0.25">
      <c r="A272" s="377">
        <v>45926</v>
      </c>
      <c r="B272" s="363" t="s">
        <v>3077</v>
      </c>
      <c r="C272" s="364">
        <v>15300</v>
      </c>
      <c r="D272" s="370" t="s">
        <v>2739</v>
      </c>
      <c r="E272" s="370">
        <v>106.09</v>
      </c>
      <c r="F272" s="370" t="s">
        <v>2737</v>
      </c>
      <c r="G272" s="370">
        <v>85.56</v>
      </c>
      <c r="H272" s="370" t="s">
        <v>122</v>
      </c>
    </row>
    <row r="273" spans="1:8" ht="21.75" customHeight="1" x14ac:dyDescent="0.25">
      <c r="A273" s="377">
        <v>45927</v>
      </c>
      <c r="B273" s="363" t="s">
        <v>3078</v>
      </c>
      <c r="C273" s="364">
        <v>14800</v>
      </c>
      <c r="D273" s="370" t="s">
        <v>2731</v>
      </c>
      <c r="E273" s="370">
        <v>96.85</v>
      </c>
      <c r="F273" s="370" t="s">
        <v>2510</v>
      </c>
      <c r="G273" s="370">
        <v>75.77</v>
      </c>
      <c r="H273" s="370" t="s">
        <v>122</v>
      </c>
    </row>
    <row r="274" spans="1:8" ht="21.75" customHeight="1" x14ac:dyDescent="0.25">
      <c r="A274" s="377">
        <v>45928</v>
      </c>
      <c r="B274" s="363" t="s">
        <v>2168</v>
      </c>
      <c r="C274" s="364">
        <v>14400</v>
      </c>
      <c r="D274" s="370" t="s">
        <v>3079</v>
      </c>
      <c r="E274" s="370">
        <v>96.02</v>
      </c>
      <c r="F274" s="370" t="s">
        <v>2726</v>
      </c>
      <c r="G274" s="370">
        <v>83.82</v>
      </c>
      <c r="H274" s="370" t="s">
        <v>122</v>
      </c>
    </row>
    <row r="275" spans="1:8" ht="21.75" customHeight="1" x14ac:dyDescent="0.25">
      <c r="A275" s="377">
        <v>45929</v>
      </c>
      <c r="B275" s="363" t="s">
        <v>2287</v>
      </c>
      <c r="C275" s="364">
        <v>13800</v>
      </c>
      <c r="D275" s="370" t="s">
        <v>2739</v>
      </c>
      <c r="E275" s="370">
        <v>102.46</v>
      </c>
      <c r="F275" s="370" t="s">
        <v>2726</v>
      </c>
      <c r="G275" s="370">
        <v>82.86</v>
      </c>
      <c r="H275" s="370" t="s">
        <v>122</v>
      </c>
    </row>
    <row r="276" spans="1:8" ht="21.75" customHeight="1" x14ac:dyDescent="0.25">
      <c r="A276" s="377">
        <v>45930</v>
      </c>
      <c r="B276" s="363" t="s">
        <v>2288</v>
      </c>
      <c r="C276" s="364">
        <v>13550</v>
      </c>
      <c r="D276" s="370" t="s">
        <v>2977</v>
      </c>
      <c r="E276" s="370">
        <v>108.45</v>
      </c>
      <c r="F276" s="370" t="s">
        <v>2739</v>
      </c>
      <c r="G276" s="370">
        <v>106.54</v>
      </c>
      <c r="H276" s="370" t="s">
        <v>122</v>
      </c>
    </row>
    <row r="277" spans="1:8" ht="21.75" customHeight="1" x14ac:dyDescent="0.25">
      <c r="A277" s="377">
        <v>45931</v>
      </c>
      <c r="B277" s="363" t="s">
        <v>3080</v>
      </c>
      <c r="C277" s="364">
        <v>12950</v>
      </c>
      <c r="D277" s="370" t="s">
        <v>2977</v>
      </c>
      <c r="E277" s="379">
        <v>106.9</v>
      </c>
      <c r="F277" s="370" t="s">
        <v>2739</v>
      </c>
      <c r="G277" s="379">
        <v>105.2</v>
      </c>
      <c r="H277" s="370" t="s">
        <v>122</v>
      </c>
    </row>
    <row r="278" spans="1:8" ht="21.75" customHeight="1" x14ac:dyDescent="0.25">
      <c r="A278" s="377">
        <v>45932</v>
      </c>
      <c r="B278" s="363" t="s">
        <v>3081</v>
      </c>
      <c r="C278" s="364">
        <v>12600</v>
      </c>
      <c r="D278" s="370" t="s">
        <v>2977</v>
      </c>
      <c r="E278" s="370">
        <v>105.86</v>
      </c>
      <c r="F278" s="370" t="s">
        <v>2739</v>
      </c>
      <c r="G278" s="370">
        <v>104.29</v>
      </c>
      <c r="H278" s="370" t="s">
        <v>122</v>
      </c>
    </row>
    <row r="279" spans="1:8" ht="21.75" customHeight="1" x14ac:dyDescent="0.25">
      <c r="A279" s="377">
        <v>45933</v>
      </c>
      <c r="B279" s="363" t="s">
        <v>3082</v>
      </c>
      <c r="C279" s="364">
        <v>12400</v>
      </c>
      <c r="D279" s="370" t="s">
        <v>2977</v>
      </c>
      <c r="E279" s="370">
        <v>104.8</v>
      </c>
      <c r="F279" s="370" t="s">
        <v>2739</v>
      </c>
      <c r="G279" s="370">
        <v>103.38</v>
      </c>
      <c r="H279" s="370">
        <v>5.08</v>
      </c>
    </row>
    <row r="280" spans="1:8" ht="21.75" customHeight="1" x14ac:dyDescent="0.25">
      <c r="A280" s="377">
        <v>45934</v>
      </c>
      <c r="B280" s="363" t="s">
        <v>3083</v>
      </c>
      <c r="C280" s="364">
        <v>12100</v>
      </c>
      <c r="D280" s="370" t="s">
        <v>2977</v>
      </c>
      <c r="E280" s="370">
        <v>103.47</v>
      </c>
      <c r="F280" s="370" t="s">
        <v>2739</v>
      </c>
      <c r="G280" s="370">
        <v>102.23</v>
      </c>
      <c r="H280" s="370">
        <v>30</v>
      </c>
    </row>
    <row r="281" spans="1:8" ht="21.75" customHeight="1" x14ac:dyDescent="0.25">
      <c r="A281" s="377">
        <v>45935</v>
      </c>
      <c r="B281" s="363" t="s">
        <v>3084</v>
      </c>
      <c r="C281" s="364">
        <v>11700</v>
      </c>
      <c r="D281" s="370" t="s">
        <v>2843</v>
      </c>
      <c r="E281" s="370">
        <v>108.77</v>
      </c>
      <c r="F281" s="370" t="s">
        <v>2739</v>
      </c>
      <c r="G281" s="370">
        <v>101.06</v>
      </c>
      <c r="H281" s="370" t="s">
        <v>122</v>
      </c>
    </row>
    <row r="282" spans="1:8" ht="21.75" customHeight="1" x14ac:dyDescent="0.25">
      <c r="A282" s="377">
        <v>45936</v>
      </c>
      <c r="B282" s="363" t="s">
        <v>3085</v>
      </c>
      <c r="C282" s="364">
        <v>11400</v>
      </c>
      <c r="D282" s="370" t="s">
        <v>2843</v>
      </c>
      <c r="E282" s="370">
        <v>107.58</v>
      </c>
      <c r="F282" s="370" t="s">
        <v>2739</v>
      </c>
      <c r="G282" s="370">
        <v>100.12</v>
      </c>
      <c r="H282" s="370" t="s">
        <v>122</v>
      </c>
    </row>
    <row r="283" spans="1:8" ht="21.75" customHeight="1" x14ac:dyDescent="0.25">
      <c r="A283" s="377">
        <v>45937</v>
      </c>
      <c r="B283" s="363" t="s">
        <v>2048</v>
      </c>
      <c r="C283" s="364">
        <v>11200</v>
      </c>
      <c r="D283" s="370" t="s">
        <v>2843</v>
      </c>
      <c r="E283" s="370">
        <v>106.37</v>
      </c>
      <c r="F283" s="370" t="s">
        <v>2739</v>
      </c>
      <c r="G283" s="370">
        <v>99.17</v>
      </c>
      <c r="H283" s="370" t="s">
        <v>122</v>
      </c>
    </row>
    <row r="284" spans="1:8" ht="21.75" customHeight="1" x14ac:dyDescent="0.25">
      <c r="A284" s="377">
        <v>45938</v>
      </c>
      <c r="B284" s="363" t="s">
        <v>2637</v>
      </c>
      <c r="C284" s="364">
        <v>10700</v>
      </c>
      <c r="D284" s="370" t="s">
        <v>2977</v>
      </c>
      <c r="E284" s="370">
        <v>98.22</v>
      </c>
      <c r="F284" s="370" t="s">
        <v>2739</v>
      </c>
      <c r="G284" s="370">
        <v>99.73</v>
      </c>
      <c r="H284" s="370" t="s">
        <v>122</v>
      </c>
    </row>
    <row r="285" spans="1:8" ht="21.75" customHeight="1" x14ac:dyDescent="0.25">
      <c r="A285" s="377">
        <v>45939</v>
      </c>
      <c r="B285" s="363" t="s">
        <v>2640</v>
      </c>
      <c r="C285" s="364">
        <v>10450</v>
      </c>
      <c r="D285" s="370" t="s">
        <v>2977</v>
      </c>
      <c r="E285" s="370">
        <v>96.51</v>
      </c>
      <c r="F285" s="370" t="s">
        <v>2739</v>
      </c>
      <c r="G285" s="370">
        <v>96.29</v>
      </c>
      <c r="H285" s="370" t="s">
        <v>122</v>
      </c>
    </row>
    <row r="286" spans="1:8" ht="21.75" customHeight="1" x14ac:dyDescent="0.25">
      <c r="A286" s="377">
        <v>45940</v>
      </c>
      <c r="B286" s="363" t="s">
        <v>2051</v>
      </c>
      <c r="C286" s="364">
        <v>10200</v>
      </c>
      <c r="D286" s="370" t="s">
        <v>2977</v>
      </c>
      <c r="E286" s="370">
        <v>95.35</v>
      </c>
      <c r="F286" s="370" t="s">
        <v>2739</v>
      </c>
      <c r="G286" s="370">
        <v>95.27</v>
      </c>
      <c r="H286" s="370" t="s">
        <v>122</v>
      </c>
    </row>
    <row r="287" spans="1:8" ht="21.75" customHeight="1" x14ac:dyDescent="0.25">
      <c r="A287" s="377">
        <v>45941</v>
      </c>
      <c r="B287" s="363" t="s">
        <v>2083</v>
      </c>
      <c r="C287" s="364">
        <v>9800</v>
      </c>
      <c r="D287" s="370" t="s">
        <v>2977</v>
      </c>
      <c r="E287" s="370">
        <v>92.98</v>
      </c>
      <c r="F287" s="370" t="s">
        <v>2739</v>
      </c>
      <c r="G287" s="370">
        <v>93.26</v>
      </c>
      <c r="H287" s="370" t="s">
        <v>122</v>
      </c>
    </row>
    <row r="288" spans="1:8" ht="21.75" customHeight="1" x14ac:dyDescent="0.25">
      <c r="A288" s="377">
        <v>45942</v>
      </c>
      <c r="B288" s="363" t="s">
        <v>2053</v>
      </c>
      <c r="C288" s="364">
        <v>9600</v>
      </c>
      <c r="D288" s="370" t="s">
        <v>2977</v>
      </c>
      <c r="E288" s="370">
        <v>91.78</v>
      </c>
      <c r="F288" s="370" t="s">
        <v>2739</v>
      </c>
      <c r="G288" s="370">
        <v>92.24</v>
      </c>
      <c r="H288" s="370" t="s">
        <v>122</v>
      </c>
    </row>
    <row r="289" spans="1:8" ht="21.75" customHeight="1" x14ac:dyDescent="0.25">
      <c r="A289" s="377">
        <v>45943</v>
      </c>
      <c r="B289" s="363" t="s">
        <v>3086</v>
      </c>
      <c r="C289" s="364">
        <v>9700</v>
      </c>
      <c r="D289" s="370" t="s">
        <v>2177</v>
      </c>
      <c r="E289" s="379">
        <v>46.4</v>
      </c>
      <c r="F289" s="370" t="s">
        <v>2739</v>
      </c>
      <c r="G289" s="370">
        <v>92.75</v>
      </c>
      <c r="H289" s="370" t="s">
        <v>122</v>
      </c>
    </row>
    <row r="290" spans="1:8" ht="21.75" customHeight="1" x14ac:dyDescent="0.25">
      <c r="A290" s="377">
        <v>45944</v>
      </c>
      <c r="B290" s="363" t="s">
        <v>3087</v>
      </c>
      <c r="C290" s="364">
        <v>50</v>
      </c>
      <c r="D290" s="370" t="s">
        <v>2177</v>
      </c>
      <c r="E290" s="370">
        <v>45.89</v>
      </c>
      <c r="F290" s="370" t="s">
        <v>2177</v>
      </c>
      <c r="G290" s="370">
        <v>48.88</v>
      </c>
      <c r="H290" s="370" t="s">
        <v>122</v>
      </c>
    </row>
    <row r="291" spans="1:8" ht="21.75" customHeight="1" x14ac:dyDescent="0.25">
      <c r="A291" s="377">
        <v>45945</v>
      </c>
      <c r="B291" s="363" t="s">
        <v>3088</v>
      </c>
      <c r="C291" s="364">
        <v>9450</v>
      </c>
      <c r="D291" s="370" t="s">
        <v>3045</v>
      </c>
      <c r="E291" s="370">
        <v>59.43</v>
      </c>
      <c r="F291" s="370" t="s">
        <v>2726</v>
      </c>
      <c r="G291" s="370">
        <v>70.72</v>
      </c>
      <c r="H291" s="370" t="s">
        <v>122</v>
      </c>
    </row>
    <row r="292" spans="1:8" ht="21.75" customHeight="1" x14ac:dyDescent="0.25">
      <c r="A292" s="377">
        <v>45946</v>
      </c>
      <c r="B292" s="363" t="s">
        <v>2084</v>
      </c>
      <c r="C292" s="364">
        <v>9300</v>
      </c>
      <c r="D292" s="370" t="s">
        <v>2737</v>
      </c>
      <c r="E292" s="370">
        <v>65.64</v>
      </c>
      <c r="F292" s="370" t="s">
        <v>2726</v>
      </c>
      <c r="G292" s="370">
        <v>70.349999999999994</v>
      </c>
      <c r="H292" s="370" t="s">
        <v>122</v>
      </c>
    </row>
    <row r="293" spans="1:8" ht="21.75" customHeight="1" x14ac:dyDescent="0.25">
      <c r="A293" s="377">
        <v>45947</v>
      </c>
      <c r="B293" s="363" t="s">
        <v>3089</v>
      </c>
      <c r="C293" s="364">
        <v>9050</v>
      </c>
      <c r="D293" s="370" t="s">
        <v>2737</v>
      </c>
      <c r="E293" s="370">
        <v>64.41</v>
      </c>
      <c r="F293" s="370" t="s">
        <v>2726</v>
      </c>
      <c r="G293" s="379">
        <v>69.2</v>
      </c>
      <c r="H293" s="370" t="s">
        <v>122</v>
      </c>
    </row>
    <row r="294" spans="1:8" ht="21.75" customHeight="1" x14ac:dyDescent="0.25">
      <c r="A294" s="377">
        <v>45948</v>
      </c>
      <c r="B294" s="363" t="s">
        <v>3090</v>
      </c>
      <c r="C294" s="364">
        <v>8850</v>
      </c>
      <c r="D294" s="370" t="s">
        <v>2737</v>
      </c>
      <c r="E294" s="370">
        <v>63.58</v>
      </c>
      <c r="F294" s="370" t="s">
        <v>2726</v>
      </c>
      <c r="G294" s="370">
        <v>68.42</v>
      </c>
      <c r="H294" s="370" t="s">
        <v>122</v>
      </c>
    </row>
    <row r="295" spans="1:8" ht="21.75" customHeight="1" x14ac:dyDescent="0.25">
      <c r="A295" s="377">
        <v>45949</v>
      </c>
      <c r="B295" s="363" t="s">
        <v>3091</v>
      </c>
      <c r="C295" s="364">
        <v>8650</v>
      </c>
      <c r="D295" s="370" t="s">
        <v>2737</v>
      </c>
      <c r="E295" s="370">
        <v>62.74</v>
      </c>
      <c r="F295" s="370" t="s">
        <v>2726</v>
      </c>
      <c r="G295" s="370">
        <v>67.64</v>
      </c>
      <c r="H295" s="370" t="s">
        <v>122</v>
      </c>
    </row>
    <row r="296" spans="1:8" ht="21.75" customHeight="1" x14ac:dyDescent="0.25">
      <c r="A296" s="377">
        <v>45950</v>
      </c>
      <c r="B296" s="363" t="s">
        <v>3092</v>
      </c>
      <c r="C296" s="364">
        <v>8450</v>
      </c>
      <c r="D296" s="370" t="s">
        <v>2177</v>
      </c>
      <c r="E296" s="370">
        <v>42.95</v>
      </c>
      <c r="F296" s="370" t="s">
        <v>2726</v>
      </c>
      <c r="G296" s="370">
        <v>66.849999999999994</v>
      </c>
      <c r="H296" s="370" t="s">
        <v>122</v>
      </c>
    </row>
    <row r="297" spans="1:8" ht="21.75" customHeight="1" x14ac:dyDescent="0.25">
      <c r="A297" s="377">
        <v>45951</v>
      </c>
      <c r="B297" s="363" t="s">
        <v>3093</v>
      </c>
      <c r="C297" s="364">
        <v>8950</v>
      </c>
      <c r="D297" s="370" t="s">
        <v>2152</v>
      </c>
      <c r="E297" s="370">
        <v>23.02</v>
      </c>
      <c r="F297" s="370" t="s">
        <v>2177</v>
      </c>
      <c r="G297" s="370">
        <v>47.54</v>
      </c>
      <c r="H297" s="370" t="s">
        <v>122</v>
      </c>
    </row>
    <row r="298" spans="1:8" ht="21.75" customHeight="1" x14ac:dyDescent="0.25">
      <c r="A298" s="377">
        <v>45952</v>
      </c>
      <c r="B298" s="363" t="s">
        <v>2055</v>
      </c>
      <c r="C298" s="364">
        <v>8900</v>
      </c>
      <c r="D298" s="370" t="s">
        <v>2152</v>
      </c>
      <c r="E298" s="370">
        <v>22.95</v>
      </c>
      <c r="F298" s="370" t="s">
        <v>2152</v>
      </c>
      <c r="G298" s="370">
        <v>24.44</v>
      </c>
      <c r="H298" s="370" t="s">
        <v>122</v>
      </c>
    </row>
    <row r="299" spans="1:8" ht="21.75" customHeight="1" x14ac:dyDescent="0.25">
      <c r="A299" s="377">
        <v>45953</v>
      </c>
      <c r="B299" s="363" t="s">
        <v>2085</v>
      </c>
      <c r="C299" s="364">
        <v>8800</v>
      </c>
      <c r="D299" s="370" t="s">
        <v>2186</v>
      </c>
      <c r="E299" s="370">
        <v>30.07</v>
      </c>
      <c r="F299" s="370" t="s">
        <v>2737</v>
      </c>
      <c r="G299" s="370">
        <v>68.42</v>
      </c>
      <c r="H299" s="370" t="s">
        <v>122</v>
      </c>
    </row>
    <row r="300" spans="1:8" ht="21.75" customHeight="1" x14ac:dyDescent="0.25">
      <c r="A300" s="377">
        <v>45954</v>
      </c>
      <c r="B300" s="363" t="s">
        <v>2058</v>
      </c>
      <c r="C300" s="364">
        <v>8700</v>
      </c>
      <c r="D300" s="370" t="s">
        <v>3097</v>
      </c>
      <c r="E300" s="379">
        <v>29.9</v>
      </c>
      <c r="F300" s="370" t="s">
        <v>2726</v>
      </c>
      <c r="G300" s="370">
        <v>68.03</v>
      </c>
      <c r="H300" s="370" t="s">
        <v>122</v>
      </c>
    </row>
    <row r="301" spans="1:8" ht="21.75" customHeight="1" x14ac:dyDescent="0.25">
      <c r="A301" s="377">
        <v>45955</v>
      </c>
      <c r="B301" s="363" t="s">
        <v>2086</v>
      </c>
      <c r="C301" s="364">
        <v>8600</v>
      </c>
      <c r="D301" s="370" t="s">
        <v>122</v>
      </c>
      <c r="E301" s="370" t="s">
        <v>122</v>
      </c>
      <c r="F301" s="370" t="s">
        <v>2177</v>
      </c>
      <c r="G301" s="370">
        <v>46.65</v>
      </c>
      <c r="H301" s="370" t="s">
        <v>122</v>
      </c>
    </row>
    <row r="302" spans="1:8" ht="21.75" customHeight="1" x14ac:dyDescent="0.25">
      <c r="A302" s="377">
        <v>45956</v>
      </c>
      <c r="B302" s="363" t="s">
        <v>3094</v>
      </c>
      <c r="C302" s="364">
        <v>8550</v>
      </c>
      <c r="D302" s="370" t="s">
        <v>122</v>
      </c>
      <c r="E302" s="370" t="s">
        <v>122</v>
      </c>
      <c r="F302" s="370" t="s">
        <v>3042</v>
      </c>
      <c r="G302" s="379">
        <v>46.4</v>
      </c>
      <c r="H302" s="370" t="s">
        <v>122</v>
      </c>
    </row>
    <row r="303" spans="1:8" ht="21.75" customHeight="1" x14ac:dyDescent="0.25">
      <c r="A303" s="377">
        <v>45957</v>
      </c>
      <c r="B303" s="363" t="s">
        <v>3095</v>
      </c>
      <c r="C303" s="364">
        <v>8500</v>
      </c>
      <c r="D303" s="370" t="s">
        <v>122</v>
      </c>
      <c r="E303" s="370" t="s">
        <v>122</v>
      </c>
      <c r="F303" s="370" t="s">
        <v>122</v>
      </c>
      <c r="G303" s="370" t="s">
        <v>122</v>
      </c>
      <c r="H303" s="370" t="s">
        <v>122</v>
      </c>
    </row>
    <row r="304" spans="1:8" ht="21.75" customHeight="1" x14ac:dyDescent="0.25">
      <c r="A304" s="377">
        <v>45958</v>
      </c>
      <c r="B304" s="363" t="s">
        <v>3095</v>
      </c>
      <c r="C304" s="364">
        <v>8500</v>
      </c>
      <c r="D304" s="370" t="s">
        <v>2186</v>
      </c>
      <c r="E304" s="370">
        <v>29.54</v>
      </c>
      <c r="F304" s="370" t="s">
        <v>122</v>
      </c>
      <c r="G304" s="370" t="s">
        <v>122</v>
      </c>
      <c r="H304" s="370" t="s">
        <v>122</v>
      </c>
    </row>
    <row r="305" spans="1:8" ht="21.75" customHeight="1" x14ac:dyDescent="0.25">
      <c r="A305" s="377">
        <v>45959</v>
      </c>
      <c r="B305" s="363" t="s">
        <v>3095</v>
      </c>
      <c r="C305" s="364">
        <v>8500</v>
      </c>
      <c r="D305" s="370" t="s">
        <v>2544</v>
      </c>
      <c r="E305" s="370">
        <v>68.260000000000005</v>
      </c>
      <c r="F305" s="370" t="s">
        <v>2177</v>
      </c>
      <c r="G305" s="379">
        <v>46.4</v>
      </c>
      <c r="H305" s="370" t="s">
        <v>122</v>
      </c>
    </row>
    <row r="306" spans="1:8" ht="21.75" customHeight="1" x14ac:dyDescent="0.25">
      <c r="A306" s="377">
        <v>45960</v>
      </c>
      <c r="B306" s="363" t="s">
        <v>3096</v>
      </c>
      <c r="C306" s="364">
        <v>8350</v>
      </c>
      <c r="D306" s="370" t="s">
        <v>2739</v>
      </c>
      <c r="E306" s="370">
        <v>78.33</v>
      </c>
      <c r="F306" s="370" t="s">
        <v>2739</v>
      </c>
      <c r="G306" s="370">
        <v>85.29</v>
      </c>
      <c r="H306" s="370" t="s">
        <v>122</v>
      </c>
    </row>
    <row r="307" spans="1:8" ht="21.75" customHeight="1" x14ac:dyDescent="0.25">
      <c r="A307" s="377">
        <v>45961</v>
      </c>
      <c r="B307" s="363" t="s">
        <v>2078</v>
      </c>
      <c r="C307" s="364">
        <v>8100</v>
      </c>
      <c r="D307" s="370" t="s">
        <v>2843</v>
      </c>
      <c r="E307" s="370">
        <v>86.24</v>
      </c>
      <c r="F307" s="370" t="s">
        <v>2739</v>
      </c>
      <c r="G307" s="370">
        <v>83.61</v>
      </c>
      <c r="H307" s="370" t="s">
        <v>122</v>
      </c>
    </row>
    <row r="308" spans="1:8" ht="21.75" customHeight="1" x14ac:dyDescent="0.25">
      <c r="A308" s="377">
        <v>45962</v>
      </c>
      <c r="B308" s="363" t="s">
        <v>2061</v>
      </c>
      <c r="C308" s="364">
        <v>7800</v>
      </c>
      <c r="D308" s="370" t="s">
        <v>3108</v>
      </c>
      <c r="E308" s="370">
        <v>92.26</v>
      </c>
      <c r="F308" s="370" t="s">
        <v>2739</v>
      </c>
      <c r="G308" s="370">
        <v>81.89</v>
      </c>
      <c r="H308" s="370" t="s">
        <v>122</v>
      </c>
    </row>
    <row r="309" spans="1:8" ht="21.75" customHeight="1" x14ac:dyDescent="0.25">
      <c r="A309" s="377">
        <v>45963</v>
      </c>
      <c r="B309" s="363" t="s">
        <v>3098</v>
      </c>
      <c r="C309" s="364">
        <v>7500</v>
      </c>
      <c r="D309" s="370" t="s">
        <v>3108</v>
      </c>
      <c r="E309" s="370">
        <v>89.45</v>
      </c>
      <c r="F309" s="370" t="s">
        <v>2739</v>
      </c>
      <c r="G309" s="370">
        <v>80.13</v>
      </c>
      <c r="H309" s="370" t="s">
        <v>122</v>
      </c>
    </row>
    <row r="310" spans="1:8" ht="21.75" customHeight="1" x14ac:dyDescent="0.25">
      <c r="A310" s="377">
        <v>45964</v>
      </c>
      <c r="B310" s="363" t="s">
        <v>2066</v>
      </c>
      <c r="C310" s="364">
        <v>7400</v>
      </c>
      <c r="D310" s="370" t="s">
        <v>3108</v>
      </c>
      <c r="E310" s="370">
        <v>87.53</v>
      </c>
      <c r="F310" s="370" t="s">
        <v>2739</v>
      </c>
      <c r="G310" s="370">
        <v>78.94</v>
      </c>
      <c r="H310" s="370" t="s">
        <v>122</v>
      </c>
    </row>
    <row r="311" spans="1:8" ht="21.75" customHeight="1" x14ac:dyDescent="0.25">
      <c r="A311" s="377">
        <v>45965</v>
      </c>
      <c r="B311" s="363" t="s">
        <v>3099</v>
      </c>
      <c r="C311" s="364">
        <v>7200</v>
      </c>
      <c r="D311" s="370" t="s">
        <v>3108</v>
      </c>
      <c r="E311" s="370">
        <v>85.57</v>
      </c>
      <c r="F311" s="370" t="s">
        <v>2739</v>
      </c>
      <c r="G311" s="370">
        <v>77.72</v>
      </c>
      <c r="H311" s="370" t="s">
        <v>122</v>
      </c>
    </row>
    <row r="312" spans="1:8" ht="21.75" customHeight="1" x14ac:dyDescent="0.25">
      <c r="A312" s="377">
        <v>45966</v>
      </c>
      <c r="B312" s="363" t="s">
        <v>3100</v>
      </c>
      <c r="C312" s="364">
        <v>7000</v>
      </c>
      <c r="D312" s="370" t="s">
        <v>3108</v>
      </c>
      <c r="E312" s="370">
        <v>83.55</v>
      </c>
      <c r="F312" s="370" t="s">
        <v>2739</v>
      </c>
      <c r="G312" s="370">
        <v>76.489999999999995</v>
      </c>
      <c r="H312" s="370" t="s">
        <v>122</v>
      </c>
    </row>
    <row r="313" spans="1:8" ht="21.75" customHeight="1" x14ac:dyDescent="0.25">
      <c r="A313" s="377">
        <v>45967</v>
      </c>
      <c r="B313" s="363" t="s">
        <v>2071</v>
      </c>
      <c r="C313" s="364">
        <v>6900</v>
      </c>
      <c r="D313" s="370" t="s">
        <v>3108</v>
      </c>
      <c r="E313" s="370">
        <v>81.48</v>
      </c>
      <c r="F313" s="370" t="s">
        <v>122</v>
      </c>
      <c r="G313" s="370" t="s">
        <v>122</v>
      </c>
      <c r="H313" s="370" t="s">
        <v>122</v>
      </c>
    </row>
    <row r="314" spans="1:8" ht="21.75" customHeight="1" x14ac:dyDescent="0.25">
      <c r="A314" s="377">
        <v>45968</v>
      </c>
      <c r="B314" s="363" t="s">
        <v>2024</v>
      </c>
      <c r="C314" s="364">
        <v>6800</v>
      </c>
      <c r="D314" s="370" t="s">
        <v>122</v>
      </c>
      <c r="E314" s="370" t="s">
        <v>122</v>
      </c>
      <c r="F314" s="370" t="s">
        <v>2509</v>
      </c>
      <c r="G314" s="379">
        <v>7.3</v>
      </c>
      <c r="H314" s="370" t="s">
        <v>122</v>
      </c>
    </row>
    <row r="315" spans="1:8" ht="21.75" customHeight="1" x14ac:dyDescent="0.25">
      <c r="A315" s="377">
        <v>45969</v>
      </c>
      <c r="B315" s="363" t="s">
        <v>2024</v>
      </c>
      <c r="C315" s="364">
        <v>6800</v>
      </c>
      <c r="D315" s="370" t="s">
        <v>122</v>
      </c>
      <c r="E315" s="370" t="s">
        <v>122</v>
      </c>
      <c r="F315" s="370" t="s">
        <v>2509</v>
      </c>
      <c r="G315" s="370"/>
      <c r="H315" s="370" t="s">
        <v>122</v>
      </c>
    </row>
    <row r="316" spans="1:8" ht="21.75" customHeight="1" x14ac:dyDescent="0.25">
      <c r="A316" s="377">
        <v>45970</v>
      </c>
      <c r="B316" s="363" t="s">
        <v>2024</v>
      </c>
      <c r="C316" s="364">
        <v>6800</v>
      </c>
      <c r="D316" s="370" t="s">
        <v>2739</v>
      </c>
      <c r="E316" s="370">
        <v>66.52</v>
      </c>
      <c r="F316" s="370" t="s">
        <v>3052</v>
      </c>
      <c r="G316" s="370">
        <v>71.81</v>
      </c>
      <c r="H316" s="370" t="s">
        <v>122</v>
      </c>
    </row>
    <row r="317" spans="1:8" ht="21.75" customHeight="1" x14ac:dyDescent="0.25">
      <c r="A317" s="377">
        <v>45971</v>
      </c>
      <c r="B317" s="363" t="s">
        <v>2072</v>
      </c>
      <c r="C317" s="364">
        <v>6600</v>
      </c>
      <c r="D317" s="370" t="s">
        <v>2977</v>
      </c>
      <c r="E317" s="370">
        <v>68.849999999999994</v>
      </c>
      <c r="F317" s="370" t="s">
        <v>3052</v>
      </c>
      <c r="G317" s="370">
        <v>70.59</v>
      </c>
      <c r="H317" s="370" t="s">
        <v>122</v>
      </c>
    </row>
    <row r="318" spans="1:8" ht="21.75" customHeight="1" x14ac:dyDescent="0.25">
      <c r="A318" s="377">
        <v>45972</v>
      </c>
      <c r="B318" s="363" t="s">
        <v>2022</v>
      </c>
      <c r="C318" s="364">
        <v>6450</v>
      </c>
      <c r="D318" s="370" t="s">
        <v>3108</v>
      </c>
      <c r="E318" s="370">
        <v>76.05</v>
      </c>
      <c r="F318" s="370" t="s">
        <v>3052</v>
      </c>
      <c r="G318" s="370">
        <v>73.959999999999994</v>
      </c>
      <c r="H318" s="370" t="s">
        <v>122</v>
      </c>
    </row>
    <row r="319" spans="1:8" ht="21.75" customHeight="1" x14ac:dyDescent="0.25">
      <c r="A319" s="377">
        <v>45973</v>
      </c>
      <c r="B319" s="363" t="s">
        <v>2074</v>
      </c>
      <c r="C319" s="364">
        <v>6300</v>
      </c>
      <c r="D319" s="370" t="s">
        <v>3108</v>
      </c>
      <c r="E319" s="370">
        <v>73.760000000000005</v>
      </c>
      <c r="F319" s="370" t="s">
        <v>3052</v>
      </c>
      <c r="G319" s="370">
        <v>72.55</v>
      </c>
      <c r="H319" s="370" t="s">
        <v>122</v>
      </c>
    </row>
    <row r="320" spans="1:8" ht="21.75" customHeight="1" x14ac:dyDescent="0.25">
      <c r="A320" s="377">
        <v>45974</v>
      </c>
      <c r="B320" s="363" t="s">
        <v>2075</v>
      </c>
      <c r="C320" s="364">
        <v>6200</v>
      </c>
      <c r="D320" s="370" t="s">
        <v>3108</v>
      </c>
      <c r="E320" s="370">
        <v>71.38</v>
      </c>
      <c r="F320" s="370" t="s">
        <v>3052</v>
      </c>
      <c r="G320" s="370">
        <v>71.48</v>
      </c>
      <c r="H320" s="370" t="s">
        <v>122</v>
      </c>
    </row>
    <row r="321" spans="1:8" ht="21.75" customHeight="1" x14ac:dyDescent="0.25">
      <c r="A321" s="377">
        <v>45975</v>
      </c>
      <c r="B321" s="363" t="s">
        <v>2077</v>
      </c>
      <c r="C321" s="364">
        <v>6150</v>
      </c>
      <c r="D321" s="370" t="s">
        <v>122</v>
      </c>
      <c r="E321" s="370" t="s">
        <v>122</v>
      </c>
      <c r="F321" s="370" t="s">
        <v>2739</v>
      </c>
      <c r="G321" s="370">
        <v>68.63</v>
      </c>
      <c r="H321" s="370" t="s">
        <v>122</v>
      </c>
    </row>
    <row r="322" spans="1:8" ht="21.75" customHeight="1" x14ac:dyDescent="0.25">
      <c r="A322" s="377">
        <v>45976</v>
      </c>
      <c r="B322" s="363" t="s">
        <v>2077</v>
      </c>
      <c r="C322" s="364">
        <v>6150</v>
      </c>
      <c r="D322" s="370" t="s">
        <v>3108</v>
      </c>
      <c r="E322" s="370">
        <v>70.16</v>
      </c>
      <c r="F322" s="370" t="s">
        <v>2739</v>
      </c>
      <c r="G322" s="370">
        <v>68.63</v>
      </c>
      <c r="H322" s="370" t="s">
        <v>122</v>
      </c>
    </row>
    <row r="323" spans="1:8" ht="21.75" customHeight="1" x14ac:dyDescent="0.25">
      <c r="A323" s="377">
        <v>45977</v>
      </c>
      <c r="B323" s="363" t="s">
        <v>2092</v>
      </c>
      <c r="C323" s="364">
        <v>6000</v>
      </c>
      <c r="D323" s="370" t="s">
        <v>2739</v>
      </c>
      <c r="E323" s="370">
        <v>58.1</v>
      </c>
      <c r="F323" s="370" t="s">
        <v>2739</v>
      </c>
      <c r="G323" s="370">
        <v>67.23</v>
      </c>
      <c r="H323" s="370" t="s">
        <v>122</v>
      </c>
    </row>
    <row r="324" spans="1:8" ht="21.75" customHeight="1" x14ac:dyDescent="0.25">
      <c r="A324" s="377">
        <v>45978</v>
      </c>
      <c r="B324" s="363" t="s">
        <v>3101</v>
      </c>
      <c r="C324" s="364">
        <v>5850</v>
      </c>
      <c r="D324" s="370" t="s">
        <v>122</v>
      </c>
      <c r="E324" s="370"/>
      <c r="F324" s="370" t="s">
        <v>2509</v>
      </c>
      <c r="G324" s="370">
        <v>6.69</v>
      </c>
      <c r="H324" s="370" t="s">
        <v>122</v>
      </c>
    </row>
    <row r="325" spans="1:8" ht="21.75" customHeight="1" x14ac:dyDescent="0.25">
      <c r="A325" s="377">
        <v>45979</v>
      </c>
      <c r="B325" s="363" t="s">
        <v>3101</v>
      </c>
      <c r="C325" s="364">
        <v>5850</v>
      </c>
      <c r="D325" s="370" t="s">
        <v>122</v>
      </c>
      <c r="E325" s="370" t="s">
        <v>122</v>
      </c>
      <c r="F325" s="370" t="s">
        <v>2509</v>
      </c>
      <c r="G325" s="370">
        <v>6.69</v>
      </c>
      <c r="H325" s="370" t="s">
        <v>122</v>
      </c>
    </row>
    <row r="326" spans="1:8" ht="21.75" customHeight="1" x14ac:dyDescent="0.25">
      <c r="A326" s="377">
        <v>45980</v>
      </c>
      <c r="B326" s="363" t="s">
        <v>2093</v>
      </c>
      <c r="C326" s="364">
        <v>5850</v>
      </c>
      <c r="D326" s="370" t="s">
        <v>122</v>
      </c>
      <c r="E326" s="370" t="s">
        <v>122</v>
      </c>
      <c r="F326" s="370" t="s">
        <v>2509</v>
      </c>
      <c r="G326" s="370">
        <v>6.69</v>
      </c>
      <c r="H326" s="370" t="s">
        <v>122</v>
      </c>
    </row>
    <row r="327" spans="1:8" ht="21.75" customHeight="1" x14ac:dyDescent="0.25">
      <c r="A327" s="377">
        <v>45981</v>
      </c>
      <c r="B327" s="363" t="s">
        <v>2093</v>
      </c>
      <c r="C327" s="364">
        <v>5850</v>
      </c>
      <c r="D327" s="370" t="s">
        <v>122</v>
      </c>
      <c r="E327" s="370" t="s">
        <v>122</v>
      </c>
      <c r="F327" s="370" t="s">
        <v>2509</v>
      </c>
      <c r="G327" s="370">
        <v>6.69</v>
      </c>
      <c r="H327" s="370" t="s">
        <v>122</v>
      </c>
    </row>
    <row r="328" spans="1:8" ht="21.75" customHeight="1" x14ac:dyDescent="0.25">
      <c r="A328" s="377">
        <v>45982</v>
      </c>
      <c r="B328" s="363" t="s">
        <v>3102</v>
      </c>
      <c r="C328" s="364">
        <v>5900</v>
      </c>
      <c r="D328" s="370" t="s">
        <v>122</v>
      </c>
      <c r="E328" s="370" t="s">
        <v>122</v>
      </c>
      <c r="F328" s="370" t="s">
        <v>2509</v>
      </c>
      <c r="G328" s="370">
        <v>6.12</v>
      </c>
      <c r="H328" s="370" t="s">
        <v>122</v>
      </c>
    </row>
    <row r="329" spans="1:8" ht="21.75" customHeight="1" x14ac:dyDescent="0.25">
      <c r="A329" s="377">
        <v>45983</v>
      </c>
      <c r="B329" s="363" t="s">
        <v>3102</v>
      </c>
      <c r="C329" s="364">
        <v>5900</v>
      </c>
      <c r="D329" s="370" t="s">
        <v>122</v>
      </c>
      <c r="E329" s="370" t="s">
        <v>122</v>
      </c>
      <c r="F329" s="370" t="s">
        <v>2509</v>
      </c>
      <c r="G329" s="370">
        <v>6.12</v>
      </c>
      <c r="H329" s="370" t="s">
        <v>122</v>
      </c>
    </row>
    <row r="330" spans="1:8" ht="21.75" customHeight="1" x14ac:dyDescent="0.25">
      <c r="A330" s="377">
        <v>45984</v>
      </c>
      <c r="B330" s="363" t="s">
        <v>2092</v>
      </c>
      <c r="C330" s="364">
        <v>6000</v>
      </c>
      <c r="D330" s="370" t="s">
        <v>122</v>
      </c>
      <c r="E330" s="370" t="s">
        <v>122</v>
      </c>
      <c r="F330" s="370" t="s">
        <v>2509</v>
      </c>
      <c r="G330" s="370">
        <v>6.17</v>
      </c>
      <c r="H330" s="370" t="s">
        <v>122</v>
      </c>
    </row>
    <row r="331" spans="1:8" ht="21.75" customHeight="1" x14ac:dyDescent="0.25">
      <c r="A331" s="377">
        <v>45985</v>
      </c>
      <c r="B331" s="363" t="s">
        <v>2020</v>
      </c>
      <c r="C331" s="364">
        <v>6400</v>
      </c>
      <c r="D331" s="370" t="s">
        <v>122</v>
      </c>
      <c r="E331" s="370" t="s">
        <v>122</v>
      </c>
      <c r="F331" s="370" t="s">
        <v>2509</v>
      </c>
      <c r="G331" s="370">
        <v>6.49</v>
      </c>
      <c r="H331" s="370" t="s">
        <v>122</v>
      </c>
    </row>
    <row r="332" spans="1:8" ht="21.75" customHeight="1" x14ac:dyDescent="0.25">
      <c r="A332" s="377">
        <v>45986</v>
      </c>
      <c r="B332" s="363" t="s">
        <v>2091</v>
      </c>
      <c r="C332" s="364">
        <v>6950</v>
      </c>
      <c r="D332" s="370" t="s">
        <v>122</v>
      </c>
      <c r="E332" s="370" t="s">
        <v>122</v>
      </c>
      <c r="F332" s="370" t="s">
        <v>2509</v>
      </c>
      <c r="G332" s="370">
        <v>6.83</v>
      </c>
      <c r="H332" s="370" t="s">
        <v>122</v>
      </c>
    </row>
    <row r="333" spans="1:8" ht="21.75" customHeight="1" x14ac:dyDescent="0.25">
      <c r="A333" s="377">
        <v>45987</v>
      </c>
      <c r="B333" s="363" t="s">
        <v>3103</v>
      </c>
      <c r="C333" s="364">
        <v>8400</v>
      </c>
      <c r="D333" s="370" t="s">
        <v>122</v>
      </c>
      <c r="E333" s="370" t="s">
        <v>122</v>
      </c>
      <c r="F333" s="370" t="s">
        <v>2509</v>
      </c>
      <c r="G333" s="370">
        <v>8.11</v>
      </c>
      <c r="H333" s="370" t="s">
        <v>122</v>
      </c>
    </row>
    <row r="334" spans="1:8" ht="21.75" customHeight="1" x14ac:dyDescent="0.25">
      <c r="A334" s="377">
        <v>45988</v>
      </c>
      <c r="B334" s="363" t="s">
        <v>2039</v>
      </c>
      <c r="C334" s="364">
        <v>13000</v>
      </c>
      <c r="D334" s="370" t="s">
        <v>122</v>
      </c>
      <c r="E334" s="370" t="s">
        <v>122</v>
      </c>
      <c r="F334" s="370" t="s">
        <v>122</v>
      </c>
      <c r="G334" s="370" t="s">
        <v>122</v>
      </c>
      <c r="H334" s="370" t="s">
        <v>122</v>
      </c>
    </row>
    <row r="335" spans="1:8" ht="21.75" customHeight="1" x14ac:dyDescent="0.25">
      <c r="A335" s="377">
        <v>45989</v>
      </c>
      <c r="B335" s="363" t="s">
        <v>3013</v>
      </c>
      <c r="C335" s="364">
        <v>36250</v>
      </c>
      <c r="D335" s="370" t="s">
        <v>122</v>
      </c>
      <c r="E335" s="370" t="s">
        <v>122</v>
      </c>
      <c r="F335" s="370" t="s">
        <v>122</v>
      </c>
      <c r="G335" s="370" t="s">
        <v>122</v>
      </c>
      <c r="H335" s="370">
        <v>2433.42</v>
      </c>
    </row>
    <row r="336" spans="1:8" ht="21.75" customHeight="1" x14ac:dyDescent="0.25">
      <c r="A336" s="377">
        <v>45990</v>
      </c>
      <c r="B336" s="363" t="s">
        <v>3104</v>
      </c>
      <c r="C336" s="364" t="s">
        <v>3106</v>
      </c>
      <c r="D336" s="370" t="s">
        <v>122</v>
      </c>
      <c r="E336" s="370" t="s">
        <v>122</v>
      </c>
      <c r="F336" s="370" t="s">
        <v>122</v>
      </c>
      <c r="G336" s="370" t="s">
        <v>122</v>
      </c>
      <c r="H336" s="370">
        <v>33927.300000000003</v>
      </c>
    </row>
    <row r="337" spans="1:8" ht="21.75" customHeight="1" x14ac:dyDescent="0.25">
      <c r="A337" s="377">
        <v>45991</v>
      </c>
      <c r="B337" s="363" t="s">
        <v>3105</v>
      </c>
      <c r="C337" s="364" t="s">
        <v>3107</v>
      </c>
      <c r="D337" s="370" t="s">
        <v>122</v>
      </c>
      <c r="E337" s="370" t="s">
        <v>122</v>
      </c>
      <c r="F337" s="370" t="s">
        <v>122</v>
      </c>
      <c r="G337" s="370" t="s">
        <v>122</v>
      </c>
      <c r="H337" s="370">
        <v>17113.14</v>
      </c>
    </row>
    <row r="338" spans="1:8" ht="21.75" customHeight="1" x14ac:dyDescent="0.25">
      <c r="A338" s="377">
        <v>45992</v>
      </c>
      <c r="B338" s="363" t="s">
        <v>2986</v>
      </c>
      <c r="C338" s="364" t="s">
        <v>2851</v>
      </c>
      <c r="D338" s="370" t="s">
        <v>122</v>
      </c>
      <c r="E338" s="370" t="s">
        <v>122</v>
      </c>
      <c r="F338" s="370" t="s">
        <v>122</v>
      </c>
      <c r="G338" s="370" t="s">
        <v>122</v>
      </c>
      <c r="H338" s="370">
        <v>146.03</v>
      </c>
    </row>
    <row r="339" spans="1:8" ht="21.75" customHeight="1" x14ac:dyDescent="0.25">
      <c r="A339" s="377">
        <v>45993</v>
      </c>
      <c r="B339" s="363" t="s">
        <v>2988</v>
      </c>
      <c r="C339" s="364" t="s">
        <v>2814</v>
      </c>
      <c r="D339" s="370" t="s">
        <v>122</v>
      </c>
      <c r="E339" s="370" t="s">
        <v>122</v>
      </c>
      <c r="F339" s="370" t="s">
        <v>122</v>
      </c>
      <c r="G339" s="370" t="s">
        <v>122</v>
      </c>
      <c r="H339" s="370">
        <v>1223.6400000000001</v>
      </c>
    </row>
    <row r="340" spans="1:8" ht="21.75" customHeight="1" x14ac:dyDescent="0.25">
      <c r="A340" s="377">
        <v>45994</v>
      </c>
      <c r="B340" s="363" t="s">
        <v>2995</v>
      </c>
      <c r="C340" s="364" t="s">
        <v>3000</v>
      </c>
      <c r="D340" s="370" t="s">
        <v>2508</v>
      </c>
      <c r="E340" s="370">
        <v>24.68</v>
      </c>
      <c r="F340" s="370" t="s">
        <v>122</v>
      </c>
      <c r="G340" s="370" t="s">
        <v>122</v>
      </c>
      <c r="H340" s="370">
        <v>8991.18</v>
      </c>
    </row>
    <row r="341" spans="1:8" ht="21.75" customHeight="1" x14ac:dyDescent="0.25">
      <c r="A341" s="377">
        <v>45995</v>
      </c>
      <c r="B341" s="363" t="s">
        <v>2987</v>
      </c>
      <c r="C341" s="364" t="s">
        <v>2837</v>
      </c>
      <c r="D341" s="370" t="s">
        <v>122</v>
      </c>
      <c r="E341" s="370" t="s">
        <v>122</v>
      </c>
      <c r="F341" s="370" t="s">
        <v>122</v>
      </c>
      <c r="G341" s="370" t="s">
        <v>122</v>
      </c>
      <c r="H341" s="370">
        <v>6052.86</v>
      </c>
    </row>
    <row r="342" spans="1:8" ht="21.75" customHeight="1" x14ac:dyDescent="0.25">
      <c r="A342" s="377">
        <v>45996</v>
      </c>
      <c r="B342" s="363" t="s">
        <v>2986</v>
      </c>
      <c r="C342" s="364" t="s">
        <v>2851</v>
      </c>
      <c r="D342" s="370"/>
      <c r="E342" s="370"/>
      <c r="F342" s="370" t="s">
        <v>122</v>
      </c>
      <c r="G342" s="370" t="s">
        <v>122</v>
      </c>
      <c r="H342" s="370">
        <v>4953.96</v>
      </c>
    </row>
    <row r="343" spans="1:8" ht="21.75" customHeight="1" x14ac:dyDescent="0.25">
      <c r="A343" s="377">
        <v>45997</v>
      </c>
      <c r="B343" s="363" t="s">
        <v>2524</v>
      </c>
      <c r="C343" s="364">
        <v>37062</v>
      </c>
      <c r="D343" s="370" t="s">
        <v>122</v>
      </c>
      <c r="E343" s="370" t="s">
        <v>122</v>
      </c>
      <c r="F343" s="370" t="s">
        <v>122</v>
      </c>
      <c r="G343" s="370" t="s">
        <v>122</v>
      </c>
      <c r="H343" s="370">
        <v>4682.7</v>
      </c>
    </row>
    <row r="344" spans="1:8" ht="21.75" customHeight="1" x14ac:dyDescent="0.25">
      <c r="A344" s="377">
        <v>45998</v>
      </c>
      <c r="B344" s="363" t="s">
        <v>3015</v>
      </c>
      <c r="C344" s="364">
        <v>35250</v>
      </c>
      <c r="D344" s="370" t="s">
        <v>122</v>
      </c>
      <c r="E344" s="370" t="s">
        <v>122</v>
      </c>
      <c r="F344" s="370" t="s">
        <v>122</v>
      </c>
      <c r="G344" s="370" t="s">
        <v>122</v>
      </c>
      <c r="H344" s="370">
        <v>310.86</v>
      </c>
    </row>
    <row r="345" spans="1:8" ht="21.75" customHeight="1" x14ac:dyDescent="0.25">
      <c r="A345" s="377">
        <v>45999</v>
      </c>
      <c r="B345" s="363" t="s">
        <v>3109</v>
      </c>
      <c r="C345" s="364">
        <v>34750</v>
      </c>
      <c r="D345" s="370" t="s">
        <v>122</v>
      </c>
      <c r="E345" s="370" t="s">
        <v>122</v>
      </c>
      <c r="F345" s="370" t="s">
        <v>122</v>
      </c>
      <c r="G345" s="370" t="s">
        <v>122</v>
      </c>
      <c r="H345" s="370" t="s">
        <v>122</v>
      </c>
    </row>
    <row r="346" spans="1:8" ht="21.75" customHeight="1" x14ac:dyDescent="0.25">
      <c r="A346" s="377">
        <v>46000</v>
      </c>
      <c r="B346" s="363" t="s">
        <v>3109</v>
      </c>
      <c r="C346" s="364">
        <v>34750</v>
      </c>
      <c r="D346" s="370" t="s">
        <v>122</v>
      </c>
      <c r="E346" s="370" t="s">
        <v>122</v>
      </c>
      <c r="F346" s="370" t="s">
        <v>122</v>
      </c>
      <c r="G346" s="370" t="s">
        <v>122</v>
      </c>
      <c r="H346" s="370" t="s">
        <v>122</v>
      </c>
    </row>
    <row r="347" spans="1:8" ht="21.75" customHeight="1" x14ac:dyDescent="0.25">
      <c r="A347" s="377">
        <v>46001</v>
      </c>
      <c r="B347" s="363" t="s">
        <v>3014</v>
      </c>
      <c r="C347" s="364">
        <v>36000</v>
      </c>
      <c r="D347" s="370" t="s">
        <v>2152</v>
      </c>
      <c r="E347" s="379">
        <v>36.200000000000003</v>
      </c>
      <c r="F347" s="370" t="s">
        <v>2509</v>
      </c>
      <c r="G347" s="370">
        <v>12.85</v>
      </c>
      <c r="H347" s="370">
        <v>1845.36</v>
      </c>
    </row>
    <row r="348" spans="1:8" ht="21.75" customHeight="1" x14ac:dyDescent="0.25">
      <c r="A348" s="377">
        <v>46002</v>
      </c>
      <c r="B348" s="363" t="s">
        <v>3030</v>
      </c>
      <c r="C348" s="364">
        <v>35750</v>
      </c>
      <c r="D348" s="370" t="s">
        <v>2152</v>
      </c>
      <c r="E348" s="370">
        <v>36.159999999999997</v>
      </c>
      <c r="F348" s="370" t="s">
        <v>2509</v>
      </c>
      <c r="G348" s="370">
        <v>12.83</v>
      </c>
      <c r="H348" s="370">
        <v>1841.4</v>
      </c>
    </row>
    <row r="349" spans="1:8" ht="21.75" customHeight="1" x14ac:dyDescent="0.25">
      <c r="A349" s="377">
        <v>46003</v>
      </c>
      <c r="B349" s="363" t="s">
        <v>2529</v>
      </c>
      <c r="C349" s="364">
        <v>37333</v>
      </c>
      <c r="D349" s="370" t="s">
        <v>2152</v>
      </c>
      <c r="E349" s="379">
        <v>36.9</v>
      </c>
      <c r="F349" s="370"/>
      <c r="G349" s="370"/>
      <c r="H349" s="370">
        <v>2475</v>
      </c>
    </row>
    <row r="350" spans="1:8" ht="21.75" customHeight="1" x14ac:dyDescent="0.25">
      <c r="A350" s="377">
        <v>46004</v>
      </c>
      <c r="B350" s="363" t="s">
        <v>2529</v>
      </c>
      <c r="C350" s="364">
        <v>37333</v>
      </c>
      <c r="D350" s="370" t="s">
        <v>2152</v>
      </c>
      <c r="E350" s="379">
        <v>36.9</v>
      </c>
      <c r="F350" s="370"/>
      <c r="G350" s="370"/>
      <c r="H350" s="370">
        <v>3619.44</v>
      </c>
    </row>
    <row r="351" spans="1:8" ht="21.75" customHeight="1" x14ac:dyDescent="0.25">
      <c r="A351" s="377">
        <v>46005</v>
      </c>
      <c r="B351" s="363" t="s">
        <v>3110</v>
      </c>
      <c r="C351" s="364">
        <v>35500</v>
      </c>
      <c r="D351" s="370" t="s">
        <v>2152</v>
      </c>
      <c r="E351" s="370">
        <v>36.119999999999997</v>
      </c>
      <c r="F351" s="370" t="s">
        <v>2509</v>
      </c>
      <c r="G351" s="370">
        <v>12.82</v>
      </c>
      <c r="H351" s="370">
        <v>3536.28</v>
      </c>
    </row>
    <row r="352" spans="1:8" ht="21.75" customHeight="1" x14ac:dyDescent="0.25">
      <c r="A352" s="377">
        <v>46006</v>
      </c>
      <c r="B352" s="363" t="s">
        <v>3109</v>
      </c>
      <c r="C352" s="364">
        <v>34750</v>
      </c>
      <c r="D352" s="370" t="s">
        <v>2152</v>
      </c>
      <c r="E352" s="379">
        <v>36</v>
      </c>
      <c r="F352" s="370" t="s">
        <v>2509</v>
      </c>
      <c r="G352" s="370">
        <v>12.8</v>
      </c>
      <c r="H352" s="370" t="s">
        <v>122</v>
      </c>
    </row>
    <row r="353" spans="1:8" ht="21.75" customHeight="1" x14ac:dyDescent="0.25">
      <c r="A353" s="377">
        <v>46007</v>
      </c>
      <c r="B353" s="363" t="s">
        <v>3025</v>
      </c>
      <c r="C353" s="367">
        <v>36656.5</v>
      </c>
      <c r="D353" s="370" t="s">
        <v>2152</v>
      </c>
      <c r="E353" s="370">
        <v>36.369999999999997</v>
      </c>
      <c r="F353" s="370" t="s">
        <v>2152</v>
      </c>
      <c r="G353" s="370">
        <v>37.630000000000003</v>
      </c>
      <c r="H353" s="370">
        <v>1255.32</v>
      </c>
    </row>
    <row r="354" spans="1:8" ht="21.75" customHeight="1" x14ac:dyDescent="0.25">
      <c r="A354" s="377">
        <v>46008</v>
      </c>
      <c r="B354" s="363" t="s">
        <v>2991</v>
      </c>
      <c r="C354" s="364">
        <v>38416</v>
      </c>
      <c r="D354" s="370" t="s">
        <v>2152</v>
      </c>
      <c r="E354" s="370">
        <v>37.24</v>
      </c>
      <c r="F354" s="370" t="s">
        <v>2152</v>
      </c>
      <c r="G354" s="370">
        <v>38.43</v>
      </c>
      <c r="H354" s="370">
        <v>2514.6</v>
      </c>
    </row>
    <row r="355" spans="1:8" ht="21.75" customHeight="1" x14ac:dyDescent="0.25">
      <c r="A355" s="377">
        <v>46009</v>
      </c>
      <c r="B355" s="363" t="s">
        <v>2984</v>
      </c>
      <c r="C355" s="364" t="s">
        <v>2831</v>
      </c>
      <c r="D355" s="370" t="s">
        <v>2152</v>
      </c>
      <c r="E355" s="370">
        <v>37.24</v>
      </c>
      <c r="F355" s="370" t="s">
        <v>2152</v>
      </c>
      <c r="G355" s="370">
        <v>38.43</v>
      </c>
      <c r="H355" s="370">
        <v>3542.22</v>
      </c>
    </row>
    <row r="356" spans="1:8" ht="21.75" customHeight="1" x14ac:dyDescent="0.25">
      <c r="A356" s="377">
        <v>46010</v>
      </c>
      <c r="B356" s="363" t="s">
        <v>2993</v>
      </c>
      <c r="C356" s="364" t="s">
        <v>2998</v>
      </c>
      <c r="D356" s="370" t="s">
        <v>2152</v>
      </c>
      <c r="E356" s="370">
        <v>37.24</v>
      </c>
      <c r="F356" s="370" t="s">
        <v>2152</v>
      </c>
      <c r="G356" s="370">
        <v>38.43</v>
      </c>
      <c r="H356" s="370">
        <v>4156.0200000000004</v>
      </c>
    </row>
    <row r="357" spans="1:8" ht="21.75" customHeight="1" x14ac:dyDescent="0.25">
      <c r="A357" s="377">
        <v>46011</v>
      </c>
      <c r="B357" s="363" t="s">
        <v>3003</v>
      </c>
      <c r="C357" s="364" t="s">
        <v>2849</v>
      </c>
      <c r="D357" s="370" t="s">
        <v>2152</v>
      </c>
      <c r="E357" s="370">
        <v>37.24</v>
      </c>
      <c r="F357" s="370" t="s">
        <v>2152</v>
      </c>
      <c r="G357" s="370">
        <v>38.43</v>
      </c>
      <c r="H357" s="370">
        <v>3758.04</v>
      </c>
    </row>
    <row r="358" spans="1:8" ht="21.75" customHeight="1" x14ac:dyDescent="0.25">
      <c r="A358" s="377">
        <v>46012</v>
      </c>
      <c r="B358" s="363" t="s">
        <v>3008</v>
      </c>
      <c r="C358" s="364">
        <v>37875</v>
      </c>
      <c r="D358" s="370" t="s">
        <v>2174</v>
      </c>
      <c r="E358" s="370">
        <v>60.99</v>
      </c>
      <c r="F358" s="370" t="s">
        <v>2152</v>
      </c>
      <c r="G358" s="370">
        <v>37.590000000000003</v>
      </c>
      <c r="H358" s="370">
        <v>3080.88</v>
      </c>
    </row>
    <row r="359" spans="1:8" ht="21.75" customHeight="1" x14ac:dyDescent="0.25">
      <c r="A359" s="377">
        <v>46013</v>
      </c>
      <c r="B359" s="363" t="s">
        <v>2523</v>
      </c>
      <c r="C359" s="367">
        <v>36385.5</v>
      </c>
      <c r="D359" s="370" t="s">
        <v>2174</v>
      </c>
      <c r="E359" s="370">
        <v>59.93</v>
      </c>
      <c r="F359" s="370" t="s">
        <v>2152</v>
      </c>
      <c r="G359" s="370">
        <v>37.549999999999997</v>
      </c>
      <c r="H359" s="370" t="s">
        <v>122</v>
      </c>
    </row>
    <row r="360" spans="1:8" ht="21.75" customHeight="1" x14ac:dyDescent="0.25">
      <c r="A360" s="377">
        <v>46014</v>
      </c>
      <c r="B360" s="363" t="s">
        <v>3031</v>
      </c>
      <c r="C360" s="364">
        <v>34500</v>
      </c>
      <c r="D360" s="370" t="s">
        <v>2177</v>
      </c>
      <c r="E360" s="370">
        <v>70.92</v>
      </c>
      <c r="F360" s="370" t="s">
        <v>2175</v>
      </c>
      <c r="G360" s="370">
        <v>55.54</v>
      </c>
      <c r="H360" s="370" t="s">
        <v>122</v>
      </c>
    </row>
    <row r="361" spans="1:8" ht="21.75" customHeight="1" x14ac:dyDescent="0.25">
      <c r="A361" s="377">
        <v>46015</v>
      </c>
      <c r="B361" s="363" t="s">
        <v>3031</v>
      </c>
      <c r="C361" s="364">
        <v>34500</v>
      </c>
      <c r="D361" s="370" t="s">
        <v>2177</v>
      </c>
      <c r="E361" s="370">
        <v>70.92</v>
      </c>
      <c r="F361" s="370" t="s">
        <v>2175</v>
      </c>
      <c r="G361" s="370">
        <v>55.54</v>
      </c>
      <c r="H361" s="370" t="s">
        <v>122</v>
      </c>
    </row>
    <row r="362" spans="1:8" ht="21.75" customHeight="1" x14ac:dyDescent="0.25">
      <c r="A362" s="377">
        <v>46016</v>
      </c>
      <c r="B362" s="363" t="s">
        <v>3031</v>
      </c>
      <c r="C362" s="364">
        <v>34500</v>
      </c>
      <c r="D362" s="370" t="s">
        <v>2177</v>
      </c>
      <c r="E362" s="370">
        <v>70.92</v>
      </c>
      <c r="F362" s="370" t="s">
        <v>2175</v>
      </c>
      <c r="G362" s="370">
        <v>55.54</v>
      </c>
      <c r="H362" s="370" t="s">
        <v>122</v>
      </c>
    </row>
    <row r="363" spans="1:8" ht="21.75" customHeight="1" x14ac:dyDescent="0.25">
      <c r="A363" s="377">
        <v>46017</v>
      </c>
      <c r="B363" s="363" t="s">
        <v>3016</v>
      </c>
      <c r="C363" s="364">
        <v>34250</v>
      </c>
      <c r="D363" s="370" t="s">
        <v>2177</v>
      </c>
      <c r="E363" s="370">
        <v>70.83</v>
      </c>
      <c r="F363" s="370" t="s">
        <v>2175</v>
      </c>
      <c r="G363" s="370">
        <v>55.42</v>
      </c>
      <c r="H363" s="370" t="s">
        <v>122</v>
      </c>
    </row>
    <row r="364" spans="1:8" ht="21.75" customHeight="1" x14ac:dyDescent="0.25">
      <c r="A364" s="377">
        <v>46018</v>
      </c>
      <c r="B364" s="363" t="s">
        <v>3032</v>
      </c>
      <c r="C364" s="364">
        <v>34075</v>
      </c>
      <c r="D364" s="370" t="s">
        <v>2180</v>
      </c>
      <c r="E364" s="370">
        <v>87.8</v>
      </c>
      <c r="F364" s="370" t="s">
        <v>2510</v>
      </c>
      <c r="G364" s="370">
        <v>95.99</v>
      </c>
      <c r="H364" s="370" t="s">
        <v>122</v>
      </c>
    </row>
    <row r="365" spans="1:8" ht="21.75" customHeight="1" x14ac:dyDescent="0.25">
      <c r="A365" s="377">
        <v>46019</v>
      </c>
      <c r="B365" s="363" t="s">
        <v>3034</v>
      </c>
      <c r="C365" s="368">
        <v>33850</v>
      </c>
      <c r="D365" s="370" t="s">
        <v>122</v>
      </c>
      <c r="E365" s="370" t="s">
        <v>122</v>
      </c>
      <c r="F365" s="370" t="s">
        <v>2510</v>
      </c>
      <c r="G365" s="370">
        <v>95.88</v>
      </c>
      <c r="H365" s="370" t="s">
        <v>122</v>
      </c>
    </row>
    <row r="366" spans="1:8" ht="21.75" customHeight="1" x14ac:dyDescent="0.25">
      <c r="A366" s="377">
        <v>46020</v>
      </c>
      <c r="B366" s="363" t="s">
        <v>3035</v>
      </c>
      <c r="C366" s="368">
        <v>33650</v>
      </c>
      <c r="D366" s="370" t="s">
        <v>122</v>
      </c>
      <c r="E366" s="370" t="s">
        <v>122</v>
      </c>
      <c r="F366" s="370" t="s">
        <v>122</v>
      </c>
      <c r="G366" s="370" t="s">
        <v>122</v>
      </c>
      <c r="H366" s="370" t="s">
        <v>122</v>
      </c>
    </row>
    <row r="367" spans="1:8" ht="21.75" customHeight="1" x14ac:dyDescent="0.25">
      <c r="A367" s="377">
        <v>46021</v>
      </c>
      <c r="B367" s="363" t="s">
        <v>3035</v>
      </c>
      <c r="C367" s="364">
        <v>33650</v>
      </c>
      <c r="D367" s="370" t="s">
        <v>122</v>
      </c>
      <c r="E367" s="370" t="s">
        <v>122</v>
      </c>
      <c r="F367" s="370" t="s">
        <v>2509</v>
      </c>
      <c r="G367" s="370">
        <v>12.68</v>
      </c>
      <c r="H367" s="370" t="s">
        <v>122</v>
      </c>
    </row>
    <row r="368" spans="1:8" ht="21.75" customHeight="1" x14ac:dyDescent="0.25">
      <c r="A368" s="377">
        <v>46022</v>
      </c>
      <c r="B368" s="363" t="s">
        <v>3035</v>
      </c>
      <c r="C368" s="364">
        <v>33650</v>
      </c>
      <c r="D368" s="370" t="s">
        <v>2177</v>
      </c>
      <c r="E368" s="370">
        <v>70.42</v>
      </c>
      <c r="F368" s="370"/>
      <c r="G368" s="370"/>
      <c r="H368" s="370" t="s">
        <v>122</v>
      </c>
    </row>
    <row r="369" spans="1:8" x14ac:dyDescent="0.25">
      <c r="A369" s="377"/>
      <c r="B369" s="363"/>
      <c r="C369" s="364"/>
      <c r="D369" s="370"/>
      <c r="E369" s="370"/>
      <c r="F369" s="370"/>
      <c r="G369" s="370"/>
      <c r="H369" s="370" t="s">
        <v>122</v>
      </c>
    </row>
  </sheetData>
  <mergeCells count="6">
    <mergeCell ref="A1:H1"/>
    <mergeCell ref="A2:A3"/>
    <mergeCell ref="B2:B3"/>
    <mergeCell ref="C2:C3"/>
    <mergeCell ref="D2:G2"/>
    <mergeCell ref="H2: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30</vt:i4>
      </vt:variant>
    </vt:vector>
  </HeadingPairs>
  <TitlesOfParts>
    <vt:vector size="66" baseType="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 </vt:lpstr>
      <vt:lpstr>2020</vt:lpstr>
      <vt:lpstr>2021</vt:lpstr>
      <vt:lpstr>2022</vt:lpstr>
      <vt:lpstr>2023</vt:lpstr>
      <vt:lpstr>2024</vt:lpstr>
      <vt:lpstr>2025</vt:lpstr>
      <vt:lpstr>'1990'!Print_Titles</vt:lpstr>
      <vt:lpstr>'1991'!Print_Titles</vt:lpstr>
      <vt:lpstr>'1992'!Print_Titles</vt:lpstr>
      <vt:lpstr>'1993'!Print_Titles</vt:lpstr>
      <vt:lpstr>'1994'!Print_Titles</vt:lpstr>
      <vt:lpstr>'1995'!Print_Titles</vt:lpstr>
      <vt:lpstr>'1996'!Print_Titles</vt:lpstr>
      <vt:lpstr>'1997'!Print_Titles</vt:lpstr>
      <vt:lpstr>'1998'!Print_Titles</vt:lpstr>
      <vt:lpstr>'2000'!Print_Titles</vt:lpstr>
      <vt:lpstr>'2001'!Print_Titles</vt:lpstr>
      <vt:lpstr>'2002'!Print_Titles</vt:lpstr>
      <vt:lpstr>'2003'!Print_Titles</vt:lpstr>
      <vt:lpstr>'2004'!Print_Titles</vt:lpstr>
      <vt:lpstr>'2005'!Print_Titles</vt:lpstr>
      <vt:lpstr>'2006'!Print_Titles</vt:lpstr>
      <vt:lpstr>'2007'!Print_Titles</vt:lpstr>
      <vt:lpstr>'2008'!Print_Titles</vt:lpstr>
      <vt:lpstr>'2009'!Print_Titles</vt:lpstr>
      <vt:lpstr>'2010'!Print_Titles</vt:lpstr>
      <vt:lpstr>'2011'!Print_Titles</vt:lpstr>
      <vt:lpstr>'2012'!Print_Titles</vt:lpstr>
      <vt:lpstr>'2013'!Print_Titles</vt:lpstr>
      <vt:lpstr>'2015'!Print_Titles</vt:lpstr>
      <vt:lpstr>'2016'!Print_Titles</vt:lpstr>
      <vt:lpstr>'2017'!Print_Titles</vt:lpstr>
      <vt:lpstr>'2018'!Print_Titles</vt:lpstr>
      <vt:lpstr>'2019 '!Print_Titles</vt:lpstr>
      <vt:lpstr>'2020'!Print_Titles</vt:lpstr>
      <vt:lpstr>'2021'!Print_Titles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2026-05-13T06:40:13Z</dcterms:modified>
</cp:coreProperties>
</file>